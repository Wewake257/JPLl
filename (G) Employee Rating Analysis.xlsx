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LP_Scored_Model" sheetId="1" state="visible" r:id="rId3"/>
    <sheet name="README - Formula Guide" sheetId="2" state="visible" r:id="rId4"/>
    <sheet name="Assumptions" sheetId="3" state="visible" r:id="rId5"/>
  </sheets>
  <definedNames>
    <definedName function="false" hidden="true" localSheetId="0" name="_xlnm._FilterDatabase" vbProcedure="false">OLP_Scored_Model!$A$1:$BE$921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<sst xmlns="http://schemas.openxmlformats.org/spreadsheetml/2006/main" count="18792" uniqueCount="2936">
  <si>
    <t xml:space="preserve">SrNo</t>
  </si>
  <si>
    <t xml:space="preserve">Emp.Code</t>
  </si>
  <si>
    <t xml:space="preserve">Cohort</t>
  </si>
  <si>
    <t xml:space="preserve">Name</t>
  </si>
  <si>
    <t xml:space="preserve">Org.Unit</t>
  </si>
  <si>
    <t xml:space="preserve">Position Text</t>
  </si>
  <si>
    <t xml:space="preserve">Job ID</t>
  </si>
  <si>
    <t xml:space="preserve">Job Role</t>
  </si>
  <si>
    <t xml:space="preserve">H R</t>
  </si>
  <si>
    <t xml:space="preserve">HRBP Name</t>
  </si>
  <si>
    <t xml:space="preserve">Marital Status</t>
  </si>
  <si>
    <t xml:space="preserve">DOJ</t>
  </si>
  <si>
    <t xml:space="preserve">Age (YY.MM)</t>
  </si>
  <si>
    <t xml:space="preserve">DOB</t>
  </si>
  <si>
    <t xml:space="preserve">Current Grade</t>
  </si>
  <si>
    <t xml:space="preserve">Current Designation</t>
  </si>
  <si>
    <t xml:space="preserve">RilExp YY.MM</t>
  </si>
  <si>
    <t xml:space="preserve">Prev Exp YY.MM</t>
  </si>
  <si>
    <t xml:space="preserve">Tot Exp YY.MM</t>
  </si>
  <si>
    <t xml:space="preserve">DOL PROM</t>
  </si>
  <si>
    <t xml:space="preserve">DOL PROGRESSION</t>
  </si>
  <si>
    <t xml:space="preserve">RTG21-22</t>
  </si>
  <si>
    <t xml:space="preserve">RTG22-23</t>
  </si>
  <si>
    <t xml:space="preserve">RTG23-24</t>
  </si>
  <si>
    <t xml:space="preserve">RTG24-25</t>
  </si>
  <si>
    <t xml:space="preserve">RTG25-26</t>
  </si>
  <si>
    <t xml:space="preserve">Qualification</t>
  </si>
  <si>
    <t xml:space="preserve">Prev Exp Clean</t>
  </si>
  <si>
    <t xml:space="preserve">Age Clean</t>
  </si>
  <si>
    <t xml:space="preserve">RilExp Clean</t>
  </si>
  <si>
    <t xml:space="preserve">Tot Exp Clean</t>
  </si>
  <si>
    <t xml:space="preserve">RTG21-22_num</t>
  </si>
  <si>
    <t xml:space="preserve">RTG22-23_num</t>
  </si>
  <si>
    <t xml:space="preserve">RTG23-24_num</t>
  </si>
  <si>
    <t xml:space="preserve">RTG24-25_num</t>
  </si>
  <si>
    <t xml:space="preserve">RTG25-26_num</t>
  </si>
  <si>
    <t xml:space="preserve">avg_rating</t>
  </si>
  <si>
    <t xml:space="preserve">rating_trend</t>
  </si>
  <si>
    <t xml:space="preserve">rating_consistency</t>
  </si>
  <si>
    <t xml:space="preserve">recency_weighted_rtg</t>
  </si>
  <si>
    <t xml:space="preserve">age_group</t>
  </si>
  <si>
    <t xml:space="preserve">seniority_tier</t>
  </si>
  <si>
    <t xml:space="preserve">was_promoted</t>
  </si>
  <si>
    <t xml:space="preserve">had_progression</t>
  </si>
  <si>
    <t xml:space="preserve">score_avg_rating</t>
  </si>
  <si>
    <t xml:space="preserve">score_trend</t>
  </si>
  <si>
    <t xml:space="preserve">score_consistency</t>
  </si>
  <si>
    <t xml:space="preserve">score_exp</t>
  </si>
  <si>
    <t xml:space="preserve">score_recency_rtg</t>
  </si>
  <si>
    <t xml:space="preserve">score_promotion</t>
  </si>
  <si>
    <t xml:space="preserve">score_progression</t>
  </si>
  <si>
    <t xml:space="preserve">composite_score</t>
  </si>
  <si>
    <t xml:space="preserve">performance_tier</t>
  </si>
  <si>
    <t xml:space="preserve">is_top_performer</t>
  </si>
  <si>
    <t xml:space="preserve">trend_shifted (helper)</t>
  </si>
  <si>
    <t xml:space="preserve">rating_consistency_filled (helper)</t>
  </si>
  <si>
    <t xml:space="preserve">consistency_transformed (helper)</t>
  </si>
  <si>
    <t xml:space="preserve">IT Infrastructure</t>
  </si>
  <si>
    <t xml:space="preserve">Mr. Rammohan Kordale</t>
  </si>
  <si>
    <t xml:space="preserve">Groupwide Common IT Teams</t>
  </si>
  <si>
    <t xml:space="preserve">Head Grp Enterprise IT</t>
  </si>
  <si>
    <t xml:space="preserve">24281719</t>
  </si>
  <si>
    <t xml:space="preserve">Chief Engineering &amp; Tech</t>
  </si>
  <si>
    <t xml:space="preserve">Bharat Bhushan</t>
  </si>
  <si>
    <t xml:space="preserve">Mr. Bharat Bhushan</t>
  </si>
  <si>
    <t xml:space="preserve">Marrd.</t>
  </si>
  <si>
    <t xml:space="preserve">59.2</t>
  </si>
  <si>
    <t xml:space="preserve">Exe.Vice President</t>
  </si>
  <si>
    <t xml:space="preserve">Executive Vice-President</t>
  </si>
  <si>
    <t xml:space="preserve">.3</t>
  </si>
  <si>
    <t xml:space="preserve">9.4</t>
  </si>
  <si>
    <t xml:space="preserve">9.7</t>
  </si>
  <si>
    <t xml:space="preserve">SSC/XTH STD/SSLC-Upper Primary Education-1982(FT)</t>
  </si>
  <si>
    <t xml:space="preserve">DD&amp;P E&amp;M IT</t>
  </si>
  <si>
    <t xml:space="preserve">Mr. Arindam Banerjee</t>
  </si>
  <si>
    <t xml:space="preserve">CIO - DD&amp;P E&amp;M</t>
  </si>
  <si>
    <t xml:space="preserve">Mr. Hemant Jain</t>
  </si>
  <si>
    <t xml:space="preserve">58.4</t>
  </si>
  <si>
    <t xml:space="preserve">Sr.Vice President</t>
  </si>
  <si>
    <t xml:space="preserve">Sr. Vice - President</t>
  </si>
  <si>
    <t xml:space="preserve">29.7</t>
  </si>
  <si>
    <t xml:space="preserve">4.5</t>
  </si>
  <si>
    <t xml:space="preserve">34.0</t>
  </si>
  <si>
    <t xml:space="preserve">A*</t>
  </si>
  <si>
    <t xml:space="preserve">Certificate Course-Others-2009,Gr CWA-Costing-1991,BSc-Chemistry-1988</t>
  </si>
  <si>
    <t xml:space="preserve">Enterprise Application Management</t>
  </si>
  <si>
    <t xml:space="preserve">Mr. Rajesh P Sarda</t>
  </si>
  <si>
    <t xml:space="preserve">E&amp;M IT SAP Tech Ops</t>
  </si>
  <si>
    <t xml:space="preserve">52.11</t>
  </si>
  <si>
    <t xml:space="preserve">Vice President</t>
  </si>
  <si>
    <t xml:space="preserve">Vice - President</t>
  </si>
  <si>
    <t xml:space="preserve">29.6</t>
  </si>
  <si>
    <t xml:space="preserve">.5</t>
  </si>
  <si>
    <t xml:space="preserve">29.11</t>
  </si>
  <si>
    <t xml:space="preserve">Management Development Prog :  Level - 1-Others-2009,MCA-Computer Applications-1996,BSc-Statistics-1993</t>
  </si>
  <si>
    <t xml:space="preserve">Mr. Kamal Joshi</t>
  </si>
  <si>
    <t xml:space="preserve">Video Conferencing</t>
  </si>
  <si>
    <t xml:space="preserve">Chief - IT Infrastructure</t>
  </si>
  <si>
    <t xml:space="preserve">24281819</t>
  </si>
  <si>
    <t xml:space="preserve">Chief IT Infrastructure</t>
  </si>
  <si>
    <t xml:space="preserve">Ms. Sudeshna Das</t>
  </si>
  <si>
    <t xml:space="preserve">55.10</t>
  </si>
  <si>
    <t xml:space="preserve">28.7</t>
  </si>
  <si>
    <t xml:space="preserve">3.2</t>
  </si>
  <si>
    <t xml:space="preserve">31.9</t>
  </si>
  <si>
    <t xml:space="preserve">Diploma - Engineering-Industrial Electronics-1992(FT)</t>
  </si>
  <si>
    <t xml:space="preserve">JioCX</t>
  </si>
  <si>
    <t xml:space="preserve">Mr. Vikramsingh V Mohite</t>
  </si>
  <si>
    <t xml:space="preserve">JioCX Engineering</t>
  </si>
  <si>
    <t xml:space="preserve">Head Software Developer JioCX</t>
  </si>
  <si>
    <t xml:space="preserve">24281770</t>
  </si>
  <si>
    <t xml:space="preserve">Chief Software Development</t>
  </si>
  <si>
    <t xml:space="preserve">Ms. Arya Khamparia</t>
  </si>
  <si>
    <t xml:space="preserve">51.0</t>
  </si>
  <si>
    <t xml:space="preserve">27.11</t>
  </si>
  <si>
    <t xml:space="preserve">.</t>
  </si>
  <si>
    <t xml:space="preserve">BE-Electronics Engg-1996(FT)</t>
  </si>
  <si>
    <t xml:space="preserve">Mr. Shashikant R Kadam</t>
  </si>
  <si>
    <t xml:space="preserve">Head Devops Engineer JioCX</t>
  </si>
  <si>
    <t xml:space="preserve">24281802</t>
  </si>
  <si>
    <t xml:space="preserve">Head SRE</t>
  </si>
  <si>
    <t xml:space="preserve">47.8</t>
  </si>
  <si>
    <t xml:space="preserve">Asst. Vice President</t>
  </si>
  <si>
    <t xml:space="preserve">Asst. Vice - President</t>
  </si>
  <si>
    <t xml:space="preserve">25.7</t>
  </si>
  <si>
    <t xml:space="preserve">BE-Electronics Engg-2000</t>
  </si>
  <si>
    <t xml:space="preserve">Mr. Saket Gadkari</t>
  </si>
  <si>
    <t xml:space="preserve">JioCX Revenue &amp; Customer Success</t>
  </si>
  <si>
    <t xml:space="preserve">Chief Revenue</t>
  </si>
  <si>
    <t xml:space="preserve">45282214</t>
  </si>
  <si>
    <t xml:space="preserve">Lead Business Development</t>
  </si>
  <si>
    <t xml:space="preserve">46.6</t>
  </si>
  <si>
    <t xml:space="preserve">23.7</t>
  </si>
  <si>
    <t xml:space="preserve">1</t>
  </si>
  <si>
    <t xml:space="preserve">24.7</t>
  </si>
  <si>
    <t xml:space="preserve">MBA-Others-2007(PT),BE-Instrumentation-2001(FT)</t>
  </si>
  <si>
    <t xml:space="preserve">Mr. Ajit S Parab</t>
  </si>
  <si>
    <t xml:space="preserve">E&amp;M IT Material &amp; Service Commitment</t>
  </si>
  <si>
    <t xml:space="preserve">Group Commercial Platform CIO</t>
  </si>
  <si>
    <t xml:space="preserve">56.1</t>
  </si>
  <si>
    <t xml:space="preserve">34.9</t>
  </si>
  <si>
    <t xml:space="preserve">A+</t>
  </si>
  <si>
    <t xml:space="preserve">MMM-Marketing-2001(PT),Diploma - Management-Finance-1996(CO),BE-Mechanical-1991(FT)</t>
  </si>
  <si>
    <t xml:space="preserve">Mr. Hardik Dave</t>
  </si>
  <si>
    <t xml:space="preserve">E&amp;M IT HR Platforms</t>
  </si>
  <si>
    <t xml:space="preserve">51.1</t>
  </si>
  <si>
    <t xml:space="preserve">22.5</t>
  </si>
  <si>
    <t xml:space="preserve">5.6</t>
  </si>
  <si>
    <t xml:space="preserve">PhD-Computer Programming-2006,MCA-Computer Applications-1998,BSc-Chemistry-1995</t>
  </si>
  <si>
    <t xml:space="preserve">IRM &amp; Cyber Security</t>
  </si>
  <si>
    <t xml:space="preserve">Mr. Rajesh Shethia</t>
  </si>
  <si>
    <t xml:space="preserve">IRM Vulnerability Management</t>
  </si>
  <si>
    <t xml:space="preserve">Head Information Security</t>
  </si>
  <si>
    <t xml:space="preserve">24281827</t>
  </si>
  <si>
    <t xml:space="preserve">47.5</t>
  </si>
  <si>
    <t xml:space="preserve">21.8</t>
  </si>
  <si>
    <t xml:space="preserve">2.11</t>
  </si>
  <si>
    <t xml:space="preserve">BE-Chemical-2001</t>
  </si>
  <si>
    <t xml:space="preserve">Mr. Prashant Ayare</t>
  </si>
  <si>
    <t xml:space="preserve">Team Lead Software Development</t>
  </si>
  <si>
    <t xml:space="preserve">24281768</t>
  </si>
  <si>
    <t xml:space="preserve">46.1</t>
  </si>
  <si>
    <t xml:space="preserve">General Manager</t>
  </si>
  <si>
    <t xml:space="preserve">21.7</t>
  </si>
  <si>
    <t xml:space="preserve">3.5</t>
  </si>
  <si>
    <t xml:space="preserve">25.0</t>
  </si>
  <si>
    <t xml:space="preserve">Master in Information Management (MIM)-Project Management-2009,BCom-Commerce-2000</t>
  </si>
  <si>
    <t xml:space="preserve">Mr. Bhavin K Acharya</t>
  </si>
  <si>
    <t xml:space="preserve">Head Tech Operations</t>
  </si>
  <si>
    <t xml:space="preserve">24281778</t>
  </si>
  <si>
    <t xml:space="preserve">55.0</t>
  </si>
  <si>
    <t xml:space="preserve">19.1</t>
  </si>
  <si>
    <t xml:space="preserve">11.7</t>
  </si>
  <si>
    <t xml:space="preserve">30.8</t>
  </si>
  <si>
    <t xml:space="preserve">MCA-Computer Applications-2004,MSc-Physics-1994,BSc-Physics-1992</t>
  </si>
  <si>
    <t xml:space="preserve">Mr. Jitendra Bhatia</t>
  </si>
  <si>
    <t xml:space="preserve">Head Architecture JioCX</t>
  </si>
  <si>
    <t xml:space="preserve">24281724</t>
  </si>
  <si>
    <t xml:space="preserve">Head Architecture</t>
  </si>
  <si>
    <t xml:space="preserve">47.9</t>
  </si>
  <si>
    <t xml:space="preserve">18</t>
  </si>
  <si>
    <t xml:space="preserve">8.10</t>
  </si>
  <si>
    <t xml:space="preserve">26.10</t>
  </si>
  <si>
    <t xml:space="preserve">BE-Electronics &amp; Comm. Engg-2001(FT)</t>
  </si>
  <si>
    <t xml:space="preserve">Mr. Ketan Jariwala</t>
  </si>
  <si>
    <t xml:space="preserve">E&amp;M IT Petchem</t>
  </si>
  <si>
    <t xml:space="preserve">50.1</t>
  </si>
  <si>
    <t xml:space="preserve">28.8</t>
  </si>
  <si>
    <t xml:space="preserve">Certificate Course-Information Technology-2002,Certificate Course-Others-2002,Diploma-Management-2001,BSc-Chemistry-1996(FT)</t>
  </si>
  <si>
    <t xml:space="preserve">Mr. Maneesh George</t>
  </si>
  <si>
    <t xml:space="preserve">Lead DevOps Engineer JioCX</t>
  </si>
  <si>
    <t xml:space="preserve">24281800</t>
  </si>
  <si>
    <t xml:space="preserve">Lead SRE</t>
  </si>
  <si>
    <t xml:space="preserve">42.10</t>
  </si>
  <si>
    <t xml:space="preserve">16.2</t>
  </si>
  <si>
    <t xml:space="preserve">2.7</t>
  </si>
  <si>
    <t xml:space="preserve">18.9</t>
  </si>
  <si>
    <t xml:space="preserve">BE-Electronics &amp; Comm. Engg-2007,Diploma - Engineering-Electronics &amp; Comm. Engg-2004</t>
  </si>
  <si>
    <t xml:space="preserve">Mr. Ashish Poojary</t>
  </si>
  <si>
    <t xml:space="preserve">Lead -Tech Ops</t>
  </si>
  <si>
    <t xml:space="preserve">24281776</t>
  </si>
  <si>
    <t xml:space="preserve">Lead Tech Operations</t>
  </si>
  <si>
    <t xml:space="preserve">39.6</t>
  </si>
  <si>
    <t xml:space="preserve">16</t>
  </si>
  <si>
    <t xml:space="preserve">1.11</t>
  </si>
  <si>
    <t xml:space="preserve">17.11</t>
  </si>
  <si>
    <t xml:space="preserve">BE-Electrical &amp; Electronics Engg-2008(FT)</t>
  </si>
  <si>
    <t xml:space="preserve">Mr. Franklin Sequeira</t>
  </si>
  <si>
    <t xml:space="preserve">End User Onsite Tech Services</t>
  </si>
  <si>
    <t xml:space="preserve">Lead IT Infrastructure</t>
  </si>
  <si>
    <t xml:space="preserve">24281816</t>
  </si>
  <si>
    <t xml:space="preserve">41.11</t>
  </si>
  <si>
    <t xml:space="preserve">15.7</t>
  </si>
  <si>
    <t xml:space="preserve">5.2</t>
  </si>
  <si>
    <t xml:space="preserve">20.9</t>
  </si>
  <si>
    <t xml:space="preserve">MCA-Computer Applications-2007(FT)</t>
  </si>
  <si>
    <t xml:space="preserve">Mr. Nikhil Bhaskaran</t>
  </si>
  <si>
    <t xml:space="preserve">42.2</t>
  </si>
  <si>
    <t xml:space="preserve">14.6</t>
  </si>
  <si>
    <t xml:space="preserve">2.9</t>
  </si>
  <si>
    <t xml:space="preserve">17.3</t>
  </si>
  <si>
    <t xml:space="preserve">MMS-Marketing-2010(FT),BSc-Information Technology-2004(FT),HSC/Intermediate/Pre-University-Science-2001(FT),SSC/XTH STD/SSLC-English-1999(FT)</t>
  </si>
  <si>
    <t xml:space="preserve">Mr. Devbrota B Ghosh</t>
  </si>
  <si>
    <t xml:space="preserve">Team Lead IT Infrastructure</t>
  </si>
  <si>
    <t xml:space="preserve">24281817</t>
  </si>
  <si>
    <t xml:space="preserve">45.0</t>
  </si>
  <si>
    <t xml:space="preserve">25.8</t>
  </si>
  <si>
    <t xml:space="preserve">PGDM-Information Technology-2019(CO),BSc-Information Technology-2014(PT),Diploma - Engineering-Electronics Engg-2000(FT)</t>
  </si>
  <si>
    <t xml:space="preserve">Mr. Deepak Kamale</t>
  </si>
  <si>
    <t xml:space="preserve">EndUserServices Asset&amp;Configuration</t>
  </si>
  <si>
    <t xml:space="preserve">25.4</t>
  </si>
  <si>
    <t xml:space="preserve">3.9</t>
  </si>
  <si>
    <t xml:space="preserve">29.1</t>
  </si>
  <si>
    <t xml:space="preserve">MBA-Information Technology-2013(CO),BCA-Electronics &amp; Comm. Engg-2007,Diploma - Engineering-Electronics Engg-1995</t>
  </si>
  <si>
    <t xml:space="preserve">Mr. Jitendra Sreekakulam</t>
  </si>
  <si>
    <t xml:space="preserve">E&amp;M IT Supply Chain Execution</t>
  </si>
  <si>
    <t xml:space="preserve">Team Lead -Architecture</t>
  </si>
  <si>
    <t xml:space="preserve">24281723</t>
  </si>
  <si>
    <t xml:space="preserve">Team Lead Architecture</t>
  </si>
  <si>
    <t xml:space="preserve">49.1</t>
  </si>
  <si>
    <t xml:space="preserve">11.9</t>
  </si>
  <si>
    <t xml:space="preserve">15</t>
  </si>
  <si>
    <t xml:space="preserve">26.9</t>
  </si>
  <si>
    <t xml:space="preserve">BE-Mechanical-1999(FT)</t>
  </si>
  <si>
    <t xml:space="preserve">Mr. Dayanand Prabhakar</t>
  </si>
  <si>
    <t xml:space="preserve">Lead Information Security</t>
  </si>
  <si>
    <t xml:space="preserve">24281825</t>
  </si>
  <si>
    <t xml:space="preserve">37.3</t>
  </si>
  <si>
    <t xml:space="preserve">5</t>
  </si>
  <si>
    <t xml:space="preserve">14.4</t>
  </si>
  <si>
    <t xml:space="preserve">Certificate Course-Information Technology-2011(FT),BSc-Information Technology-2009</t>
  </si>
  <si>
    <t xml:space="preserve">Mr. Suresh Kumar</t>
  </si>
  <si>
    <t xml:space="preserve">Infrastructure Projects</t>
  </si>
  <si>
    <t xml:space="preserve">56.9</t>
  </si>
  <si>
    <t xml:space="preserve">32.4</t>
  </si>
  <si>
    <t xml:space="preserve">Certificate Course-Computer Engg-1996,PGD in Computer Science-Computer Applications-1993,BCom-Commerce-1991</t>
  </si>
  <si>
    <t xml:space="preserve">Mr. Ankit Vijay</t>
  </si>
  <si>
    <t xml:space="preserve">HR Platform Development &amp; Business Supp</t>
  </si>
  <si>
    <t xml:space="preserve">Lead -Software Development</t>
  </si>
  <si>
    <t xml:space="preserve">24281767</t>
  </si>
  <si>
    <t xml:space="preserve">Lead Software Development</t>
  </si>
  <si>
    <t xml:space="preserve">38.5</t>
  </si>
  <si>
    <t xml:space="preserve">DGM</t>
  </si>
  <si>
    <t xml:space="preserve">Dy. General Manager</t>
  </si>
  <si>
    <t xml:space="preserve">BTech-Information Technology-2010(FT)</t>
  </si>
  <si>
    <t xml:space="preserve">Mr. Vikas Chaturvedi</t>
  </si>
  <si>
    <t xml:space="preserve">E&amp;M IT Oil &amp; Gas</t>
  </si>
  <si>
    <t xml:space="preserve">Lead Architect</t>
  </si>
  <si>
    <t xml:space="preserve">24281722</t>
  </si>
  <si>
    <t xml:space="preserve">41.6</t>
  </si>
  <si>
    <t xml:space="preserve">14.1</t>
  </si>
  <si>
    <t xml:space="preserve">2.10</t>
  </si>
  <si>
    <t xml:space="preserve">16.11</t>
  </si>
  <si>
    <t xml:space="preserve">BE-Electronics Engg-2009(FT)</t>
  </si>
  <si>
    <t xml:space="preserve">Mr. Shashank S Pisat</t>
  </si>
  <si>
    <t xml:space="preserve">Collaboration Tools</t>
  </si>
  <si>
    <t xml:space="preserve">51.10</t>
  </si>
  <si>
    <t xml:space="preserve">31.5</t>
  </si>
  <si>
    <t xml:space="preserve">Management Development Prog :  Level - 1-Management-2008,Other Engineering Certificates-Communication-2003,Certificate Course-Information System-1998,Other Engineering Certificates-Novell Network-1996</t>
  </si>
  <si>
    <t xml:space="preserve">Mr. Hiteshkumar Khatri</t>
  </si>
  <si>
    <t xml:space="preserve">47.6</t>
  </si>
  <si>
    <t xml:space="preserve">24</t>
  </si>
  <si>
    <t xml:space="preserve">24.0</t>
  </si>
  <si>
    <t xml:space="preserve">MBA-Human Resource-2008(PT),PGD in Computer Science-Information Science and Engg.-2002(PT),Certificate Course-Computer Management-2001,Certificate Course-Computer Applications-2000,BCom-Commerce-1999,</t>
  </si>
  <si>
    <t xml:space="preserve">Mr. Hitenkumar Koringa</t>
  </si>
  <si>
    <t xml:space="preserve">41.7</t>
  </si>
  <si>
    <t xml:space="preserve">15.9</t>
  </si>
  <si>
    <t xml:space="preserve">4</t>
  </si>
  <si>
    <t xml:space="preserve">19.9</t>
  </si>
  <si>
    <t xml:space="preserve">BE-Electrical-2006</t>
  </si>
  <si>
    <t xml:space="preserve">Mr. Venkatraman A Prabhu</t>
  </si>
  <si>
    <t xml:space="preserve">E&amp;M IT Workplace Services</t>
  </si>
  <si>
    <t xml:space="preserve">Head Software Development</t>
  </si>
  <si>
    <t xml:space="preserve">24281769</t>
  </si>
  <si>
    <t xml:space="preserve">48.6</t>
  </si>
  <si>
    <t xml:space="preserve">13.6</t>
  </si>
  <si>
    <t xml:space="preserve">13.3</t>
  </si>
  <si>
    <t xml:space="preserve">Other Management Certificates-Operations-2019(PT),BE-Mechanical-1999</t>
  </si>
  <si>
    <t xml:space="preserve">Mr. Dhananjay Chavan</t>
  </si>
  <si>
    <t xml:space="preserve">Enterprise IDC &amp; Cloud</t>
  </si>
  <si>
    <t xml:space="preserve">48.7</t>
  </si>
  <si>
    <t xml:space="preserve">22.3</t>
  </si>
  <si>
    <t xml:space="preserve">5.8</t>
  </si>
  <si>
    <t xml:space="preserve">Diploma - Engineering-Computer Engg-1998</t>
  </si>
  <si>
    <t xml:space="preserve">Ms. Kiran Narvekar</t>
  </si>
  <si>
    <t xml:space="preserve">JioCX Support Services</t>
  </si>
  <si>
    <t xml:space="preserve">Sr. Product Manager JioCX</t>
  </si>
  <si>
    <t xml:space="preserve">24281855</t>
  </si>
  <si>
    <t xml:space="preserve">Senior Product Management</t>
  </si>
  <si>
    <t xml:space="preserve">Single</t>
  </si>
  <si>
    <t xml:space="preserve">36.1</t>
  </si>
  <si>
    <t xml:space="preserve">.6</t>
  </si>
  <si>
    <t xml:space="preserve">13.9</t>
  </si>
  <si>
    <t xml:space="preserve">MBA-Marketing-2018(PT),BCom-Commerce-2011(FT)</t>
  </si>
  <si>
    <t xml:space="preserve">Mr. Ajit Lendve</t>
  </si>
  <si>
    <t xml:space="preserve">E&amp;M IT Platform Tech Ops</t>
  </si>
  <si>
    <t xml:space="preserve">46.9</t>
  </si>
  <si>
    <t xml:space="preserve">12.2</t>
  </si>
  <si>
    <t xml:space="preserve">10.2</t>
  </si>
  <si>
    <t xml:space="preserve">22.4</t>
  </si>
  <si>
    <t xml:space="preserve">MBA-Information Technology-2013(PT),BE-Electronics Engg-2005(FT)</t>
  </si>
  <si>
    <t xml:space="preserve">Mr. Qureshi Umar</t>
  </si>
  <si>
    <t xml:space="preserve">50.8</t>
  </si>
  <si>
    <t xml:space="preserve">19.5</t>
  </si>
  <si>
    <t xml:space="preserve">10.5</t>
  </si>
  <si>
    <t xml:space="preserve">29.10</t>
  </si>
  <si>
    <t xml:space="preserve">BCom-Economics-1997(FT),Certificate Course-Information Technology-1996(PT)</t>
  </si>
  <si>
    <t xml:space="preserve">Mr. Rohit Rajkumar Garg</t>
  </si>
  <si>
    <t xml:space="preserve">Data Engineer JioCX</t>
  </si>
  <si>
    <t xml:space="preserve">24281747</t>
  </si>
  <si>
    <t xml:space="preserve">Data Engineer</t>
  </si>
  <si>
    <t xml:space="preserve">36.9</t>
  </si>
  <si>
    <t xml:space="preserve">Sr.Manager</t>
  </si>
  <si>
    <t xml:space="preserve">Sr. Manager</t>
  </si>
  <si>
    <t xml:space="preserve">11.3</t>
  </si>
  <si>
    <t xml:space="preserve">3.7</t>
  </si>
  <si>
    <t xml:space="preserve">14.10</t>
  </si>
  <si>
    <t xml:space="preserve">BE-Electronics &amp; Comm. Engg-2011</t>
  </si>
  <si>
    <t xml:space="preserve">Ms. Kirtika Khator</t>
  </si>
  <si>
    <t xml:space="preserve">E&amp;M IT Audit, Risk &amp; Assurance</t>
  </si>
  <si>
    <t xml:space="preserve">38.11</t>
  </si>
  <si>
    <t xml:space="preserve">11.10</t>
  </si>
  <si>
    <t xml:space="preserve">CS-Company Secretary-2011(FT),CA-CA-2010(FT)</t>
  </si>
  <si>
    <t xml:space="preserve">Mr. Sachin S. Vatsaraj</t>
  </si>
  <si>
    <t xml:space="preserve">47.10</t>
  </si>
  <si>
    <t xml:space="preserve">3.11</t>
  </si>
  <si>
    <t xml:space="preserve">23.0</t>
  </si>
  <si>
    <t xml:space="preserve">MCM-Computer Management-2001(FT),BSc-Chemistry-1999(FT)</t>
  </si>
  <si>
    <t xml:space="preserve">Mr. Jitendra Samsani</t>
  </si>
  <si>
    <t xml:space="preserve">Senior Business Analyst</t>
  </si>
  <si>
    <t xml:space="preserve">24281833</t>
  </si>
  <si>
    <t xml:space="preserve">46.7</t>
  </si>
  <si>
    <t xml:space="preserve">4.6</t>
  </si>
  <si>
    <t xml:space="preserve">23.11</t>
  </si>
  <si>
    <t xml:space="preserve">BCom-Commerce-2005(FT)</t>
  </si>
  <si>
    <t xml:space="preserve">Ms. Pratiksha Mokal</t>
  </si>
  <si>
    <t xml:space="preserve">QA Engineer JioCX</t>
  </si>
  <si>
    <t xml:space="preserve">24281806</t>
  </si>
  <si>
    <t xml:space="preserve">QA Engineer</t>
  </si>
  <si>
    <t xml:space="preserve">32.6</t>
  </si>
  <si>
    <t xml:space="preserve">10.7</t>
  </si>
  <si>
    <t xml:space="preserve">BE--2015</t>
  </si>
  <si>
    <t xml:space="preserve">Ms. Pranali Salvi</t>
  </si>
  <si>
    <t xml:space="preserve">24281805</t>
  </si>
  <si>
    <t xml:space="preserve">Junior QA Engineer</t>
  </si>
  <si>
    <t xml:space="preserve">Manager</t>
  </si>
  <si>
    <t xml:space="preserve">1.1</t>
  </si>
  <si>
    <t xml:space="preserve">11.6</t>
  </si>
  <si>
    <t xml:space="preserve">MCA-Computer Applications-2014(FT),MCA-Computer Science Engg.-2014(FT),BSc-Computer Science Engg.-2010(FT)</t>
  </si>
  <si>
    <t xml:space="preserve">Mr. Rajesh Sharma</t>
  </si>
  <si>
    <t xml:space="preserve">Lead Project Management</t>
  </si>
  <si>
    <t xml:space="preserve">24281740</t>
  </si>
  <si>
    <t xml:space="preserve">46.4</t>
  </si>
  <si>
    <t xml:space="preserve">10.3</t>
  </si>
  <si>
    <t xml:space="preserve">12.4</t>
  </si>
  <si>
    <t xml:space="preserve">22.7</t>
  </si>
  <si>
    <t xml:space="preserve">MCA-Computer Applications-2009,PGD in Computer Science-Computer Science Engg.-2003(FT),BSc-Mathematics-2001(FT)</t>
  </si>
  <si>
    <t xml:space="preserve">Mr. Nitin Sharma</t>
  </si>
  <si>
    <t xml:space="preserve">Sr. Software Developer JioCX</t>
  </si>
  <si>
    <t xml:space="preserve">24281766</t>
  </si>
  <si>
    <t xml:space="preserve">Senior Manager Software Development</t>
  </si>
  <si>
    <t xml:space="preserve">42.9</t>
  </si>
  <si>
    <t xml:space="preserve">5.4</t>
  </si>
  <si>
    <t xml:space="preserve">15.6</t>
  </si>
  <si>
    <t xml:space="preserve">MCA--2010,BSc--2006</t>
  </si>
  <si>
    <t xml:space="preserve">Ms. Priyanka Lohakare</t>
  </si>
  <si>
    <t xml:space="preserve">Service Management</t>
  </si>
  <si>
    <t xml:space="preserve">Senior Engineer IT Infrastructure</t>
  </si>
  <si>
    <t xml:space="preserve">24281815</t>
  </si>
  <si>
    <t xml:space="preserve">Sept'd</t>
  </si>
  <si>
    <t xml:space="preserve">39.5</t>
  </si>
  <si>
    <t xml:space="preserve">10.10</t>
  </si>
  <si>
    <t xml:space="preserve">7.8</t>
  </si>
  <si>
    <t xml:space="preserve">18.6</t>
  </si>
  <si>
    <t xml:space="preserve">Certificate Course-Information Technology-2019(PT),Certificate Course-Information Technology-2017(PT),Certificate Course-Information Technology-2016(PT),BSc (Engg.)-Information Technology-2014(CO),Dip</t>
  </si>
  <si>
    <t xml:space="preserve">Mr. Shrinivas Joshi</t>
  </si>
  <si>
    <t xml:space="preserve">Lead Project Manager JioCX</t>
  </si>
  <si>
    <t xml:space="preserve">50.0</t>
  </si>
  <si>
    <t xml:space="preserve">Assistant Vice President</t>
  </si>
  <si>
    <t xml:space="preserve">10.1</t>
  </si>
  <si>
    <t xml:space="preserve">PGDBA-Business Administration-2010(CO),Diploma-Electronics &amp; Comm. Engg-1994(FT)</t>
  </si>
  <si>
    <t xml:space="preserve">Ms. Aashika Agarwal</t>
  </si>
  <si>
    <t xml:space="preserve">39.3</t>
  </si>
  <si>
    <t xml:space="preserve">10</t>
  </si>
  <si>
    <t xml:space="preserve">5.9</t>
  </si>
  <si>
    <t xml:space="preserve">BTech-Others-2010(FT)</t>
  </si>
  <si>
    <t xml:space="preserve">Mr. Girish Chavan</t>
  </si>
  <si>
    <t xml:space="preserve">Lead Product Manager JioCX</t>
  </si>
  <si>
    <t xml:space="preserve">24281856</t>
  </si>
  <si>
    <t xml:space="preserve">Lead Product Management</t>
  </si>
  <si>
    <t xml:space="preserve">43.5</t>
  </si>
  <si>
    <t xml:space="preserve">18.7</t>
  </si>
  <si>
    <t xml:space="preserve">2.6</t>
  </si>
  <si>
    <t xml:space="preserve">21.1</t>
  </si>
  <si>
    <t xml:space="preserve">PGDBA-Business Administration-2016(CO),Diploma - Engineering-Computer Engg-2004(FT),HSC/Intermediate/Pre-University-Science-2000(FT),SSC/XTH STD/SSLC-Social Science-1998(FT)</t>
  </si>
  <si>
    <t xml:space="preserve">Mr. Vivin Chandran</t>
  </si>
  <si>
    <t xml:space="preserve">Head Application Developer JioCX</t>
  </si>
  <si>
    <t xml:space="preserve">38.9</t>
  </si>
  <si>
    <t xml:space="preserve">9.8</t>
  </si>
  <si>
    <t xml:space="preserve">15.5</t>
  </si>
  <si>
    <t xml:space="preserve">MCA-Computer Applications-2011(FT)</t>
  </si>
  <si>
    <t xml:space="preserve">Mr. Pravin Satyawan Loke</t>
  </si>
  <si>
    <t xml:space="preserve">Sr. Engineer -Information Security</t>
  </si>
  <si>
    <t xml:space="preserve">24281824</t>
  </si>
  <si>
    <t xml:space="preserve">Senior Engineer Information Security</t>
  </si>
  <si>
    <t xml:space="preserve">9.5</t>
  </si>
  <si>
    <t xml:space="preserve">6.9</t>
  </si>
  <si>
    <t xml:space="preserve">BE-Electronics &amp; Comm. Engg-2009(FT)</t>
  </si>
  <si>
    <t xml:space="preserve">Mr. Vikrant Kamble</t>
  </si>
  <si>
    <t xml:space="preserve">DevOps Engineer JioCX</t>
  </si>
  <si>
    <t xml:space="preserve">24281798</t>
  </si>
  <si>
    <t xml:space="preserve">Engineer SRE</t>
  </si>
  <si>
    <t xml:space="preserve">37.4</t>
  </si>
  <si>
    <t xml:space="preserve">3</t>
  </si>
  <si>
    <t xml:space="preserve">Master in Information Management (MIM)-Management Information Systems-2020(PT),BSc-Information Technology-2012(FT)</t>
  </si>
  <si>
    <t xml:space="preserve">Mr. Pratit S. Patil</t>
  </si>
  <si>
    <t xml:space="preserve">Head - IT Infrastructure</t>
  </si>
  <si>
    <t xml:space="preserve">24281818</t>
  </si>
  <si>
    <t xml:space="preserve">Head IT Infrastructure</t>
  </si>
  <si>
    <t xml:space="preserve">7.1</t>
  </si>
  <si>
    <t xml:space="preserve">26.2</t>
  </si>
  <si>
    <t xml:space="preserve">Diploma-Computer Applications-1999(FT)</t>
  </si>
  <si>
    <t xml:space="preserve">Mr. Ganesh Dhuri</t>
  </si>
  <si>
    <t xml:space="preserve">36.5</t>
  </si>
  <si>
    <t xml:space="preserve">9.1</t>
  </si>
  <si>
    <t xml:space="preserve">3.8</t>
  </si>
  <si>
    <t xml:space="preserve">12.9</t>
  </si>
  <si>
    <t xml:space="preserve">BSc-Information Technology-2010(FT),HSC/Intermediate/Pre-University-Others-2007(FT),SSC/XTH STD/SSLC-Applied Sciences-2005(FT)</t>
  </si>
  <si>
    <t xml:space="preserve">Mr. Debayan Mitra</t>
  </si>
  <si>
    <t xml:space="preserve">IRM Governance &amp; Risk Management</t>
  </si>
  <si>
    <t xml:space="preserve">41.0</t>
  </si>
  <si>
    <t xml:space="preserve">9</t>
  </si>
  <si>
    <t xml:space="preserve">8.6</t>
  </si>
  <si>
    <t xml:space="preserve">17.6</t>
  </si>
  <si>
    <t xml:space="preserve">BE-Information Technology-2008</t>
  </si>
  <si>
    <t xml:space="preserve">Mr. Yogesh Zavare</t>
  </si>
  <si>
    <t xml:space="preserve">End User Services Remote Support Ops</t>
  </si>
  <si>
    <t xml:space="preserve">38.0</t>
  </si>
  <si>
    <t xml:space="preserve">8.8</t>
  </si>
  <si>
    <t xml:space="preserve">7</t>
  </si>
  <si>
    <t xml:space="preserve">15.8</t>
  </si>
  <si>
    <t xml:space="preserve">Diploma - Engineering-Computer Engg-2009(FT),HSC/Intermediate/Pre-University-Science-2006(FT),SSC/XTH STD/SSLC-Others-2004(FT)</t>
  </si>
  <si>
    <t xml:space="preserve">Mr. Kiran Shinde</t>
  </si>
  <si>
    <t xml:space="preserve">Software Developer JioCX</t>
  </si>
  <si>
    <t xml:space="preserve">24281764</t>
  </si>
  <si>
    <t xml:space="preserve">Software Development Engineer II</t>
  </si>
  <si>
    <t xml:space="preserve">33.4</t>
  </si>
  <si>
    <t xml:space="preserve">8.4</t>
  </si>
  <si>
    <t xml:space="preserve">3.6</t>
  </si>
  <si>
    <t xml:space="preserve">BE-Computer Science Engg.-2014(FT),Diploma - Engineering-Computer Science Engg.-2011(FT)</t>
  </si>
  <si>
    <t xml:space="preserve">Mr. Manish R Patel</t>
  </si>
  <si>
    <t xml:space="preserve">18.1</t>
  </si>
  <si>
    <t xml:space="preserve">1.4</t>
  </si>
  <si>
    <t xml:space="preserve">BE-Electronics Engg-2006(FT)</t>
  </si>
  <si>
    <t xml:space="preserve">Mr. Amitesh Srivastava</t>
  </si>
  <si>
    <t xml:space="preserve">38.1</t>
  </si>
  <si>
    <t xml:space="preserve">BTech--2010</t>
  </si>
  <si>
    <t xml:space="preserve">Mr. K Sundara Raghavan</t>
  </si>
  <si>
    <t xml:space="preserve">Director - Engineering &amp; Tech</t>
  </si>
  <si>
    <t xml:space="preserve">59.0</t>
  </si>
  <si>
    <t xml:space="preserve">29</t>
  </si>
  <si>
    <t xml:space="preserve">ACA-Accounts-1990(CO),BCom-Commerce-1987</t>
  </si>
  <si>
    <t xml:space="preserve">Mr. Kiran Sutar</t>
  </si>
  <si>
    <t xml:space="preserve">Software Development Engineer III</t>
  </si>
  <si>
    <t xml:space="preserve">24281765</t>
  </si>
  <si>
    <t xml:space="preserve">35.10</t>
  </si>
  <si>
    <t xml:space="preserve">6.5</t>
  </si>
  <si>
    <t xml:space="preserve">6.4</t>
  </si>
  <si>
    <t xml:space="preserve">BE-Computer Engg-2012(FT),HSC/Intermediate/Pre-University-Mathematics-2008(FT),SSC/XTH STD/SSLC-Others-2006(FT)</t>
  </si>
  <si>
    <t xml:space="preserve">Mr. Atul Nirabhawane</t>
  </si>
  <si>
    <t xml:space="preserve">47.4</t>
  </si>
  <si>
    <t xml:space="preserve">4.7</t>
  </si>
  <si>
    <t xml:space="preserve">22.8</t>
  </si>
  <si>
    <t xml:space="preserve">Diploma - Engineering-Instrumentation-1999</t>
  </si>
  <si>
    <t xml:space="preserve">31.10</t>
  </si>
  <si>
    <t xml:space="preserve">6.3</t>
  </si>
  <si>
    <t xml:space="preserve">4.8</t>
  </si>
  <si>
    <t xml:space="preserve">10.11</t>
  </si>
  <si>
    <t xml:space="preserve">BE-Computer Engg-2015(FT),HSC/Intermediate/Pre-University-Science-2011(FT),SSC/XTH STD/SSLC-Upper Primary Education-2009(FT)</t>
  </si>
  <si>
    <t xml:space="preserve">Mr. Makrand Patil</t>
  </si>
  <si>
    <t xml:space="preserve">Identity &amp; Access Management</t>
  </si>
  <si>
    <t xml:space="preserve">48.4</t>
  </si>
  <si>
    <t xml:space="preserve">11.1</t>
  </si>
  <si>
    <t xml:space="preserve">Diploma-Computer Management-1999(PT),Diploma - Engineering-Applied Electronics Engg-1997</t>
  </si>
  <si>
    <t xml:space="preserve">Ms. Shailvi Desai</t>
  </si>
  <si>
    <t xml:space="preserve">31.6</t>
  </si>
  <si>
    <t xml:space="preserve">6.1</t>
  </si>
  <si>
    <t xml:space="preserve">BTech-Computer Engg-2016(FT),HSC/Intermediate/Pre-University-Science-2012(FT),SSC/XTH STD/SSLC-Science-2010(FT)</t>
  </si>
  <si>
    <t xml:space="preserve">Mr. Jaikishore Sharma</t>
  </si>
  <si>
    <t xml:space="preserve">39.2</t>
  </si>
  <si>
    <t xml:space="preserve">14</t>
  </si>
  <si>
    <t xml:space="preserve">15.11</t>
  </si>
  <si>
    <t xml:space="preserve">MBA-Management-2012,BE--2008</t>
  </si>
  <si>
    <t xml:space="preserve">Mr. Sumeet Vashishat</t>
  </si>
  <si>
    <t xml:space="preserve">Tools &amp; Automation Services</t>
  </si>
  <si>
    <t xml:space="preserve">47.2</t>
  </si>
  <si>
    <t xml:space="preserve">15.2</t>
  </si>
  <si>
    <t xml:space="preserve">20.2</t>
  </si>
  <si>
    <t xml:space="preserve">Certificate Course-Project Management-2024(CO),MSc-Information Technology-2003,BCA-Computer Applications-2000</t>
  </si>
  <si>
    <t xml:space="preserve">Mr. Zaheer Mulla</t>
  </si>
  <si>
    <t xml:space="preserve">WAN Management Services</t>
  </si>
  <si>
    <t xml:space="preserve">50.11</t>
  </si>
  <si>
    <t xml:space="preserve">23.5</t>
  </si>
  <si>
    <t xml:space="preserve">4.10</t>
  </si>
  <si>
    <t xml:space="preserve">28.3</t>
  </si>
  <si>
    <t xml:space="preserve">Diploma-Electronics &amp; Comm. Engg-1998</t>
  </si>
  <si>
    <t xml:space="preserve">Enterprise Security Platform</t>
  </si>
  <si>
    <t xml:space="preserve">Ms. Rashmi Bhangale</t>
  </si>
  <si>
    <t xml:space="preserve">E&amp;M IT ESP Special Projects</t>
  </si>
  <si>
    <t xml:space="preserve">45.8</t>
  </si>
  <si>
    <t xml:space="preserve">24.8</t>
  </si>
  <si>
    <t xml:space="preserve">.2</t>
  </si>
  <si>
    <t xml:space="preserve">24.10</t>
  </si>
  <si>
    <t xml:space="preserve">MBA-Business Management-2018(PT),MCom-Business Management-2008(PT),Others-Computer Applications-2002(PT)</t>
  </si>
  <si>
    <t xml:space="preserve">Ms. Binita R Nautiyal</t>
  </si>
  <si>
    <t xml:space="preserve">55.6</t>
  </si>
  <si>
    <t xml:space="preserve">26.3</t>
  </si>
  <si>
    <t xml:space="preserve">Advance Diploma-Computer Applications-1999(FT),BSc-Science-1995(FT)</t>
  </si>
  <si>
    <t xml:space="preserve">Mr. Sandeep S. Kulkarni</t>
  </si>
  <si>
    <t xml:space="preserve">51.7</t>
  </si>
  <si>
    <t xml:space="preserve">22.9</t>
  </si>
  <si>
    <t xml:space="preserve">7.2</t>
  </si>
  <si>
    <t xml:space="preserve">BE-Electronics &amp; Comm. Engg-1996</t>
  </si>
  <si>
    <t xml:space="preserve">Ms. Pooja Ruparel</t>
  </si>
  <si>
    <t xml:space="preserve">37.7</t>
  </si>
  <si>
    <t xml:space="preserve">4.4</t>
  </si>
  <si>
    <t xml:space="preserve">9.10</t>
  </si>
  <si>
    <t xml:space="preserve">14.2</t>
  </si>
  <si>
    <t xml:space="preserve">BE-Information Technology-2011(FT),HSC/Intermediate/Pre-University-Science-2007(FT),SSC/XTH STD/SSLC-Others-2005(FT)</t>
  </si>
  <si>
    <t xml:space="preserve">Mr. Sayan Singha Deb</t>
  </si>
  <si>
    <t xml:space="preserve">Team Lead -Data Engineering</t>
  </si>
  <si>
    <t xml:space="preserve">24281750</t>
  </si>
  <si>
    <t xml:space="preserve">Team Lead Data Engineering</t>
  </si>
  <si>
    <t xml:space="preserve">46.8</t>
  </si>
  <si>
    <t xml:space="preserve">4.2</t>
  </si>
  <si>
    <t xml:space="preserve">22.11</t>
  </si>
  <si>
    <t xml:space="preserve">PGDIT-Information Technology-2011,BSc-Computer Science Engg.-2001(FT)</t>
  </si>
  <si>
    <t xml:space="preserve">Mr. P N S Vijayakumar</t>
  </si>
  <si>
    <t xml:space="preserve">E&amp;M IT ESP Project Delivery</t>
  </si>
  <si>
    <t xml:space="preserve">53.10</t>
  </si>
  <si>
    <t xml:space="preserve">32.11</t>
  </si>
  <si>
    <t xml:space="preserve">BE-Electronics &amp; Comm. Engg-1993(FT),SSC/XTH STD/SSLC-Mathematics-1987(FT)</t>
  </si>
  <si>
    <t xml:space="preserve">Mr. Anish Pillai</t>
  </si>
  <si>
    <t xml:space="preserve">Product Manager JioCX</t>
  </si>
  <si>
    <t xml:space="preserve">24281853</t>
  </si>
  <si>
    <t xml:space="preserve">Junior Product Manager</t>
  </si>
  <si>
    <t xml:space="preserve">33.11</t>
  </si>
  <si>
    <t xml:space="preserve">8</t>
  </si>
  <si>
    <t xml:space="preserve">1.3</t>
  </si>
  <si>
    <t xml:space="preserve">9.3</t>
  </si>
  <si>
    <t xml:space="preserve">MTech-Telecommunication-2018(FT),BE-Electronics &amp; Comm. Engg-2014(FT),Diploma-Electronics &amp; Comm. Engg-2011(FT)</t>
  </si>
  <si>
    <t xml:space="preserve">Mr. Ashish Dabhade</t>
  </si>
  <si>
    <t xml:space="preserve">47.1</t>
  </si>
  <si>
    <t xml:space="preserve">18.8</t>
  </si>
  <si>
    <t xml:space="preserve">25.9</t>
  </si>
  <si>
    <t xml:space="preserve">BE-Mechanical-2000</t>
  </si>
  <si>
    <t xml:space="preserve">Mr. Debraj Behera</t>
  </si>
  <si>
    <t xml:space="preserve">20.5</t>
  </si>
  <si>
    <t xml:space="preserve">24.2</t>
  </si>
  <si>
    <t xml:space="preserve">Management Development Prog :  Level - 2-Management-2019(PT),SSC/XTH STD/SSLC-Applied Sciences-1998,MBA-Marketing-1996,BSc-Physics-1994,HSC/Intermediate/Pre-University-Science-1990</t>
  </si>
  <si>
    <t xml:space="preserve">Ms. Bhakti Sachade</t>
  </si>
  <si>
    <t xml:space="preserve">Jr. Business Analyst</t>
  </si>
  <si>
    <t xml:space="preserve">24281831</t>
  </si>
  <si>
    <t xml:space="preserve">Junior Business Analyst</t>
  </si>
  <si>
    <t xml:space="preserve">26.5</t>
  </si>
  <si>
    <t xml:space="preserve">Deputy Manager</t>
  </si>
  <si>
    <t xml:space="preserve">Dy. Manager</t>
  </si>
  <si>
    <t xml:space="preserve">MBA-Human Resource-2022(FT),BCom-Commerce-2020(FT),HSC/Intermediate/Pre-University-Commerce-2017(FT),SSC/XTH STD/SSLC-English-2015(FT)</t>
  </si>
  <si>
    <t xml:space="preserve">Ms. Aditi Rao</t>
  </si>
  <si>
    <t xml:space="preserve">24281763</t>
  </si>
  <si>
    <t xml:space="preserve">Software Development Engineer I</t>
  </si>
  <si>
    <t xml:space="preserve">3.10</t>
  </si>
  <si>
    <t xml:space="preserve">BE-Electronics &amp; Comm. Engg-2022(FT),HSC/Intermediate/Pre-University-Education-2018(FT),SSC/XTH STD/SSLC-Education-2016(FT)</t>
  </si>
  <si>
    <t xml:space="preserve">Mr. Sachit Tewary</t>
  </si>
  <si>
    <t xml:space="preserve">IT Corporate Secretarial &amp; Compliance</t>
  </si>
  <si>
    <t xml:space="preserve">Sr. Architect</t>
  </si>
  <si>
    <t xml:space="preserve">24281721</t>
  </si>
  <si>
    <t xml:space="preserve">Senior Architect</t>
  </si>
  <si>
    <t xml:space="preserve">34.7</t>
  </si>
  <si>
    <t xml:space="preserve">9.11</t>
  </si>
  <si>
    <t xml:space="preserve">BE-Information Technology-2016(FT)</t>
  </si>
  <si>
    <t xml:space="preserve">Ms. Garima Patel</t>
  </si>
  <si>
    <t xml:space="preserve">Engineer Tech Operations</t>
  </si>
  <si>
    <t xml:space="preserve">24281774</t>
  </si>
  <si>
    <t xml:space="preserve">6.10</t>
  </si>
  <si>
    <t xml:space="preserve">MTech-Computer Science Engg.-2019(FT),BTech-Computer Science Engg.-2016(FT),Schooling-Science-2011(FT),Schooling-Science-2009(FT)</t>
  </si>
  <si>
    <t xml:space="preserve">Mr. Jayesh Sawant</t>
  </si>
  <si>
    <t xml:space="preserve">Network &amp; Secure Services</t>
  </si>
  <si>
    <t xml:space="preserve">Engineer IT Infrastructure</t>
  </si>
  <si>
    <t xml:space="preserve">24281814</t>
  </si>
  <si>
    <t xml:space="preserve">36.6</t>
  </si>
  <si>
    <t xml:space="preserve">6</t>
  </si>
  <si>
    <t xml:space="preserve">BE-Computer Engg-2013(FT)</t>
  </si>
  <si>
    <t xml:space="preserve">Mr. Siddhesh Swami</t>
  </si>
  <si>
    <t xml:space="preserve">27.7</t>
  </si>
  <si>
    <t xml:space="preserve">5.7</t>
  </si>
  <si>
    <t xml:space="preserve">BE-Computer Engg-2020(FT),HSC/Intermediate/Pre-University-Science-2016(FT),SSC/XTH STD/SSLC-English-2014(FT)</t>
  </si>
  <si>
    <t xml:space="preserve">Mr. Jayesh Popat</t>
  </si>
  <si>
    <t xml:space="preserve">Lead Business Analyst</t>
  </si>
  <si>
    <t xml:space="preserve">24281834</t>
  </si>
  <si>
    <t xml:space="preserve">19.11</t>
  </si>
  <si>
    <t xml:space="preserve">24.1</t>
  </si>
  <si>
    <t xml:space="preserve">BCom-Commerce-2006(FT),MHRDM-Human Resource-2005(FT),Others-Information Technology-1999</t>
  </si>
  <si>
    <t xml:space="preserve">Mr. Sanjay Raut</t>
  </si>
  <si>
    <t xml:space="preserve">54.7</t>
  </si>
  <si>
    <t xml:space="preserve">34.6</t>
  </si>
  <si>
    <t xml:space="preserve">BCom-Commerce-1992(FT)</t>
  </si>
  <si>
    <t xml:space="preserve">Mr. Ganesh Vidyadhar Khot</t>
  </si>
  <si>
    <t xml:space="preserve">52.5</t>
  </si>
  <si>
    <t xml:space="preserve">2.1</t>
  </si>
  <si>
    <t xml:space="preserve">31.2</t>
  </si>
  <si>
    <t xml:space="preserve">A</t>
  </si>
  <si>
    <t xml:space="preserve">MSc-Information Technology-2004(CO),Diploma - Engineering-Industrial Electronics-1994</t>
  </si>
  <si>
    <t xml:space="preserve">Ms. Sheetal Vinay Bharati</t>
  </si>
  <si>
    <t xml:space="preserve">45.7</t>
  </si>
  <si>
    <t xml:space="preserve">19.3</t>
  </si>
  <si>
    <t xml:space="preserve">1.6</t>
  </si>
  <si>
    <t xml:space="preserve">BE-Electronics Engg-2003</t>
  </si>
  <si>
    <t xml:space="preserve">Mr. Rajesh Ahire</t>
  </si>
  <si>
    <t xml:space="preserve">46.0</t>
  </si>
  <si>
    <t xml:space="preserve">PGDM-Information Technology-2023(CO),Other Engineering Certificates-Computer Engg-2003(FT),BCom-Accounts-2002(FT)</t>
  </si>
  <si>
    <t xml:space="preserve">Mr. Harshad S. Saraf</t>
  </si>
  <si>
    <t xml:space="preserve">18.11</t>
  </si>
  <si>
    <t xml:space="preserve">1.2</t>
  </si>
  <si>
    <t xml:space="preserve">20.1</t>
  </si>
  <si>
    <t xml:space="preserve">BSc (Engg.) - 3  yrs-Computer Applications-2004</t>
  </si>
  <si>
    <t xml:space="preserve">Ms. Shilpa M Kulkarni</t>
  </si>
  <si>
    <t xml:space="preserve">55.8</t>
  </si>
  <si>
    <t xml:space="preserve">.10</t>
  </si>
  <si>
    <t xml:space="preserve">MCA-Computer Applications-1995(FT),BSc-Science-1992</t>
  </si>
  <si>
    <t xml:space="preserve">Mr. Anil Choudhary</t>
  </si>
  <si>
    <t xml:space="preserve">.9</t>
  </si>
  <si>
    <t xml:space="preserve">16.4</t>
  </si>
  <si>
    <t xml:space="preserve">Master in Information Management (MIM)-Project Management-2016(PT),BE-Electronics &amp; Comm. Engg-2009(FT)</t>
  </si>
  <si>
    <t xml:space="preserve">Mr. Prakarsh Katkar</t>
  </si>
  <si>
    <t xml:space="preserve">18.10</t>
  </si>
  <si>
    <t xml:space="preserve">7.4</t>
  </si>
  <si>
    <t xml:space="preserve">Certificate Course-Security-2026(PT),Other Management Certificates-Information Technology-2021(CO),BE-Computer Science Engg.-2010(CO),Others-Others-2002(PT),Diploma in Computer Hardware-Electronics &amp;,</t>
  </si>
  <si>
    <t xml:space="preserve">Mr. Tanmay Vilas Dhumal</t>
  </si>
  <si>
    <t xml:space="preserve">33.10</t>
  </si>
  <si>
    <t xml:space="preserve">10.6</t>
  </si>
  <si>
    <t xml:space="preserve">BE-Computer Science Engg.-2014</t>
  </si>
  <si>
    <t xml:space="preserve">Ms. Preethika Suvarna</t>
  </si>
  <si>
    <t xml:space="preserve">41.4</t>
  </si>
  <si>
    <t xml:space="preserve">16.6</t>
  </si>
  <si>
    <t xml:space="preserve">Certificate Course-Information Technology-2023(PT),Certificate Course-Information Technology-2009(FT),BE-Computer Engg-2008(FT)</t>
  </si>
  <si>
    <t xml:space="preserve">Enterprise Content Management</t>
  </si>
  <si>
    <t xml:space="preserve">Mr. Samdarshi Pali</t>
  </si>
  <si>
    <t xml:space="preserve">E&amp;M IT Systems &amp; Architecture</t>
  </si>
  <si>
    <t xml:space="preserve">58.11</t>
  </si>
  <si>
    <t xml:space="preserve">18.4</t>
  </si>
  <si>
    <t xml:space="preserve">20</t>
  </si>
  <si>
    <t xml:space="preserve">38.4</t>
  </si>
  <si>
    <t xml:space="preserve">Other Engineering Certificates-Computer Applications-1996(FT),Bachelor of Library Science-Library Science-1993(CO),PGD in Computer Science-Computer Engg-1992(PT),MA-Economics-1991,Certificate Course-C</t>
  </si>
  <si>
    <t xml:space="preserve">Mr. Chandrakant Patil</t>
  </si>
  <si>
    <t xml:space="preserve">39.10</t>
  </si>
  <si>
    <t xml:space="preserve">Certificate Course-Information System-2019(PT),Others-Others-2012(PT),BE-Electronics &amp; Comm. Engg-2009(FT)</t>
  </si>
  <si>
    <t xml:space="preserve">Mr. Vishal D. Hankare</t>
  </si>
  <si>
    <t xml:space="preserve">46.3</t>
  </si>
  <si>
    <t xml:space="preserve">BE-Electronics &amp; Comm. Engg-2002(FT)</t>
  </si>
  <si>
    <t xml:space="preserve">Ms. Vela Jalan</t>
  </si>
  <si>
    <t xml:space="preserve">58.6</t>
  </si>
  <si>
    <t xml:space="preserve">CA-CA-1987(FT),BCom-Commerce-1987(FT)</t>
  </si>
  <si>
    <t xml:space="preserve">Mr. Lokanath Naidu Veluru</t>
  </si>
  <si>
    <t xml:space="preserve">35.3</t>
  </si>
  <si>
    <t xml:space="preserve">5.1</t>
  </si>
  <si>
    <t xml:space="preserve">12.1</t>
  </si>
  <si>
    <t xml:space="preserve">BTech-Electronics &amp; Comm. Engg-2012(FT),HSC/Intermediate/Pre-University-Mathematics-2008(FT),SSC/XTH STD/SSLC-Mathematics-2006(FT)</t>
  </si>
  <si>
    <t xml:space="preserve">Mr. Satish A Pawase</t>
  </si>
  <si>
    <t xml:space="preserve">Chief Procurement Management</t>
  </si>
  <si>
    <t xml:space="preserve">45282570</t>
  </si>
  <si>
    <t xml:space="preserve">Head Procurement</t>
  </si>
  <si>
    <t xml:space="preserve">56.10</t>
  </si>
  <si>
    <t xml:space="preserve">BE-Electronics &amp; Comm. Engg-1994(FT)</t>
  </si>
  <si>
    <t xml:space="preserve">Mr. Ravindra Kharade</t>
  </si>
  <si>
    <t xml:space="preserve">40.1</t>
  </si>
  <si>
    <t xml:space="preserve">14.3</t>
  </si>
  <si>
    <t xml:space="preserve">21.3</t>
  </si>
  <si>
    <t xml:space="preserve">Certificate Course-Information Technology-2024(PT),BCom-Commerce-2006(FT),Diploma in Computer Hardware-Information Technology-2004(FT),Schooling-Commerce-2003(FT),Schooling-Marathi-2001(FT)</t>
  </si>
  <si>
    <t xml:space="preserve">Mr. Rohan Shah</t>
  </si>
  <si>
    <t xml:space="preserve">38.8</t>
  </si>
  <si>
    <t xml:space="preserve">6.11</t>
  </si>
  <si>
    <t xml:space="preserve">12.0</t>
  </si>
  <si>
    <t xml:space="preserve">BE-Computer Engg-2013(FT),Diploma - Engineering-Electronics Engg-2009(FT),SSC/XTH STD/SSLC-Others-2005(FT)</t>
  </si>
  <si>
    <t xml:space="preserve">Mr. Jyoteeram Mane</t>
  </si>
  <si>
    <t xml:space="preserve">Sr. Engineer -Tech Ops</t>
  </si>
  <si>
    <t xml:space="preserve">24281775</t>
  </si>
  <si>
    <t xml:space="preserve">Senior Engineer Tech Operations</t>
  </si>
  <si>
    <t xml:space="preserve">36.2</t>
  </si>
  <si>
    <t xml:space="preserve">BE-Information Technology-2011(FT),HSC/Intermediate/Pre-University-Science-2007(FT),SSC/XTH STD/SSLC-Mathematics-2005(FT)</t>
  </si>
  <si>
    <t xml:space="preserve">Mr. Yogendra Shukla</t>
  </si>
  <si>
    <t xml:space="preserve">6.8</t>
  </si>
  <si>
    <t xml:space="preserve">Mr. Binoy Thomas</t>
  </si>
  <si>
    <t xml:space="preserve">36.3</t>
  </si>
  <si>
    <t xml:space="preserve">11.8</t>
  </si>
  <si>
    <t xml:space="preserve">14.8</t>
  </si>
  <si>
    <t xml:space="preserve">BE-Information Technology-2011(FT)</t>
  </si>
  <si>
    <t xml:space="preserve">Ms. Shubhra Gupta</t>
  </si>
  <si>
    <t xml:space="preserve">IRM Assurance Compliance &amp; Benchmarking</t>
  </si>
  <si>
    <t xml:space="preserve">44.6</t>
  </si>
  <si>
    <t xml:space="preserve">Other Management Certificates-Business Administration-2019(CO),CAIIB-Finance-2006,BTech-Electronics &amp; Comm. Engg-2004(FT)</t>
  </si>
  <si>
    <t xml:space="preserve">Mr. Dipak Gharat</t>
  </si>
  <si>
    <t xml:space="preserve">45.10</t>
  </si>
  <si>
    <t xml:space="preserve">7.3</t>
  </si>
  <si>
    <t xml:space="preserve">BE-Electronics &amp; Comm. Engg-2003(FT)</t>
  </si>
  <si>
    <t xml:space="preserve">Mr. Ganesh Gajare</t>
  </si>
  <si>
    <t xml:space="preserve">5.5</t>
  </si>
  <si>
    <t xml:space="preserve">17.2</t>
  </si>
  <si>
    <t xml:space="preserve">BSc-Information Technology-2008(FT)</t>
  </si>
  <si>
    <t xml:space="preserve">Mr. Durga Prasad Dube</t>
  </si>
  <si>
    <t xml:space="preserve">Head Groupwide Cyber Security</t>
  </si>
  <si>
    <t xml:space="preserve">24281829</t>
  </si>
  <si>
    <t xml:space="preserve">Director Information Security</t>
  </si>
  <si>
    <t xml:space="preserve">66.1</t>
  </si>
  <si>
    <t xml:space="preserve">13.7</t>
  </si>
  <si>
    <t xml:space="preserve">43.1</t>
  </si>
  <si>
    <t xml:space="preserve">PhD-Management-2020(PT),Others-Computer Applications-2002,PGD in Computer Science-Computer Applications-2001,CAIIB-Finance-2000(FT),MSc-Botany-1981</t>
  </si>
  <si>
    <t xml:space="preserve">Mr. Kalpesh Pistolwala</t>
  </si>
  <si>
    <t xml:space="preserve">52.0</t>
  </si>
  <si>
    <t xml:space="preserve">30.2</t>
  </si>
  <si>
    <t xml:space="preserve">.8</t>
  </si>
  <si>
    <t xml:space="preserve">30.10</t>
  </si>
  <si>
    <t xml:space="preserve">Other Management Certificates-Business Administration-2008,MBA-Computer Management-2007(PT),BCom-Commerce-1995</t>
  </si>
  <si>
    <t xml:space="preserve">Mr. Harshad Bachhav</t>
  </si>
  <si>
    <t xml:space="preserve">44.7</t>
  </si>
  <si>
    <t xml:space="preserve">18.5</t>
  </si>
  <si>
    <t xml:space="preserve">BSc-Computer Engg-2014(CO),Diploma-Electrical-2001(FT),HSC/Intermediate/Pre-University-Science-1999(FT)</t>
  </si>
  <si>
    <t xml:space="preserve">Ms. Priya Sawant</t>
  </si>
  <si>
    <t xml:space="preserve">35.1</t>
  </si>
  <si>
    <t xml:space="preserve">PGDIT-Information Technology-2020,BE-Electronics Engg-2014(FT)</t>
  </si>
  <si>
    <t xml:space="preserve">Mr. Vimal Bhupendra Mehta</t>
  </si>
  <si>
    <t xml:space="preserve">E&amp;M IT Refining &amp; Marketing</t>
  </si>
  <si>
    <t xml:space="preserve">57.0</t>
  </si>
  <si>
    <t xml:space="preserve">32.5</t>
  </si>
  <si>
    <t xml:space="preserve">Diploma-Computer Applications-1991,BSc-Chemistry-1990</t>
  </si>
  <si>
    <t xml:space="preserve">Mr. Jaydeep Adhikari</t>
  </si>
  <si>
    <t xml:space="preserve">Head Revenue</t>
  </si>
  <si>
    <t xml:space="preserve">50.7</t>
  </si>
  <si>
    <t xml:space="preserve">27.9</t>
  </si>
  <si>
    <t xml:space="preserve">LLB-Law-2007,BE-Mechanical-1998</t>
  </si>
  <si>
    <t xml:space="preserve">Mr. Amit Jain</t>
  </si>
  <si>
    <t xml:space="preserve">43.6</t>
  </si>
  <si>
    <t xml:space="preserve">13.1</t>
  </si>
  <si>
    <t xml:space="preserve">20.4</t>
  </si>
  <si>
    <t xml:space="preserve">MBA-Marketing-2010,BE-Computer Engg-2005</t>
  </si>
  <si>
    <t xml:space="preserve">Mr. Santosh G Rane</t>
  </si>
  <si>
    <t xml:space="preserve">52.8</t>
  </si>
  <si>
    <t xml:space="preserve">31.8</t>
  </si>
  <si>
    <t xml:space="preserve">3.4</t>
  </si>
  <si>
    <t xml:space="preserve">35.0</t>
  </si>
  <si>
    <t xml:space="preserve">SSC/XTH STD/SSLC-Others-1990</t>
  </si>
  <si>
    <t xml:space="preserve">Mr. Dharmendra Sharma</t>
  </si>
  <si>
    <t xml:space="preserve">E&amp;M IT Healthcare</t>
  </si>
  <si>
    <t xml:space="preserve">MBA-Information Technology-2018(PT),MCom-Commerce-1992(FT),ICWA-CA-1991(FT)</t>
  </si>
  <si>
    <t xml:space="preserve">Mr. Vinayak Gadgil</t>
  </si>
  <si>
    <t xml:space="preserve">E&amp;M IT Pre production Testing</t>
  </si>
  <si>
    <t xml:space="preserve">53.3</t>
  </si>
  <si>
    <t xml:space="preserve">MCM-Computer Management-1996(FT),BSc-Botany-1993(FT)</t>
  </si>
  <si>
    <t xml:space="preserve">Mr. Devavrata Rane</t>
  </si>
  <si>
    <t xml:space="preserve">IRM Cyber Defense Centre</t>
  </si>
  <si>
    <t xml:space="preserve">33.6</t>
  </si>
  <si>
    <t xml:space="preserve">BE-Computer Engg-2014(FT)</t>
  </si>
  <si>
    <t xml:space="preserve">Mr. Sujeet Rathod</t>
  </si>
  <si>
    <t xml:space="preserve">Team Lead Consulting</t>
  </si>
  <si>
    <t xml:space="preserve">24281732</t>
  </si>
  <si>
    <t xml:space="preserve">43.7</t>
  </si>
  <si>
    <t xml:space="preserve">22.1</t>
  </si>
  <si>
    <t xml:space="preserve">BCom-Commerce-2003</t>
  </si>
  <si>
    <t xml:space="preserve">Mr. Jayesh Khanolkar</t>
  </si>
  <si>
    <t xml:space="preserve">43.8</t>
  </si>
  <si>
    <t xml:space="preserve">10.9</t>
  </si>
  <si>
    <t xml:space="preserve">8.5</t>
  </si>
  <si>
    <t xml:space="preserve">19.2</t>
  </si>
  <si>
    <t xml:space="preserve">BE-Instrumentation-2005(FT),HSC/Intermediate/Pre-University-Physics-2000(FT),SSC/XTH STD/SSLC-Others-1998(FT)</t>
  </si>
  <si>
    <t xml:space="preserve">Mr. Prasad Y Matale</t>
  </si>
  <si>
    <t xml:space="preserve">50.5</t>
  </si>
  <si>
    <t xml:space="preserve">23.8</t>
  </si>
  <si>
    <t xml:space="preserve">Others-Network Administration-2001(PT),Others-Novell Network-2000,Others-Novell Network-1999,Diploma-Computer Engg-1999(FT),Diploma - Engineering-Mechanical-1999</t>
  </si>
  <si>
    <t xml:space="preserve">Mr. Kaushik R Chaniyara</t>
  </si>
  <si>
    <t xml:space="preserve">57.10</t>
  </si>
  <si>
    <t xml:space="preserve">36.4</t>
  </si>
  <si>
    <t xml:space="preserve">1.5</t>
  </si>
  <si>
    <t xml:space="preserve">37.9</t>
  </si>
  <si>
    <t xml:space="preserve">Management Development Prog :  Level - 1-Management-2009,AICWA-Costing-2002,MBA-Finance-1994,BBA-Accounts-1988</t>
  </si>
  <si>
    <t xml:space="preserve">Ms. Swagatika Das</t>
  </si>
  <si>
    <t xml:space="preserve">IT Production Planning &amp; Quality Managem</t>
  </si>
  <si>
    <t xml:space="preserve">42.11</t>
  </si>
  <si>
    <t xml:space="preserve">7.6</t>
  </si>
  <si>
    <t xml:space="preserve">BE-Metallurgical Engg-2005(FT)</t>
  </si>
  <si>
    <t xml:space="preserve">Mr. Kishorkumar Bhanjibhai Ramolia</t>
  </si>
  <si>
    <t xml:space="preserve">58.5</t>
  </si>
  <si>
    <t xml:space="preserve">LLB-Law-1990,ACA-CA-1988(CO),BCom-Commerce-1987</t>
  </si>
  <si>
    <t xml:space="preserve">Mr. Pranay Ganpat Sawant</t>
  </si>
  <si>
    <t xml:space="preserve">32.7</t>
  </si>
  <si>
    <t xml:space="preserve">Diploma - Engineering-Computer Engg-2012</t>
  </si>
  <si>
    <t xml:space="preserve">Mr. Vasu Seena Shetty</t>
  </si>
  <si>
    <t xml:space="preserve">Executive Assistant</t>
  </si>
  <si>
    <t xml:space="preserve">47010764</t>
  </si>
  <si>
    <t xml:space="preserve">57.5</t>
  </si>
  <si>
    <t xml:space="preserve">29.9</t>
  </si>
  <si>
    <t xml:space="preserve">2.4</t>
  </si>
  <si>
    <t xml:space="preserve">32.1</t>
  </si>
  <si>
    <t xml:space="preserve">BCom-Commerce-1991(FT)</t>
  </si>
  <si>
    <t xml:space="preserve">Ms. Rinki Rajat Ghosh</t>
  </si>
  <si>
    <t xml:space="preserve">MBA-Others-2016,BE-Computer Engg-2010</t>
  </si>
  <si>
    <t xml:space="preserve">Mr. Harshal Badgujar</t>
  </si>
  <si>
    <t xml:space="preserve">35.5</t>
  </si>
  <si>
    <t xml:space="preserve">Diploma - Engineering-Mechanical-2011(FT)</t>
  </si>
  <si>
    <t xml:space="preserve">Mr. Hitesh Dekate</t>
  </si>
  <si>
    <t xml:space="preserve">40.9</t>
  </si>
  <si>
    <t xml:space="preserve">16.0</t>
  </si>
  <si>
    <t xml:space="preserve">MBA-Others-2014,BSc-Science-2008</t>
  </si>
  <si>
    <t xml:space="preserve">Mr. Mayur Bangera</t>
  </si>
  <si>
    <t xml:space="preserve">30.4</t>
  </si>
  <si>
    <t xml:space="preserve">BTech-Computer Engg-2017</t>
  </si>
  <si>
    <t xml:space="preserve">Mr. Mayuresh Raut</t>
  </si>
  <si>
    <t xml:space="preserve">E&amp;M IT Petro retail</t>
  </si>
  <si>
    <t xml:space="preserve">54.4</t>
  </si>
  <si>
    <t xml:space="preserve">28.6</t>
  </si>
  <si>
    <t xml:space="preserve">MBA-Marketing-2008(PT),MCom-Commerce-1995,BCom-Commerce-1993</t>
  </si>
  <si>
    <t xml:space="preserve">Mr. Shikhar Saxena</t>
  </si>
  <si>
    <t xml:space="preserve">E&amp;M IT Solution Design &amp; Development</t>
  </si>
  <si>
    <t xml:space="preserve">36.7</t>
  </si>
  <si>
    <t xml:space="preserve">8.7</t>
  </si>
  <si>
    <t xml:space="preserve">BTech-Electrical &amp; Electronics Engg-2012(FT)</t>
  </si>
  <si>
    <t xml:space="preserve">Mr. Sujit Kumar Dikshit</t>
  </si>
  <si>
    <t xml:space="preserve">36.11</t>
  </si>
  <si>
    <t xml:space="preserve">7.5</t>
  </si>
  <si>
    <t xml:space="preserve">BTech-Electrical &amp; Electronics Engg-2011(FT),Diploma - Engineering-Electrical-2007(FT)</t>
  </si>
  <si>
    <t xml:space="preserve">Mr. Dilip D Vyas</t>
  </si>
  <si>
    <t xml:space="preserve">E&amp;M IT DevOps</t>
  </si>
  <si>
    <t xml:space="preserve">57.11</t>
  </si>
  <si>
    <t xml:space="preserve">35.11</t>
  </si>
  <si>
    <t xml:space="preserve">Advance Diploma-Computer Applications-2004,Certificate Course-Information Technology-2000,Certificate Course-Information Technology-2000,Certificate Course-Information Technology-2000,Diploma-Computer</t>
  </si>
  <si>
    <t xml:space="preserve">Mr. Milind Thosare</t>
  </si>
  <si>
    <t xml:space="preserve">44.11</t>
  </si>
  <si>
    <t xml:space="preserve">21.11</t>
  </si>
  <si>
    <t xml:space="preserve">MBA-Others-2004(FT),BE-Mechanical-2002</t>
  </si>
  <si>
    <t xml:space="preserve">Analytics</t>
  </si>
  <si>
    <t xml:space="preserve">Ms. Aalo Majumdar</t>
  </si>
  <si>
    <t xml:space="preserve">E&amp;M IT Data Science Operations</t>
  </si>
  <si>
    <t xml:space="preserve">Data Scientist</t>
  </si>
  <si>
    <t xml:space="preserve">24281756</t>
  </si>
  <si>
    <t xml:space="preserve">MTech-Computer Science Engg.-2021(FT),BTech-Computer Science Engg.-2018(FT),Schooling-Science-2014(FT),Schooling-Others-2012(FT)</t>
  </si>
  <si>
    <t xml:space="preserve">Mr. Bhadresh Shah</t>
  </si>
  <si>
    <t xml:space="preserve">E&amp;M IT PMO</t>
  </si>
  <si>
    <t xml:space="preserve">Team Lead Project Management</t>
  </si>
  <si>
    <t xml:space="preserve">24281741</t>
  </si>
  <si>
    <t xml:space="preserve">48.9</t>
  </si>
  <si>
    <t xml:space="preserve">Others--2006,MBA--2005,CA--2004,BCom--1997</t>
  </si>
  <si>
    <t xml:space="preserve">Mr. Sanjog A Karande</t>
  </si>
  <si>
    <t xml:space="preserve">21.9</t>
  </si>
  <si>
    <t xml:space="preserve">Others-ASAP-2012,MHRDM-Human Resource-2009(PT),BSc-Science-2002</t>
  </si>
  <si>
    <t xml:space="preserve">Mr. Rameshchandra Nikhade</t>
  </si>
  <si>
    <t xml:space="preserve">49.4</t>
  </si>
  <si>
    <t xml:space="preserve">8.11</t>
  </si>
  <si>
    <t xml:space="preserve">PGD in Computer Science-Computer Applications-2002(FT),BE-Electronics Engg-2000(FT)</t>
  </si>
  <si>
    <t xml:space="preserve">Mr. Bhaskar Buggagari</t>
  </si>
  <si>
    <t xml:space="preserve">13.0</t>
  </si>
  <si>
    <t xml:space="preserve">MCA-Computer Applications-2013(FT),BSc-Computer Applications-2010(FT),HSC/Intermediate/Pre-University-Mathematics-2007(FT),SSC/XTH STD/SSLC-Mathematics-2005(FT)</t>
  </si>
  <si>
    <t xml:space="preserve">Mr. Abhijit Gaikwad</t>
  </si>
  <si>
    <t xml:space="preserve">E&amp;M IT ESP Operations Support</t>
  </si>
  <si>
    <t xml:space="preserve">17.1</t>
  </si>
  <si>
    <t xml:space="preserve">BE-Computer Engg-2008(FT),HSC/Intermediate/Pre-University-Science-2004(FT),SSC/XTH STD/SSLC-Upper Primary Education-2002(FT)</t>
  </si>
  <si>
    <t xml:space="preserve">Mr. Mitesh Zaveri</t>
  </si>
  <si>
    <t xml:space="preserve">Lead Software Developer JioCX</t>
  </si>
  <si>
    <t xml:space="preserve">49.9</t>
  </si>
  <si>
    <t xml:space="preserve">32.0</t>
  </si>
  <si>
    <t xml:space="preserve">MBA-Information Technology-2013(CO),Diploma-Others-2000,BCom-Commerce-1997</t>
  </si>
  <si>
    <t xml:space="preserve">Mr. Makarand Jog</t>
  </si>
  <si>
    <t xml:space="preserve">49.0</t>
  </si>
  <si>
    <t xml:space="preserve">Diploma-Computer Applications-1997</t>
  </si>
  <si>
    <t xml:space="preserve">Mr. Sachin Jain</t>
  </si>
  <si>
    <t xml:space="preserve">5.3</t>
  </si>
  <si>
    <t xml:space="preserve">BSc-Information Technology-2011(FT)</t>
  </si>
  <si>
    <t xml:space="preserve">Ms. Sakshi Pandita</t>
  </si>
  <si>
    <t xml:space="preserve">31.1</t>
  </si>
  <si>
    <t xml:space="preserve">BTech-Information Technology-2019(FT),HSC/Intermediate/Pre-University-Science-2012(FT),SSC/XTH STD/SSLC-Upper Primary Education-2010(FT)</t>
  </si>
  <si>
    <t xml:space="preserve">Mr. Saurabh Patel</t>
  </si>
  <si>
    <t xml:space="preserve">48.5</t>
  </si>
  <si>
    <t xml:space="preserve">BE-Instrumentation-1999</t>
  </si>
  <si>
    <t xml:space="preserve">Mr. Pawan Jadhav</t>
  </si>
  <si>
    <t xml:space="preserve">46.2</t>
  </si>
  <si>
    <t xml:space="preserve">6.7</t>
  </si>
  <si>
    <t xml:space="preserve">23.9</t>
  </si>
  <si>
    <t xml:space="preserve">MBA-Operations-2010(PT),BE-Electronics &amp; Comm. Engg-2002(FT),Diploma - Engineering-Industrial Electronics-1999(FT),SSC/XTH STD/SSLC-Others-1996(FT)</t>
  </si>
  <si>
    <t xml:space="preserve">Mr. Atul Patil</t>
  </si>
  <si>
    <t xml:space="preserve">44.4</t>
  </si>
  <si>
    <t xml:space="preserve">19.10</t>
  </si>
  <si>
    <t xml:space="preserve">Ms. Ujwala Birwatkar</t>
  </si>
  <si>
    <t xml:space="preserve">24.11</t>
  </si>
  <si>
    <t xml:space="preserve">BCom-Commerce-2001</t>
  </si>
  <si>
    <t xml:space="preserve">Mr. Vishal Chauhan</t>
  </si>
  <si>
    <t xml:space="preserve">BE-Electronics &amp; Comm. Engg-2015(FT),HSC/Intermediate/Pre-University-Science-2011(FT),SSC/XTH STD/SSLC-Pre Schooling Education-2009(FT)</t>
  </si>
  <si>
    <t xml:space="preserve">Mr. Manoj K Dash</t>
  </si>
  <si>
    <t xml:space="preserve">59.5</t>
  </si>
  <si>
    <t xml:space="preserve">25.3</t>
  </si>
  <si>
    <t xml:space="preserve">MBA-Business Administration-2008,Others-Network Administration-1994,AMIE-Electronics &amp; Comm. Engg-1990</t>
  </si>
  <si>
    <t xml:space="preserve">Mr. Hariom Mehta</t>
  </si>
  <si>
    <t xml:space="preserve">IRM Design, Architecture &amp; Engineering</t>
  </si>
  <si>
    <t xml:space="preserve">2.8</t>
  </si>
  <si>
    <t xml:space="preserve">8.9</t>
  </si>
  <si>
    <t xml:space="preserve">MTech-Others-2018(FT),BE-Electronics &amp; Comm. Engg-2016(FT)</t>
  </si>
  <si>
    <t xml:space="preserve">Mr. Ritesh Vadera</t>
  </si>
  <si>
    <t xml:space="preserve">24281852</t>
  </si>
  <si>
    <t xml:space="preserve">Associate Product Manager</t>
  </si>
  <si>
    <t xml:space="preserve">36.8</t>
  </si>
  <si>
    <t xml:space="preserve">BE-Information Technology-2012(FT),Diploma-Information Technology-2009(FT)</t>
  </si>
  <si>
    <t xml:space="preserve">Mr. Haresh Gangwani</t>
  </si>
  <si>
    <t xml:space="preserve">49.3</t>
  </si>
  <si>
    <t xml:space="preserve">18.2</t>
  </si>
  <si>
    <t xml:space="preserve">MCA-Computer Applications-2004(CO),BCA-Computer Applications-2001,Diploma - Engineering-Mechanical-1997(FT),SSC/XTH STD/SSLC-Others-1994</t>
  </si>
  <si>
    <t xml:space="preserve">Mr. Dhirendra Singh</t>
  </si>
  <si>
    <t xml:space="preserve">Architect</t>
  </si>
  <si>
    <t xml:space="preserve">24281720</t>
  </si>
  <si>
    <t xml:space="preserve">41.9</t>
  </si>
  <si>
    <t xml:space="preserve">15.4</t>
  </si>
  <si>
    <t xml:space="preserve">BE-Computer Science Engg.-2006(FT),Schooling-Science-2002(FT),SSC/XTH STD/SSLC-Science-2000(FT)</t>
  </si>
  <si>
    <t xml:space="preserve">Mr. Siddharth V Wahane</t>
  </si>
  <si>
    <t xml:space="preserve">51.8</t>
  </si>
  <si>
    <t xml:space="preserve">7.10</t>
  </si>
  <si>
    <t xml:space="preserve">25.11</t>
  </si>
  <si>
    <t xml:space="preserve">MBA-Operations-2023(CO),BE-Electronics Engg-2002(FT)</t>
  </si>
  <si>
    <t xml:space="preserve">Mr. Vikas Singh</t>
  </si>
  <si>
    <t xml:space="preserve">37.1</t>
  </si>
  <si>
    <t xml:space="preserve">BTech-Electronics &amp; Comm. Engg-2010(FT),HSC/Intermediate/Pre-University-Science-2006(FT),SSC/XTH STD/SSLC-Upper Primary Education-2004(FT)</t>
  </si>
  <si>
    <t xml:space="preserve">Mr. Leeladhar Gora</t>
  </si>
  <si>
    <t xml:space="preserve">Corporate Affairs (Delhi 2) IT</t>
  </si>
  <si>
    <t xml:space="preserve">MBA-Project Management-2012(CO),Others-Information Technology-2011,BA-Political Science-2003(FT),Certificate Course-Information Technology-2002</t>
  </si>
  <si>
    <t xml:space="preserve">Mr. Jyotindra Thacker</t>
  </si>
  <si>
    <t xml:space="preserve">Cloud &amp; Digital Products - JioCX</t>
  </si>
  <si>
    <t xml:space="preserve">Chief Business Officer JioCX</t>
  </si>
  <si>
    <t xml:space="preserve">47010730</t>
  </si>
  <si>
    <t xml:space="preserve">Head Business</t>
  </si>
  <si>
    <t xml:space="preserve">69.1</t>
  </si>
  <si>
    <t xml:space="preserve">President</t>
  </si>
  <si>
    <t xml:space="preserve">35.8</t>
  </si>
  <si>
    <t xml:space="preserve">MBA-Management-1984(PT),BTech-Civil-1980(FT)</t>
  </si>
  <si>
    <t xml:space="preserve">Mr. Nimesh Shah</t>
  </si>
  <si>
    <t xml:space="preserve">15.3</t>
  </si>
  <si>
    <t xml:space="preserve">25.2</t>
  </si>
  <si>
    <t xml:space="preserve">Diploma - Engineering-Electronics Engg-2001(FT)</t>
  </si>
  <si>
    <t xml:space="preserve">Ms. Niriksha Poojari</t>
  </si>
  <si>
    <t xml:space="preserve">24281804</t>
  </si>
  <si>
    <t xml:space="preserve">Associate QA Engineer</t>
  </si>
  <si>
    <t xml:space="preserve">27.3</t>
  </si>
  <si>
    <t xml:space="preserve">BE-Electronics &amp; Comm. Engg-2021(FT),HSC/Intermediate/Pre-University-Education-2017(FT),SSC/XTH STD/SSLC-Education-2015(FT)</t>
  </si>
  <si>
    <t xml:space="preserve">Ms. Swati Patade</t>
  </si>
  <si>
    <t xml:space="preserve">PGDM-Project Management-2022(CO),BSc (Engg.)-Information Technology-2010(PT),Diploma - Engineering-Information Technology-2008(FT),SSC/XTH STD/SSLC-Others-2005</t>
  </si>
  <si>
    <t xml:space="preserve">Mr. Sameer Date</t>
  </si>
  <si>
    <t xml:space="preserve">53.6</t>
  </si>
  <si>
    <t xml:space="preserve">18.3</t>
  </si>
  <si>
    <t xml:space="preserve">PGDBA-Others-2011,Other Engineering Certificates-Computer Engg-1996(PT),Diploma - Engineering-Electronics Engg-1994(FT),HSC/Intermediate/Pre-University-Science-1991(FT),SSC/XTH STD/SSLC-Science-1989(F</t>
  </si>
  <si>
    <t xml:space="preserve">L&amp;D Academy</t>
  </si>
  <si>
    <t xml:space="preserve">Mr. Avadhut Dhage</t>
  </si>
  <si>
    <t xml:space="preserve">Head Consulting</t>
  </si>
  <si>
    <t xml:space="preserve">24281733</t>
  </si>
  <si>
    <t xml:space="preserve">BE-Electronics Engg-1997</t>
  </si>
  <si>
    <t xml:space="preserve">Mr. Divyansh Gupta</t>
  </si>
  <si>
    <t xml:space="preserve">MTech-Computer Science Engg.-2020(FT),BTech-Computer Science Engg.-2015(FT),Schooling-Mathematics-2011(FT),SSC/XTH STD/SSLC-Mathematics-2009(FT)</t>
  </si>
  <si>
    <t xml:space="preserve">Mr. Shubhendu Singh</t>
  </si>
  <si>
    <t xml:space="preserve">.11</t>
  </si>
  <si>
    <t xml:space="preserve">MCA-Computer Applications-2003</t>
  </si>
  <si>
    <t xml:space="preserve">Mr. Ashok V. Pawar</t>
  </si>
  <si>
    <t xml:space="preserve">24.6</t>
  </si>
  <si>
    <t xml:space="preserve">MBA-Information Technology-2013(CO),BE-Electronics Engg-2001</t>
  </si>
  <si>
    <t xml:space="preserve">Mr. Satyasundar Dasgupta</t>
  </si>
  <si>
    <t xml:space="preserve">5.10</t>
  </si>
  <si>
    <t xml:space="preserve">27.5</t>
  </si>
  <si>
    <t xml:space="preserve">PGDM-Information Technology-2021,MPRE-Marketing-2008(FT),Diploma - Management-Production &amp; Mater. Manag-2000,BE-Mechanical-1998</t>
  </si>
  <si>
    <t xml:space="preserve">Mr. Sachin Khilare</t>
  </si>
  <si>
    <t xml:space="preserve">Other Engineering Certificates-Others-2017(FT),MBA-Business Administration-2013(CO),Others-Operations-2011(CO),Others-System Administration-2010(CO),BTech-Electronics &amp; Comm. Engg-2007(CO),Diploma-Com</t>
  </si>
  <si>
    <t xml:space="preserve">Mr. Anurag Banerjee</t>
  </si>
  <si>
    <t xml:space="preserve">BE-Information Technology-2012(FT)</t>
  </si>
  <si>
    <t xml:space="preserve">Mr. Rajeev Kumar Singh</t>
  </si>
  <si>
    <t xml:space="preserve">51.5</t>
  </si>
  <si>
    <t xml:space="preserve">21.2</t>
  </si>
  <si>
    <t xml:space="preserve">5.11</t>
  </si>
  <si>
    <t xml:space="preserve">27.1</t>
  </si>
  <si>
    <t xml:space="preserve">BE-Electronics &amp; Comm. Engg-1996(FT),HSC/Intermediate/Pre-University-Science-1991(FT)</t>
  </si>
  <si>
    <t xml:space="preserve">Mr. Rahul Pande</t>
  </si>
  <si>
    <t xml:space="preserve">50.9</t>
  </si>
  <si>
    <t xml:space="preserve">3.1</t>
  </si>
  <si>
    <t xml:space="preserve">Ms. Shyamli Nishant Nair</t>
  </si>
  <si>
    <t xml:space="preserve">43.3</t>
  </si>
  <si>
    <t xml:space="preserve">20.7</t>
  </si>
  <si>
    <t xml:space="preserve">GNIIT-Computer Engg-2004(FT),BCom-Commerce-2003</t>
  </si>
  <si>
    <t xml:space="preserve">Mr. Bhushan Shinde</t>
  </si>
  <si>
    <t xml:space="preserve">E&amp;M IT ESP Application Delivery</t>
  </si>
  <si>
    <t xml:space="preserve">14.11</t>
  </si>
  <si>
    <t xml:space="preserve">BE-Computer Engg-2011(FT)</t>
  </si>
  <si>
    <t xml:space="preserve">Mr. Vishal Pitale</t>
  </si>
  <si>
    <t xml:space="preserve">13.11</t>
  </si>
  <si>
    <t xml:space="preserve">12.10</t>
  </si>
  <si>
    <t xml:space="preserve">BTech-Information Technology-2022(CO),Certificate Course-Information Technology-2019,Certificate Course-Information System-2019(CO),Certificate Course-Information Technology-2015(CO),Other Management</t>
  </si>
  <si>
    <t xml:space="preserve">Mr. Laxmikant Pathak</t>
  </si>
  <si>
    <t xml:space="preserve">Lead Consulting</t>
  </si>
  <si>
    <t xml:space="preserve">24281731</t>
  </si>
  <si>
    <t xml:space="preserve">44.10</t>
  </si>
  <si>
    <t xml:space="preserve">19.8</t>
  </si>
  <si>
    <t xml:space="preserve">BE-Production Engg-2003(FT)</t>
  </si>
  <si>
    <t xml:space="preserve">Mr. Susanta Ghosal</t>
  </si>
  <si>
    <t xml:space="preserve">56.5</t>
  </si>
  <si>
    <t xml:space="preserve">27.10</t>
  </si>
  <si>
    <t xml:space="preserve">MCA-Computer Science Engg.-1998(FT),MSc-Physics-1995(FT),BSc-Physics-1991(FT),HSC/Intermediate/Pre-University-Science-1988(FT)</t>
  </si>
  <si>
    <t xml:space="preserve">Mr. Venkatesh Krishnan</t>
  </si>
  <si>
    <t xml:space="preserve">BSc-Mathematics-2003(FT)</t>
  </si>
  <si>
    <t xml:space="preserve">Mr. Rajkumar Paikrao</t>
  </si>
  <si>
    <t xml:space="preserve">Lead Data Engineering</t>
  </si>
  <si>
    <t xml:space="preserve">24281749</t>
  </si>
  <si>
    <t xml:space="preserve">BTech-Electronics &amp; Comm. Engg-2003</t>
  </si>
  <si>
    <t xml:space="preserve">Mr. Chirag Shah</t>
  </si>
  <si>
    <t xml:space="preserve">37.0</t>
  </si>
  <si>
    <t xml:space="preserve">12.3</t>
  </si>
  <si>
    <t xml:space="preserve">Certificate Course-Project Management-2018(FT),BTech-Others-2013(FT),Advance Diploma-Security-2013(PT),Diploma - Engineering-Electronics &amp; Comm. Engg-2009(FT)</t>
  </si>
  <si>
    <t xml:space="preserve">Mr. Vikas Agrawal</t>
  </si>
  <si>
    <t xml:space="preserve">55.2</t>
  </si>
  <si>
    <t xml:space="preserve">BTech-Electrical-1992(FT)</t>
  </si>
  <si>
    <t xml:space="preserve">Mr. Maulin Khambhata</t>
  </si>
  <si>
    <t xml:space="preserve">53.11</t>
  </si>
  <si>
    <t xml:space="preserve">BE-Chemical-1993(FT)</t>
  </si>
  <si>
    <t xml:space="preserve">Mr. Sachin Patil</t>
  </si>
  <si>
    <t xml:space="preserve">3.3</t>
  </si>
  <si>
    <t xml:space="preserve">21.10</t>
  </si>
  <si>
    <t xml:space="preserve">BE-Electronics Engg-2004(FT)</t>
  </si>
  <si>
    <t xml:space="preserve">Mr. Gaurav Wankhade</t>
  </si>
  <si>
    <t xml:space="preserve">.7</t>
  </si>
  <si>
    <t xml:space="preserve">BE-Electronics Engg-2010(FT),BE-Electronics Engg-2010(FT)</t>
  </si>
  <si>
    <t xml:space="preserve">Mr. Santosh Karande</t>
  </si>
  <si>
    <t xml:space="preserve">Team Lead Tech Operations</t>
  </si>
  <si>
    <t xml:space="preserve">24281777</t>
  </si>
  <si>
    <t xml:space="preserve">BE-Electronics Engg-2000(FT)</t>
  </si>
  <si>
    <t xml:space="preserve">Ms. Asmita Patel</t>
  </si>
  <si>
    <t xml:space="preserve">Ms. Sushila Verma</t>
  </si>
  <si>
    <t xml:space="preserve">37.11</t>
  </si>
  <si>
    <t xml:space="preserve">BE-Electronics &amp; Comm. Engg-2010(FT)</t>
  </si>
  <si>
    <t xml:space="preserve">Mr. Ankit Gaharana</t>
  </si>
  <si>
    <t xml:space="preserve">37.5</t>
  </si>
  <si>
    <t xml:space="preserve">BE--2012</t>
  </si>
  <si>
    <t xml:space="preserve">Mr. Piyush Vadhwana</t>
  </si>
  <si>
    <t xml:space="preserve">15.1</t>
  </si>
  <si>
    <t xml:space="preserve">16.5</t>
  </si>
  <si>
    <t xml:space="preserve">BE-Information Technology-2009(FT)</t>
  </si>
  <si>
    <t xml:space="preserve">Ms. Archana Patil</t>
  </si>
  <si>
    <t xml:space="preserve">49.11</t>
  </si>
  <si>
    <t xml:space="preserve">21.6</t>
  </si>
  <si>
    <t xml:space="preserve">Certificate Course-Computer Programming-2012,Certificate Course-Computer Programming-2011,MCM-Information Technology-2000(FT),BSc-Mathematics-1996(FT)</t>
  </si>
  <si>
    <t xml:space="preserve">Mr. Ramandeep Singh</t>
  </si>
  <si>
    <t xml:space="preserve">BTech-Computer Engg-2007(FT)</t>
  </si>
  <si>
    <t xml:space="preserve">Ms. Swati Chauhan</t>
  </si>
  <si>
    <t xml:space="preserve">E&amp;M IT Investee companies</t>
  </si>
  <si>
    <t xml:space="preserve">41.5</t>
  </si>
  <si>
    <t xml:space="preserve">BE-Electronics &amp; Comm. Engg-2006(FT)</t>
  </si>
  <si>
    <t xml:space="preserve">Mr. Jaydip V Gohel</t>
  </si>
  <si>
    <t xml:space="preserve">Chief Consulting</t>
  </si>
  <si>
    <t xml:space="preserve">24281734</t>
  </si>
  <si>
    <t xml:space="preserve">57.7</t>
  </si>
  <si>
    <t xml:space="preserve">33.8</t>
  </si>
  <si>
    <t xml:space="preserve">Diploma - Management-Others-2008(CO),BE-Instrumentation-1991(FT)</t>
  </si>
  <si>
    <t xml:space="preserve">Mr. Rohan Sharma</t>
  </si>
  <si>
    <t xml:space="preserve">E&amp;M IT Data Science</t>
  </si>
  <si>
    <t xml:space="preserve">Head Data Science</t>
  </si>
  <si>
    <t xml:space="preserve">24281760</t>
  </si>
  <si>
    <t xml:space="preserve">18.0</t>
  </si>
  <si>
    <t xml:space="preserve">MS-Computer Science Engg.-2026(PT),MS-Computer Science Engg.-2025(PT),PGD in Computer Science-Computer Science Engg.-2024(PT),Certificate Course-Business Administration-2022(FT),Certificate Course-Sta</t>
  </si>
  <si>
    <t xml:space="preserve">Mr. Eswara Reddy</t>
  </si>
  <si>
    <t xml:space="preserve">8.1</t>
  </si>
  <si>
    <t xml:space="preserve">MCA-Computer Applications-2010(FT)</t>
  </si>
  <si>
    <t xml:space="preserve">Mr. Javed Khan</t>
  </si>
  <si>
    <t xml:space="preserve">41.2</t>
  </si>
  <si>
    <t xml:space="preserve">Diploma--2012,BE-Electronics &amp; Comm. Engg-2010,Diploma-Electronics &amp; Comm. Engg-2005</t>
  </si>
  <si>
    <t xml:space="preserve">Mr. Harshad Makwana</t>
  </si>
  <si>
    <t xml:space="preserve">PeopleFirst App and Web</t>
  </si>
  <si>
    <t xml:space="preserve">48.10</t>
  </si>
  <si>
    <t xml:space="preserve">9.6</t>
  </si>
  <si>
    <t xml:space="preserve">17.8</t>
  </si>
  <si>
    <t xml:space="preserve">27.2</t>
  </si>
  <si>
    <t xml:space="preserve">Diploma - Engineering-Computer Engg-2001,Diploma - Engineering-Instrumentation-1997(FT)</t>
  </si>
  <si>
    <t xml:space="preserve">Mr. Arvind Salamwade</t>
  </si>
  <si>
    <t xml:space="preserve">33.0</t>
  </si>
  <si>
    <t xml:space="preserve">6.6</t>
  </si>
  <si>
    <t xml:space="preserve">BE-Electronics &amp; Comm. Engg-2014(FT),Diploma - Engineering-Electronics &amp; Comm. Engg-2011(FT),SSC/XTH STD/SSLC-Science-2008(FT)</t>
  </si>
  <si>
    <t xml:space="preserve">Ms. Usha Gupta</t>
  </si>
  <si>
    <t xml:space="preserve">30.1</t>
  </si>
  <si>
    <t xml:space="preserve">MCA-Computer Applications-2018(FT),BCA-Computer Applications-2016(FT),HSC/Intermediate/Pre-University-Commerce-2013(FT),SSC/XTH STD/SSLC-Hindi-2011(FT)</t>
  </si>
  <si>
    <t xml:space="preserve">Mr. Ravi Sharma</t>
  </si>
  <si>
    <t xml:space="preserve">BSc-Information Technology-2019(FT),HSC/Intermediate/Pre-University-Commerce-2016(FT),SSC/XTH STD/SSLC-English-2014(FT)</t>
  </si>
  <si>
    <t xml:space="preserve">Mr. Anil Kumar Hippalge</t>
  </si>
  <si>
    <t xml:space="preserve">E&amp;M IT Media</t>
  </si>
  <si>
    <t xml:space="preserve">22.2</t>
  </si>
  <si>
    <t xml:space="preserve">MBA--2002,BSc--2000(FT)</t>
  </si>
  <si>
    <t xml:space="preserve">Mr. Mangesh Gavhane</t>
  </si>
  <si>
    <t xml:space="preserve">42.5</t>
  </si>
  <si>
    <t xml:space="preserve">16.10</t>
  </si>
  <si>
    <t xml:space="preserve">MBA-Information Technology-2024(CO),Certificate Course-Information Technology-2019,BA-Arts-2007</t>
  </si>
  <si>
    <t xml:space="preserve">Ms. Ruchira Nighot</t>
  </si>
  <si>
    <t xml:space="preserve">29.0</t>
  </si>
  <si>
    <t xml:space="preserve">BE-Computer Engg-2019(FT),Diploma - Engineering-Computer Engg-2016(FT),HSC/Intermediate/Pre-University-Science-2014(FT),SSC/XTH STD/SSLC-Others-2012(FT)</t>
  </si>
  <si>
    <t xml:space="preserve">Mr. Karan Choudhary</t>
  </si>
  <si>
    <t xml:space="preserve">40.6</t>
  </si>
  <si>
    <t xml:space="preserve">15.0</t>
  </si>
  <si>
    <t xml:space="preserve">MCA-Computer Applications-2010(FT),BCA-Computer Applications-2007(FT),SSC/XTH STD/SSLC-Others-2003,SSC/XTH STD/SSLC-Others-2001</t>
  </si>
  <si>
    <t xml:space="preserve">Mr. Abdullah Bilal Bardi</t>
  </si>
  <si>
    <t xml:space="preserve">40.4</t>
  </si>
  <si>
    <t xml:space="preserve">13.5</t>
  </si>
  <si>
    <t xml:space="preserve">BTech-Computer Engg-2011</t>
  </si>
  <si>
    <t xml:space="preserve">Mr. Nitin Singh Chauhan</t>
  </si>
  <si>
    <t xml:space="preserve">IRM R&amp;D and Innovation</t>
  </si>
  <si>
    <t xml:space="preserve">Chief Information Security</t>
  </si>
  <si>
    <t xml:space="preserve">24281828</t>
  </si>
  <si>
    <t xml:space="preserve">49.6</t>
  </si>
  <si>
    <t xml:space="preserve">20.11</t>
  </si>
  <si>
    <t xml:space="preserve">MCA-Computer Applications-2001(FT),BSc-Science-1996(FT),HSC/Intermediate/Pre-University-Science-1993(FT),SSC/XTH STD/SSLC-Others-1991(FT)</t>
  </si>
  <si>
    <t xml:space="preserve">Ms. Pooja Chhotray</t>
  </si>
  <si>
    <t xml:space="preserve">12.8</t>
  </si>
  <si>
    <t xml:space="preserve">MBA-Information System-2018(FT),BTech-Information Technology-2013(FT)</t>
  </si>
  <si>
    <t xml:space="preserve">Mr. Pravin Biradar</t>
  </si>
  <si>
    <t xml:space="preserve">14.5</t>
  </si>
  <si>
    <t xml:space="preserve">BSc Tech-Information Technology-2011(FT)</t>
  </si>
  <si>
    <t xml:space="preserve">Mr. Jayant Zambre</t>
  </si>
  <si>
    <t xml:space="preserve">8.3</t>
  </si>
  <si>
    <t xml:space="preserve">MBA-Information Technology-2017(CO),BSc-Computer Science Engg.-2009(FT)</t>
  </si>
  <si>
    <t xml:space="preserve">Mr. Dinesh Pote</t>
  </si>
  <si>
    <t xml:space="preserve">34.8</t>
  </si>
  <si>
    <t xml:space="preserve">BE-Computer Engg-2013(FT),HSC/Intermediate/Pre-University-Others-2009(FT),SSC/XTH STD/SSLC-Marathi-2007(FT)</t>
  </si>
  <si>
    <t xml:space="preserve">Ms. Gauri Raut</t>
  </si>
  <si>
    <t xml:space="preserve">43.11</t>
  </si>
  <si>
    <t xml:space="preserve">23.6</t>
  </si>
  <si>
    <t xml:space="preserve">Certificate Course-Project-2024(PT),Certificate Course-Project-2024(PT),PGDBA-Business Administration-2016(CO),Diploma - Engineering-Electronics Engg-2002</t>
  </si>
  <si>
    <t xml:space="preserve">Mr. Sandip Rajput</t>
  </si>
  <si>
    <t xml:space="preserve">Enterprise Desktop Virtualization</t>
  </si>
  <si>
    <t xml:space="preserve">11.11</t>
  </si>
  <si>
    <t xml:space="preserve">Others-Others-2013(PT),MCM-Computer Management-2006(FT),BA-Arts-2002(FT),HSC/Intermediate/Pre-University-Arts-1999(FT),SSC/XTH STD/SSLC-Upper Primary Education-1996(FT)</t>
  </si>
  <si>
    <t xml:space="preserve">Ms. Srishti Rathi</t>
  </si>
  <si>
    <t xml:space="preserve">BTech-Computer Science Engg.-2016(FT)</t>
  </si>
  <si>
    <t xml:space="preserve">Mr. Varun Kumar</t>
  </si>
  <si>
    <t xml:space="preserve">BA-Arts-2012(CO)</t>
  </si>
  <si>
    <t xml:space="preserve">Mr. BHAVIN PATEL</t>
  </si>
  <si>
    <t xml:space="preserve">8.2</t>
  </si>
  <si>
    <t xml:space="preserve">Others-Information Technology-2016(FT),BCom-Commerce-2009(FT),HSC/Intermediate/Pre-University-Commerce-2004(FT),SSC/XTH STD/SSLC-History-2002(FT)</t>
  </si>
  <si>
    <t xml:space="preserve">Mr. Sushant B. Chaudhari</t>
  </si>
  <si>
    <t xml:space="preserve">Team Lead Information Security</t>
  </si>
  <si>
    <t xml:space="preserve">24281826</t>
  </si>
  <si>
    <t xml:space="preserve">21.5</t>
  </si>
  <si>
    <t xml:space="preserve">BE-Electronics Engg-2002(FT),Diploma-Industrial Electronics-1999(FT),Schooling-Science-1995(FT)</t>
  </si>
  <si>
    <t xml:space="preserve">Mr. Sandeep Kolaskar</t>
  </si>
  <si>
    <t xml:space="preserve">19.4</t>
  </si>
  <si>
    <t xml:space="preserve">26.7</t>
  </si>
  <si>
    <t xml:space="preserve">MBA-Information Technology-2022(PT),BE-Electronics &amp; Radio-2000(FT)</t>
  </si>
  <si>
    <t xml:space="preserve">Ms. Poonam Kadam</t>
  </si>
  <si>
    <t xml:space="preserve">BE-Computer Engg-2011(FT),Diploma - Engineering-Computer Engg-2008(FT)</t>
  </si>
  <si>
    <t xml:space="preserve">Mr. Dinilkumar Brahmanandan</t>
  </si>
  <si>
    <t xml:space="preserve">52.3</t>
  </si>
  <si>
    <t xml:space="preserve">23.1</t>
  </si>
  <si>
    <t xml:space="preserve">PGDM-Others-2020(PT),BTech-Electronics &amp; Comm. Engg-2017(PT),MSc Tech-Information Technology-2013,BSc-Information Technology-2011,Diploma - Engineering-Electronics &amp; Comm. Engg-1994</t>
  </si>
  <si>
    <t xml:space="preserve">Mr. Kesavan S</t>
  </si>
  <si>
    <t xml:space="preserve">E&amp;M IT Data Science Marketing &amp; Planning</t>
  </si>
  <si>
    <t xml:space="preserve">Lead Data Science</t>
  </si>
  <si>
    <t xml:space="preserve">24281758</t>
  </si>
  <si>
    <t xml:space="preserve">41.3</t>
  </si>
  <si>
    <t xml:space="preserve">15.10</t>
  </si>
  <si>
    <t xml:space="preserve">Others-Statistics-2015(PT),MBA-Management-2012(FT),BE-Electrical &amp; Electronics Engg-2007(FT)</t>
  </si>
  <si>
    <t xml:space="preserve">Mr. Pravin R Domadiya</t>
  </si>
  <si>
    <t xml:space="preserve">58.3</t>
  </si>
  <si>
    <t xml:space="preserve">28.11</t>
  </si>
  <si>
    <t xml:space="preserve">BBA-Business Administration-1990(FT)</t>
  </si>
  <si>
    <t xml:space="preserve">Mr. Srinu Aavula</t>
  </si>
  <si>
    <t xml:space="preserve">Lead -Business Analyst</t>
  </si>
  <si>
    <t xml:space="preserve">10.8</t>
  </si>
  <si>
    <t xml:space="preserve">16.9</t>
  </si>
  <si>
    <t xml:space="preserve">MBA-Marketing-2010(FT),BSc-Bio-Technology-2007(FT)</t>
  </si>
  <si>
    <t xml:space="preserve">Mr. Faizan Mirkar</t>
  </si>
  <si>
    <t xml:space="preserve">Sr. Mgr Software Development_55107127_T</t>
  </si>
  <si>
    <t xml:space="preserve">BSc-Chemistry-2009(FT),HSC/Intermediate/Pre-University-Science-2006(FT)</t>
  </si>
  <si>
    <t xml:space="preserve">Mr. Pankaj Anant Phanse</t>
  </si>
  <si>
    <t xml:space="preserve">55.1</t>
  </si>
  <si>
    <t xml:space="preserve">34.5</t>
  </si>
  <si>
    <t xml:space="preserve">MBA-Information Technology-2005(PT),Certificate Course-Information System-1997(PT),BCom-Accounts-1991(FT)</t>
  </si>
  <si>
    <t xml:space="preserve">Ms. Bhakti Jadhav</t>
  </si>
  <si>
    <t xml:space="preserve">37.8</t>
  </si>
  <si>
    <t xml:space="preserve">Mr. Megilicharla Venkatrukesh</t>
  </si>
  <si>
    <t xml:space="preserve">29.2</t>
  </si>
  <si>
    <t xml:space="preserve">BTech-Electronics &amp; Comm. Engg-2019(FT),HSC/Intermediate/Pre-University-Science-2015(FT),SSC/XTH STD/SSLC-Upper Primary Education-2013(FT)</t>
  </si>
  <si>
    <t xml:space="preserve">Mr. Mayur Rathod</t>
  </si>
  <si>
    <t xml:space="preserve">BE-Electronics &amp; Comm. Engg-2010(FT),Diploma - Engineering-Electronics &amp; Comm. Engg-2007(FT)</t>
  </si>
  <si>
    <t xml:space="preserve">Mr. Mrityunjay Mukherjee</t>
  </si>
  <si>
    <t xml:space="preserve">19.0</t>
  </si>
  <si>
    <t xml:space="preserve">MCA-Others-2007(FT),BSc--2004</t>
  </si>
  <si>
    <t xml:space="preserve">Mr. Ashish More</t>
  </si>
  <si>
    <t xml:space="preserve">PGDM-Information Technology-2019(PT),PGDM-Information Technology-2019(PT),PGDM-Information Technology-2019(PT),PGDM-Information Technology-2019(PT),BCom-Commerce-2001(FT)</t>
  </si>
  <si>
    <t xml:space="preserve">Ms. Hemlata Dagaonkar</t>
  </si>
  <si>
    <t xml:space="preserve">13.10</t>
  </si>
  <si>
    <t xml:space="preserve">20.3</t>
  </si>
  <si>
    <t xml:space="preserve">BE-Electronics Engg-2004(FT),Diploma-Electronics &amp; Comm. Engg-2001(FT)</t>
  </si>
  <si>
    <t xml:space="preserve">Mr. Sushant Pawar</t>
  </si>
  <si>
    <t xml:space="preserve">7.9</t>
  </si>
  <si>
    <t xml:space="preserve">17.7</t>
  </si>
  <si>
    <t xml:space="preserve">BA-Economics-2002(FT)</t>
  </si>
  <si>
    <t xml:space="preserve">Mr. Mohit Bughani</t>
  </si>
  <si>
    <t xml:space="preserve">E&amp;M IT ESP Design &amp; Engineering</t>
  </si>
  <si>
    <t xml:space="preserve">45.3</t>
  </si>
  <si>
    <t xml:space="preserve">BE-Mechanical-2002</t>
  </si>
  <si>
    <t xml:space="preserve">Ms. Gauri Bobhate</t>
  </si>
  <si>
    <t xml:space="preserve">27.0</t>
  </si>
  <si>
    <t xml:space="preserve">BE-Computer Engg-2021(FT),HSC/Intermediate/Pre-University-Education-2017(FT),SSC/XTH STD/SSLC-Education-2015(FT)</t>
  </si>
  <si>
    <t xml:space="preserve">Mr. Michael G Kohli</t>
  </si>
  <si>
    <t xml:space="preserve">IRM End Point Security</t>
  </si>
  <si>
    <t xml:space="preserve">55.4</t>
  </si>
  <si>
    <t xml:space="preserve">31.3</t>
  </si>
  <si>
    <t xml:space="preserve">34.2</t>
  </si>
  <si>
    <t xml:space="preserve">BCom-Commerce-1991</t>
  </si>
  <si>
    <t xml:space="preserve">Ms. Aditi Dhasmana</t>
  </si>
  <si>
    <t xml:space="preserve">13</t>
  </si>
  <si>
    <t xml:space="preserve">BE-Electronics &amp; Comm. Engg-2012(FT),Diploma - Engineering-Electronics &amp; Comm. Engg-2008(FT)</t>
  </si>
  <si>
    <t xml:space="preserve">Mr. Ajit Giri</t>
  </si>
  <si>
    <t xml:space="preserve">44.5</t>
  </si>
  <si>
    <t xml:space="preserve">BA-Arts-2001</t>
  </si>
  <si>
    <t xml:space="preserve">Mr. Chintan Chokhawala</t>
  </si>
  <si>
    <t xml:space="preserve">E&amp;M IT Asset Maintenance</t>
  </si>
  <si>
    <t xml:space="preserve">BE-Mechanical-2007(FT)</t>
  </si>
  <si>
    <t xml:space="preserve">Mr. Amit P. Dham</t>
  </si>
  <si>
    <t xml:space="preserve">47.7</t>
  </si>
  <si>
    <t xml:space="preserve">27.4</t>
  </si>
  <si>
    <t xml:space="preserve">PGDM-Others-2020(CO),PGDBA-Finance-2010(CO),Diploma - Engineering-Electronics Engg-1999</t>
  </si>
  <si>
    <t xml:space="preserve">Mr. Milind Mulye</t>
  </si>
  <si>
    <t xml:space="preserve">12.6</t>
  </si>
  <si>
    <t xml:space="preserve">MCA--2002,BCS-Computer Science Engg.-2000(FT)</t>
  </si>
  <si>
    <t xml:space="preserve">MBA--2011,BTech--2005</t>
  </si>
  <si>
    <t xml:space="preserve">Mr. Sanjoy Varghese P</t>
  </si>
  <si>
    <t xml:space="preserve">40.10</t>
  </si>
  <si>
    <t xml:space="preserve">Certificate Course-Security-2019(FT),RCA-IQ (MAT)-2016(CO),Other Engineering Certificates-Electronics &amp; Instru Engg-2014(PT),Other Management Certificates-Business Administration-2014(PT),Other Engine</t>
  </si>
  <si>
    <t xml:space="preserve">Mr. Subodh Tengshe</t>
  </si>
  <si>
    <t xml:space="preserve">39.4</t>
  </si>
  <si>
    <t xml:space="preserve">Reliance Engineer-Instrumentation And Contr-2010(FT),BSc-Physics-2007</t>
  </si>
  <si>
    <t xml:space="preserve">Mr. Manoj Waghavekar</t>
  </si>
  <si>
    <t xml:space="preserve">VSAT Planning &amp; Hub Operations</t>
  </si>
  <si>
    <t xml:space="preserve">21.4</t>
  </si>
  <si>
    <t xml:space="preserve">28.10</t>
  </si>
  <si>
    <t xml:space="preserve">Diploma-Information System Audit-2015(PT),Certificate Course-Information Technology-2011(FT),Dip. Marketing Management-Industrial Relations-2008(CO),Diploma - Engineering-Instrumentation-1996(FT)</t>
  </si>
  <si>
    <t xml:space="preserve">Ms. Nupur Vaishnav</t>
  </si>
  <si>
    <t xml:space="preserve">47015107</t>
  </si>
  <si>
    <t xml:space="preserve">State Executive P&amp;C</t>
  </si>
  <si>
    <t xml:space="preserve">Divorc</t>
  </si>
  <si>
    <t xml:space="preserve">38.2</t>
  </si>
  <si>
    <t xml:space="preserve">Assistant Manager</t>
  </si>
  <si>
    <t xml:space="preserve">Certificate Course-Office &amp; Industrial Manag-2021(PT),BA-Arts-2008(FT)</t>
  </si>
  <si>
    <t xml:space="preserve">Mr. Kirit Gulabbhai Patel</t>
  </si>
  <si>
    <t xml:space="preserve">56.2</t>
  </si>
  <si>
    <t xml:space="preserve">Cert. of Comp. COP IInd Class-Computer Applications-2003(CO),MCom-Commerce-1993,BCom-Commerce-1990</t>
  </si>
  <si>
    <t xml:space="preserve">Mr. Hiten Panchal</t>
  </si>
  <si>
    <t xml:space="preserve">Head Retail IT HR Systems</t>
  </si>
  <si>
    <t xml:space="preserve">52.6</t>
  </si>
  <si>
    <t xml:space="preserve">MBA-Finance-1997(FT),BSc-Chemistry-1995(FT)</t>
  </si>
  <si>
    <t xml:space="preserve">Mr. Nishant Desai</t>
  </si>
  <si>
    <t xml:space="preserve">41.1</t>
  </si>
  <si>
    <t xml:space="preserve">BE-Electrical-2007(FT)</t>
  </si>
  <si>
    <t xml:space="preserve">Ms. Roopali Vyawahare</t>
  </si>
  <si>
    <t xml:space="preserve">47.11</t>
  </si>
  <si>
    <t xml:space="preserve">BSc-Physics-2000(FT)</t>
  </si>
  <si>
    <t xml:space="preserve">Mr. Nitin Chaudhari</t>
  </si>
  <si>
    <t xml:space="preserve">52.1</t>
  </si>
  <si>
    <t xml:space="preserve">20.6</t>
  </si>
  <si>
    <t xml:space="preserve">BE-Electrical &amp; Electronics Engg-1996(FT)</t>
  </si>
  <si>
    <t xml:space="preserve">Mr. Nishith Kumar Singh</t>
  </si>
  <si>
    <t xml:space="preserve">MBA-Marketing-2008,BTech-Mechanical-2005</t>
  </si>
  <si>
    <t xml:space="preserve">Ms. Archana Shah</t>
  </si>
  <si>
    <t xml:space="preserve">6.2</t>
  </si>
  <si>
    <t xml:space="preserve">Gr CWA-Finance-2012(FT),MCom-Commerce-2011(CO)</t>
  </si>
  <si>
    <t xml:space="preserve">Ms. Kavita Ghosh</t>
  </si>
  <si>
    <t xml:space="preserve">E&amp;M IT Environment Health &amp; Safety</t>
  </si>
  <si>
    <t xml:space="preserve">Others-Computer Applications-2009(FT),Diploma - Engineering-Computer Applications-2001(FT),MSc-Chemistry-1997(FT),BSc-Physics-1995(FT)</t>
  </si>
  <si>
    <t xml:space="preserve">Ms. Prashansa Shukla</t>
  </si>
  <si>
    <t xml:space="preserve">E&amp;M IT API Gateway</t>
  </si>
  <si>
    <t xml:space="preserve">33.9</t>
  </si>
  <si>
    <t xml:space="preserve">BTech-Computer Science Engg.-2012</t>
  </si>
  <si>
    <t xml:space="preserve">Mr. Vasant Ghokshe</t>
  </si>
  <si>
    <t xml:space="preserve">45.1</t>
  </si>
  <si>
    <t xml:space="preserve">4.9</t>
  </si>
  <si>
    <t xml:space="preserve">Diploma-Instrumentation-2001</t>
  </si>
  <si>
    <t xml:space="preserve">Mr. Venkatesh Navale</t>
  </si>
  <si>
    <t xml:space="preserve">Diploma - Engineering-Electrical &amp; Electronics Engg-2002(FT),NCTVT-Electronics &amp; Comm. Engg-1997(FT),HSC/Intermediate/Pre-University-Commerce-1995(FT),SSC/XTH STD/SSLC-Others-1992(FT)</t>
  </si>
  <si>
    <t xml:space="preserve">Mr. Ramprakash R Gupta</t>
  </si>
  <si>
    <t xml:space="preserve">MBA-Information Technology-2009(PT),Certificate Course-Computer Applications-1992,Diploma-Computer Applications-1988,BSc-Mathematics-1987</t>
  </si>
  <si>
    <t xml:space="preserve">Mr. Devendra Bhagat</t>
  </si>
  <si>
    <t xml:space="preserve">5.0</t>
  </si>
  <si>
    <t xml:space="preserve">BTech-Computer Science Engg.-2021(FT),Schooling-Science-2017(FT),Schooling-Science-2015(FT)</t>
  </si>
  <si>
    <t xml:space="preserve">Mr. Prathamesh Ambedkar</t>
  </si>
  <si>
    <t xml:space="preserve">PGDM-Marketing-2021(CO),BE--2015</t>
  </si>
  <si>
    <t xml:space="preserve">Mr. Krishna Jadhav</t>
  </si>
  <si>
    <t xml:space="preserve">41.10</t>
  </si>
  <si>
    <t xml:space="preserve">MBA-Information Technology-2024(CO),Certificate Course-Information Technology-2019,BCA--2010</t>
  </si>
  <si>
    <t xml:space="preserve">Mr. Yatin Deshpande</t>
  </si>
  <si>
    <t xml:space="preserve">51.4</t>
  </si>
  <si>
    <t xml:space="preserve">32.9</t>
  </si>
  <si>
    <t xml:space="preserve">Certificate Course-Information Technology-2011(CO),PGD in Operations Mgt.-Business Administration-2006(CO),Certificate Course-Network Administration-2002(PT),Diploma - Engineering-Electronics Engg-199</t>
  </si>
  <si>
    <t xml:space="preserve">Mr. Sintha Rowther</t>
  </si>
  <si>
    <t xml:space="preserve">Diploma-Information Technology-2005</t>
  </si>
  <si>
    <t xml:space="preserve">Mr. Abhishek Kumar Sharma</t>
  </si>
  <si>
    <t xml:space="preserve">4.11</t>
  </si>
  <si>
    <t xml:space="preserve">BTech-Computer Science Engg.-2021(FT),HSC/Intermediate/Pre-University-Others-2017(FT),SSC/XTH STD/SSLC-Others-2015(FT)</t>
  </si>
  <si>
    <t xml:space="preserve">Mr. Sharang Sharma</t>
  </si>
  <si>
    <t xml:space="preserve">Head Product Manager JioCX</t>
  </si>
  <si>
    <t xml:space="preserve">24281858</t>
  </si>
  <si>
    <t xml:space="preserve">Head Product Management</t>
  </si>
  <si>
    <t xml:space="preserve">56.8</t>
  </si>
  <si>
    <t xml:space="preserve">33.2</t>
  </si>
  <si>
    <t xml:space="preserve">MBA-Business Administration-1992(FT),BSc-Analytical Chemistry-1990(FT)</t>
  </si>
  <si>
    <t xml:space="preserve">Mr. Pritam Sarode</t>
  </si>
  <si>
    <t xml:space="preserve">BE-Electronics Engg-2010(FT)</t>
  </si>
  <si>
    <t xml:space="preserve">Mr. Brajesh Kumar Gupta</t>
  </si>
  <si>
    <t xml:space="preserve">48.11</t>
  </si>
  <si>
    <t xml:space="preserve">23.3</t>
  </si>
  <si>
    <t xml:space="preserve">PGD in Computer Science-Computer Science Engg.-2001(CO),BSc-Biology-1997(FT)</t>
  </si>
  <si>
    <t xml:space="preserve">Mr. Anu Monal Minz</t>
  </si>
  <si>
    <t xml:space="preserve">MBA-Business Administration-2011(FT),BTech-Electronics &amp; Comm. Engg-2008(FT)</t>
  </si>
  <si>
    <t xml:space="preserve">Mr. Rahul Khambat</t>
  </si>
  <si>
    <t xml:space="preserve">53.0</t>
  </si>
  <si>
    <t xml:space="preserve">MBA-Marketing-1998(FT),BE-Instrumentation-1995(FT)</t>
  </si>
  <si>
    <t xml:space="preserve">Ms. Pradnya Patil</t>
  </si>
  <si>
    <t xml:space="preserve">BE-Computer Engg-2012(FT),HSC/Intermediate/Pre-University-Science-2007(FT),SSC/XTH STD/SSLC-Others-2005(FT)</t>
  </si>
  <si>
    <t xml:space="preserve">Mr. Karan Singh Rajpurohit</t>
  </si>
  <si>
    <t xml:space="preserve">Sr. Engineer -SRE</t>
  </si>
  <si>
    <t xml:space="preserve">24281799</t>
  </si>
  <si>
    <t xml:space="preserve">Senior Engineer SRE</t>
  </si>
  <si>
    <t xml:space="preserve">26</t>
  </si>
  <si>
    <t xml:space="preserve">29.8</t>
  </si>
  <si>
    <t xml:space="preserve">Diploma-Computer Applications-2003,Diploma-Computer Applications-1996,BSc (Engg.) - 4 yrs-Science-1994</t>
  </si>
  <si>
    <t xml:space="preserve">Mr. Sumit Tiwari</t>
  </si>
  <si>
    <t xml:space="preserve">Mr. Aaryan Satpal</t>
  </si>
  <si>
    <t xml:space="preserve">BTech-Information &amp; Communication Technology-2022(FT),HSC/Intermediate/Pre-University-Education-2018(FT),SSC/XTH STD/SSLC-Education-2016(FT)</t>
  </si>
  <si>
    <t xml:space="preserve">Ms. Sharvari Dabholkar</t>
  </si>
  <si>
    <t xml:space="preserve">BE-Electronics &amp; Comm. Engg-2000(FT),Diploma - Engineering-Industrial Electronics-1997(FT),HSC/Intermediate/Pre-University-Science-1994(FT),SSC/XTH STD/SSLC-Upper Primary Education-1992(FT)</t>
  </si>
  <si>
    <t xml:space="preserve">Mr. Shubham Rane</t>
  </si>
  <si>
    <t xml:space="preserve">Jr. Engineer -IT Infrastructure</t>
  </si>
  <si>
    <t xml:space="preserve">24281813</t>
  </si>
  <si>
    <t xml:space="preserve">Junior Engineer IT Infrastructure</t>
  </si>
  <si>
    <t xml:space="preserve">29.3</t>
  </si>
  <si>
    <t xml:space="preserve">BSc-Computer Science Engg.-2018(FT),HSC/Intermediate/Pre-University-Science-2014(FT),SSC/XTH STD/SSLC-Science-2012(FT)</t>
  </si>
  <si>
    <t xml:space="preserve">Mr. Lalit K Modi</t>
  </si>
  <si>
    <t xml:space="preserve">13.4</t>
  </si>
  <si>
    <t xml:space="preserve">MBA-Business Administration-2008(FT),BE-Information Technology-2004</t>
  </si>
  <si>
    <t xml:space="preserve">Ms. Rita Dodhiya</t>
  </si>
  <si>
    <t xml:space="preserve">13.2</t>
  </si>
  <si>
    <t xml:space="preserve">BCom-Commerce-2003(FT)</t>
  </si>
  <si>
    <t xml:space="preserve">Ms. Pravina Nagarkar</t>
  </si>
  <si>
    <t xml:space="preserve">Certificate Course-Information Technology-2020,MCom-Commerce-2007(CO)</t>
  </si>
  <si>
    <t xml:space="preserve">Mr. Nitesh Tiwari</t>
  </si>
  <si>
    <t xml:space="preserve">BE-Information Technology-2015(FT),Diploma - Engineering-Information Technology-2009(FT),SSC/XTH STD/SSLC-Hindi-2006(FT)</t>
  </si>
  <si>
    <t xml:space="preserve">Mr. Anand Wadekar</t>
  </si>
  <si>
    <t xml:space="preserve">51.3</t>
  </si>
  <si>
    <t xml:space="preserve">28.5</t>
  </si>
  <si>
    <t xml:space="preserve">BCom-Commerce-1996(FT)</t>
  </si>
  <si>
    <t xml:space="preserve">Mr. Mahesh Sonavane</t>
  </si>
  <si>
    <t xml:space="preserve">Mr. Chandrashekhar Kale</t>
  </si>
  <si>
    <t xml:space="preserve">34.11</t>
  </si>
  <si>
    <t xml:space="preserve">Diploma - Engineering-Electronics &amp; Comm. Engg-2010(FT),SSC/XTH STD/SSLC-Upper Primary Education-2007(FT)</t>
  </si>
  <si>
    <t xml:space="preserve">Mr. Prathamesh Gujare</t>
  </si>
  <si>
    <t xml:space="preserve">MBA-Others-2017(FT),BE-Telecommunication-2013(FT),Diploma--2009</t>
  </si>
  <si>
    <t xml:space="preserve">Mr. Vishesh Jaiswal</t>
  </si>
  <si>
    <t xml:space="preserve">30.7</t>
  </si>
  <si>
    <t xml:space="preserve">MBA-Operations-2020(FT),BE-Mechanical-2016(FT),HSC/Intermediate/Pre-University-Science-2012(FT),SSC/XTH STD/SSLC-Others-2010(FT)</t>
  </si>
  <si>
    <t xml:space="preserve">Mr. Ravindra Meshram</t>
  </si>
  <si>
    <t xml:space="preserve">Associate Business Analyst</t>
  </si>
  <si>
    <t xml:space="preserve">24281830</t>
  </si>
  <si>
    <t xml:space="preserve">BSc-Science-2006(FT)</t>
  </si>
  <si>
    <t xml:space="preserve">Mr. Yogesh Khule</t>
  </si>
  <si>
    <t xml:space="preserve">42.6</t>
  </si>
  <si>
    <t xml:space="preserve">11.4</t>
  </si>
  <si>
    <t xml:space="preserve">BSc-Information Technology-2007(FT)</t>
  </si>
  <si>
    <t xml:space="preserve">Ms. Dipali Hande</t>
  </si>
  <si>
    <t xml:space="preserve">19</t>
  </si>
  <si>
    <t xml:space="preserve">BCA-Computer Applications-2005(PT),Diploma - Engineering-Computer Engg-2000(FT)</t>
  </si>
  <si>
    <t xml:space="preserve">Mr. Raman Kumar Bansal</t>
  </si>
  <si>
    <t xml:space="preserve">Head Project Management</t>
  </si>
  <si>
    <t xml:space="preserve">24281742</t>
  </si>
  <si>
    <t xml:space="preserve">11</t>
  </si>
  <si>
    <t xml:space="preserve">11.5</t>
  </si>
  <si>
    <t xml:space="preserve">Certificate Course-Project Management-2022(FT),Certificate Course-Project Management-2020(CO),Certificate Course-Project Management-2018(CO),Certificate Course-Information Technology-2018(CO),Certific</t>
  </si>
  <si>
    <t xml:space="preserve">Mr. Pritesh N More</t>
  </si>
  <si>
    <t xml:space="preserve">Engineer Information Security</t>
  </si>
  <si>
    <t xml:space="preserve">24281823</t>
  </si>
  <si>
    <t xml:space="preserve">11.0</t>
  </si>
  <si>
    <t xml:space="preserve">BE-Electronics Engg-2012(FT)</t>
  </si>
  <si>
    <t xml:space="preserve">Mr. Athi Manikandan S</t>
  </si>
  <si>
    <t xml:space="preserve">Sr. Engineer -IT Infrastructure</t>
  </si>
  <si>
    <t xml:space="preserve">45282178</t>
  </si>
  <si>
    <t xml:space="preserve">Manager Infra Ops</t>
  </si>
  <si>
    <t xml:space="preserve">4.3</t>
  </si>
  <si>
    <t xml:space="preserve">12.7</t>
  </si>
  <si>
    <t xml:space="preserve">BSc-Information Technology-2011(FT),HSC/Intermediate/Pre-University-Biology-2006(FT),SSC/XTH STD/SSLC-Science-2004(FT)</t>
  </si>
  <si>
    <t xml:space="preserve">Mr. Chandan Mane</t>
  </si>
  <si>
    <t xml:space="preserve">51.11</t>
  </si>
  <si>
    <t xml:space="preserve">Certificate Course-Management-2011(PT),Certificate Course-Information Technology-2007(PT),BCom-Economics-1995(FT),Diploma-Computer Engg-1993(FT)</t>
  </si>
  <si>
    <t xml:space="preserve">Mr. Harsh Parab</t>
  </si>
  <si>
    <t xml:space="preserve">28.2</t>
  </si>
  <si>
    <t xml:space="preserve">BE-Instrumentation-2021(FT),HSC/Intermediate/Pre-University-Science-2016(FT),SSC/XTH STD/SSLC-Science-2014(FT)</t>
  </si>
  <si>
    <t xml:space="preserve">Mr. Sanjeev Amrutkar</t>
  </si>
  <si>
    <t xml:space="preserve">58.2</t>
  </si>
  <si>
    <t xml:space="preserve">35.7</t>
  </si>
  <si>
    <t xml:space="preserve">AMPRE-Marketing-2006,MPRE-Management-1996,BE-Electrical-1990(FT)</t>
  </si>
  <si>
    <t xml:space="preserve">Mr. Pankaj Mahindrakar</t>
  </si>
  <si>
    <t xml:space="preserve">BE-Information Technology-2015</t>
  </si>
  <si>
    <t xml:space="preserve">Mr. Ganesh Gharpure</t>
  </si>
  <si>
    <t xml:space="preserve">E&amp;M IT Data Visualization</t>
  </si>
  <si>
    <t xml:space="preserve">49.5</t>
  </si>
  <si>
    <t xml:space="preserve">26.11</t>
  </si>
  <si>
    <t xml:space="preserve">MBA-Human Resource-2012,BCom-Accounts-1997</t>
  </si>
  <si>
    <t xml:space="preserve">Mr. Suryakant Rahate</t>
  </si>
  <si>
    <t xml:space="preserve">38.7</t>
  </si>
  <si>
    <t xml:space="preserve">BE-Information Technology-2011(FT),Diploma - Engineering-Computer Engg-2008(FT),HSC/Intermediate/Pre-University-Science-2005(FT),SSC/XTH STD/SSLC-Upper Primary Education-2003(FT)</t>
  </si>
  <si>
    <t xml:space="preserve">Ms. Anandi Basu</t>
  </si>
  <si>
    <t xml:space="preserve">9.9</t>
  </si>
  <si>
    <t xml:space="preserve">BE-Information Technology-2012</t>
  </si>
  <si>
    <t xml:space="preserve">Mr. Ashutosh Kumar</t>
  </si>
  <si>
    <t xml:space="preserve">Diploma-Computer Science Engg.-2004(FT),Schooling-Science-2000(FT),Schooling-Science-1998(FT)</t>
  </si>
  <si>
    <t xml:space="preserve">Mr. Balaji Rathod</t>
  </si>
  <si>
    <t xml:space="preserve">BTech-Electronics &amp; Comm. Engg-2013(FT)</t>
  </si>
  <si>
    <t xml:space="preserve">Mr. Tejas Bokare</t>
  </si>
  <si>
    <t xml:space="preserve">MS-Information Technology-2010(FT),BE-Electronics &amp; Comm. Engg-2006(FT)</t>
  </si>
  <si>
    <t xml:space="preserve">Ms. Rati Gopalakrishnan</t>
  </si>
  <si>
    <t xml:space="preserve">BE-Electronics &amp; Comm. Engg-1998(FT)</t>
  </si>
  <si>
    <t xml:space="preserve">Mr. Nilesh Amrute</t>
  </si>
  <si>
    <t xml:space="preserve">47010721</t>
  </si>
  <si>
    <t xml:space="preserve">MIS Analyst</t>
  </si>
  <si>
    <t xml:space="preserve">43.10</t>
  </si>
  <si>
    <t xml:space="preserve">23.10</t>
  </si>
  <si>
    <t xml:space="preserve">BA-Arts-2002(FT),HSC/Intermediate/Pre-University-Arts-2000(FT)</t>
  </si>
  <si>
    <t xml:space="preserve">Ms. Namita Parandkar</t>
  </si>
  <si>
    <t xml:space="preserve">PGDM-Project Management-2023(CO),Others-Others-2019(CO),Others-Others-2012(CO),BCA-Computer Applications-2012(CO)</t>
  </si>
  <si>
    <t xml:space="preserve">Ms. Avani Patel</t>
  </si>
  <si>
    <t xml:space="preserve">BE-Computer Engg-2006</t>
  </si>
  <si>
    <t xml:space="preserve">Mr. Vinay Sable</t>
  </si>
  <si>
    <t xml:space="preserve">39.7</t>
  </si>
  <si>
    <t xml:space="preserve">BE-Telecommunication-2008</t>
  </si>
  <si>
    <t xml:space="preserve">Mr. Puneeth G V</t>
  </si>
  <si>
    <t xml:space="preserve">39.0</t>
  </si>
  <si>
    <t xml:space="preserve">Certificate Course-Information Technology-2011(FT),BE-Information Science and Engg.-2010(FT),Non-Matric-Science-2005(FT),Others-Others-2003(FT)</t>
  </si>
  <si>
    <t xml:space="preserve">Ms. Gargi Verma</t>
  </si>
  <si>
    <t xml:space="preserve">Mr. Sailasuta Das</t>
  </si>
  <si>
    <t xml:space="preserve">E&amp;M IT Supply Chain Planning</t>
  </si>
  <si>
    <t xml:space="preserve">47.0</t>
  </si>
  <si>
    <t xml:space="preserve">BE-Mechanical-2006(FT),HSC/Intermediate/Pre-University-Science-1996(FT),Schooling-Pre Schooling Education-1994(FT)</t>
  </si>
  <si>
    <t xml:space="preserve">Mr. Ashok H Dhaundiyal</t>
  </si>
  <si>
    <t xml:space="preserve">1.8</t>
  </si>
  <si>
    <t xml:space="preserve">Others-Others-2012,Others-Others-2012,Others-Others-2011,Others-Others-2011,Diploma-Others-1990(FT)</t>
  </si>
  <si>
    <t xml:space="preserve">Mr. Tej Nag Neelam</t>
  </si>
  <si>
    <t xml:space="preserve">34.10</t>
  </si>
  <si>
    <t xml:space="preserve">10.4</t>
  </si>
  <si>
    <t xml:space="preserve">MTech-Electronics &amp; Comm. Engg-2015(FT),BTech-Electronics &amp; Comm. Engg-2012(FT)</t>
  </si>
  <si>
    <t xml:space="preserve">Ms. Shuchi Shah</t>
  </si>
  <si>
    <t xml:space="preserve">35.2</t>
  </si>
  <si>
    <t xml:space="preserve">BE--2012(FT)</t>
  </si>
  <si>
    <t xml:space="preserve">Ms. Shradha Fatehchandka</t>
  </si>
  <si>
    <t xml:space="preserve">31.4</t>
  </si>
  <si>
    <t xml:space="preserve">BE-Computer Engg-2017(FT)</t>
  </si>
  <si>
    <t xml:space="preserve">Mr. Ganesh Yadav</t>
  </si>
  <si>
    <t xml:space="preserve">BA-Arts-2011(CO)</t>
  </si>
  <si>
    <t xml:space="preserve">Mr. Paras Joshi</t>
  </si>
  <si>
    <t xml:space="preserve">BSc-Information Technology-2011</t>
  </si>
  <si>
    <t xml:space="preserve">Mr. Girish Jaiswal</t>
  </si>
  <si>
    <t xml:space="preserve">Mr. Pankaj Sawant</t>
  </si>
  <si>
    <t xml:space="preserve">35.4</t>
  </si>
  <si>
    <t xml:space="preserve">BE-Computer Engg-2014(FT),Diploma - Engineering-Computer Engg-2011(FT)</t>
  </si>
  <si>
    <t xml:space="preserve">Mr. Sreevatsa Deevi</t>
  </si>
  <si>
    <t xml:space="preserve">MTech-Computer Science Engg.-2020(FT),BTech-Electronics &amp; Comm. Engg-2018(FT),HSC/Intermediate/Pre-University-Science-2014(FT),SSC/XTH STD/SSLC-Upper Primary Education-2012(FT)</t>
  </si>
  <si>
    <t xml:space="preserve">Mr. Anand Dubey</t>
  </si>
  <si>
    <t xml:space="preserve">1.7</t>
  </si>
  <si>
    <t xml:space="preserve">BE-Communication-2008(FT)</t>
  </si>
  <si>
    <t xml:space="preserve">Mr. Sandesh Bonde</t>
  </si>
  <si>
    <t xml:space="preserve">12</t>
  </si>
  <si>
    <t xml:space="preserve">BE-Mechanical-2002(FT)</t>
  </si>
  <si>
    <t xml:space="preserve">Mr. Vijay Borate</t>
  </si>
  <si>
    <t xml:space="preserve">BE-Electronics &amp; Comm. Engg-2015(FT),HSC/Intermediate/Pre-University-Science-2009(FT),SSC/XTH STD/SSLC-Marathi-2007(FT)</t>
  </si>
  <si>
    <t xml:space="preserve">Mr. Harsh Pittroda</t>
  </si>
  <si>
    <t xml:space="preserve">JioCX Product &amp; Design</t>
  </si>
  <si>
    <t xml:space="preserve">MBA-Marketing-2020(FT),BTech-Electronics &amp; Comm. Engg-2019(FT),HSC/Intermediate/Pre-University-Science-2015(FT),SSC/XTH STD/SSLC-Science-2013(FT)</t>
  </si>
  <si>
    <t xml:space="preserve">Mr. Pranay Raut</t>
  </si>
  <si>
    <t xml:space="preserve">WAN Planning</t>
  </si>
  <si>
    <t xml:space="preserve">BE-Computer Science Engg.-2009(CO),Diploma - Engineering-Production Engg-1995(FT),SSC/XTH STD/SSLC-Upper Primary Education-1991(FT)</t>
  </si>
  <si>
    <t xml:space="preserve">Mr. Asgar Ansari</t>
  </si>
  <si>
    <t xml:space="preserve">14.0</t>
  </si>
  <si>
    <t xml:space="preserve">MBA-Information Technology-2022(CO)</t>
  </si>
  <si>
    <t xml:space="preserve">Mr. Sameer Karande</t>
  </si>
  <si>
    <t xml:space="preserve">BE-Electronics &amp; Comm. Engg-2008(FT),BE-Electronics &amp; Comm. Engg-2008(FT)</t>
  </si>
  <si>
    <t xml:space="preserve">Ms. Sushma Kamble</t>
  </si>
  <si>
    <t xml:space="preserve">48.0</t>
  </si>
  <si>
    <t xml:space="preserve">Certificate Course-Office &amp; Industrial Manag-2024(PT),Certificate Course-Production &amp; Mater. Manag-2022(CO),MPhil-Philosophy-2016(PT),M Lib Science-Library Science-2007(PT)</t>
  </si>
  <si>
    <t xml:space="preserve">Mr. Pradeep Gupta</t>
  </si>
  <si>
    <t xml:space="preserve">MBA-Others-2011(CO),BSc-Biology-2006(CO)</t>
  </si>
  <si>
    <t xml:space="preserve">Mr. Hitesh Wankhede</t>
  </si>
  <si>
    <t xml:space="preserve">16.7</t>
  </si>
  <si>
    <t xml:space="preserve">BE-Computer Engg-2009(FT)</t>
  </si>
  <si>
    <t xml:space="preserve">Mr. Praneet Tewari</t>
  </si>
  <si>
    <t xml:space="preserve">26.1</t>
  </si>
  <si>
    <t xml:space="preserve">BTech-Computer Science Engg.-2021(FT),HSC/Intermediate/Pre-University-Education-2017(FT),SSC/XTH STD/SSLC-Education-2015(FT)</t>
  </si>
  <si>
    <t xml:space="preserve">Mr. Milind Borade</t>
  </si>
  <si>
    <t xml:space="preserve">52.2</t>
  </si>
  <si>
    <t xml:space="preserve">BE-Mechanical-2003(PT),Diploma-Mechanical-1998(PT),Diploma-Airconditioning-1994(PT)</t>
  </si>
  <si>
    <t xml:space="preserve">Ms. Aishwarya Parab</t>
  </si>
  <si>
    <t xml:space="preserve">46.10</t>
  </si>
  <si>
    <t xml:space="preserve">Diploma - Management-Information Technology-2011,Diploma - Engineering-Electronics Engg-1998</t>
  </si>
  <si>
    <t xml:space="preserve">Ms. Akshata Kadam</t>
  </si>
  <si>
    <t xml:space="preserve">27.8</t>
  </si>
  <si>
    <t xml:space="preserve">MSc-Computer Science Engg.-2021(FT),BSc-Computer Science Engg.-2019(FT),HSC/Intermediate/Pre-University-Information Technology-2016(FT),SSC/XTH STD/SSLC-Others-2014(FT)</t>
  </si>
  <si>
    <t xml:space="preserve">Ms. Aparna Shinde</t>
  </si>
  <si>
    <t xml:space="preserve">14.7</t>
  </si>
  <si>
    <t xml:space="preserve">Ms. Jyotsna Chandorkar</t>
  </si>
  <si>
    <t xml:space="preserve">Business Analysis &amp; Project Management</t>
  </si>
  <si>
    <t xml:space="preserve">45.9</t>
  </si>
  <si>
    <t xml:space="preserve">Certificate Course-Project Management-2018(FT),Certificate Course-Others-2018(FT),BE-Chemical-2002</t>
  </si>
  <si>
    <t xml:space="preserve">Mr. Tribhuvan Singh Rathore</t>
  </si>
  <si>
    <t xml:space="preserve">BTech-Computer Science Engg.-2020(FT),HSC/Intermediate/Pre-University-Science-2015(FT),SSC/XTH STD/SSLC-Science-2013(FT)</t>
  </si>
  <si>
    <t xml:space="preserve">Mr. Tushar Mothe</t>
  </si>
  <si>
    <t xml:space="preserve">32.10</t>
  </si>
  <si>
    <t xml:space="preserve">4.1</t>
  </si>
  <si>
    <t xml:space="preserve">BE-Information Technology-2015(FT),Diploma-Information Technology-2012(FT),SSC/XTH STD/SSLC-Marathi-2009(FT)</t>
  </si>
  <si>
    <t xml:space="preserve">Mr. Senthil Kumar R K</t>
  </si>
  <si>
    <t xml:space="preserve">45.11</t>
  </si>
  <si>
    <t xml:space="preserve">Certificate Course-Security-2014(FT),Certificate Course-Security-2014(FT),BE-Computer Science Engg.-2003(FT),Diploma-Electrical-2000(FT)</t>
  </si>
  <si>
    <t xml:space="preserve">Ms. Preethi Karthikeyan</t>
  </si>
  <si>
    <t xml:space="preserve">ME-Computer Science Engg.-2020(FT),BE-Computer Science Engg.-2018(FT),HSC/Intermediate/Pre-University-Biology-2014(FT),SSC/XTH STD/SSLC-Science-2012(FT)</t>
  </si>
  <si>
    <t xml:space="preserve">Mr. Archit Patil</t>
  </si>
  <si>
    <t xml:space="preserve">BE-Information Technology-2022(FT),HSC/Intermediate/Pre-University-Mathematics-2018(FT),SSC/XTH STD/SSLC-Mathematics-2016(FT)</t>
  </si>
  <si>
    <t xml:space="preserve">Mr. Siddharth Mohan Gandhe</t>
  </si>
  <si>
    <t xml:space="preserve">42.0</t>
  </si>
  <si>
    <t xml:space="preserve">14.9</t>
  </si>
  <si>
    <t xml:space="preserve">Certificate Course-Computer Applications-2014(PT),BE-Computer Applications-2009(FT),Diploma - Engineering-Computer Engg-2006(PT)</t>
  </si>
  <si>
    <t xml:space="preserve">Mr. Saksham Kumar Gautam</t>
  </si>
  <si>
    <t xml:space="preserve">BTech-Computer Science Engg.-2022(FT),HSC/Intermediate/Pre-University-Physics-2018(FT),SSC/XTH STD/SSLC-Physics-2016(FT)</t>
  </si>
  <si>
    <t xml:space="preserve">Mr. Vikas Varshney</t>
  </si>
  <si>
    <t xml:space="preserve">23.4</t>
  </si>
  <si>
    <t xml:space="preserve">28.9</t>
  </si>
  <si>
    <t xml:space="preserve">BSc (Engg.) - 4 yrs-Mechanical-1996</t>
  </si>
  <si>
    <t xml:space="preserve">Mr. Rupesh Palav</t>
  </si>
  <si>
    <t xml:space="preserve">MBA-Commerce-2017(PT),BCom-Commerce-2006(FT)</t>
  </si>
  <si>
    <t xml:space="preserve">Mr. Jaideep Jagdale</t>
  </si>
  <si>
    <t xml:space="preserve">Visual Designer JioCX</t>
  </si>
  <si>
    <t xml:space="preserve">24281877</t>
  </si>
  <si>
    <t xml:space="preserve">Associate Visual Designer</t>
  </si>
  <si>
    <t xml:space="preserve">Asst. Manager</t>
  </si>
  <si>
    <t xml:space="preserve">BCom-Accounts-2012(FT),HSC/Intermediate/Pre-University-Commerce-2009(FT),SSC/XTH STD/SSLC-Others-2007(FT)</t>
  </si>
  <si>
    <t xml:space="preserve">Mr. Rakesh Ahamed</t>
  </si>
  <si>
    <t xml:space="preserve">BTech-Instrumentation-2014(FT),Diploma - Engineering-Instrumentation-2010(FT),SSC/XTH STD/SSLC-Upper Primary Education-2005(FT)</t>
  </si>
  <si>
    <t xml:space="preserve">Ms. Snehal Kale</t>
  </si>
  <si>
    <t xml:space="preserve">BE-Computer Engg-2012(FT),HSC/Intermediate/Pre-University-Education-2008(FT),SSC/XTH STD/SSLC-Others-2006(FT)</t>
  </si>
  <si>
    <t xml:space="preserve">Mr. Sankha Hira</t>
  </si>
  <si>
    <t xml:space="preserve">BTech-Information Technology-2009(FT),HSC/Intermediate/Pre-University-Science-2005(FT),SSC/XTH STD/SSLC-Upper Primary Education-2003</t>
  </si>
  <si>
    <t xml:space="preserve">Mr. Kapil Bhanushali</t>
  </si>
  <si>
    <t xml:space="preserve">17.4</t>
  </si>
  <si>
    <t xml:space="preserve">CA-CA-2001,BCom-Commerce-1999</t>
  </si>
  <si>
    <t xml:space="preserve">Mr. Siddhant Khanolkar</t>
  </si>
  <si>
    <t xml:space="preserve">BE-Electronics &amp; Comm. Engg-2015(FT),Diploma - Engineering-Electronics Engg-2012(FT),Schooling-English-2009(FT)</t>
  </si>
  <si>
    <t xml:space="preserve">Mr. Debashish Muduli</t>
  </si>
  <si>
    <t xml:space="preserve">36.0</t>
  </si>
  <si>
    <t xml:space="preserve">BTech-Electronics &amp; Comm. Engg-2012(FT),HSC/Intermediate/Pre-University-Science-2007(FT),SSC/XTH STD/SSLC-Science-2005(FT)</t>
  </si>
  <si>
    <t xml:space="preserve">Mr. Arvind Pardeshi</t>
  </si>
  <si>
    <t xml:space="preserve">Lead Litigation</t>
  </si>
  <si>
    <t xml:space="preserve">45281757</t>
  </si>
  <si>
    <t xml:space="preserve">Lead Legal/Contract Support</t>
  </si>
  <si>
    <t xml:space="preserve">45.5</t>
  </si>
  <si>
    <t xml:space="preserve">LLB-Law-2012(FT),MSc-Bio-Technology-2004(FT),BSc-Science-2002(FT),HSC/Intermediate/Pre-University-Science-1999(FT),SSC/XTH STD/SSLC-Science-1997(FT)</t>
  </si>
  <si>
    <t xml:space="preserve">Mr. Deepak Chaudhari</t>
  </si>
  <si>
    <t xml:space="preserve">35.6</t>
  </si>
  <si>
    <t xml:space="preserve">BE-Electronics &amp; Comm. Engg-2013(FT),HSC/Intermediate/Pre-University-Science-2008(FT),SSC/XTH STD/SSLC-Upper Primary Education-2006(FT)</t>
  </si>
  <si>
    <t xml:space="preserve">Ms. Shefali Shelar</t>
  </si>
  <si>
    <t xml:space="preserve">MPM-Personnel Management-2004,BCom--2001(FT)</t>
  </si>
  <si>
    <t xml:space="preserve">Mr. Pasupuleti Narsimharao</t>
  </si>
  <si>
    <t xml:space="preserve">MCA--2010,BSc--2007(FT)</t>
  </si>
  <si>
    <t xml:space="preserve">Ms. Akshata Pawaskar</t>
  </si>
  <si>
    <t xml:space="preserve">BSc-Information Technology-2015(FT),HSC/Intermediate/Pre-University-Science-2012(FT),SSC/XTH STD/SSLC-Others-2010(FT)</t>
  </si>
  <si>
    <t xml:space="preserve">Mr. Gaurav Pathak</t>
  </si>
  <si>
    <t xml:space="preserve">BE-Electronics &amp; Comm. Engg-2011(FT),HSC/Intermediate/Pre-University-Science-2007(FT),SSC/XTH STD/SSLC-Science-2005(FT)</t>
  </si>
  <si>
    <t xml:space="preserve">Mr. Arpit Mehta</t>
  </si>
  <si>
    <t xml:space="preserve">MS-Information System Audit-2018(FT),BE-Information Technology-2014(FT),HSC/Intermediate/Pre-University-Mathematics-2010(FT),SSC/XTH STD/SSLC-Science-2008(FT)</t>
  </si>
  <si>
    <t xml:space="preserve">Ms. Sushama Patil</t>
  </si>
  <si>
    <t xml:space="preserve">IT Infra &amp; Operations</t>
  </si>
  <si>
    <t xml:space="preserve">44.2</t>
  </si>
  <si>
    <t xml:space="preserve">BE-Electrical-2006(PT),Diploma - Engineering-Electrical-2001(FT),SSC/XTH STD/SSLC-Science-1997(FT)</t>
  </si>
  <si>
    <t xml:space="preserve">Mr. Sourabh Kumbhar</t>
  </si>
  <si>
    <t xml:space="preserve">BE-Mechanical-2021(FT),Diploma-Mechanical-2018(FT),SSC/XTH STD/SSLC-Others-2015(FT)</t>
  </si>
  <si>
    <t xml:space="preserve">Mr. Fattesinh Desai</t>
  </si>
  <si>
    <t xml:space="preserve">43.0</t>
  </si>
  <si>
    <t xml:space="preserve">MBA-Management-2013,MCA-Computer Applications-2007(FT),BSc-Science-2003(FT)</t>
  </si>
  <si>
    <t xml:space="preserve">Mr. Bhushan Bhise</t>
  </si>
  <si>
    <t xml:space="preserve">BCS-Information Technology-2009(FT),HSC/Intermediate/Pre-University-Science-2006(FT),SSC/XTH STD/SSLC-Education-2004(FT)</t>
  </si>
  <si>
    <t xml:space="preserve">Ms. Srushti Nemade</t>
  </si>
  <si>
    <t xml:space="preserve">Associate Information Security</t>
  </si>
  <si>
    <t xml:space="preserve">24281821</t>
  </si>
  <si>
    <t xml:space="preserve">MTech-Computer Networks and Security-2023(FT),BE-Computer Science Engg.-2021(FT),HSC/Intermediate/Pre-University-Mathematics-2017(FT),SSC/XTH STD/SSLC-Mathematics-2015(FT)</t>
  </si>
  <si>
    <t xml:space="preserve">Mr. Abhisek Nanda</t>
  </si>
  <si>
    <t xml:space="preserve">31.0</t>
  </si>
  <si>
    <t xml:space="preserve">BTech-Electronics &amp; Comm. Engg-2016(FT),HSC/Intermediate/Pre-University-Electronics &amp; Comm. Engg-2012(FT),SSC/XTH STD/SSLC-Science-2010(FT)</t>
  </si>
  <si>
    <t xml:space="preserve">Mr. Rahul Joshi</t>
  </si>
  <si>
    <t xml:space="preserve">Diploma-Information Technology-2009(FT)</t>
  </si>
  <si>
    <t xml:space="preserve">Ms. Kaveri Rasal</t>
  </si>
  <si>
    <t xml:space="preserve">Associate Data Analyst</t>
  </si>
  <si>
    <t xml:space="preserve">24281838</t>
  </si>
  <si>
    <t xml:space="preserve">BE-Computer Engg-2022(FT),HSC/Intermediate/Pre-University-Science-2018(FT),SSC/XTH STD/SSLC-Others-2016(FT)</t>
  </si>
  <si>
    <t xml:space="preserve">Mr. Vinay Thakre</t>
  </si>
  <si>
    <t xml:space="preserve">9.2</t>
  </si>
  <si>
    <t xml:space="preserve">BCom-Commerce-1993</t>
  </si>
  <si>
    <t xml:space="preserve">Mr. Sushil Dalvi</t>
  </si>
  <si>
    <t xml:space="preserve">BA-Arts-2012(FT),Diploma - Engineering-Computer Engg-2006(CO)</t>
  </si>
  <si>
    <t xml:space="preserve">Mr. Arun Zade</t>
  </si>
  <si>
    <t xml:space="preserve">Senior Executive</t>
  </si>
  <si>
    <t xml:space="preserve">Sr. Executive</t>
  </si>
  <si>
    <t xml:space="preserve">BA-Hindi-2013(CO)</t>
  </si>
  <si>
    <t xml:space="preserve">Mr. Girish Shivaji Bhor</t>
  </si>
  <si>
    <t xml:space="preserve">51.6</t>
  </si>
  <si>
    <t xml:space="preserve">29.5</t>
  </si>
  <si>
    <t xml:space="preserve">Diploma - Engineering-Computer Engg-1994</t>
  </si>
  <si>
    <t xml:space="preserve">Mr. Vishwajit Patil</t>
  </si>
  <si>
    <t xml:space="preserve">MBA-Marketing-2001(FT),BE-Mechanical-1998(FT)</t>
  </si>
  <si>
    <t xml:space="preserve">Mr. Sameer Mujawar</t>
  </si>
  <si>
    <t xml:space="preserve">49.8</t>
  </si>
  <si>
    <t xml:space="preserve">BCA-Computer Applications-2014(CO),BBA-Business Administration-2004(CO),Diploma - Engineering-Mechanical-2000(PT)</t>
  </si>
  <si>
    <t xml:space="preserve">Mr. Sachin Sarode</t>
  </si>
  <si>
    <t xml:space="preserve">48.3</t>
  </si>
  <si>
    <t xml:space="preserve">19.6</t>
  </si>
  <si>
    <t xml:space="preserve">Certificate Course-Information Technology-2007,Certificate Course-Network Administration-2006,Certificate Course-System Administration-2006,Diploma - Engineering-Computer Engg-2005(FT),HSC/Intermediat</t>
  </si>
  <si>
    <t xml:space="preserve">Mr. Anil Patil</t>
  </si>
  <si>
    <t xml:space="preserve">MBA-Others-2005(FT),BE-Electronics Engg-2003</t>
  </si>
  <si>
    <t xml:space="preserve">Mr. Nikhil Mohandas</t>
  </si>
  <si>
    <t xml:space="preserve">BE-Electronics &amp; Comm. Engg-2013(FT)</t>
  </si>
  <si>
    <t xml:space="preserve">Ms. Swati Shirsat</t>
  </si>
  <si>
    <t xml:space="preserve">2</t>
  </si>
  <si>
    <t xml:space="preserve">17.9</t>
  </si>
  <si>
    <t xml:space="preserve">Others-Information Technology-2015(FT),MA-Political Science-2006(FT),BA-Arts-2004(FT)</t>
  </si>
  <si>
    <t xml:space="preserve">Mr. Yelisetty Sannibabu</t>
  </si>
  <si>
    <t xml:space="preserve">MTech-Electronics &amp; Comm. Engg-2009(FT),BTech-Electronics &amp; Comm. Engg-2006(FT),HSC/Intermediate/Pre-University-Mathematics-2001(FT),SSC/XTH STD/SSLC-Mathematics-1999(FT)</t>
  </si>
  <si>
    <t xml:space="preserve">Mr. Vinayak Mulay</t>
  </si>
  <si>
    <t xml:space="preserve">BE-Instrumentation-2008(FT)</t>
  </si>
  <si>
    <t xml:space="preserve">Mr. Mohammed Hanif Shaikh</t>
  </si>
  <si>
    <t xml:space="preserve">BE-Electronics Engg-2014(FT)</t>
  </si>
  <si>
    <t xml:space="preserve">Mr. Ibrahim Khalil Shaikh</t>
  </si>
  <si>
    <t xml:space="preserve">MSc-Information Technology-2016,BSc-Computer Science Engg.-2013</t>
  </si>
  <si>
    <t xml:space="preserve">Mr. Manoj Singh</t>
  </si>
  <si>
    <t xml:space="preserve">MCA-Computer Applications-2008(FT),BSc-Information Technology-2004(CO)</t>
  </si>
  <si>
    <t xml:space="preserve">Mr. Kamlakar Khasbag</t>
  </si>
  <si>
    <t xml:space="preserve">40.0</t>
  </si>
  <si>
    <t xml:space="preserve">BCom-Commerce-2007(FT),HSC/Intermediate/Pre-University-Commerce-2003(FT),SSC/XTH STD/SSLC-Upper Primary Education-2001(FT)</t>
  </si>
  <si>
    <t xml:space="preserve">Ms. Manali Promod Shinde</t>
  </si>
  <si>
    <t xml:space="preserve">MTech-Others-2025(FT),BE-Telecommunication-2015(FT),Diploma - Engineering-Telecommunication-2012(FT),Schooling-Education-2009(FT)</t>
  </si>
  <si>
    <t xml:space="preserve">Mr. Kailash Chandra Joshi</t>
  </si>
  <si>
    <t xml:space="preserve">24.5</t>
  </si>
  <si>
    <t xml:space="preserve">BSc-Science-2000(FT)</t>
  </si>
  <si>
    <t xml:space="preserve">Mr. Anudeep Raj Raju</t>
  </si>
  <si>
    <t xml:space="preserve">MS-Telecommunication-2017(FT),BE-Instrumentation-2010(FT),HSC/Intermediate/Pre-University-Science-2006(FT),SSC/XTH STD/SSLC-Science-2004(FT)</t>
  </si>
  <si>
    <t xml:space="preserve">Ms. Priyanka Apte</t>
  </si>
  <si>
    <t xml:space="preserve">40.8</t>
  </si>
  <si>
    <t xml:space="preserve">16.1</t>
  </si>
  <si>
    <t xml:space="preserve">BE-Electronics &amp; Comm. Engg-2021(CO),Diploma - Engineering-Electrical &amp; Electronics Engg-2005(FT)</t>
  </si>
  <si>
    <t xml:space="preserve">Mr. Nilesh Garasia</t>
  </si>
  <si>
    <t xml:space="preserve">44.1</t>
  </si>
  <si>
    <t xml:space="preserve">Mr. Sagar Salunkhe</t>
  </si>
  <si>
    <t xml:space="preserve">Business Analyst</t>
  </si>
  <si>
    <t xml:space="preserve">45282171</t>
  </si>
  <si>
    <t xml:space="preserve">2.2</t>
  </si>
  <si>
    <t xml:space="preserve">Mr. Vaibhav More</t>
  </si>
  <si>
    <t xml:space="preserve">40.2</t>
  </si>
  <si>
    <t xml:space="preserve">BE-Electronics &amp; Comm. Engg-2009(FT),Diploma-Electronics &amp; Comm. Engg-2006(FT),HSC/Intermediate/Pre-University-Science-2003(FT),SSC/XTH STD/SSLC-Others-2001(FT)</t>
  </si>
  <si>
    <t xml:space="preserve">Mr. Rupesh Shinde</t>
  </si>
  <si>
    <t xml:space="preserve">BCom-Commerce-2004(FT),HSC/Intermediate/Pre-University-Commerce-2000(FT),SSC/XTH STD/SSLC-Others-1998(FT)</t>
  </si>
  <si>
    <t xml:space="preserve">Dr.ms Shivani Gupta</t>
  </si>
  <si>
    <t xml:space="preserve">Chief Data Science</t>
  </si>
  <si>
    <t xml:space="preserve">24281761</t>
  </si>
  <si>
    <t xml:space="preserve">PhD-Statistics-2005(PT),MSc-Statistics-1998(FT),BSc-Science-1996(FT),Schooling-Science-1993(FT),Schooling-Science-1991(FT)</t>
  </si>
  <si>
    <t xml:space="preserve">Ms. Radhika Mathur</t>
  </si>
  <si>
    <t xml:space="preserve">MBA-Human Resource-2013(PT),MSc--2001,BSc--1999</t>
  </si>
  <si>
    <t xml:space="preserve">Mr. Navneet Patel</t>
  </si>
  <si>
    <t xml:space="preserve">26.4</t>
  </si>
  <si>
    <t xml:space="preserve">MBA-Human Resource-2022(FT),BCom-Commerce-2020(FT),HSC/Intermediate/Pre-University-Commerce-2017(FT),SSC/XTH STD/SSLC-Education-2015(FT)</t>
  </si>
  <si>
    <t xml:space="preserve">Ms. Rashmi Mhatre</t>
  </si>
  <si>
    <t xml:space="preserve">26.0</t>
  </si>
  <si>
    <t xml:space="preserve">BE-Computer Engg-2021(FT),Diploma-Computer Engg-2018(FT),SSC/XTH STD/SSLC-Upper Primary Education-2015(FT)</t>
  </si>
  <si>
    <t xml:space="preserve">Mr. Prashant Bansi Jaybhaye</t>
  </si>
  <si>
    <t xml:space="preserve">Diploma - Engineering-Information Technology-2009</t>
  </si>
  <si>
    <t xml:space="preserve">Mr. Gajendra Madane</t>
  </si>
  <si>
    <t xml:space="preserve">BE-Electronics &amp; Comm. Engg-2007(FT),Diploma - Engineering-Others-2004(FT)</t>
  </si>
  <si>
    <t xml:space="preserve">Ms. Nayana Solaskar</t>
  </si>
  <si>
    <t xml:space="preserve">Mr. Jijin Easo</t>
  </si>
  <si>
    <t xml:space="preserve">40.11</t>
  </si>
  <si>
    <t xml:space="preserve">BCA-Computer Science Engg.-2009(FT),HSC/Intermediate/Pre-University-Science-2004(FT),SSC/XTH STD/SSLC-Science-2001(FT)</t>
  </si>
  <si>
    <t xml:space="preserve">Ms. Smita Shinde</t>
  </si>
  <si>
    <t xml:space="preserve">42.3</t>
  </si>
  <si>
    <t xml:space="preserve">PGDBA-Administrative Management-2013,BSc-Chemistry-2005,Schooling-Science-2002,SSC/XTH STD/SSLC-Others-1999</t>
  </si>
  <si>
    <t xml:space="preserve">Mr. Sachin Kadam</t>
  </si>
  <si>
    <t xml:space="preserve">Certificate Course-Information Technology-2018(PT),BCom-Commerce-2006</t>
  </si>
  <si>
    <t xml:space="preserve">Ms. Nikita Tanna</t>
  </si>
  <si>
    <t xml:space="preserve">33.5</t>
  </si>
  <si>
    <t xml:space="preserve">BE--2014(FT)</t>
  </si>
  <si>
    <t xml:space="preserve">Ms. Shreya Sahu</t>
  </si>
  <si>
    <t xml:space="preserve">BCom-Accounts-2015</t>
  </si>
  <si>
    <t xml:space="preserve">Mr. Kshitij Ashok Waghmare</t>
  </si>
  <si>
    <t xml:space="preserve">2.5</t>
  </si>
  <si>
    <t xml:space="preserve">Mr. Vinay M Gandhi</t>
  </si>
  <si>
    <t xml:space="preserve">41.8</t>
  </si>
  <si>
    <t xml:space="preserve">MCA-Computer Applications-2007,BCA-Computer Applications-2004</t>
  </si>
  <si>
    <t xml:space="preserve">Mr. Rohit Jana</t>
  </si>
  <si>
    <t xml:space="preserve">BE-Computer Engg-2022(FT),HSC/Intermediate/Pre-University-Science-2018,SSC/XTH STD/SSLC-Upper Primary Education-2016(FT)</t>
  </si>
  <si>
    <t xml:space="preserve">Mr. Naren Venkata Sai Velamuri</t>
  </si>
  <si>
    <t xml:space="preserve">Enterprise HR Platform</t>
  </si>
  <si>
    <t xml:space="preserve">Group HR Platform CIO</t>
  </si>
  <si>
    <t xml:space="preserve">45280809</t>
  </si>
  <si>
    <t xml:space="preserve">Head Platforms</t>
  </si>
  <si>
    <t xml:space="preserve">50.3</t>
  </si>
  <si>
    <t xml:space="preserve">25.10</t>
  </si>
  <si>
    <t xml:space="preserve">BE-Computer Science Engg.-2000(FT),HSC/Intermediate/Pre-University-Computer Applications-1994(FT),SSC/XTH STD/SSLC-Upper Primary Education-1992(FT)</t>
  </si>
  <si>
    <t xml:space="preserve">Mr. Tushar Jangam</t>
  </si>
  <si>
    <t xml:space="preserve">BE-Computer Science Engg.-2014(FT)</t>
  </si>
  <si>
    <t xml:space="preserve">Mr. Pramod Sale</t>
  </si>
  <si>
    <t xml:space="preserve">Associate SRE</t>
  </si>
  <si>
    <t xml:space="preserve">24281796</t>
  </si>
  <si>
    <t xml:space="preserve">26.6</t>
  </si>
  <si>
    <t xml:space="preserve">BE-Mechanical-2021(FT),HSC/Intermediate/Pre-University-Science-2017(FT),SSC/XTH STD/SSLC-Science-2015(FT)</t>
  </si>
  <si>
    <t xml:space="preserve">Mr. Akhil Nair</t>
  </si>
  <si>
    <t xml:space="preserve">Mr. Nitesh Salvi</t>
  </si>
  <si>
    <t xml:space="preserve">BSc-Information Technology-2014(FT),HSC/Intermediate/Pre-University-Science-2008(FT),SSC/XTH STD/SSLC-Others-2006(FT)</t>
  </si>
  <si>
    <t xml:space="preserve">Mr. Tejas Hande</t>
  </si>
  <si>
    <t xml:space="preserve">26.8</t>
  </si>
  <si>
    <t xml:space="preserve">Mr. Jeevan Desai</t>
  </si>
  <si>
    <t xml:space="preserve">BE-Instrumentation-1998(FT),Advance Diploma-Computer Programming-1997(PT),Diploma - Engineering-Instrumentation-1994(FT)</t>
  </si>
  <si>
    <t xml:space="preserve">Mr. Sudip Nathak</t>
  </si>
  <si>
    <t xml:space="preserve">46.5</t>
  </si>
  <si>
    <t xml:space="preserve">Others-Marketing-2007,BSc Text-Science-2002</t>
  </si>
  <si>
    <t xml:space="preserve">Mr. Pranav Ugale</t>
  </si>
  <si>
    <t xml:space="preserve">Ms. Manisha Barlolloo</t>
  </si>
  <si>
    <t xml:space="preserve">BE-Computer Engg-2011,Diploma - Engineering-Others-2006</t>
  </si>
  <si>
    <t xml:space="preserve">Mr. Rahul Bondkar</t>
  </si>
  <si>
    <t xml:space="preserve">BE-Computer Engg-2015(FT)</t>
  </si>
  <si>
    <t xml:space="preserve">Mr. Satish Gaikwad</t>
  </si>
  <si>
    <t xml:space="preserve">BTech-Electronics &amp; Comm. Engg-2021(FT),Diploma - Engineering-Electronics Engg-2018(FT),SSC/XTH STD/SSLC-Others-2015(FT)</t>
  </si>
  <si>
    <t xml:space="preserve">Ms. Anushka Sonawane</t>
  </si>
  <si>
    <t xml:space="preserve">BE-Electrical-2021(FT),HSC/Intermediate/Pre-University-Science-2017(FT),SSC/XTH STD/SSLC-English-2015(FT)</t>
  </si>
  <si>
    <t xml:space="preserve">Ms. Vaibhavi Yadav</t>
  </si>
  <si>
    <t xml:space="preserve">BE-Mechanical-2020(FT),Diploma - Engineering-Mechanical-2017(FT),SSC/XTH STD/SSLC-Education-2014(FT)</t>
  </si>
  <si>
    <t xml:space="preserve">Mr. Piyush Pandey</t>
  </si>
  <si>
    <t xml:space="preserve">BE-Mechanical-2021(FT),HSC/Intermediate/Pre-University-Science-2017(FT),SSC/XTH STD/SSLC-Education-2015(FT)</t>
  </si>
  <si>
    <t xml:space="preserve">Mr. Vijay Dubhalkar</t>
  </si>
  <si>
    <t xml:space="preserve">BE-Information Technology-2021(FT),HSC/Intermediate/Pre-University-Science-2017(FT),SSC/XTH STD/SSLC-Marathi-2015(FT)</t>
  </si>
  <si>
    <t xml:space="preserve">Mr. Mohammed Wajid Timmapure</t>
  </si>
  <si>
    <t xml:space="preserve">BE-Computer Science Engg.-2012(FT),HSC/Intermediate/Pre-University-Science-2005(FT),SSC/XTH STD/SSLC-Others-2003(FT)</t>
  </si>
  <si>
    <t xml:space="preserve">Digital Platforms</t>
  </si>
  <si>
    <t xml:space="preserve">Dr. Sourabh Shrivastava</t>
  </si>
  <si>
    <t xml:space="preserve">E&amp;M IT Resource Management Group</t>
  </si>
  <si>
    <t xml:space="preserve">Senior Data Scientist</t>
  </si>
  <si>
    <t xml:space="preserve">24281757</t>
  </si>
  <si>
    <t xml:space="preserve">PhD-Computer Engg-2014(FT),MTech-Materials-2010(FT),BE-Computer Science Engg.-2007(FT),HSC/Intermediate/Pre-University-Science-2001(FT),SSC/XTH STD/SSLC-Upper Primary Education-1999(FT)</t>
  </si>
  <si>
    <t xml:space="preserve">Mr. Shivdatta Jamsandekar</t>
  </si>
  <si>
    <t xml:space="preserve">Ent. Infra A1 IT Support</t>
  </si>
  <si>
    <t xml:space="preserve">Associate IT Infrastructure</t>
  </si>
  <si>
    <t xml:space="preserve">24281812</t>
  </si>
  <si>
    <t xml:space="preserve">SSC/XTH STD/SSLC-Upper Primary Education-1994(FT)</t>
  </si>
  <si>
    <t xml:space="preserve">Ms. Tanvi Singh</t>
  </si>
  <si>
    <t xml:space="preserve">MTech-Artificial Intelligence-2021(FT),BE-Electronics &amp; Comm. Engg-2018(FT),HSC/Intermediate/Pre-University-Science-2014(FT),SSC/XTH STD/SSLC-Science-2012(FT)</t>
  </si>
  <si>
    <t xml:space="preserve">Mr. Umesh R Bonde</t>
  </si>
  <si>
    <t xml:space="preserve">7.7</t>
  </si>
  <si>
    <t xml:space="preserve">BE-Electronics &amp; Comm. Engg-1996(FT)</t>
  </si>
  <si>
    <t xml:space="preserve">Mr. Shobhit Saxena</t>
  </si>
  <si>
    <t xml:space="preserve">20.10</t>
  </si>
  <si>
    <t xml:space="preserve">BTech-Information Technology-2005(FT),SSC/XTH STD/SSLC-Science-2001(FT)</t>
  </si>
  <si>
    <t xml:space="preserve">Mr. Vivek Kumar Gupta</t>
  </si>
  <si>
    <t xml:space="preserve">53.7</t>
  </si>
  <si>
    <t xml:space="preserve">24.4</t>
  </si>
  <si>
    <t xml:space="preserve">PGDIT-Information Technology-2003,Others-Computer Management-2001,Others-Commerce-1998,BCom-Commerce-1995(FT)</t>
  </si>
  <si>
    <t xml:space="preserve">Mr. Amit Saraf</t>
  </si>
  <si>
    <t xml:space="preserve">HR Platform Program Management</t>
  </si>
  <si>
    <t xml:space="preserve">Chief Project Management</t>
  </si>
  <si>
    <t xml:space="preserve">24281743</t>
  </si>
  <si>
    <t xml:space="preserve">24.9</t>
  </si>
  <si>
    <t xml:space="preserve">PGDBA-Information Technology-2004(FT),BTech-Computer Science Engg.-1999(FT),Schooling-Science-1994(FT),Schooling-Science-1992(FT)</t>
  </si>
  <si>
    <t xml:space="preserve">Ms. Seema Shinde</t>
  </si>
  <si>
    <t xml:space="preserve">BSc-Information Technology-2009(FT)</t>
  </si>
  <si>
    <t xml:space="preserve">Ms. Shefali Kumar</t>
  </si>
  <si>
    <t xml:space="preserve">35.9</t>
  </si>
  <si>
    <t xml:space="preserve">BE-Electronics &amp; Comm. Engg-2011(FT)</t>
  </si>
  <si>
    <t xml:space="preserve">Mr. Munjal Shah</t>
  </si>
  <si>
    <t xml:space="preserve">Diploma-Information Technology-2002(PT),Certificate Course-Information Technology-2001(PT)</t>
  </si>
  <si>
    <t xml:space="preserve">Mr. Varun Saxena</t>
  </si>
  <si>
    <t xml:space="preserve">Mr. Mohammed Ashraf</t>
  </si>
  <si>
    <t xml:space="preserve">MBA-Business Administration-2019(CO),BTech-Computer Engg-2007(FT)</t>
  </si>
  <si>
    <t xml:space="preserve">Mr. Ganesh Randhe</t>
  </si>
  <si>
    <t xml:space="preserve">19.7</t>
  </si>
  <si>
    <t xml:space="preserve">Others-Others-2004(FT),Diploma - Engineering-Electronics &amp; Comm. Engg-2002(FT),SSC/XTH STD/SSLC-Others-1997(FT)</t>
  </si>
  <si>
    <t xml:space="preserve">Mr. Sushant Mishra</t>
  </si>
  <si>
    <t xml:space="preserve">Mr. Deepak Dumbare</t>
  </si>
  <si>
    <t xml:space="preserve">Diploma-Computer Engg-2008(CO),BA-History-2002</t>
  </si>
  <si>
    <t xml:space="preserve">Mr. Muzzammil Ali Ahmed Ali Sayed</t>
  </si>
  <si>
    <t xml:space="preserve">BE-Electronics Engg-2014(FT),Diploma-Industrial Electronics-2011(FT),SSC/XTH STD/SSLC-English-2008(FT)</t>
  </si>
  <si>
    <t xml:space="preserve">Mr. Gaurav Prabhu</t>
  </si>
  <si>
    <t xml:space="preserve">Mr. Subrata Mondal</t>
  </si>
  <si>
    <t xml:space="preserve">BTech-Information Technology-2018(FT),HSC/Intermediate/Pre-University-Science-2013(FT),SSC/XTH STD/SSLC-Others-2011(FT)</t>
  </si>
  <si>
    <t xml:space="preserve">Mr. Vinit Mistry</t>
  </si>
  <si>
    <t xml:space="preserve">BSc-Computer Engg-2015(FT),HSC/Intermediate/Pre-University-Computer Science Engg.-2012(FT),SSC/XTH STD/SSLC-Science-2010(FT)</t>
  </si>
  <si>
    <t xml:space="preserve">Mr. Ramesh Reddy G</t>
  </si>
  <si>
    <t xml:space="preserve">49.2</t>
  </si>
  <si>
    <t xml:space="preserve">BE-Mechanical-2000(FT)</t>
  </si>
  <si>
    <t xml:space="preserve">Mr. Rupesh Kolhapurkar</t>
  </si>
  <si>
    <t xml:space="preserve">Diploma - Engineering-Computer Engg-2002</t>
  </si>
  <si>
    <t xml:space="preserve">Mr. Rajkumar Behra</t>
  </si>
  <si>
    <t xml:space="preserve">BTech-Mechanical-1995(FT)</t>
  </si>
  <si>
    <t xml:space="preserve">Mr. Suyash Chalke</t>
  </si>
  <si>
    <t xml:space="preserve">32.2</t>
  </si>
  <si>
    <t xml:space="preserve">BSc-Information Technology-2015(FT),HSC/Intermediate/Pre-University-Science-2011(FT),SSC/XTH STD/SSLC-English-2009(FT)</t>
  </si>
  <si>
    <t xml:space="preserve">Mr. Abhishek Nair</t>
  </si>
  <si>
    <t xml:space="preserve">29.4</t>
  </si>
  <si>
    <t xml:space="preserve">BTech-Computer Science Engg.-2019(FT),HSC/Intermediate/Pre-University-Science-2014(FT),SSC/XTH STD/SSLC-Science-2012(FT)</t>
  </si>
  <si>
    <t xml:space="preserve">Mr. Prathamesh Sinkar</t>
  </si>
  <si>
    <t xml:space="preserve">BSc-Information Technology-2013(FT),HSC/Intermediate/Pre-University-English-2010(CO),SSC/XTH STD/SSLC-Marathi-2008(FT)</t>
  </si>
  <si>
    <t xml:space="preserve">Mr. Aditya Hedau</t>
  </si>
  <si>
    <t xml:space="preserve">7.11</t>
  </si>
  <si>
    <t xml:space="preserve">MBA-Marketing-2018(FT),BE-Electrical &amp; Electronics Engg-2016(FT),HSC/Intermediate/Pre-University-Electronics &amp; Power-2012(FT),SSC/XTH STD/SSLC-Science-2010(FT)</t>
  </si>
  <si>
    <t xml:space="preserve">Ms. Ulka Khamble</t>
  </si>
  <si>
    <t xml:space="preserve">Certificate Course-ASAP-2017(CO),MBA-Personnel Management-2011(CO),BCom-Commerce-2001(FT),HSC/Intermediate/Pre-University-Commerce-1996(FT),SSC/XTH STD/SSLC-Science-1994(FT)</t>
  </si>
  <si>
    <t xml:space="preserve">Mr. Dipak Kumar Khuntia</t>
  </si>
  <si>
    <t xml:space="preserve">BCA-Computer Applications-2023(CO),Diploma - Engineering-Electronics &amp; Comm. Engg-2012(FT),ITI-Electronics &amp; Comm. Engg-2009(FT)</t>
  </si>
  <si>
    <t xml:space="preserve">Ms. Krishna Dengada</t>
  </si>
  <si>
    <t xml:space="preserve">BE-Information Technology-2017(FT)</t>
  </si>
  <si>
    <t xml:space="preserve">Mr. Fahad Siddiqui</t>
  </si>
  <si>
    <t xml:space="preserve">Certificate Course-Information Technology-2021(FT),Certificate Course-Project-2020(FT),MBA-Information Technology-2014(CO),BCA-Computer Applications-2011(FT),Diploma-Information Technology-2006(FT),HS</t>
  </si>
  <si>
    <t xml:space="preserve">Mr. Dharshan Rane</t>
  </si>
  <si>
    <t xml:space="preserve">40.5</t>
  </si>
  <si>
    <t xml:space="preserve">BE-Electronics &amp; Comm. Engg-2007(FT)</t>
  </si>
  <si>
    <t xml:space="preserve">Mr. Vivek Deshpande</t>
  </si>
  <si>
    <t xml:space="preserve">53.2</t>
  </si>
  <si>
    <t xml:space="preserve">31.7</t>
  </si>
  <si>
    <t xml:space="preserve">Others-Information Technology-2006(FT),BE-Mechanical-1994(FT)</t>
  </si>
  <si>
    <t xml:space="preserve">Mr. Kshitij Randive</t>
  </si>
  <si>
    <t xml:space="preserve">Associate Data Engineer</t>
  </si>
  <si>
    <t xml:space="preserve">24281745</t>
  </si>
  <si>
    <t xml:space="preserve">Mr. Ronak Motani</t>
  </si>
  <si>
    <t xml:space="preserve">MSc-Information Technology-2014</t>
  </si>
  <si>
    <t xml:space="preserve">Mr. Akshay Thakur</t>
  </si>
  <si>
    <t xml:space="preserve">BE-Mechanical-2022(FT),Diploma - Engineering-Mechanical-2019(FT),SSC/XTH STD/SSLC-English-2016(FT)</t>
  </si>
  <si>
    <t xml:space="preserve">Mr. Vishal Bendhari</t>
  </si>
  <si>
    <t xml:space="preserve">BE-Mechanical-2022(FT),HSC/Intermediate/Pre-University-Science-2018(FT),SSC/XTH STD/SSLC-Education-2016(FT)</t>
  </si>
  <si>
    <t xml:space="preserve">Mr. Amaravadhi Karthikeyan</t>
  </si>
  <si>
    <t xml:space="preserve">BTech-Electronics &amp; Comm. Engg-2019(FT),HSC/Intermediate/Pre-University-Mathematics-2015(FT),SSC/XTH STD/SSLC-Mathematics-2013(FT)</t>
  </si>
  <si>
    <t xml:space="preserve">Mr. Umesh Deorukhkar</t>
  </si>
  <si>
    <t xml:space="preserve">Ms. Priti Priya</t>
  </si>
  <si>
    <t xml:space="preserve">1.10</t>
  </si>
  <si>
    <t xml:space="preserve">Mr. Larren Colaco</t>
  </si>
  <si>
    <t xml:space="preserve">45281699</t>
  </si>
  <si>
    <t xml:space="preserve">Data Analyst</t>
  </si>
  <si>
    <t xml:space="preserve">30.6</t>
  </si>
  <si>
    <t xml:space="preserve">BTech-Computer Science Engg.-2018(FT),Others-Science-2014(FT),SSC/XTH STD/SSLC-Others-2012(FT)</t>
  </si>
  <si>
    <t xml:space="preserve">Mr. Mayuresh Pawar</t>
  </si>
  <si>
    <t xml:space="preserve">28.4</t>
  </si>
  <si>
    <t xml:space="preserve">MMS-Marketing-2022(FT),BE-Mechanical-2019(FT),HSC/Intermediate/Pre-University-Science-2015(FT),SSC/XTH STD/SSLC-Science-2013(FT)</t>
  </si>
  <si>
    <t xml:space="preserve">Mr. Sanmukh Mhatre</t>
  </si>
  <si>
    <t xml:space="preserve">BE-Mechanical-2022(FT),HSC/Intermediate/Pre-University-Science-2018(FT),SSC/XTH STD/SSLC-Science-2016(FT)</t>
  </si>
  <si>
    <t xml:space="preserve">Mr. Tauheed Mulla</t>
  </si>
  <si>
    <t xml:space="preserve">1.9</t>
  </si>
  <si>
    <t xml:space="preserve">Mr. Deepak Girhepunje</t>
  </si>
  <si>
    <t xml:space="preserve">Others-Others-2009(FT),MBA-Marketing-2002(FT),Certificate Course-Export &amp; Imports-2000(CO),BSc-Agriculture-1999(FT),HSC/Intermediate/Pre-University-Science-1995(FT),SSC/XTH STD/SSLC-Upper Primary Educ</t>
  </si>
  <si>
    <t xml:space="preserve">Mr. Chetan Shirbhate</t>
  </si>
  <si>
    <t xml:space="preserve">Bachelor in Fine Arts-Drawing-2013,Others-Drawing-2006(FT)</t>
  </si>
  <si>
    <t xml:space="preserve">Mr. Varun Bhat</t>
  </si>
  <si>
    <t xml:space="preserve">30.11</t>
  </si>
  <si>
    <t xml:space="preserve">MCA-Computer Applications-2019(FT),BCA-Computer Applications-2016(FT),HSC/Intermediate/Pre-University-Science-2013(FT),SSC/XTH STD/SSLC-Science-2011(FT)</t>
  </si>
  <si>
    <t xml:space="preserve">Mr. Ashish Gupta</t>
  </si>
  <si>
    <t xml:space="preserve">12.11</t>
  </si>
  <si>
    <t xml:space="preserve">BSc-Computer Science Engg.-2012(FT),HSC/Intermediate/Pre-University-Science-2008(FT)</t>
  </si>
  <si>
    <t xml:space="preserve">Mr. Snehesh Raju Mundale</t>
  </si>
  <si>
    <t xml:space="preserve">2.0</t>
  </si>
  <si>
    <t xml:space="preserve">BE-Mechanical-2022(FT),HSC/Intermediate/Pre-University-Science-2018(FT),SSC/XTH STD/SSLC-Upper Primary Education-2016(FT)</t>
  </si>
  <si>
    <t xml:space="preserve">Ms. Alpana Dubey</t>
  </si>
  <si>
    <t xml:space="preserve">Lead Generation Manager</t>
  </si>
  <si>
    <t xml:space="preserve">45282957</t>
  </si>
  <si>
    <t xml:space="preserve">Manager Sales Operations</t>
  </si>
  <si>
    <t xml:space="preserve">MCom-Commerce-2010(FT),BCom-Commerce-2007(FT),HSC/Intermediate/Pre-University-Arts-2004(FT),SSC/XTH STD/SSLC-Arts-2002(FT)</t>
  </si>
  <si>
    <t xml:space="preserve">Mr. Udayraj G Chavan</t>
  </si>
  <si>
    <t xml:space="preserve">57.9</t>
  </si>
  <si>
    <t xml:space="preserve">PGD in Computer Science-Computer Science Engg.-1989(PT),BCom-Commerce-1988(FT)</t>
  </si>
  <si>
    <t xml:space="preserve">Mr. Mangesh Shirdhankar</t>
  </si>
  <si>
    <t xml:space="preserve">Manager Revenue &amp; Growth</t>
  </si>
  <si>
    <t xml:space="preserve">BSc-Hospitality-2011(FT),HSC/Intermediate/Pre-University-Commerce-2008(FT),SSC/XTH STD/SSLC-Education-2005(FT)</t>
  </si>
  <si>
    <t xml:space="preserve">Ms. Kavita Patil</t>
  </si>
  <si>
    <t xml:space="preserve">Project Manager</t>
  </si>
  <si>
    <t xml:space="preserve">24281738</t>
  </si>
  <si>
    <t xml:space="preserve">MBA-Operations-2021(PT),BE-Information Technology-2009(FT),HSC/Intermediate/Pre-University-Science-2005(FT),SSC/XTH STD/SSLC-Upper Primary Education-2003(FT)</t>
  </si>
  <si>
    <t xml:space="preserve">Mr. Sameer Khamkar</t>
  </si>
  <si>
    <t xml:space="preserve">51.9</t>
  </si>
  <si>
    <t xml:space="preserve">BSc-Physics-1997</t>
  </si>
  <si>
    <t xml:space="preserve">Ms. Dipti Bane</t>
  </si>
  <si>
    <t xml:space="preserve">Certificate Course-Information Technology-2018(FT),Certificate Course-Information Technology-2010(FT),BCom-Accounts-2010(CO)</t>
  </si>
  <si>
    <t xml:space="preserve">Mr. Kunal Kishor</t>
  </si>
  <si>
    <t xml:space="preserve">Mr. Sai Siva Mardhav Andavarapu</t>
  </si>
  <si>
    <t xml:space="preserve">25.1</t>
  </si>
  <si>
    <t xml:space="preserve">BTech-Information Technology-2023(FT),HSC/Intermediate/Pre-University-Education-2019(FT),SSC/XTH STD/SSLC-Education-2017(FT)</t>
  </si>
  <si>
    <t xml:space="preserve">Mr. Nitin Rajpoot</t>
  </si>
  <si>
    <t xml:space="preserve">Mr. Vimalendra Mishra</t>
  </si>
  <si>
    <t xml:space="preserve">MCA-Computer Applications-2001</t>
  </si>
  <si>
    <t xml:space="preserve">Mr. Piyush Wavre</t>
  </si>
  <si>
    <t xml:space="preserve">MBA-Others-2024(CO),BBA-Advertising-2021(CO),Certificate Course-Business Administration-2020(PT),Diploma - Engineering-Electronics &amp; Comm. Engg-2015(FT),SSC/XTH STD/SSLC-Others-2012(FT)</t>
  </si>
  <si>
    <t xml:space="preserve">Mr. Navinkumar Mehta</t>
  </si>
  <si>
    <t xml:space="preserve">38.3</t>
  </si>
  <si>
    <t xml:space="preserve">MCA-Management-2014(FT),BCA-Information Technology-2011(FT),HSC/Intermediate/Pre-University-Science-2007(FT),HSC/Intermediate/Pre-University-Science-2007(FT),SSC/XTH STD/SSLC-Upper Primary Education-2</t>
  </si>
  <si>
    <t xml:space="preserve">Mr. Rakesh Sharma</t>
  </si>
  <si>
    <t xml:space="preserve">Diploma - Engineering-Microprocessors-1998</t>
  </si>
  <si>
    <t xml:space="preserve">Mr. Sachin Nimje</t>
  </si>
  <si>
    <t xml:space="preserve">BE-Electronics &amp; Comm. Engg-2012(FT),Diploma - Engineering-Electronics &amp; Comm. Engg-2008(FT),SSC/XTH STD/SSLC-Hindi-2005(FT)</t>
  </si>
  <si>
    <t xml:space="preserve">Mr. Rajesh Prasad</t>
  </si>
  <si>
    <t xml:space="preserve">CIO DD&amp;P Retail</t>
  </si>
  <si>
    <t xml:space="preserve">60.2</t>
  </si>
  <si>
    <t xml:space="preserve">BE-Electronics Engg-1988(FT),HSC/Intermediate/Pre-University-Science-1983(FT),SSC/XTH STD/SSLC-English-1981(FT)</t>
  </si>
  <si>
    <t xml:space="preserve">Mr. Shridhar Tukaram Raje</t>
  </si>
  <si>
    <t xml:space="preserve">MCA-Information Technology-2013(FT),BCA-Information Technology-2010(FT),Others-Civil-2007(FT),SSC/XTH STD/SSLC-Marathi-2005(FT)</t>
  </si>
  <si>
    <t xml:space="preserve">Mr. Prasanth O</t>
  </si>
  <si>
    <t xml:space="preserve">MBA-Information Technology-2009(FT),BTech-Electronics &amp; Comm. Engg-2006(FT)</t>
  </si>
  <si>
    <t xml:space="preserve">Mr. Yogesh Kumar Gupta</t>
  </si>
  <si>
    <t xml:space="preserve">BTech-Computer Science Engg.-2013(FT),HSC/Intermediate/Pre-University-Science-2008(FT),SSC/XTH STD/SSLC-Mathematics-2006(FT)</t>
  </si>
  <si>
    <t xml:space="preserve">Mr. Balasubramanian Yadhavar</t>
  </si>
  <si>
    <t xml:space="preserve">BSc-Computer Science Engg.-2017(FT),HSC/Intermediate/Pre-University-Information Technology-2014(FT),SSC/XTH STD/SSLC-Information Technology-2011(FT)</t>
  </si>
  <si>
    <t xml:space="preserve">Mr. Tushar Salunke</t>
  </si>
  <si>
    <t xml:space="preserve">9.0</t>
  </si>
  <si>
    <t xml:space="preserve">BE-Mechanical-2014(FT),HSC/Intermediate/Pre-University-Science-2010(FT),SSC/XTH STD/SSLC-Marathi-2008(FT)</t>
  </si>
  <si>
    <t xml:space="preserve">Mr. Sayog Shelar</t>
  </si>
  <si>
    <t xml:space="preserve">BE-Computer Engg-2021(FT),HSC/Intermediate/Pre-University-Computer Science Engg.-2017(FT),SSC/XTH STD/SSLC-Others-2015(FT)</t>
  </si>
  <si>
    <t xml:space="preserve">Mr. Mohd Laeeque Hiroli</t>
  </si>
  <si>
    <t xml:space="preserve">MSc-Information Technology-2018(CO),BSc-Information Technology-2015(FT),HSC/Intermediate/Pre-University-Science-2012(FT),SSC/XTH STD/SSLC-Others-2007(FT)</t>
  </si>
  <si>
    <t xml:space="preserve">Ms. Khushbu Thakker</t>
  </si>
  <si>
    <t xml:space="preserve">BE-Electronics Engg-2011</t>
  </si>
  <si>
    <t xml:space="preserve">Mr. Ayush Raghavan</t>
  </si>
  <si>
    <t xml:space="preserve">BE-Mechanical-2020(FT),HSC/Intermediate/Pre-University-Science-2016(FT),SSC/XTH STD/SSLC-Science-2014(FT)</t>
  </si>
  <si>
    <t xml:space="preserve">Mr. Amit Waghule</t>
  </si>
  <si>
    <t xml:space="preserve">BE-Electronics &amp; Comm. Engg-2016(FT),Diploma - Engineering-Electronics &amp; Comm. Engg-2013(FT),HSC/Intermediate/Pre-University-Information Technology-2010(FT),SSC/XTH STD/SSLC-Others-2008(FT)</t>
  </si>
  <si>
    <t xml:space="preserve">Mr. Shubham Gholap</t>
  </si>
  <si>
    <t xml:space="preserve">BE-Mechanical-2022(FT),Diploma - Engineering-Mechanical-2019(FT),SSC/XTH STD/SSLC-English-2015(FT)</t>
  </si>
  <si>
    <t xml:space="preserve">Mr. Tanmay Dabhade</t>
  </si>
  <si>
    <t xml:space="preserve">HSC/Intermediate/Pre-University-Science-2018(FT),SSC/XTH STD/SSLC-Science-2016(FT)</t>
  </si>
  <si>
    <t xml:space="preserve">Mr. Tushar Gupta</t>
  </si>
  <si>
    <t xml:space="preserve">BE-Computer Science Engg.-2023(FT),HSC/Intermediate/Pre-University-Science-2019(FT),SSC/XTH STD/SSLC-Upper Primary Education-2017</t>
  </si>
  <si>
    <t xml:space="preserve">Mr. Umesh Patil</t>
  </si>
  <si>
    <t xml:space="preserve">BE-Electronics &amp; Comm. Engg-2023(FT),HSC/Intermediate/Pre-University-Mathematics-2019(FT),SSC/XTH STD/SSLC-Mathematics-2017(FT)</t>
  </si>
  <si>
    <t xml:space="preserve">Mr. Mohammed Yusuf Shaikh</t>
  </si>
  <si>
    <t xml:space="preserve">BE-Computer Science Engg.-2023(FT),HSC/Intermediate/Pre-University-Science-2019(FT),SSC/XTH STD/SSLC-Science-2017(FT)</t>
  </si>
  <si>
    <t xml:space="preserve">Ms. Pooja Harale</t>
  </si>
  <si>
    <t xml:space="preserve">BE-Computer Engg-2021(FT),Diploma-Computer Engg-2016(FT),SSC/XTH STD/SSLC-Others-2013(FT)</t>
  </si>
  <si>
    <t xml:space="preserve">Mr. Rohit Tawade</t>
  </si>
  <si>
    <t xml:space="preserve">BE-Mechanical-2022(FT),Diploma-Mechanical-2019(FT),SSC/XTH STD/SSLC-English-2016(FT)</t>
  </si>
  <si>
    <t xml:space="preserve">Mr. Manish Narnaware</t>
  </si>
  <si>
    <t xml:space="preserve">BE-Information Technology-2011(FT),HSC/Intermediate/Pre-University-English-2007(FT),SSC/XTH STD/SSLC-Science-2005(FT)</t>
  </si>
  <si>
    <t xml:space="preserve">Mr. Kunj Anil Kapoor</t>
  </si>
  <si>
    <t xml:space="preserve">45.4</t>
  </si>
  <si>
    <t xml:space="preserve">BE-Civil-2004,Diploma - Engineering-Civil-2001</t>
  </si>
  <si>
    <t xml:space="preserve">Mr. Ankit Lakhera</t>
  </si>
  <si>
    <t xml:space="preserve">39.11</t>
  </si>
  <si>
    <t xml:space="preserve">BE-Information Technology-2010(FT),HSC/Intermediate/Pre-University-Science-2005(FT),SSC/XTH STD/SSLC-Others-2003(FT)</t>
  </si>
  <si>
    <t xml:space="preserve">Mr. Chetan Vijay Garje</t>
  </si>
  <si>
    <t xml:space="preserve">BTech-Computer Science Engg.-2023(FT),Diploma - Engineering-Computer Science Engg.-2020(FT),SSC/XTH STD/SSLC-Mathematics-2017(FT)</t>
  </si>
  <si>
    <t xml:space="preserve">Ms. Suneeta More</t>
  </si>
  <si>
    <t xml:space="preserve">56.11</t>
  </si>
  <si>
    <t xml:space="preserve">PGD in Computer Science-Computer Science Engg.-1992(FT),BSc--1990</t>
  </si>
  <si>
    <t xml:space="preserve">Mr. Navin Kumar Mishra</t>
  </si>
  <si>
    <t xml:space="preserve">UI/UX Designer JioCX</t>
  </si>
  <si>
    <t xml:space="preserve">24281870</t>
  </si>
  <si>
    <t xml:space="preserve">UI/UX Designer</t>
  </si>
  <si>
    <t xml:space="preserve">MTech-Others-2022(FT),BTech-Industrial &amp; Production-2019(FT),HSC/Intermediate/Pre-University-Mathematics-2014(FT),SSC/XTH STD/SSLC-Science-2012(FT)</t>
  </si>
  <si>
    <t xml:space="preserve">Ms. Padmavathi Yadav</t>
  </si>
  <si>
    <t xml:space="preserve">BE-Electronics &amp; Comm. Engg-2006(FT),HSC/Intermediate/Pre-University-Science-2002(FT),SSC/XTH STD/SSLC-Science-2000(FT)</t>
  </si>
  <si>
    <t xml:space="preserve">Mr. Vivek Tiwari</t>
  </si>
  <si>
    <t xml:space="preserve">BE-Mechanical-2022(FT),HSC/Intermediate/Pre-University-Science-2018(FT),SSC/XTH STD/SSLC-Project-2016(FT)</t>
  </si>
  <si>
    <t xml:space="preserve">Mr. Manish Deshmukh</t>
  </si>
  <si>
    <t xml:space="preserve">BE-Computer Science Engg.-2011(FT),HSC/Intermediate/Pre-University-Science-2007(FT),SSC/XTH STD/SSLC-Upper Primary Education-2005(FT)</t>
  </si>
  <si>
    <t xml:space="preserve">Mr. Niranjan Shisode</t>
  </si>
  <si>
    <t xml:space="preserve">31.11</t>
  </si>
  <si>
    <t xml:space="preserve">MBA-Finance-1996,BE-Chemical-1989(FT)</t>
  </si>
  <si>
    <t xml:space="preserve">Mr. Swapnil Shejul</t>
  </si>
  <si>
    <t xml:space="preserve">Associate Project Manager</t>
  </si>
  <si>
    <t xml:space="preserve">47010668</t>
  </si>
  <si>
    <t xml:space="preserve">Software Developer</t>
  </si>
  <si>
    <t xml:space="preserve">BE-Mechanical-2022(FT),Diploma - Engineering-Mechanical-2019(FT),SSC/XTH STD/SSLC-Pre Schooling Education-2016(FT)</t>
  </si>
  <si>
    <t xml:space="preserve">Mr. Akula Subhash Kumar</t>
  </si>
  <si>
    <t xml:space="preserve">BTech-Civil-2015(FT),HSC/Intermediate/Pre-University-Others-2011(FT),SSC/XTH STD/SSLC-Others-2009(FT)</t>
  </si>
  <si>
    <t xml:space="preserve">Mr. Rohit Vaishya</t>
  </si>
  <si>
    <t xml:space="preserve">Certificate Course-Computer Applications-2022(FT),MSc-Computer Science Engg.-2020(FT),BSc-Information Technology-2015(FT),HSC/Intermediate/Pre-University-Science-2012(FT),SSC/XTH STD/SSLC-Hindi-2010(F</t>
  </si>
  <si>
    <t xml:space="preserve">Mr. Harsh Mishra</t>
  </si>
  <si>
    <t xml:space="preserve">BE-Mechanical-2022(FT),HSC/Intermediate/Pre-University-Science-2017(FT),SSC/XTH STD/SSLC-English-2015(FT)</t>
  </si>
  <si>
    <t xml:space="preserve">Mr. Umesha Nand Jha</t>
  </si>
  <si>
    <t xml:space="preserve">MBA-Information System-2010(PT),PGD in Computer Science-Computer Applications-2004(FT),BSc-Science-1998(FT)</t>
  </si>
  <si>
    <t xml:space="preserve">Mr. Nitesh Kamat</t>
  </si>
  <si>
    <t xml:space="preserve">BE-Information Technology-2008(FT),HSC/Intermediate/Pre-University-Science-2004(FT),SSC/XTH STD/SSLC-Education-2002(FT)</t>
  </si>
  <si>
    <t xml:space="preserve">Mr. Donald Rasquinha</t>
  </si>
  <si>
    <t xml:space="preserve">43.4</t>
  </si>
  <si>
    <t xml:space="preserve">BE-Electronics &amp; Comm. Engg-2006,Other Engineering Certificates-Electronics &amp; Radio-2003(FT),HSC/Intermediate/Pre-University-Science-2001,SSC/XTH STD/SSLC-Others-1999</t>
  </si>
  <si>
    <t xml:space="preserve">Mr. Sudhakar Mhatre</t>
  </si>
  <si>
    <t xml:space="preserve">BCom-Accounts-1997</t>
  </si>
  <si>
    <t xml:space="preserve">Mr. Amey Paithankar</t>
  </si>
  <si>
    <t xml:space="preserve">Ms. Rajani Nair</t>
  </si>
  <si>
    <t xml:space="preserve">2.3</t>
  </si>
  <si>
    <t xml:space="preserve">BA-Geography-2002(FT)</t>
  </si>
  <si>
    <t xml:space="preserve">Mr. Chellappa Asirvatham</t>
  </si>
  <si>
    <t xml:space="preserve">Certificate Course-Information System Audit-2026(PT),Other Management Certificates-Information Technology-2018,BCA-Computer Applications-2011(CO),HSC/Intermediate/Pre-University-Science-2003(CO),Other</t>
  </si>
  <si>
    <t xml:space="preserve">Mr. Yogesh Thakare</t>
  </si>
  <si>
    <t xml:space="preserve">BTech-Electrical-2022(FT),HSC/Intermediate/Pre-University-Education-2018(FT),SSC/XTH STD/SSLC-Education-2016(FT)</t>
  </si>
  <si>
    <t xml:space="preserve">Mr. Mahesh Sonawane</t>
  </si>
  <si>
    <t xml:space="preserve">BE-Information Technology-2014</t>
  </si>
  <si>
    <t xml:space="preserve">Mr. Sachin Konkar</t>
  </si>
  <si>
    <t xml:space="preserve">Team Lead -Information Security</t>
  </si>
  <si>
    <t xml:space="preserve">Certificate Course-Security-2024(CO),Certificate Course-Security-2020(CO),Certificate Course-Information System-2019(CO),PGDM-Information Technology-2014(CO),BE-Computer Engg-2002,HSC/Intermediate/Pre</t>
  </si>
  <si>
    <t xml:space="preserve">Mr. Hemant Kumar Tongaria</t>
  </si>
  <si>
    <t xml:space="preserve">55.5</t>
  </si>
  <si>
    <t xml:space="preserve">BE-Computer Engg-2001</t>
  </si>
  <si>
    <t xml:space="preserve">Mr. Bibhuti Bhusan Padhan</t>
  </si>
  <si>
    <t xml:space="preserve">MCA-Computer Applications-2010(PT),BCA-Computer Applications-2007(FT)</t>
  </si>
  <si>
    <t xml:space="preserve">Mr. Venkata Anil Kumar Vudutha</t>
  </si>
  <si>
    <t xml:space="preserve">BTech-Electrical-2006(FT)</t>
  </si>
  <si>
    <t xml:space="preserve">Mr. Sujit Yerunkar</t>
  </si>
  <si>
    <t xml:space="preserve">E&amp;M IT Corporate Portals &amp; Websites</t>
  </si>
  <si>
    <t xml:space="preserve">B</t>
  </si>
  <si>
    <t xml:space="preserve">BE-Computer Science Engg.-1996</t>
  </si>
  <si>
    <t xml:space="preserve">Mr. Sudarshan Dalvi</t>
  </si>
  <si>
    <t xml:space="preserve">MBA-Information Technology-2009,Diploma - Engineering-Information Technology-1994</t>
  </si>
  <si>
    <t xml:space="preserve">Mr. Sujit Tupe</t>
  </si>
  <si>
    <t xml:space="preserve">BE-Electronics Engg-2019(FT),Dip Engg-2 yrs after 10th-Electronics Engg-2016(FT),SSC/XTH STD/SSLC-Others-2012(FT)</t>
  </si>
  <si>
    <t xml:space="preserve">Mr. Paresh Mayekar</t>
  </si>
  <si>
    <t xml:space="preserve">Diploma - Engineering-Electrical-2006(FT),SSC/XTH STD/SSLC-Education-1996(FT)</t>
  </si>
  <si>
    <t xml:space="preserve">Mr. Minaketan Dash</t>
  </si>
  <si>
    <t xml:space="preserve">39.1</t>
  </si>
  <si>
    <t xml:space="preserve">BTech-Computer Engg-2009(FT),Diploma - Engineering-Computer Science Engg.-2005(FT),SSC/XTH STD/SSLC-Others-2002(FT)</t>
  </si>
  <si>
    <t xml:space="preserve">Mr. Raghavendra Bidwai</t>
  </si>
  <si>
    <t xml:space="preserve">BE-Electronics &amp; Comm. Engg-2009</t>
  </si>
  <si>
    <t xml:space="preserve">Mr. Akash Nilay</t>
  </si>
  <si>
    <t xml:space="preserve">BTech-Electronics &amp; Instru Engg-2019(FT),HSC/Intermediate/Pre-University-Science-2015(FT),SSC/XTH STD/SSLC-Upper Primary Education-2013(FT)</t>
  </si>
  <si>
    <t xml:space="preserve">Mr. Ganesh Shenoy</t>
  </si>
  <si>
    <t xml:space="preserve">MBA-Business Administration-2011(FT),BE-Production Engg-2002(FT)</t>
  </si>
  <si>
    <t xml:space="preserve">Mr. Ram Jadhav</t>
  </si>
  <si>
    <t xml:space="preserve">Jr. Data Scientist</t>
  </si>
  <si>
    <t xml:space="preserve">24281755</t>
  </si>
  <si>
    <t xml:space="preserve">Junior Data Scientist</t>
  </si>
  <si>
    <t xml:space="preserve">MSc-Statistics-2021(FT),BSc-Statistics-2019(FT),HSC/Intermediate/Pre-University-Science-2016(FT),SSC/XTH STD/SSLC-Others-2014(FT)</t>
  </si>
  <si>
    <t xml:space="preserve">Mr. Aseem Godambe</t>
  </si>
  <si>
    <t xml:space="preserve">BE-Information Technology-2021(FT),HSC/Intermediate/Pre-University-Science-2017(FT),SSC/XTH STD/SSLC-Others-2015(FT)</t>
  </si>
  <si>
    <t xml:space="preserve">Mr. Swaraj Singh Rathore</t>
  </si>
  <si>
    <t xml:space="preserve">BE-Computer Science Engg.-2022(FT),HSC/Intermediate/Pre-University-Science-2017(FT),SSC/XTH STD/SSLC-Science-2015(FT)</t>
  </si>
  <si>
    <t xml:space="preserve">Mr. Nikhil Sonje</t>
  </si>
  <si>
    <t xml:space="preserve">BE-Electronics &amp; Comm. Engg-2022(FT),HSC/Intermediate/Pre-University-Science-2017(FT),SSC/XTH STD/SSLC-Science-2015(FT)</t>
  </si>
  <si>
    <t xml:space="preserve">Mr. Tejas Ahire</t>
  </si>
  <si>
    <t xml:space="preserve">BE-Mechanical-2022(FT),Diploma - Engineering-Mechanical-2019(FT),SSC/XTH STD/SSLC-Others-2016(FT)</t>
  </si>
  <si>
    <t xml:space="preserve">Mr. Sanju Shinde</t>
  </si>
  <si>
    <t xml:space="preserve">BE-Electrical-2021(FT),HSC/Intermediate/Pre-University-Science-2015(FT),SSC/XTH STD/SSLC-English-2013(FT)</t>
  </si>
  <si>
    <t xml:space="preserve">Mr. Ganesh Patil</t>
  </si>
  <si>
    <t xml:space="preserve">BE-Mechanical-2022(FT),Diploma-Mechanical-2019(FT),SSC/XTH STD/SSLC-Education-2016(FT)</t>
  </si>
  <si>
    <t xml:space="preserve">Mr. Yash Verma</t>
  </si>
  <si>
    <t xml:space="preserve">BTech-Electronics &amp; Comm. Engg-2022(FT),HSC/Intermediate/Pre-University-Science-2017(FT),SSC/XTH STD/SSLC-Pre Schooling Education-2015(FT)</t>
  </si>
  <si>
    <t xml:space="preserve">Mr. Harshad Dhanke</t>
  </si>
  <si>
    <t xml:space="preserve">BE-Mechanical-2022(FT),Diploma - Engineering-Mechanical-2018(FT),SSC/XTH STD/SSLC-Education-2015(FT)</t>
  </si>
  <si>
    <t xml:space="preserve">Ms. Charmi Mahendra Ramani</t>
  </si>
  <si>
    <t xml:space="preserve">Executive</t>
  </si>
  <si>
    <t xml:space="preserve">45280144</t>
  </si>
  <si>
    <t xml:space="preserve">Executive Documentation</t>
  </si>
  <si>
    <t xml:space="preserve">13.8</t>
  </si>
  <si>
    <t xml:space="preserve">Certificate Course-Others-2018(PT),Certificate Course-Others-2018(PT),Certificate Course-Others-2018(PT),Diploma-Business Administration-2013(PT),BCom-Commerce-2012(FT),HSC/Intermediate/Pre-University</t>
  </si>
  <si>
    <t xml:space="preserve">Ms. Ruchika Ghadigaonkar</t>
  </si>
  <si>
    <t xml:space="preserve">BE-Electrical &amp; Electronics Engg-2015(FT),Diploma - Engineering-Electrical &amp; Electronics Engg-2012(FT),HSC/Intermediate/Pre-University-Science-2009(FT),SSC/XTH STD/SSLC-Marathi-2007(FT)</t>
  </si>
  <si>
    <t xml:space="preserve">Ms. Sabha Khan</t>
  </si>
  <si>
    <t xml:space="preserve">Ms. Maheshwari Sejal Manishkumar</t>
  </si>
  <si>
    <t xml:space="preserve">BTech-Computer Engg-2022(FT),HSC/Intermediate/Pre-University-Education-2018(FT),SSC/XTH STD/SSLC-Education-2016(FT)</t>
  </si>
  <si>
    <t xml:space="preserve">Ms. Manoshi Sankhe</t>
  </si>
  <si>
    <t xml:space="preserve">MMS-Information System-2022(FT),BE-Others-2019(FT),HSC/Intermediate/Pre-University-Science-2015(FT),SSC/XTH STD/SSLC-Others-2013(FT)</t>
  </si>
  <si>
    <t xml:space="preserve">Mr. Mahendra Kale</t>
  </si>
  <si>
    <t xml:space="preserve">38.10</t>
  </si>
  <si>
    <t xml:space="preserve">BE-Electronics &amp; Comm. Engg-2009(FT),HSC/Intermediate/Pre-University-Science-2005(FT),SSC/XTH STD/SSLC-Social Science-2003(FT)</t>
  </si>
  <si>
    <t xml:space="preserve">Mr. Alumalla Raji Reddy</t>
  </si>
  <si>
    <t xml:space="preserve">33.7</t>
  </si>
  <si>
    <t xml:space="preserve">10.0</t>
  </si>
  <si>
    <t xml:space="preserve">BTech-Electronics &amp; Comm. Engg-2014(FT),HSC/Intermediate/Pre-University-Mathematics-2010(FT),SSC/XTH STD/SSLC-Others-2008(FT)</t>
  </si>
  <si>
    <t xml:space="preserve">Mr. Kiran Shetkar</t>
  </si>
  <si>
    <t xml:space="preserve">BCom-Commerce-2000(FT),HSC/Intermediate/Pre-University-Commerce-1995(FT),SSC/XTH STD/SSLC-Upper Primary Education-1993(FT)</t>
  </si>
  <si>
    <t xml:space="preserve">Ms. Krutika Mestry</t>
  </si>
  <si>
    <t xml:space="preserve">MMS-Human Resource-2018(FT),BMS-Human Resource-2015(FT),HSC/Intermediate/Pre-University-Commerce-2013(FT),SSC/XTH STD/SSLC-Upper Primary Education-2010(FT)</t>
  </si>
  <si>
    <t xml:space="preserve">Ms. Sadhana Maske</t>
  </si>
  <si>
    <t xml:space="preserve">33.3</t>
  </si>
  <si>
    <t xml:space="preserve">BE-Electronics Engg-2014(FT),HSC/Intermediate/Pre-University-Science-2010(FT),SSC/XTH STD/SSLC-Science-2008(FT)</t>
  </si>
  <si>
    <t xml:space="preserve">Mr. Somnath Goutham Perisepalli</t>
  </si>
  <si>
    <t xml:space="preserve">BTech-Mechanical-2001(FT)</t>
  </si>
  <si>
    <t xml:space="preserve">Ms. Aishwarya Desai</t>
  </si>
  <si>
    <t xml:space="preserve">25.6</t>
  </si>
  <si>
    <t xml:space="preserve">BCom-Commerce-2021(FT),HSC/Intermediate/Pre-University-Commerce-2018(FT),SSC/XTH STD/SSLC-Marathi-2016(FT)</t>
  </si>
  <si>
    <t xml:space="preserve">Ms. Prajkta Pandurang Ghorpade</t>
  </si>
  <si>
    <t xml:space="preserve">BE-Computer Engg-2022(FT),HSC/Intermediate/Pre-University-Science-2018(FT),SSC/XTH STD/SSLC-Education-2016(FT)</t>
  </si>
  <si>
    <t xml:space="preserve">Mr. Bharatsinh J. Solanki</t>
  </si>
  <si>
    <t xml:space="preserve">BSc (Engg.) - 3  yrs-Information Technology-2012(CO),MBA-Information Technology-2012(CO),BCA-Computer Applications-2010(CO),Diploma-Computer Applications-2004(CO)</t>
  </si>
  <si>
    <t xml:space="preserve">Mr. Mahesh Phatak</t>
  </si>
  <si>
    <t xml:space="preserve">MBA-Others-2013(CO),BE-Electronics Engg-1995(FT)</t>
  </si>
  <si>
    <t xml:space="preserve">Mr. Milan Koli</t>
  </si>
  <si>
    <t xml:space="preserve">45.6</t>
  </si>
  <si>
    <t xml:space="preserve">MBA-Finance-2012(CO),BCom-Accounts-2001(FT)</t>
  </si>
  <si>
    <t xml:space="preserve">Mr. Ruben Jacob</t>
  </si>
  <si>
    <t xml:space="preserve">E&amp;M IT SAP HRMS</t>
  </si>
  <si>
    <t xml:space="preserve">BIT-Information Technology-2012(FT),HSC/Intermediate/Pre-University-Science-2009(FT),SSC/XTH STD/SSLC-Science-2007(FT)</t>
  </si>
  <si>
    <t xml:space="preserve">Mr. Nikhil Kulkarni</t>
  </si>
  <si>
    <t xml:space="preserve">BE-Electronics Engg-2015(FT),HSC/Intermediate/Pre-University-Science-2010(FT),SSC/XTH STD/SSLC-Science-2008(FT)</t>
  </si>
  <si>
    <t xml:space="preserve">Ms. Shruti Nair</t>
  </si>
  <si>
    <t xml:space="preserve">32.8</t>
  </si>
  <si>
    <t xml:space="preserve">BE-Information Technology-2015(FT),HSC/Intermediate/Pre-University-Science-2011(FT),SSC/XTH STD/SSLC-Science-2009(FT)</t>
  </si>
  <si>
    <t xml:space="preserve">Mr. Vaibhav Hulgutte</t>
  </si>
  <si>
    <t xml:space="preserve">BSc-Information System-2014(FT)</t>
  </si>
  <si>
    <t xml:space="preserve">Mr. Vaibhav Landge</t>
  </si>
  <si>
    <t xml:space="preserve">BSc-Computer Science Engg.-2017(FT),HSC/Intermediate/Pre-University-Science-2010(FT),SSC/XTH STD/SSLC-Marathi-2008(FT)</t>
  </si>
  <si>
    <t xml:space="preserve">Mr. Amit Dhamal</t>
  </si>
  <si>
    <t xml:space="preserve">45.2</t>
  </si>
  <si>
    <t xml:space="preserve">Other Engineering Certificates-Computer Applications-2009(CO),Diploma - Engineering-Electronics Engg-2001(FT),SSC/XTH STD/SSLC-Education-1997(FT)</t>
  </si>
  <si>
    <t xml:space="preserve">Mr. Parth Sinha</t>
  </si>
  <si>
    <t xml:space="preserve">BTech-Computer Science Engg.-2013(FT),HSC/Intermediate/Pre-University-Mathematics-2009(FT),SSC/XTH STD/SSLC-Computer Applications-2007(FT)</t>
  </si>
  <si>
    <t xml:space="preserve">Mr. Nilesh Kadam</t>
  </si>
  <si>
    <t xml:space="preserve">BSc Tech-Information Technology-2015(CO),Diploma - Engineering-Computer Engg-2008(FT)</t>
  </si>
  <si>
    <t xml:space="preserve">Mr. Nikhil Kushe</t>
  </si>
  <si>
    <t xml:space="preserve">BTech-Electronics &amp; Comm. Engg-2010(FT)</t>
  </si>
  <si>
    <t xml:space="preserve">Mr. Shubham Chavan</t>
  </si>
  <si>
    <t xml:space="preserve">Diploma - Engineering-Civil-2019(FT),HSC/Intermediate/Pre-University-Science-2016(FT),SSC/XTH STD/SSLC-Applied Sciences-2014(FT)</t>
  </si>
  <si>
    <t xml:space="preserve">Mr. Edwin David</t>
  </si>
  <si>
    <t xml:space="preserve">39.9</t>
  </si>
  <si>
    <t xml:space="preserve">BE-Electronics &amp; Comm. Engg-2010(FT),HSC/Intermediate/Pre-University-Science-2004(FT),SSC/XTH STD/SSLC-English-2002(FT)</t>
  </si>
  <si>
    <t xml:space="preserve">Mr. Yash Bangare</t>
  </si>
  <si>
    <t xml:space="preserve">Associate UI/UX Designer</t>
  </si>
  <si>
    <t xml:space="preserve">24281868</t>
  </si>
  <si>
    <t xml:space="preserve">BE-Computer Science Engg.-2022(FT),HSC/Intermediate/Pre-University-Science-2018(FT),SSC/XTH STD/SSLC-Science-2016(FT)</t>
  </si>
  <si>
    <t xml:space="preserve">Mr. Mohammed Sohail Badshah</t>
  </si>
  <si>
    <t xml:space="preserve">BSc-Information Technology-2018(FT)</t>
  </si>
  <si>
    <t xml:space="preserve">Mr. Ganesh Moorthy</t>
  </si>
  <si>
    <t xml:space="preserve">MBA-Marketing-2013(FT),BE-Computer Science Engg.-2008(FT)</t>
  </si>
  <si>
    <t xml:space="preserve">Mr. Vikram Singh</t>
  </si>
  <si>
    <t xml:space="preserve">44.9</t>
  </si>
  <si>
    <t xml:space="preserve">Certificate Course-Project Management-2016(CO),Certificate Course-Information System-2013(CO),PGDBA-Operations-2009,BE-Electronics &amp; Comm. Engg-2002</t>
  </si>
  <si>
    <t xml:space="preserve">Ms. Aditi Oraon</t>
  </si>
  <si>
    <t xml:space="preserve">24281517</t>
  </si>
  <si>
    <t xml:space="preserve">Designer2023_A</t>
  </si>
  <si>
    <t xml:space="preserve">MDes-Digital Media-2023(FT),BTech-Electrical-2020(FT),Schooling-Science-2016(FT),Schooling-Science-2014(FT)</t>
  </si>
  <si>
    <t xml:space="preserve">Mr. Bhargav Rokade</t>
  </si>
  <si>
    <t xml:space="preserve">BE-Electronics &amp; Comm. Engg-2023(FT),HSC/Intermediate/Pre-University-Science-2019(FT),SSC/XTH STD/SSLC-Science-2017(FT)</t>
  </si>
  <si>
    <t xml:space="preserve">Mr. Ashish Kumar</t>
  </si>
  <si>
    <t xml:space="preserve">BE-Electronics &amp; Comm. Engg-2023(FT),HSC/Intermediate/Pre-University-Mathematics-2018(FT),SSC/XTH STD/SSLC-Science-2016(FT)</t>
  </si>
  <si>
    <t xml:space="preserve">Mr. Pranjal Khande</t>
  </si>
  <si>
    <t xml:space="preserve">BE-Computer Engg-2023(FT),HSC/Intermediate/Pre-University-Science-2018(FT),SSC/XTH STD/SSLC-Science-2016(FT)</t>
  </si>
  <si>
    <t xml:space="preserve">Mr. Prathamesh Pakhare</t>
  </si>
  <si>
    <t xml:space="preserve">BE-Computer Science Engg.-2023(FT),HSC/Intermediate/Pre-University-Science-2019(FT),SSC/XTH STD/SSLC-Mathematics-2017(FT)</t>
  </si>
  <si>
    <t xml:space="preserve">Ms. Harshada Ghadge</t>
  </si>
  <si>
    <t xml:space="preserve">BE-Electronics &amp; Comm. Engg-2023(FT),HSC/Intermediate/Pre-University-Science-2019(FT),SSC/XTH STD/SSLC-Education-2017(FT)</t>
  </si>
  <si>
    <t xml:space="preserve">Mr. Mohit Mhetre</t>
  </si>
  <si>
    <t xml:space="preserve">BE-Computer Engg-2023(FT),HSC/Intermediate/Pre-University-Science-2019(FT),SSC/XTH STD/SSLC-Science-2017(FT)</t>
  </si>
  <si>
    <t xml:space="preserve">Mr. Suhas Thorat</t>
  </si>
  <si>
    <t xml:space="preserve">36.10</t>
  </si>
  <si>
    <t xml:space="preserve">BSc-Information Technology-2022(FT),Diploma - Engineering-Computer Engg-2009(FT)</t>
  </si>
  <si>
    <t xml:space="preserve">Mr. Amanpreet Singh</t>
  </si>
  <si>
    <t xml:space="preserve">MBA-Information System-2017(FT),BTech-Electronics &amp; Comm. Engg-2014(FT),Diploma - Engineering-Electronics &amp; Comm. Engg-2011(FT)</t>
  </si>
  <si>
    <t xml:space="preserve">Mr. Sachin Laxman Rasam</t>
  </si>
  <si>
    <t xml:space="preserve">BSc-Physics-2008(FT),HSC/Intermediate/Pre-University-Science-2004(FT),SSC/XTH STD/SSLC-Marathi-2002(FT)</t>
  </si>
  <si>
    <t xml:space="preserve">Mr. Manoj Godage</t>
  </si>
  <si>
    <t xml:space="preserve">Mr. Mohd Usama Ansari</t>
  </si>
  <si>
    <t xml:space="preserve">Mr. Viraj Dawte</t>
  </si>
  <si>
    <t xml:space="preserve">Ms. Madhuri Kubade</t>
  </si>
  <si>
    <t xml:space="preserve">Mr. Lakhan Baburao Musale</t>
  </si>
  <si>
    <t xml:space="preserve">Mr. Shubham Shamrao Shinde</t>
  </si>
  <si>
    <t xml:space="preserve">BTech-Computer Science Engg.-2023(FT),HSC/Intermediate/Pre-University-Science-2019(FT),SSC/XTH STD/SSLC-Marathi-2017(FT)</t>
  </si>
  <si>
    <t xml:space="preserve">Mr. Aldrich Dsouza</t>
  </si>
  <si>
    <t xml:space="preserve">BE-Information Technology-2023(FT),HSC/Intermediate/Pre-University-Science-2019(FT),SSC/XTH STD/SSLC-Science-2017(FT)</t>
  </si>
  <si>
    <t xml:space="preserve">Mr. Kumar Pawar</t>
  </si>
  <si>
    <t xml:space="preserve">Mr. Akash Shirsath</t>
  </si>
  <si>
    <t xml:space="preserve">Jr. Engineer -SRE</t>
  </si>
  <si>
    <t xml:space="preserve">24281797</t>
  </si>
  <si>
    <t xml:space="preserve">Junior Engineer SRE</t>
  </si>
  <si>
    <t xml:space="preserve">BTech-Electrical-2020(FT),Diploma - Engineering-Electrical-2017(FT),SSC/XTH STD/SSLC-Others-2014(FT)</t>
  </si>
  <si>
    <t xml:space="preserve">Mr. Purendra Pratap Upadhyay</t>
  </si>
  <si>
    <t xml:space="preserve">BE-Computer Engg-2012(FT),HSC/Intermediate/Pre-University-Science-2004(FT),SSC/XTH STD/SSLC-Science-2001(FT)</t>
  </si>
  <si>
    <t xml:space="preserve">Ms. Rachana Kota</t>
  </si>
  <si>
    <t xml:space="preserve">BCom-Commerce-2007(FT),HSC/Intermediate/Pre-University-Commerce-2004(FT),SSC/XTH STD/SSLC-Upper Primary Education-2002(FT)</t>
  </si>
  <si>
    <t xml:space="preserve">Mr. Omkar Rane</t>
  </si>
  <si>
    <t xml:space="preserve">MSc-Information Technology-2021(FT),BSc-Information Technology-2016(FT),HSC/Intermediate/Pre-University-Science-2013(FT),SSC/XTH STD/SSLC-Others-2011(FT)</t>
  </si>
  <si>
    <t xml:space="preserve">Mr. Tushar Rathore</t>
  </si>
  <si>
    <t xml:space="preserve">BTech-Computer Science Engg.-2021(FT),HSC/Intermediate/Pre-University-Mathematics-2017(FT),SSC/XTH STD/SSLC-Others-2015(FT)</t>
  </si>
  <si>
    <t xml:space="preserve">Mr. Tejas Jadhav</t>
  </si>
  <si>
    <t xml:space="preserve">Mr. Abhilash Dutta</t>
  </si>
  <si>
    <t xml:space="preserve">BE-Electronics &amp; Comm. Engg-2016,Diploma - Engineering-Electronics &amp; Comm. Engg-2013</t>
  </si>
  <si>
    <t xml:space="preserve">Mr. B. Deena Dayalan</t>
  </si>
  <si>
    <t xml:space="preserve">MCA-Computer Applications-1999</t>
  </si>
  <si>
    <t xml:space="preserve">Mr. Sachchidanand Singh Patel</t>
  </si>
  <si>
    <t xml:space="preserve">Certificate Course-Network Administration-2012,PGDIT-Information Technology-1999,BSc-Electronics Engg-1996(FT)</t>
  </si>
  <si>
    <t xml:space="preserve">Mr. Srinivas Lakavath</t>
  </si>
  <si>
    <t xml:space="preserve">39.8</t>
  </si>
  <si>
    <t xml:space="preserve">BTech-Computer Science Engg.-2008(FT),HSC/Intermediate/Pre-University-Mathematics-2004(FT),SSC/XTH STD/SSLC-Education-2002(FT)</t>
  </si>
  <si>
    <t xml:space="preserve">Mr. Shahbuddin Dawood Shaikh</t>
  </si>
  <si>
    <t xml:space="preserve">BSc-Information Technology-2019(FT),HSC/Intermediate/Pre-University-Information Technology-2014(FT),SSC/XTH STD/SSLC-Others-2012(FT)</t>
  </si>
  <si>
    <t xml:space="preserve">Mr. Ravi Vishwakarma</t>
  </si>
  <si>
    <t xml:space="preserve">BSc (Engg.) - 3  yrs-Information Technology-2018(FT),HSC/Intermediate/Pre-University-English-2015(FT),SSC/XTH STD/SSLC-Hindi-2013(FT)</t>
  </si>
  <si>
    <t xml:space="preserve">Mr. Aayush Dharmesh Doshi</t>
  </si>
  <si>
    <t xml:space="preserve">Others-Supply Chain-2021(FT),BSc-Marketing-2018(FT),HSC/Intermediate/Pre-University-Business Administration-2014(FT),SSC/XTH STD/SSLC-Others-2012(FT)</t>
  </si>
  <si>
    <t xml:space="preserve">Mr. Kalpesh Jadhav</t>
  </si>
  <si>
    <t xml:space="preserve">BSc Tech-Information Technology-2011(FT),HSC/Intermediate/Pre-University-Education-2007(FT),SSC/XTH STD/SSLC-Education-2005(FT)</t>
  </si>
  <si>
    <t xml:space="preserve">Mr. Tulasiram Addanki</t>
  </si>
  <si>
    <t xml:space="preserve">MCA-Computer Applications-2012(FT),BSc-Computer Programming-2009(FT),HSC/Intermediate/Pre-University-Mathematics-2006(FT),SSC/XTH STD/SSLC-Mathematics-2004(FT)</t>
  </si>
  <si>
    <t xml:space="preserve">Mr. Tushar Malusare</t>
  </si>
  <si>
    <t xml:space="preserve">Diploma-Telecommunication-2008(FT)</t>
  </si>
  <si>
    <t xml:space="preserve">Ms. Garima Joshi</t>
  </si>
  <si>
    <t xml:space="preserve">Others-Others-2023(FT),BArch-Architechtural Engg.-2020(FT),Schooling-Others-2015(FT),SSC/XTH STD/SSLC-Others-2013(FT)</t>
  </si>
  <si>
    <t xml:space="preserve">Mr. Pratik Jangale</t>
  </si>
  <si>
    <t xml:space="preserve">Mr. Praveen Ambre</t>
  </si>
  <si>
    <t xml:space="preserve">BTech-Computer Science Engg.-2023(FT),HSC/Intermediate/Pre-University-Mathematics-2019(FT),SSC/XTH STD/SSLC-Education-2017(FT)</t>
  </si>
  <si>
    <t xml:space="preserve">Mr. Sourav Kumar</t>
  </si>
  <si>
    <t xml:space="preserve">BE-Electronics &amp; Comm. Engg-2023(FT),BE-Electronics &amp; Comm. Engg-2023(FT),HSC/Intermediate/Pre-University-Science-2018(FT),SSC/XTH STD/SSLC-Science-2016(FT)</t>
  </si>
  <si>
    <t xml:space="preserve">Mr. Chaitanya Karnakar</t>
  </si>
  <si>
    <t xml:space="preserve">BE-Computer Science Engg.-2023(FT),HSC/Intermediate/Pre-University-Mathematics-2018(FT),SSC/XTH STD/SSLC-Mathematics-2016(FT)</t>
  </si>
  <si>
    <t xml:space="preserve">Mr. Nikhil Jain</t>
  </si>
  <si>
    <t xml:space="preserve">Jr. Engineer -Information Security</t>
  </si>
  <si>
    <t xml:space="preserve">24281822</t>
  </si>
  <si>
    <t xml:space="preserve">Junior Engineer Information Security</t>
  </si>
  <si>
    <t xml:space="preserve">BTech-Metallurgical Engg-2023(FT),HSC/Intermediate/Pre-University-Science-2018(FT),SSC/XTH STD/SSLC-Science-2016(FT)</t>
  </si>
  <si>
    <t xml:space="preserve">Mr. Kolli Abhinav</t>
  </si>
  <si>
    <t xml:space="preserve">Ms. Khushi Jagtap</t>
  </si>
  <si>
    <t xml:space="preserve">BE-Electronics &amp; Comm. Engg-2023(FT),HSC/Intermediate/Pre-University-Science-2019(FT),SSC/XTH STD/SSLC-Upper Primary Education-2017(FT)</t>
  </si>
  <si>
    <t xml:space="preserve">Mr. Omkar Pimpalkar</t>
  </si>
  <si>
    <t xml:space="preserve">BTech-Computer Science Engg.-2023(FT),HSC/Intermediate/Pre-University-Science-2019(FT),SSC/XTH STD/SSLC-Upper Primary Education-2017(FT)</t>
  </si>
  <si>
    <t xml:space="preserve">Mr. Rishikesh Sarma</t>
  </si>
  <si>
    <t xml:space="preserve">BTech-Electrical-2023(FT),HSC/Intermediate/Pre-University-Science-2019(FT),SSC/XTH STD/SSLC-Others-2017(FT)</t>
  </si>
  <si>
    <t xml:space="preserve">Mr. Vikas Kumar</t>
  </si>
  <si>
    <t xml:space="preserve">BTech-Computer Science Engg.-2023(FT),HSC/Intermediate/Pre-University-Science-2018(FT),SSC/XTH STD/SSLC-Science-2016(FT)</t>
  </si>
  <si>
    <t xml:space="preserve">Mr. Vishwajeet Deshmukh</t>
  </si>
  <si>
    <t xml:space="preserve">BE-Electronics &amp; Comm. Engg-2023(FT),Diploma-Electronics &amp; Comm. Engg-2020(FT),SSC/XTH STD/SSLC-Mathematics-2015(FT)</t>
  </si>
  <si>
    <t xml:space="preserve">Ms. Kanak Sharma</t>
  </si>
  <si>
    <t xml:space="preserve">BTech-Computer Science Engg.-2023(FT),HSC/Intermediate/Pre-University-Science and Technology Studies-2019(FT),SSC/XTH STD/SSLC-Science-2017(FT)</t>
  </si>
  <si>
    <t xml:space="preserve">Mr. Gaurav Shardul</t>
  </si>
  <si>
    <t xml:space="preserve">BTech-Computer Science Engg.-2023(FT),HSC/Intermediate/Pre-University-Mathematics-2019(FT),SSC/XTH STD/SSLC-Mathematics-2017(FT)</t>
  </si>
  <si>
    <t xml:space="preserve">Mr. Hari Shankar Noudu</t>
  </si>
  <si>
    <t xml:space="preserve">Mr. Mithilesh Dalvi</t>
  </si>
  <si>
    <t xml:space="preserve">47015205</t>
  </si>
  <si>
    <t xml:space="preserve">Graduate Engineer Trainee</t>
  </si>
  <si>
    <t xml:space="preserve">BTech-Information Technology-2023(FT),HSC/Intermediate/Pre-University-Science-2019(FT),SSC/XTH STD/SSLC-Mathematics-2017(FT)</t>
  </si>
  <si>
    <t xml:space="preserve">Mr. Jithu Edakulangara</t>
  </si>
  <si>
    <t xml:space="preserve">Jio Tech Scholar_45496869_T</t>
  </si>
  <si>
    <t xml:space="preserve">45283930</t>
  </si>
  <si>
    <t xml:space="preserve">Jio Tech Scholars</t>
  </si>
  <si>
    <t xml:space="preserve">BSc-Others-2022(FT),HSC/Intermediate/Pre-University-Science-2018(FT),SSC/XTH STD/SSLC-Others-2016(FT)</t>
  </si>
  <si>
    <t xml:space="preserve">Mr. Manish Rajhans</t>
  </si>
  <si>
    <t xml:space="preserve">Senior Consultant</t>
  </si>
  <si>
    <t xml:space="preserve">24281730</t>
  </si>
  <si>
    <t xml:space="preserve">MCA-Computer Applications-2012(FT),BSc-Information Technology-2009(FT),HSC/Intermediate/Pre-University-Science-2006(FT),SSC/XTH STD/SSLC-Others-2004(FT)</t>
  </si>
  <si>
    <t xml:space="preserve">Mr. Kshitij Anand</t>
  </si>
  <si>
    <t xml:space="preserve">30.0</t>
  </si>
  <si>
    <t xml:space="preserve">MBA-Operations-2021(FT),BTech-Civil-2018(FT),HSC/Intermediate/Pre-University-Science-2014(FT),SSC/XTH STD/SSLC-Science-2012(FT)</t>
  </si>
  <si>
    <t xml:space="preserve">Ms. Pragati Bhale</t>
  </si>
  <si>
    <t xml:space="preserve">MTech-Computer Science Engg.-2023(FT),HSC/Intermediate/Pre-University-Science-2016(FT),SSC/XTH STD/SSLC-English-2014(FT)</t>
  </si>
  <si>
    <t xml:space="preserve">Mr. Ankur Patil</t>
  </si>
  <si>
    <t xml:space="preserve">BE-Computer Science Engg.-2023(FT),HSC/Intermediate/Pre-University-Science-2019(FT),SSC/XTH STD/SSLC-Science and Technology Studies-2017(FT)</t>
  </si>
  <si>
    <t xml:space="preserve">Mr. Pankaj Sandesh Patil</t>
  </si>
  <si>
    <t xml:space="preserve">Mr. Mohit Lanjewar</t>
  </si>
  <si>
    <t xml:space="preserve">BE-Information Technology-2023(FT),HSC/Intermediate/Pre-University-Science-2019(FT),SSC/XTH STD/SSLC-Mathematics-2016(FT)</t>
  </si>
  <si>
    <t xml:space="preserve">Mr. Dattaram Bagwe</t>
  </si>
  <si>
    <t xml:space="preserve">MBA-Others-2012(PT),BCom-Commerce-1995(FT),HSC/Intermediate/Pre-University-Commerce-1992(FT),SSC/XTH STD/SSLC-Upper Primary Education-1990(FT)</t>
  </si>
  <si>
    <t xml:space="preserve">Mr. Deepak Karande</t>
  </si>
  <si>
    <t xml:space="preserve">BE-Mechanical-2021(FT),Diploma - Engineering-Mechanical-2015(FT),SSC/XTH STD/SSLC-Others-2012(FT)</t>
  </si>
  <si>
    <t xml:space="preserve">Mr. Suraj Gadakh</t>
  </si>
  <si>
    <t xml:space="preserve">BE-Electronics &amp; Comm. Engg-2015(FT),HSC/Intermediate/Pre-University-Science-2010(FT),SSC/XTH STD/SSLC-Marathi-2008(FT)</t>
  </si>
  <si>
    <t xml:space="preserve">Mr. Harihar Simanchal Sahu</t>
  </si>
  <si>
    <t xml:space="preserve">BSc-Information Technology-2018(FT),HSC/Intermediate/Pre-University-Commerce-2012(FT),SSC/XTH STD/SSLC-English-2010(FT)</t>
  </si>
  <si>
    <t xml:space="preserve">Mr. Vitthal Shinde</t>
  </si>
  <si>
    <t xml:space="preserve">BE-Electronics &amp; Comm. Engg-2018(FT),Diploma-Electronics Engg-2014(FT),HSC/Intermediate/Pre-University-Others-2012(FT),SSC/XTH STD/SSLC-Others-2010(FT)</t>
  </si>
  <si>
    <t xml:space="preserve">Mr. Mitesh Naik</t>
  </si>
  <si>
    <t xml:space="preserve">MSc-Information Technology-2016(FT),BSc-Information Technology-2014(FT),HSC/Intermediate/Pre-University-Science and Technology Studies-2010(FT),SSC/XTH STD/SSLC-Science-2008(FT)</t>
  </si>
  <si>
    <t xml:space="preserve">Mr. Saurav Tayade</t>
  </si>
  <si>
    <t xml:space="preserve">BE-Electronics Engg-2022(FT),HSC/Intermediate/Pre-University-Science-2018(FT),SSC/XTH STD/SSLC-Science-2016(FT)</t>
  </si>
  <si>
    <t xml:space="preserve">Ms. Pragya Sharma</t>
  </si>
  <si>
    <t xml:space="preserve">BTech-Computer Science Engg.-2022(FT),HSC/Intermediate/Pre-University-Science-2018(FT),SSC/XTH STD/SSLC-Science-2016(FT)</t>
  </si>
  <si>
    <t xml:space="preserve">Mr. Aakash A</t>
  </si>
  <si>
    <t xml:space="preserve">BE-Computer Science Engg.-2021(FT),HSC/Intermediate/Pre-University-Others-2017(FT),SSC/XTH STD/SSLC-Others-2015(FT)</t>
  </si>
  <si>
    <t xml:space="preserve">Mr. Laxman Parab</t>
  </si>
  <si>
    <t xml:space="preserve">MSc-Statistics-2022(FT),BSc-Statistics-2020(FT),HSC/Intermediate/Pre-University-Science-2017(FT),SSC/XTH STD/SSLC-Science-2015(FT)</t>
  </si>
  <si>
    <t xml:space="preserve">Mr. Anirudh Singh Sanger</t>
  </si>
  <si>
    <t xml:space="preserve">Manager IRM &amp; Cyber Security</t>
  </si>
  <si>
    <t xml:space="preserve">45280396</t>
  </si>
  <si>
    <t xml:space="preserve">Manager Information Security</t>
  </si>
  <si>
    <t xml:space="preserve">BTech-Computer Science Engg.-2021(FT),HSC/Intermediate/Pre-University-Science-2017(FT),SSC/XTH STD/SSLC-Science-2015(FT)</t>
  </si>
  <si>
    <t xml:space="preserve">Mr. Hitesh Bhalerao</t>
  </si>
  <si>
    <t xml:space="preserve">BE-Computer Engg-2022(FT),HSC/Intermediate/Pre-University-Science-2018(FT),SSC/XTH STD/SSLC-Science-2016(FT)</t>
  </si>
  <si>
    <t xml:space="preserve">Mr. Manjunath Anand Arconde</t>
  </si>
  <si>
    <t xml:space="preserve">16.8</t>
  </si>
  <si>
    <t xml:space="preserve">BCA-Computer Applications-2009(FT),HSC/Intermediate/Pre-University-Science-2003(FT),SSC/XTH STD/SSLC-English-1999(FT)</t>
  </si>
  <si>
    <t xml:space="preserve">Mr. Akarsh Adwait Vaidya</t>
  </si>
  <si>
    <t xml:space="preserve">BCA-Computer Applications-2012(FT),HSC/Intermediate/Pre-University-Commerce-2009(FT),SSC/XTH STD/SSLC-Upper Primary Education-2007(FT)</t>
  </si>
  <si>
    <t xml:space="preserve">Mr. Amit Kumar Gupta</t>
  </si>
  <si>
    <t xml:space="preserve">MBA-Others-2024(FT),Certificate Course-Project Management-2024(CO),BE-Electronics &amp; Comm. Engg-2010(FT),HSC/Intermediate/Pre-University-Science-2004(FT),SSC/XTH STD/SSLC-Science-2002(FT)</t>
  </si>
  <si>
    <t xml:space="preserve">Mr. Vijay Wakchaure</t>
  </si>
  <si>
    <t xml:space="preserve">Diploma - Engineering-Electronics &amp; Comm. Engg-1998(FT),HSC/Intermediate/Pre-University-Science-1993,SSC/XTH STD/SSLC-Education-1990</t>
  </si>
  <si>
    <t xml:space="preserve">Mr. Abhinav Choudhary</t>
  </si>
  <si>
    <t xml:space="preserve">PGDBA-Others-2021(FT),BTech-Computer Science Engg.-2013(FT)</t>
  </si>
  <si>
    <t xml:space="preserve">Ms. Pooja Kakulate</t>
  </si>
  <si>
    <t xml:space="preserve">BE-Electronics &amp; Comm. Engg-2021(FT),Diploma-Electronics &amp; Comm. Engg-2018(FT),SSC/XTH STD/SSLC-Mathematics-2015(FT)</t>
  </si>
  <si>
    <t xml:space="preserve">Mr. Nilesh Parmar</t>
  </si>
  <si>
    <t xml:space="preserve">BE-Computer Engg-2014(FT),Diploma - Engineering-Computer Engg-2009(FT),SSC/XTH STD/SSLC-Others-2005(FT)</t>
  </si>
  <si>
    <t xml:space="preserve">Mr. Vineet Borse</t>
  </si>
  <si>
    <t xml:space="preserve">BE-Electronics &amp; Comm. Engg-2021(FT),HSC/Intermediate/Pre-University-Science-2017(FT),SSC/XTH STD/SSLC-Others-2015(FT)</t>
  </si>
  <si>
    <t xml:space="preserve">Mr. Pritam Shinde</t>
  </si>
  <si>
    <t xml:space="preserve">Certificate Course-Project-2023(FT),MBA-Operations-2021(FT),BE-Computer Engg-2016(FT),HSC/Intermediate/Pre-University-Science-2011(FT),SSC/XTH STD/SSLC-English-2009(FT)</t>
  </si>
  <si>
    <t xml:space="preserve">Ms. Kinjal Shah</t>
  </si>
  <si>
    <t xml:space="preserve">BE-Electronics Engg-2008(FT),Diploma - Engineering-Electronics Engg-2005(FT),SSC/XTH STD/SSLC-Others-2002(FT)</t>
  </si>
  <si>
    <t xml:space="preserve">Mr. Subhash Nayak</t>
  </si>
  <si>
    <t xml:space="preserve">MCA-Computer Applications-2021(FT),BCA-Computer Applications-2019(FT),HSC/Intermediate/Pre-University-Science-2016(FT),SSC/XTH STD/SSLC-Others-2014(FT)</t>
  </si>
  <si>
    <t xml:space="preserve">Ms. Vedanti Sawant</t>
  </si>
  <si>
    <t xml:space="preserve">BE-Electronics Engg-2014(FT),Diploma-Electronics Engg-2009(FT),SSC/XTH STD/SSLC-Marathi-2006(FT)</t>
  </si>
  <si>
    <t xml:space="preserve">Mr. Rushikesh Kate</t>
  </si>
  <si>
    <t xml:space="preserve">BE-Computer Science Engg.-2021(FT),HSC/Intermediate/Pre-University-Science-2016(FT),SSC/XTH STD/SSLC-Marathi-2014(FT)</t>
  </si>
  <si>
    <t xml:space="preserve">Mr. Tijo Mathew</t>
  </si>
  <si>
    <t xml:space="preserve">38.6</t>
  </si>
  <si>
    <t xml:space="preserve">BSc-Science-2008(FT)</t>
  </si>
  <si>
    <t xml:space="preserve">Mr. Sandesh Dophe</t>
  </si>
  <si>
    <t xml:space="preserve">BE-Electrical &amp; Electronics Engg-2014(FT),HSC/Intermediate/Pre-University-Science-2010(FT),SSC/XTH STD/SSLC-Science-2008(FT)</t>
  </si>
  <si>
    <t xml:space="preserve">Mr. Ankit Limbasiya</t>
  </si>
  <si>
    <t xml:space="preserve">BE-Computer Science Engg.-2021(FT),HSC/Intermediate/Pre-University-Science-2017(FT),SSC/XTH STD/SSLC-Science-2015(FT)</t>
  </si>
  <si>
    <t xml:space="preserve">Mr. Saurabh Bhojane</t>
  </si>
  <si>
    <t xml:space="preserve">BE-Mechanical-2022(FT),Diploma - Engineering-Automobile-2019(FT),SSC/XTH STD/SSLC-Others-2016(FT)</t>
  </si>
  <si>
    <t xml:space="preserve">Mr. Niraj Chaudhari</t>
  </si>
  <si>
    <t xml:space="preserve">BTech-Mechanical-2022(FT),HSC/Intermediate/Pre-University-Science-2018(FT),SSC/XTH STD/SSLC-Science and Technology Studies-2016(FT)</t>
  </si>
  <si>
    <t xml:space="preserve">Mr. Dileep Dulam</t>
  </si>
  <si>
    <t xml:space="preserve">BTech-Computer Science Engg.-2007(FT)</t>
  </si>
  <si>
    <t xml:space="preserve">Mr. Kusaraju Adigarla</t>
  </si>
  <si>
    <t xml:space="preserve">BTech-Electrical &amp; Electronics Engg-2008(FT),HSC/Intermediate/Pre-University-Science-2003(FT),SSC/XTH STD/SSLC-Upper Primary Education-2001(FT)</t>
  </si>
  <si>
    <t xml:space="preserve">Mr. Prajwal Badgujar</t>
  </si>
  <si>
    <t xml:space="preserve">25.5</t>
  </si>
  <si>
    <t xml:space="preserve">Mr. Milind Patil</t>
  </si>
  <si>
    <t xml:space="preserve">51.2</t>
  </si>
  <si>
    <t xml:space="preserve">BSc-Chemistry-1997(FT),HSC/Intermediate/Pre-University-Science-1993(FT),SSC/XTH STD/SSLC-Education-1991(FT)</t>
  </si>
  <si>
    <t xml:space="preserve">Mr. Sanjay Ramena</t>
  </si>
  <si>
    <t xml:space="preserve">BE-Computer Science Engg.-2013(FT),HSC/Intermediate/Pre-University-Science-2009(FT),SSC/XTH STD/SSLC-English-2007(FT)</t>
  </si>
  <si>
    <t xml:space="preserve">Mr. Ritesh Chalke</t>
  </si>
  <si>
    <t xml:space="preserve">PGDBA-Others-2014(CO),BE-Electronics Engg-2008(FT)</t>
  </si>
  <si>
    <t xml:space="preserve">Ms. Madhurima Dhar</t>
  </si>
  <si>
    <t xml:space="preserve">MS-Information Technology-2017(FT),BCA-Computer Applications-2013(FT),HSC/Intermediate/Pre-University-Science-2010(FT),SSC/XTH STD/SSLC-Upper Primary Education-2007</t>
  </si>
  <si>
    <t xml:space="preserve">Mr. Prafulla Ule</t>
  </si>
  <si>
    <t xml:space="preserve">BCom-Commerce-1997(FT),HSC/Intermediate/Pre-University-Commerce-1993(FT),HSC/Intermediate/Pre-University-Others-1991(FT)</t>
  </si>
  <si>
    <t xml:space="preserve">Mr. Vaibhav Mali</t>
  </si>
  <si>
    <t xml:space="preserve">Associate Data Scientist</t>
  </si>
  <si>
    <t xml:space="preserve">24281754</t>
  </si>
  <si>
    <t xml:space="preserve">BE-Mechanical-2018(FT),HSC/Intermediate/Pre-University-Science-2014(FT),SSC/XTH STD/SSLC-Science-2012(FT)</t>
  </si>
  <si>
    <t xml:space="preserve">Ms. Sarmistha Dutta Baruah</t>
  </si>
  <si>
    <t xml:space="preserve">Other Management Certificates-Others-2012,BE-Electrical-1996</t>
  </si>
  <si>
    <t xml:space="preserve">Ms. Pooja Kadam</t>
  </si>
  <si>
    <t xml:space="preserve">Mr. Godwin Eliazar</t>
  </si>
  <si>
    <t xml:space="preserve">BCom--1994(FT)</t>
  </si>
  <si>
    <t xml:space="preserve">Mr. Rajdeep Singh Jagpal</t>
  </si>
  <si>
    <t xml:space="preserve">BTech-Electrical &amp; Electronics Engg-2018(FT),HSC/Intermediate/Pre-University-Computer Science Engg.-2014(FT),SSC/XTH STD/SSLC-Mathematics-2012(FT)</t>
  </si>
  <si>
    <t xml:space="preserve">Mr. Sagar Gujarati</t>
  </si>
  <si>
    <t xml:space="preserve">BE-Information Technology-2011(FT),HSC/Intermediate/Pre-University--2007</t>
  </si>
  <si>
    <t xml:space="preserve">Ms. Sonia Ganpur</t>
  </si>
  <si>
    <t xml:space="preserve">BA-Arts-2009(FT)</t>
  </si>
  <si>
    <t xml:space="preserve">Mr. Kashif Kazi</t>
  </si>
  <si>
    <t xml:space="preserve">MBA-Information Technology-2020(FT),BE-Electronics Engg-2016(FT),SSC/XTH STD/SSLC-English-2010(FT)</t>
  </si>
  <si>
    <t xml:space="preserve">Mr. Sunil Shastri</t>
  </si>
  <si>
    <t xml:space="preserve">MCA-Computer Applications-2012(CO),BSc-Chemistry-1997(FT)</t>
  </si>
  <si>
    <t xml:space="preserve">Mr. Padmanabhan Srinivasa Rao</t>
  </si>
  <si>
    <t xml:space="preserve">E&amp;M IT Data Science Innovations</t>
  </si>
  <si>
    <t xml:space="preserve">Team Lead -Data Science</t>
  </si>
  <si>
    <t xml:space="preserve">24281759</t>
  </si>
  <si>
    <t xml:space="preserve">Team Lead Data Science</t>
  </si>
  <si>
    <t xml:space="preserve">54.0</t>
  </si>
  <si>
    <t xml:space="preserve">MCA-Computer Applications-2005(CO),PGD in Computer Science-Computer Applications-2002(CO),BSc-Mathematics-1992(PT),HSC/Intermediate/Pre-University-Science-1989(FT),SSC/XTH STD/SSLC-Others-1987(FT)</t>
  </si>
  <si>
    <t xml:space="preserve">Mr. Sanjaya Kumar Pradhan</t>
  </si>
  <si>
    <t xml:space="preserve">MBA-System Languages-2012(CO),BCom-Accounts-1999(CO)</t>
  </si>
  <si>
    <t xml:space="preserve">Mr. Bharath Kumar Kanchukatla</t>
  </si>
  <si>
    <t xml:space="preserve">MBA-Finance-2023(FT),BTech-Electronics &amp; Comm. Engg-2015(FT)</t>
  </si>
  <si>
    <t xml:space="preserve">Mr. Vijay Trimukhe</t>
  </si>
  <si>
    <t xml:space="preserve">22.10</t>
  </si>
  <si>
    <t xml:space="preserve">BE-Computer Engg-2002(FT)</t>
  </si>
  <si>
    <t xml:space="preserve">Mr. Tejas Salunke</t>
  </si>
  <si>
    <t xml:space="preserve">34.1</t>
  </si>
  <si>
    <t xml:space="preserve">BSc Tech-Information Technology-2013(FT),HSC/Intermediate/Pre-University-Science-2010(FT),SSC/XTH STD/SSLC-Science-2008(FT)</t>
  </si>
  <si>
    <t xml:space="preserve">Mr. Biswaprakash Rana</t>
  </si>
  <si>
    <t xml:space="preserve">BTech-Electronics &amp; Comm. Engg-2014(FT),Diploma - Engineering-Electronics Engg-2010(FT),Schooling-Others-2005(FT)</t>
  </si>
  <si>
    <t xml:space="preserve">Mr. Ashutosh Joshi</t>
  </si>
  <si>
    <t xml:space="preserve">6.0</t>
  </si>
  <si>
    <t xml:space="preserve">BE-Information Technology-2019(FT),HSC/Intermediate/Pre-University-Science-2012(FT),SSC/XTH STD/SSLC-Others-2010(FT)</t>
  </si>
  <si>
    <t xml:space="preserve">Mr. Ritik Malde</t>
  </si>
  <si>
    <t xml:space="preserve">BSc-Computer Science Engg.-2021(FT),HSC/Intermediate/Pre-University-Science and Technology Studies-2018(FT),SSC/XTH STD/SSLC-Education-2016(FT)</t>
  </si>
  <si>
    <t xml:space="preserve">Ms. Sangeetha Nadar</t>
  </si>
  <si>
    <t xml:space="preserve">BSc-Information Technology-2021(FT),HSC/Intermediate/Pre-University-Others-2018(FT),SSC/XTH STD/SSLC-Education-2016(FT)</t>
  </si>
  <si>
    <t xml:space="preserve">Mr. Prathamesh Chavan</t>
  </si>
  <si>
    <t xml:space="preserve">BSc-Information Technology-2021(FT),HSC/Intermediate/Pre-University-Science-2018(FT),SSC/XTH STD/SSLC-Others-2016(FT)</t>
  </si>
  <si>
    <t xml:space="preserve">Ms. Mamta Bhatt</t>
  </si>
  <si>
    <t xml:space="preserve">BSc-Computer Science Engg.-2021(FT),HSC/Intermediate/Pre-University-Science-2018(FT),SSC/XTH STD/SSLC-English-2016(FT)</t>
  </si>
  <si>
    <t xml:space="preserve">Mr. Pratap Uttam Dhabe</t>
  </si>
  <si>
    <t xml:space="preserve">BSc-Computer Science Engg.-2021(FT),HSC/Intermediate/Pre-University-Science-2017(FT),SSC/XTH STD/SSLC-Science-2015(FT)</t>
  </si>
  <si>
    <t xml:space="preserve">Mr. Mohammed Salman Shaikh</t>
  </si>
  <si>
    <t xml:space="preserve">MTech-Information Technology-2025(PT),BSc-Information Technology-2021(FT),HSC/Intermediate/Pre-University-Commerce-2018(FT),SSC/XTH STD/SSLC-Others-2016(FT)</t>
  </si>
  <si>
    <t xml:space="preserve">Ms. Pranjal Lokhande</t>
  </si>
  <si>
    <t xml:space="preserve">BSc-Information Technology-2021(FT),HSC/Intermediate/Pre-University-Science-2018(FT),SSC/XTH STD/SSLC-Science-2016(FT)</t>
  </si>
  <si>
    <t xml:space="preserve">Mr. Aditya Pandurang Karale</t>
  </si>
  <si>
    <t xml:space="preserve">BSc-Computer Science Engg.-2021(FT),HSC/Intermediate/Pre-University-Science-2018(FT),SSC/XTH STD/SSLC-Others-2016(FT)</t>
  </si>
  <si>
    <t xml:space="preserve">Mr. Aditya .</t>
  </si>
  <si>
    <t xml:space="preserve">BSc-Computer Applications-2021(FT),HSC/Intermediate/Pre-University-Science-2018(FT),SSC/XTH STD/SSLC-Science-2016(FT)</t>
  </si>
  <si>
    <t xml:space="preserve">Ms. Nidhi Vaishya</t>
  </si>
  <si>
    <t xml:space="preserve">Mr. Sadik Ansari</t>
  </si>
  <si>
    <t xml:space="preserve">BSc-Computer Science Engg.-2021(FT),HSC/Intermediate/Pre-University-Science-2017(FT),SSC/XTH STD/SSLC-Science-2014(FT)</t>
  </si>
  <si>
    <t xml:space="preserve">Ms. Amisha Yadav</t>
  </si>
  <si>
    <t xml:space="preserve">BSc-Information Technology-2021(FT),HSC/Intermediate/Pre-University-Commerce-2018(FT),SSC/XTH STD/SSLC-Others-2016(FT)</t>
  </si>
  <si>
    <t xml:space="preserve">Ms. Seema Kore</t>
  </si>
  <si>
    <t xml:space="preserve">BSc-Information Technology-2021(FT),HSC/Intermediate/Pre-University-Commerce-2018(FT),SSC/XTH STD/SSLC-Marathi-2016(FT)</t>
  </si>
  <si>
    <t xml:space="preserve">Mr. Aakash Yadav</t>
  </si>
  <si>
    <t xml:space="preserve">BSc-Computer Science Engg.-2021(FT),HSC/Intermediate/Pre-University-Science-2018(FT),SSC/XTH STD/SSLC-Hindi-2016(FT)</t>
  </si>
  <si>
    <t xml:space="preserve">Mr. Abhay Raju Thakur</t>
  </si>
  <si>
    <t xml:space="preserve">Ms. Isha Gujar</t>
  </si>
  <si>
    <t xml:space="preserve">BE-Information Technology-2021(FT),HSC/Intermediate/Pre-University-Science-2017(FT),SSC/XTH STD/SSLC-Upper Primary Education-2015(FT)</t>
  </si>
  <si>
    <t xml:space="preserve">Mr. Abhishek Chakraborty</t>
  </si>
  <si>
    <t xml:space="preserve">MBA-Management-2021(FT),BE-Computer Science Engg.-2018(PT),HSC/Intermediate/Pre-University-Others-2014(FT),SSC/XTH STD/SSLC-Others-2010(FT)</t>
  </si>
  <si>
    <t xml:space="preserve">Ms. Muskan Gill</t>
  </si>
  <si>
    <t xml:space="preserve">MBA-Marketing-2021(FT),BBA-Finance-2019(FT),HSC/Intermediate/Pre-University-Others-2015(FT),SSC/XTH STD/SSLC-Others-2013(FT)</t>
  </si>
  <si>
    <t xml:space="preserve">Mr. Gururaj Poojary</t>
  </si>
  <si>
    <t xml:space="preserve">Mr. Shubham Achhelal Yadav</t>
  </si>
  <si>
    <t xml:space="preserve">BSc-Information Technology-2021(FT),HSC/Intermediate/Pre-University-Science-2018(FT),SSC/XTH STD/SSLC-Upper Primary Education-2016(FT)</t>
  </si>
  <si>
    <t xml:space="preserve">Mr. Sunny Gupta</t>
  </si>
  <si>
    <t xml:space="preserve">Ms. Bhavana Vijayprakash Singh</t>
  </si>
  <si>
    <t xml:space="preserve">BSc-Information Technology-2020(FT),HSC/Intermediate/Pre-University-Science-2017(FT),SSC/XTH STD/SSLC-Hindi-2015(FT)</t>
  </si>
  <si>
    <t xml:space="preserve">Mr. Amitkumar Rana</t>
  </si>
  <si>
    <t xml:space="preserve">BCS-Computer Programming-2021(FT),HSC/Intermediate/Pre-University-Computer Programming-2018(FT),SSC/XTH STD/SSLC-Science-2016(FT)</t>
  </si>
  <si>
    <t xml:space="preserve">Mr. Vishnu Vijayan</t>
  </si>
  <si>
    <t xml:space="preserve">BSc-Computer Science Engg.-2021(FT),HSC/Intermediate/Pre-University-Science-2018(FT),SSC/XTH STD/SSLC-Science-2016(FT)</t>
  </si>
  <si>
    <t xml:space="preserve">Mr. Tushaad Tarapore</t>
  </si>
  <si>
    <t xml:space="preserve">17.0</t>
  </si>
  <si>
    <t xml:space="preserve">MBA-Information Technology-2009(PT),BCom-Accounts-2006(FT),HSC/Intermediate/Pre-University-Commerce-2003(FT),SSC/XTH STD/SSLC-Others-2001(FT)</t>
  </si>
  <si>
    <t xml:space="preserve">Ms. Juily Jayprakash Ajgaonkar</t>
  </si>
  <si>
    <t xml:space="preserve">34.4</t>
  </si>
  <si>
    <t xml:space="preserve">BSc-Information Technology-2012(FT)</t>
  </si>
  <si>
    <t xml:space="preserve">Ms. Mrunal Hivare</t>
  </si>
  <si>
    <t xml:space="preserve">BTech-Computer Science Engg.-2022(FT),Diploma-Electrical-2019(FT),SSC/XTH STD/SSLC-English-2015(FT)</t>
  </si>
  <si>
    <t xml:space="preserve">Mr. Dhananjay Gawai</t>
  </si>
  <si>
    <t xml:space="preserve">BTech-Mechanical-2022(FT),Advance Diploma-Mechanical-2019(FT),SSC/XTH STD/SSLC-Science-2014(FT)</t>
  </si>
  <si>
    <t xml:space="preserve">Ms. Shubhangi Shreya</t>
  </si>
  <si>
    <t xml:space="preserve">BTech-Computer Science Engg.-2022(FT),HSC/Intermediate/Pre-University-Education-2018(FT),SSC/XTH STD/SSLC-Education-2016(FT)</t>
  </si>
  <si>
    <t xml:space="preserve">Mr. Aman Shukla</t>
  </si>
  <si>
    <t xml:space="preserve">Mr. Arroju Krupakar</t>
  </si>
  <si>
    <t xml:space="preserve">BE-Electronics &amp; Comm. Engg-2022(FT),Diploma-Electronics &amp; Comm. Engg-2019(FT),SSC/XTH STD/SSLC-Education-2016(FT)</t>
  </si>
  <si>
    <t xml:space="preserve">Mr. Aditya Karale</t>
  </si>
  <si>
    <t xml:space="preserve">BE-Mechanical-2022(FT),Diploma - Engineering-Mechanical-2019(FT),SSC/XTH STD/SSLC-Science-2016(FT)</t>
  </si>
  <si>
    <t xml:space="preserve">Ms. Shalini Tripathi</t>
  </si>
  <si>
    <t xml:space="preserve">BSc-Computer Science Engg.-2020(FT),HSC/Intermediate/Pre-University-Science-2017(FT),SSC/XTH STD/SSLC-Science-2015(FT)</t>
  </si>
  <si>
    <t xml:space="preserve">Ms. Priyanka Mishra</t>
  </si>
  <si>
    <t xml:space="preserve">Ms. Sonali Ghadage</t>
  </si>
  <si>
    <t xml:space="preserve">MSc-Statistics-2021(FT),BSc-Statistics-2019(FT),HSC/Intermediate/Pre-University-Science-2016(FT),SSC/XTH STD/SSLC-Science-2014(FT)</t>
  </si>
  <si>
    <t xml:space="preserve">Ms. Pooja Bhayde</t>
  </si>
  <si>
    <t xml:space="preserve">Software Development Engr I_45487088_T</t>
  </si>
  <si>
    <t xml:space="preserve">27.6</t>
  </si>
  <si>
    <t xml:space="preserve">BE-Computer Science Engg.-2020(FT),Diploma - Engineering-Computer Science Engg.-2017(FT),SSC/XTH STD/SSLC-Others-2014(FT)</t>
  </si>
  <si>
    <t xml:space="preserve">Mr. Amman Fodkar</t>
  </si>
  <si>
    <t xml:space="preserve">BE-Electronics Engg-2017(FT),Diploma-Industrial Electronics-2010(FT),SSC/XTH STD/SSLC-Science-2007(FT)</t>
  </si>
  <si>
    <t xml:space="preserve">Ms. Annam Sowkya</t>
  </si>
  <si>
    <t xml:space="preserve">BBM-Business Management-2016(FT),Schooling-Commerce-2013(FT),SSC/XTH STD/SSLC-Education-2011(FT)</t>
  </si>
  <si>
    <t xml:space="preserve">Ms. Roshani Singh</t>
  </si>
  <si>
    <t xml:space="preserve">Mr. Jash Agrawal</t>
  </si>
  <si>
    <t xml:space="preserve">BSc-Computer Programming-2021(FT),HSC/Intermediate/Pre-University-Computer Programming-2018(FT),SSC/XTH STD/SSLC-Computer Programming-2016(FT)</t>
  </si>
  <si>
    <t xml:space="preserve">Mr. Shubham Inamdar</t>
  </si>
  <si>
    <t xml:space="preserve">Mr. Bhavesh Mayekar</t>
  </si>
  <si>
    <t xml:space="preserve">8.0</t>
  </si>
  <si>
    <t xml:space="preserve">BSc (Engg.)-Information Technology-2019(FT),Diploma - Engineering-Computer Engg-2014(FT),HSC/Intermediate/Pre-University-Science-2011(FT),SSC/XTH STD/SSLC-Science-2009(FT)</t>
  </si>
  <si>
    <t xml:space="preserve">Mr. Amey Rajeshirke</t>
  </si>
  <si>
    <t xml:space="preserve">BSc-Computer Science Engg.-2022(FT),HSC/Intermediate/Pre-University-Science-2019(FT),SSC/XTH STD/SSLC-Science-2017(FT)</t>
  </si>
  <si>
    <t xml:space="preserve">Mr. Shravan Sreejith</t>
  </si>
  <si>
    <t xml:space="preserve">24281869</t>
  </si>
  <si>
    <t xml:space="preserve">Junior UI/UX Designer</t>
  </si>
  <si>
    <t xml:space="preserve">Others-Others-2022(FT)</t>
  </si>
  <si>
    <t xml:space="preserve">Mr. Dipak Vare</t>
  </si>
  <si>
    <t xml:space="preserve">BE-Computer Engg-2021(CO),Diploma - Engineering-Computer Engg-2016(FT),Certificate Course-Information Technology-2014(FT),ITI-Information Technology-2013(FT),SSC/XTH STD/SSLC-Others-2011(FT)</t>
  </si>
  <si>
    <t xml:space="preserve">Mr. Akshay Suryavanshi</t>
  </si>
  <si>
    <t xml:space="preserve">BE-Computer Engg-2021(FT),HSC/Intermediate/Pre-University-Science-2016(FT),SSC/XTH STD/SSLC-Science-2014(FT)</t>
  </si>
  <si>
    <t xml:space="preserve">Ms. Damini Shinde</t>
  </si>
  <si>
    <t xml:space="preserve">BE-Computer Science Engg.-2020(FT),HSC/Intermediate/Pre-University-Science-2016(FT),SSC/XTH STD/SSLC-Science-2014(FT)</t>
  </si>
  <si>
    <t xml:space="preserve">Mr. Sarang Barve</t>
  </si>
  <si>
    <t xml:space="preserve">BTech-Electrical-2017(FT),Diploma - Engineering-Electrical-2014(FT),SSC/XTH STD/SSLC-Marathi-2011(FT)</t>
  </si>
  <si>
    <t xml:space="preserve">Ms. Sakshi Chavan</t>
  </si>
  <si>
    <t xml:space="preserve">BCS-Computer Science Engg.-2022(FT),HSC/Intermediate/Pre-University-Science-2019(FT),SSC/XTH STD/SSLC-Marathi-2017(FT)</t>
  </si>
  <si>
    <t xml:space="preserve">Mr. Raju Jangid</t>
  </si>
  <si>
    <t xml:space="preserve">BSc-Computer Science Engg.-2022(FT),HSC/Intermediate/Pre-University-Science-2019(FT),SSC/XTH STD/SSLC-English-2017(FT)</t>
  </si>
  <si>
    <t xml:space="preserve">Mr. Saurabh Amrutkar</t>
  </si>
  <si>
    <t xml:space="preserve">MSc-Statistics-2021(FT),BSc-Statistics-2018(FT),HSC/Intermediate/Pre-University-Science-2015(FT),SSC/XTH STD/SSLC-Others-2013(FT)</t>
  </si>
  <si>
    <t xml:space="preserve">Mr. Arun Kanti Nanda</t>
  </si>
  <si>
    <t xml:space="preserve">BE-Mechanical-2003,HSC/Intermediate/Pre-University-Science-1998</t>
  </si>
  <si>
    <t xml:space="preserve">Mr. Akhilesh Kumar Jha</t>
  </si>
  <si>
    <t xml:space="preserve">BE-Mechanical-2020(FT),HSC/Intermediate/Pre-University-Science-2016(FT),SSC/XTH STD/SSLC-Others-2014(FT)</t>
  </si>
  <si>
    <t xml:space="preserve">Mr. Angani Sai Tarun</t>
  </si>
  <si>
    <t xml:space="preserve">BTech-Computer Science Engg.-2022(FT),HSC/Intermediate/Pre-University-Physics-2017(FT),SSC/XTH STD/SSLC-Physics-2015(FT)</t>
  </si>
  <si>
    <t xml:space="preserve">Mr. Sunil Kumar</t>
  </si>
  <si>
    <t xml:space="preserve">BSc Tech-Information Technology-2019(FT),HSC/Intermediate/Pre-University-Information Technology-2014(FT),SSC/XTH STD/SSLC-Hindi-2012(FT)</t>
  </si>
  <si>
    <t xml:space="preserve">Mr. Fahad Shaikh</t>
  </si>
  <si>
    <t xml:space="preserve">BE-Electronics &amp; Comm. Engg-2016(FT),Diploma - Engineering-Electronics &amp; Comm. Engg-2013(FT),Schooling-Pre Schooling Education-2010(FT)</t>
  </si>
  <si>
    <t xml:space="preserve">Mr. Gourav Raskar</t>
  </si>
  <si>
    <t xml:space="preserve">Ms. Bhagyashri Bhasme</t>
  </si>
  <si>
    <t xml:space="preserve">BE-Electronics &amp; Comm. Engg-2014(FT),Diploma - Engineering-Electronics &amp; Comm. Engg-2010(FT),SSC/XTH STD/SSLC-Marathi-2005(FT)</t>
  </si>
  <si>
    <t xml:space="preserve">Mr. Rohan Maurya</t>
  </si>
  <si>
    <t xml:space="preserve">BSc-Computer Science Engg.-2022(FT),HSC/Intermediate/Pre-University-Science-2019(FT),SSC/XTH STD/SSLC-Others-2017(FT)</t>
  </si>
  <si>
    <t xml:space="preserve">Mr. Ashitosh Mohite</t>
  </si>
  <si>
    <t xml:space="preserve">BE-Computer Engg-2022(FT),Diploma-Computer Engg-2019(FT),SSC/XTH STD/SSLC-English-2016(FT)</t>
  </si>
  <si>
    <t xml:space="preserve">Mr. Sagar Govekar</t>
  </si>
  <si>
    <t xml:space="preserve">BSc-Physics-2011(FT),HSC/Intermediate/Pre-University-Others-2006(FT),SSC/XTH STD/SSLC-Others-2003(FT)</t>
  </si>
  <si>
    <t xml:space="preserve">Mr. Jayesh Gawade</t>
  </si>
  <si>
    <t xml:space="preserve">BE-Electronics &amp; Comm. Engg-2014(FT),HSC/Intermediate/Pre-University-Science-2010(FT),SSC/XTH STD/SSLC-Arts-2008(FT)</t>
  </si>
  <si>
    <t xml:space="preserve">Mr. Dnyaneshwar Parave</t>
  </si>
  <si>
    <t xml:space="preserve">BE-Mechanical-2018(FT),Diploma - Engineering-Mechanical-2014(FT),HSC/Intermediate/Pre-University-Science-2012(FT),SSC/XTH STD/SSLC-Education-2010(FT)</t>
  </si>
  <si>
    <t xml:space="preserve">Mr. Tushar Bhapkar</t>
  </si>
  <si>
    <t xml:space="preserve">Mr. Vaibhav Shenoy</t>
  </si>
  <si>
    <t xml:space="preserve">BSc-Information Technology-2022(FT),HSC/Intermediate/Pre-University-Commerce-2019(FT),SSC/XTH STD/SSLC-English-2017(FT)</t>
  </si>
  <si>
    <t xml:space="preserve">Ms. Ankita Gupta</t>
  </si>
  <si>
    <t xml:space="preserve">Mr. Harsh Naikdhure</t>
  </si>
  <si>
    <t xml:space="preserve">BSc-Computer Science Engg.-2022(FT),HSC/Intermediate/Pre-University-Science-2019(FT),SSC/XTH STD/SSLC-Education-2017(FT)</t>
  </si>
  <si>
    <t xml:space="preserve">Mr. Manish Devkar</t>
  </si>
  <si>
    <t xml:space="preserve">BSc-Information Technology-2022(FT),HSC/Intermediate/Pre-University-Science-2019(FT),SSC/XTH STD/SSLC-Education-2017(FT)</t>
  </si>
  <si>
    <t xml:space="preserve">Ms. Dharini Iyer</t>
  </si>
  <si>
    <t xml:space="preserve">BSc-Information Technology-2022(FT),HSC/Intermediate/Pre-University-Computer Science Engg.-2019(FT),SSC/XTH STD/SSLC-Science-2017(FT)</t>
  </si>
  <si>
    <t xml:space="preserve">Ms. Sharwari Prabhune</t>
  </si>
  <si>
    <t xml:space="preserve">BSc-Others-2022(FT),HSC/Intermediate/Pre-University-Science-2019(FT),SSC/XTH STD/SSLC-Others-2017(FT)</t>
  </si>
  <si>
    <t xml:space="preserve">Ms. Roshani Yadav</t>
  </si>
  <si>
    <t xml:space="preserve">BSc-Information Technology-2022(FT),HSC/Intermediate/Pre-University-Commerce-2019(FT),SSC/XTH STD/SSLC-Others-2017(FT)</t>
  </si>
  <si>
    <t xml:space="preserve">Mr. Vishal Tiwari</t>
  </si>
  <si>
    <t xml:space="preserve">BSc-Information Technology-2022(FT),HSC/Intermediate/Pre-University-Science-2019(FT),SSC/XTH STD/SSLC-Science-2017(FT)</t>
  </si>
  <si>
    <t xml:space="preserve">Ms. Rutuja Divekar</t>
  </si>
  <si>
    <t xml:space="preserve">Mr. Om Gupta</t>
  </si>
  <si>
    <t xml:space="preserve">BSc-Information Technology-2022(FT),HSC/Intermediate/Pre-University-Science-2018(FT),SSC/XTH STD/SSLC-Hindi-2016(FT)</t>
  </si>
  <si>
    <t xml:space="preserve">Mr. Shubham Singh</t>
  </si>
  <si>
    <t xml:space="preserve">Jio Tech Scholar_45496865_T</t>
  </si>
  <si>
    <t xml:space="preserve">BSc-Information Technology-2022(FT),HSC/Intermediate/Pre-University-Science-2019(FT),SSC/XTH STD/SSLC-Others-2017(FT)</t>
  </si>
  <si>
    <t xml:space="preserve">Ms. Ramyata Hadkar</t>
  </si>
  <si>
    <t xml:space="preserve">Mr. Mahesh Boin</t>
  </si>
  <si>
    <t xml:space="preserve">BSc-Information Technology-2022(FT),HSC/Intermediate/Pre-University-Computer Science Engg.-2019(FT),SSC/XTH STD/SSLC-Others-2017(FT)</t>
  </si>
  <si>
    <t xml:space="preserve">Mr. Mayuresh Rane</t>
  </si>
  <si>
    <t xml:space="preserve">24.3</t>
  </si>
  <si>
    <t xml:space="preserve">Ms. Akanksha Bankar</t>
  </si>
  <si>
    <t xml:space="preserve">Mr. Roshan Motiramani</t>
  </si>
  <si>
    <t xml:space="preserve">Mr. Alok Kumar Ranjan</t>
  </si>
  <si>
    <t xml:space="preserve">Mr. Navneet Jha</t>
  </si>
  <si>
    <t xml:space="preserve">Mr. Aniket Namsale</t>
  </si>
  <si>
    <t xml:space="preserve">Mr. Ajay Gupta</t>
  </si>
  <si>
    <t xml:space="preserve">Ms. Minica Khandare</t>
  </si>
  <si>
    <t xml:space="preserve">BTech-Electronics &amp; Comm. Engg-2022(FT),HSC/Intermediate/Pre-University-Mathematics-2018(FT),SSC/XTH STD/SSLC-Education-2016(FT)</t>
  </si>
  <si>
    <t xml:space="preserve">Mr. Amir Khan</t>
  </si>
  <si>
    <t xml:space="preserve">Mr. Sonu Tudu</t>
  </si>
  <si>
    <t xml:space="preserve">28.0</t>
  </si>
  <si>
    <t xml:space="preserve">BTech-Computer Science Engg.-2021(FT),HSC/Intermediate/Pre-University-Science-2016(FT),SSC/XTH STD/SSLC-Science-2014(FT)</t>
  </si>
  <si>
    <t xml:space="preserve">Mr. Vaibhav Verma</t>
  </si>
  <si>
    <t xml:space="preserve">Mr. Samaksh Kothari</t>
  </si>
  <si>
    <t xml:space="preserve">BTech-Mechanical-2023(FT),HSC/Intermediate/Pre-University-Science-2018(FT),SSC/XTH STD/SSLC-Science-2016(FT)</t>
  </si>
  <si>
    <t xml:space="preserve">Ms. Smita Sonkusare</t>
  </si>
  <si>
    <t xml:space="preserve">O2C Enterprise HR Platform</t>
  </si>
  <si>
    <t xml:space="preserve">PGD in Computer Science-Computer Science Engg.-2011(FT),BSc-Computer Science Engg.-2009(FT),HSC/Intermediate/Pre-University-Mathematics-2006(FT),SSC/XTH STD/SSLC-Science-2004(FT)</t>
  </si>
  <si>
    <t xml:space="preserve">Mr. Ankur Powale</t>
  </si>
  <si>
    <t xml:space="preserve">BE-Mechanical-2020(FT),Diploma - Engineering-Mechanical-2016(FT),HSC/Intermediate/Pre-University-Science-2014(FT),SSC/XTH STD/SSLC-Others-2012(FT)</t>
  </si>
  <si>
    <t xml:space="preserve">Mr. Rushikesh Thombare</t>
  </si>
  <si>
    <t xml:space="preserve">BE-Computer Engg-2022(FT),HSC/Intermediate/Pre-University-Science-2018(FT),SSC/XTH STD/SSLC-Marathi-2016(FT)</t>
  </si>
  <si>
    <t xml:space="preserve">Ms. Ruhina Khan</t>
  </si>
  <si>
    <t xml:space="preserve">BTech-Electronics &amp; Comm. Engg-2022(FT),HSC/Intermediate/Pre-University-Education-2018(FT),SSC/XTH STD/SSLC-Science-2016(FT)</t>
  </si>
  <si>
    <t xml:space="preserve">Mr. Prakhar Anand</t>
  </si>
  <si>
    <t xml:space="preserve">Mr. Siddhesh Ashok Pakle</t>
  </si>
  <si>
    <t xml:space="preserve">BE-Electronics &amp; Comm. Engg-2014(FT),Diploma - Engineering-Electronics Engg-2011(FT),SSC/XTH STD/SSLC-Marathi-2008(FT)</t>
  </si>
  <si>
    <t xml:space="preserve">Mr. Monish Patil</t>
  </si>
  <si>
    <t xml:space="preserve">BE-Computer Engg-2022(FT),Diploma - Engineering-Computer Engg-2019(FT),SSC/XTH STD/SSLC-English-2016(FT)</t>
  </si>
  <si>
    <t xml:space="preserve">Ms. Pratiksha Patil</t>
  </si>
  <si>
    <t xml:space="preserve">Mr. Shrinath Patil</t>
  </si>
  <si>
    <t xml:space="preserve">Mr. Vaibhav Jamdade</t>
  </si>
  <si>
    <t xml:space="preserve">BE-Electronics &amp; Comm. Engg-2023(FT),HSC/Intermediate/Pre-University-Science-2018(FT),SSC/XTH STD/SSLC-Mathematics-2016(FT)</t>
  </si>
  <si>
    <t xml:space="preserve">Mr. Shubham Sharma</t>
  </si>
  <si>
    <t xml:space="preserve">BE-Information Technology-2023(FT),Diploma-Computer Engg-2019(FT),SSC/XTH STD/SSLC-Mathematics-2016(FT)</t>
  </si>
  <si>
    <t xml:space="preserve">Ms. Akanksha Shelar</t>
  </si>
  <si>
    <t xml:space="preserve">BE-Computer Science Engg.-2023(FT),HSC/Intermediate/Pre-University-Mathematics-2019(FT),SSC/XTH STD/SSLC-Science-2017(FT)</t>
  </si>
  <si>
    <t xml:space="preserve">Mr. Vaishnav Gaikwad</t>
  </si>
  <si>
    <t xml:space="preserve">BE-Information Technology-2023(FT),HSC/Intermediate/Pre-University-Mathematics-2019(FT),SSC/XTH STD/SSLC-Mathematics-2017(FT)</t>
  </si>
  <si>
    <t xml:space="preserve">Ms. Vedantika Wadkar</t>
  </si>
  <si>
    <t xml:space="preserve">BE-Computer Engg-2023(FT),HSC/Intermediate/Pre-University-Science-2019(FT),SSC/XTH STD/SSLC-Others-2017(FT)</t>
  </si>
  <si>
    <t xml:space="preserve">Ms. Vaishnavi Mane</t>
  </si>
  <si>
    <t xml:space="preserve">BE-Information Technology-2023(FT),Diploma - Engineering-Information Technology-2020(FT),HSC/Intermediate/Pre-University-Bio-Chemistry-2018(FT),SSC/XTH STD/SSLC-Marathi-2016(FT)</t>
  </si>
  <si>
    <t xml:space="preserve">Mr. Rizwan Raees Ahamad</t>
  </si>
  <si>
    <t xml:space="preserve">BTech-Electronics &amp; Comm. Engg-2023(FT),HSC/Intermediate/Pre-University-Science-2018(FT),SSC/XTH STD/SSLC-Science-2016(FT)</t>
  </si>
  <si>
    <t xml:space="preserve">Cadre 2023</t>
  </si>
  <si>
    <t xml:space="preserve">Ms. Bairavi M</t>
  </si>
  <si>
    <t xml:space="preserve">24281491</t>
  </si>
  <si>
    <t xml:space="preserve">GET2023</t>
  </si>
  <si>
    <t xml:space="preserve">BTech-Electronics &amp; Comm. Engg-2023(FT),HSC/Intermediate/Pre-University-Others-2019(FT),SSC/XTH STD/SSLC-Others-2017(FT)</t>
  </si>
  <si>
    <t xml:space="preserve">Ms. Samiksha Patil</t>
  </si>
  <si>
    <t xml:space="preserve">Mr. Himanshu Yadav</t>
  </si>
  <si>
    <t xml:space="preserve">BTech-Computer Science Engg.-2023(FT),HSC/Intermediate/Pre-University-Science-2019(FT),SSC/XTH STD/SSLC-Others-2017(FT)</t>
  </si>
  <si>
    <t xml:space="preserve">Mr. Vishal Chumbalkar</t>
  </si>
  <si>
    <t xml:space="preserve">BE-Computer Engg-2023(FT),HSC/Intermediate/Pre-University-Mathematics-2019(FT),SSC/XTH STD/SSLC-Management-2017(FT)</t>
  </si>
  <si>
    <t xml:space="preserve">Mr. Aakash Rai</t>
  </si>
  <si>
    <t xml:space="preserve">BE-Electronics &amp; Comm. Engg-2023(FT),HSC/Intermediate/Pre-University-Science-2019(FT),SSC/XTH STD/SSLC-Others-2017(FT)</t>
  </si>
  <si>
    <t xml:space="preserve">Ms. Anshika Shrivastava</t>
  </si>
  <si>
    <t xml:space="preserve">BTech-Electronics &amp; Comm. Engg-2023(FT),HSC/Intermediate/Pre-University-Mathematics-2019(FT),SSC/XTH STD/SSLC-Mathematics-2017(FT)</t>
  </si>
  <si>
    <t xml:space="preserve">Mr. Pratham Jai Prakash</t>
  </si>
  <si>
    <t xml:space="preserve">BTech-Computer Science Engg.-2023(FT),HSC/Intermediate/Pre-University-Science-2018(FT),SSC/XTH STD/SSLC-Mathematics-2016(FT)</t>
  </si>
  <si>
    <t xml:space="preserve">Mr. Gurjeet Singh Pawar</t>
  </si>
  <si>
    <t xml:space="preserve">Ms. Bhavani Koppireddy</t>
  </si>
  <si>
    <t xml:space="preserve">Associate Tech Operations</t>
  </si>
  <si>
    <t xml:space="preserve">24281772</t>
  </si>
  <si>
    <t xml:space="preserve">BTech-Electronics &amp; Comm. Engg-2023(FT),HSC/Intermediate/Pre-University-Mathematics-2019(FT),SSC/XTH STD/SSLC-Others-2017(FT)</t>
  </si>
  <si>
    <t xml:space="preserve">Mr. Kunal Prakash</t>
  </si>
  <si>
    <t xml:space="preserve">BTech-Electronics &amp; Comm. Engg-2023(FT),HSC/Intermediate/Pre-University-Science-2019(FT),SSC/XTH STD/SSLC-Upper Primary Education-2016(FT)</t>
  </si>
  <si>
    <t xml:space="preserve">Mr. Shivam Parashar</t>
  </si>
  <si>
    <t xml:space="preserve">24281492</t>
  </si>
  <si>
    <t xml:space="preserve">BTech-Information Technology-2023(FT),HSC/Intermediate/Pre-University-Mathematics-2019(FT),SSC/XTH STD/SSLC-Mathematics-2016(FT)</t>
  </si>
  <si>
    <t xml:space="preserve">Ms. Versha Verma</t>
  </si>
  <si>
    <t xml:space="preserve">Mr. Prathamesh Jadhav</t>
  </si>
  <si>
    <t xml:space="preserve">Ms. Pooja Kasabe</t>
  </si>
  <si>
    <t xml:space="preserve">BE-Electronics &amp; Comm. Engg-2015(FT),Diploma - Engineering-Electronics &amp; Comm. Engg-2012(FT),SSC/XTH STD/SSLC-Science-2009(FT)</t>
  </si>
  <si>
    <t xml:space="preserve">Mr. Glen Mascarenhas</t>
  </si>
  <si>
    <t xml:space="preserve">MCA-Computer Applications-2015(FT),BCA-Computer Applications-2011(FT),HSC/Intermediate/Pre-University-Science-2007(FT),SSC/XTH STD/SSLC-Others-2005(FT)</t>
  </si>
  <si>
    <t xml:space="preserve">Mr. Ameya Vaidya</t>
  </si>
  <si>
    <t xml:space="preserve">BE-Information Technology-2023(FT),HSC/Intermediate/Pre-University-Science-2019(FT),SSC/XTH STD/SSLC-Others-2017(FT)</t>
  </si>
  <si>
    <t xml:space="preserve">Ms. Gitanjali Bhatane</t>
  </si>
  <si>
    <t xml:space="preserve">BTech-Computer Science Engg.-2023(FT),Diploma-Computer Engg-2020(FT),SSC/XTH STD/SSLC-Mathematics-2017(FT)</t>
  </si>
  <si>
    <t xml:space="preserve">Mr. Kamlesh Medankar</t>
  </si>
  <si>
    <t xml:space="preserve">BE-Computer Engg-2023(FT),Diploma-Others-2020(FT),SSC/XTH STD/SSLC-Upper Primary Education-2017(FT)</t>
  </si>
  <si>
    <t xml:space="preserve">Ms. Rutuja Chavan</t>
  </si>
  <si>
    <t xml:space="preserve">BE-Computer Science Engg.-2023(FT),Diploma - Engineering-Computer Engg-2020(FT),HSC/Intermediate/Pre-University-Science-2017(FT),SSC/XTH STD/SSLC-Science-2015(FT)</t>
  </si>
  <si>
    <t xml:space="preserve">Mr. Shreyash Dahiwale</t>
  </si>
  <si>
    <t xml:space="preserve">Mr. Shubham Shendkar</t>
  </si>
  <si>
    <t xml:space="preserve">BE-Computer Engg-2023(FT),HSC/Intermediate/Pre-University-Mathematics-2018(FT),SSC/XTH STD/SSLC-Mathematics-2016(FT)</t>
  </si>
  <si>
    <t xml:space="preserve">Mr. Priyansh Mehta</t>
  </si>
  <si>
    <t xml:space="preserve">BE-Computer Engg-2023(FT),HSC/Intermediate/Pre-University-Mathematics-2019(FT),SSC/XTH STD/SSLC-Mathematics-2017(FT)</t>
  </si>
  <si>
    <t xml:space="preserve">Ms. Gayatri Pandey</t>
  </si>
  <si>
    <t xml:space="preserve">Ms. Khushi Sharma</t>
  </si>
  <si>
    <t xml:space="preserve">BTech-Electronics &amp; Comm. Engg-2023(FT),HSC/Intermediate/Pre-University-Science-2019(FT),SSC/XTH STD/SSLC-Mathematics-2017(FT)</t>
  </si>
  <si>
    <t xml:space="preserve">Mr. Rane Sarvesh Mahendra</t>
  </si>
  <si>
    <t xml:space="preserve">Ms. Vrushali Ghanekar</t>
  </si>
  <si>
    <t xml:space="preserve">Diploma-Information Technology-2005(FT)</t>
  </si>
  <si>
    <t xml:space="preserve">Mr. Ankit Kakade</t>
  </si>
  <si>
    <t xml:space="preserve">BE-Computer Engg-2023(FT),HSC/Intermediate/Pre-University-Science-2019(FT),SSC/XTH STD/SSLC-Mathematics-2017(FT)</t>
  </si>
  <si>
    <t xml:space="preserve">Mr. Ayush Bhat</t>
  </si>
  <si>
    <t xml:space="preserve">Mr. Bhavik Mehta</t>
  </si>
  <si>
    <t xml:space="preserve">42.4</t>
  </si>
  <si>
    <t xml:space="preserve">Master of Human Resource Mngt-Human Resource-2008(FT),BCom-Accounts-2004(FT),HSC/Intermediate/Pre-University-Commerce-2001(FT),SSC/XTH STD/SSLC-Education-1999(FT)</t>
  </si>
  <si>
    <t xml:space="preserve">Mr. Rishi Shah</t>
  </si>
  <si>
    <t xml:space="preserve">BSc Tech-Information Technology-2016(FT),HSC/Intermediate/Pre-University-Commerce-2011(FT),SSC/XTH STD/SSLC-Science-2009(FT)</t>
  </si>
  <si>
    <t xml:space="preserve">Mr. Kosuri Sai Prudhvi</t>
  </si>
  <si>
    <t xml:space="preserve">45282253</t>
  </si>
  <si>
    <t xml:space="preserve">Software Engineer</t>
  </si>
  <si>
    <t xml:space="preserve">Mr. Suhas Maruti Panhalkar</t>
  </si>
  <si>
    <t xml:space="preserve">Ms. Sneha Prashant Wasankar</t>
  </si>
  <si>
    <t xml:space="preserve">Ms. Pratiksha Wagh</t>
  </si>
  <si>
    <t xml:space="preserve">BE-English-2016(FT),HSC/Intermediate/Pre-University-Science-2012(FT),SSC/XTH STD/SSLC-Marathi-2010(FT)</t>
  </si>
  <si>
    <t xml:space="preserve">Ms. Mayuri Modi</t>
  </si>
  <si>
    <t xml:space="preserve">MSW-Human Resource-2015(FT),BCom-Commerce-2013(FT),HSC/Intermediate/Pre-University-Computer Networks and Security-2010(FT),SSC/XTH STD/SSLC-Gujarati-2008(FT)</t>
  </si>
  <si>
    <t xml:space="preserve">Ms. Snehal Nikam</t>
  </si>
  <si>
    <t xml:space="preserve">BE-Electronics Engg-2015(FT),Diploma-Electronics &amp; Comm. Engg-2012(FT),SSC/XTH STD/SSLC-ASAP-2009(FT)</t>
  </si>
  <si>
    <t xml:space="preserve">Mr. Sagar Bhuskade</t>
  </si>
  <si>
    <t xml:space="preserve">BSc-Computer Management-2016(FT),HSC/Intermediate/Pre-University-Science-2012(FT),SSC/XTH STD/SSLC-Science-2010(FT)</t>
  </si>
  <si>
    <t xml:space="preserve">Mr. Syed Matheen</t>
  </si>
  <si>
    <t xml:space="preserve">BCom-Commerce-2008(CO),HSC/Intermediate/Pre-University-Mathematics-2001(FT),SSC/XTH STD/SSLC-Social Work-1998(FT)</t>
  </si>
  <si>
    <t xml:space="preserve">Mr. Pratik Fulse</t>
  </si>
  <si>
    <t xml:space="preserve">Mr. Swapnil Sudarshan More</t>
  </si>
  <si>
    <t xml:space="preserve">BTech-Computer Science Engg.-2023(FT),HSC/Intermediate/Pre-University-Science-2019(FT),SSC/XTH STD/SSLC-Science-2017(FT)</t>
  </si>
  <si>
    <t xml:space="preserve">Ms. Shweta Mashale</t>
  </si>
  <si>
    <t xml:space="preserve">BE-Information Technology-2023(FT),Diploma-Computer Science Engg.-2020(FT),SSC/XTH STD/SSLC-Mathematics-2017(FT)</t>
  </si>
  <si>
    <t xml:space="preserve">Ms. Siwani Sinha</t>
  </si>
  <si>
    <t xml:space="preserve">Mr. Sri Venkata Siva Sai Teja tankala</t>
  </si>
  <si>
    <t xml:space="preserve">BTech-Electronics &amp; Instru Engg-2023(FT),HSC/Intermediate/Pre-University-Science-2018(FT),SSC/XTH STD/SSLC-Science-2016(FT)</t>
  </si>
  <si>
    <t xml:space="preserve">Mr. Nitesh Nimje</t>
  </si>
  <si>
    <t xml:space="preserve">BE-Electronics &amp; Comm. Engg-2023(FT),HSC/Intermediate/Pre-University-Science-2018(FT),SSC/XTH STD/SSLC-Education-2016(FT)</t>
  </si>
  <si>
    <t xml:space="preserve">Mr. Rahul Sanghavi</t>
  </si>
  <si>
    <t xml:space="preserve">BTech-Electrical-2023(FT),HSC/Intermediate/Pre-University-Science-2018(FT),SSC/XTH STD/SSLC-Science-2016(FT)</t>
  </si>
  <si>
    <t xml:space="preserve">Mr. Prakhar Singh</t>
  </si>
  <si>
    <t xml:space="preserve">BTech-Computer Science Engg.-2023(FT),HSC/Intermediate/Pre-University-Science and Technology Studies-2019(FT),SSC/XTH STD/SSLC-Science-2015(FT)</t>
  </si>
  <si>
    <t xml:space="preserve">Mr. Samarth Kavathe</t>
  </si>
  <si>
    <t xml:space="preserve">BE-Computer Engg-2023(FT),HSC/Intermediate/Pre-University-Science-2019(FT),SSC/XTH STD/SSLC-Education-2016(FT)</t>
  </si>
  <si>
    <t xml:space="preserve">Mr. Vishal Gautam Chawde</t>
  </si>
  <si>
    <t xml:space="preserve">BE-Electronics &amp; Comm. Engg-2023(FT),HSC/Intermediate/Pre-University-Mathematics-2019(FT),SSC/XTH STD/SSLC-Science-2017(FT)</t>
  </si>
  <si>
    <t xml:space="preserve">Mr. Yash Mahamune</t>
  </si>
  <si>
    <t xml:space="preserve">Ms. Isha Kulkarni</t>
  </si>
  <si>
    <t xml:space="preserve">BE-Computer Engg-2023(FT),HSC/Intermediate/Pre-University-Science-2019(FT),SSC/XTH STD/SSLC-Upper Primary Education-2017(FT)</t>
  </si>
  <si>
    <t xml:space="preserve">Ms. Aishwarya Agavane</t>
  </si>
  <si>
    <t xml:space="preserve">BCS-Computer Science Engg.-2023(FT),HSC/Intermediate/Pre-University-Science-2020(FT),SSC/XTH STD/SSLC-Mathematics-2018(FT)</t>
  </si>
  <si>
    <t xml:space="preserve">Ms. Bhagyashri Bansode</t>
  </si>
  <si>
    <t xml:space="preserve">HSC/Intermediate/Pre-University-Science-2020(FT),SSC/XTH STD/SSLC-Upper Primary Education-2018(FT)</t>
  </si>
  <si>
    <t xml:space="preserve">Mr. Kartik Patil</t>
  </si>
  <si>
    <t xml:space="preserve">BSc-Computer Science Engg.-2023(FT),HSC/Intermediate/Pre-University-Science-2020(FT),SSC/XTH STD/SSLC-Mathematics-2018(FT)</t>
  </si>
  <si>
    <t xml:space="preserve">Mr. Siddheshwar Khilari</t>
  </si>
  <si>
    <t xml:space="preserve">BCS-Computer Programming-2023(FT),HSC/Intermediate/Pre-University-Science-2020(FT),SSC/XTH STD/SSLC-Mathematics-2018(FT)</t>
  </si>
  <si>
    <t xml:space="preserve">Mr. Mohammed Imran Shaikh</t>
  </si>
  <si>
    <t xml:space="preserve">BSc-Others-2023(FT),HSC/Intermediate/Pre-University-Science-2020(FT),SSC/XTH STD/SSLC-Mathematics-2018(FT)</t>
  </si>
  <si>
    <t xml:space="preserve">Mr. Pratik Bhaik</t>
  </si>
  <si>
    <t xml:space="preserve">BCS-Computer Science Engg.-2023(FT),HSC/Intermediate/Pre-University-Mathematics-2020(FT),SSC/XTH STD/SSLC-Mathematics-2018(FT)</t>
  </si>
  <si>
    <t xml:space="preserve">Mr. Sumit Patra</t>
  </si>
  <si>
    <t xml:space="preserve">BCA-Computer Applications-2023(FT),HSC/Intermediate/Pre-University-Science-2020(FT),SSC/XTH STD/SSLC-Mathematics-2018(FT)</t>
  </si>
  <si>
    <t xml:space="preserve">Mr. Vaibhav Kumbharikar</t>
  </si>
  <si>
    <t xml:space="preserve">Ms. Harshada Gawade</t>
  </si>
  <si>
    <t xml:space="preserve">BBA-Others-2023(FT),HSC/Intermediate/Pre-University-Commerce-2020(FT),SSC/XTH STD/SSLC-Upper Primary Education-2018(FT)</t>
  </si>
  <si>
    <t xml:space="preserve">Mr. Akshay Mule</t>
  </si>
  <si>
    <t xml:space="preserve">BCS-Computer Science Engg.-2023(FT),HSC/Intermediate/Pre-University-Mathematics-2019(FT),SSC/XTH STD/SSLC-Mathematics-2017(FT)</t>
  </si>
  <si>
    <t xml:space="preserve">Mr. Altaf Shaikh</t>
  </si>
  <si>
    <t xml:space="preserve">BSc-Computer Science Engg.-2023(FT),HSC/Intermediate/Pre-University-Science-2020(FT),SSC/XTH STD/SSLC-Upper Primary Education-2018(FT)</t>
  </si>
  <si>
    <t xml:space="preserve">Mr. Abhishek Choudhary</t>
  </si>
  <si>
    <t xml:space="preserve">BCA-Computer Applications-2023(FT),HSC/Intermediate/Pre-University-Arts-2020(FT),SSC/XTH STD/SSLC-Upper Primary Education-2018(FT)</t>
  </si>
  <si>
    <t xml:space="preserve">Ms. Sanskruti Zarkar</t>
  </si>
  <si>
    <t xml:space="preserve">BCA-Computer Applications-2023(FT),HSC/Intermediate/Pre-University-Science-2020(FT),SSC/XTH STD/SSLC-Upper Primary Education-2018(FT)</t>
  </si>
  <si>
    <t xml:space="preserve">Mr. Sk Md Toueb Rahaman</t>
  </si>
  <si>
    <t xml:space="preserve">BTech-Computer Science Engg.-2023(FT),HSC/Intermediate/Pre-University-Science-2019(FT),SSC/XTH STD/SSLC-Mathematics-2017(FT)</t>
  </si>
  <si>
    <t xml:space="preserve">Mr. Pankaj Kapoor</t>
  </si>
  <si>
    <t xml:space="preserve">Ms. Palak Singh</t>
  </si>
  <si>
    <t xml:space="preserve">BTech-Information Technology-2023(FT),HSC/Intermediate/Pre-University-Mathematics-2019(FT),SSC/XTH STD/SSLC-Science-2017(FT)</t>
  </si>
  <si>
    <t xml:space="preserve">Ms. Diksha Kumari</t>
  </si>
  <si>
    <t xml:space="preserve">Mr. Harsh Punyapreddiwar</t>
  </si>
  <si>
    <t xml:space="preserve">BE-Computer Science Engg.-2023(FT),HSC/Intermediate/Pre-University-Science-2019(FT),SSC/XTH STD/SSLC-Upper Primary Education-2017(FT)</t>
  </si>
  <si>
    <t xml:space="preserve">Mr. Ritam Maity</t>
  </si>
  <si>
    <t xml:space="preserve">Ms. Rouhi Ray</t>
  </si>
  <si>
    <t xml:space="preserve">BTech-Electronics &amp; Comm. Engg-2023(FT),HSC/Intermediate/Pre-University-Science-2019(FT),SSC/XTH STD/SSLC-Upper Primary Education-2017(FT)</t>
  </si>
  <si>
    <t xml:space="preserve">Mr. Sonu Kumar</t>
  </si>
  <si>
    <t xml:space="preserve">HSC/Intermediate/Pre-University-Science-2018(FT),SSC/XTH STD/SSLC-Upper Primary Education-2016(FT)</t>
  </si>
  <si>
    <t xml:space="preserve">Mr. Sayan Sengupta</t>
  </si>
  <si>
    <t xml:space="preserve">Mr. Shiv Om Bhardwaj</t>
  </si>
  <si>
    <t xml:space="preserve">Mr. Siddharth Tiwari</t>
  </si>
  <si>
    <t xml:space="preserve">BE-Computer Science Engg.-2023(FT),HSC/Intermediate/Pre-University-Science-2018(FT),SSC/XTH STD/SSLC-Upper Primary Education-2016(FT)</t>
  </si>
  <si>
    <t xml:space="preserve">Mr. Prithivi Krishna P K</t>
  </si>
  <si>
    <t xml:space="preserve">Mr. Amod Vinod Devkar</t>
  </si>
  <si>
    <t xml:space="preserve">Ms. Vanshika Bhisekar</t>
  </si>
  <si>
    <t xml:space="preserve">Mr. Shivam Tarkeshwar Prasad</t>
  </si>
  <si>
    <t xml:space="preserve">BTech-Computer Science Engg.-2023(FT),HSC/Intermediate/Pre-University-Science-2019(FT),SSC/XTH STD/SSLC-Science-2016(FT)</t>
  </si>
  <si>
    <t xml:space="preserve">Mr. Abhishek Mane</t>
  </si>
  <si>
    <t xml:space="preserve">Mr. Atharav Bajare</t>
  </si>
  <si>
    <t xml:space="preserve">BE-Computer Science Engg.-2023(FT),HSC/Intermediate/Pre-University-Science-2019(FT),SSC/XTH STD/SSLC-Marathi-2017(FT)</t>
  </si>
  <si>
    <t xml:space="preserve">Ms. Avantika Gorivale</t>
  </si>
  <si>
    <t xml:space="preserve">BE-Computer Science Engg.-2023(FT),SSC/XTH STD/SSLC-Science-2019(FT),HSC/Intermediate/Pre-University-Science-2017(FT)</t>
  </si>
  <si>
    <t xml:space="preserve">Mr. Mubasir Siddiqui</t>
  </si>
  <si>
    <t xml:space="preserve">BE-Computer Science Engg.-2023(FT),HSC/Intermediate/Pre-University-English-2018(FT),SSC/XTH STD/SSLC-English-2016(FT)</t>
  </si>
  <si>
    <t xml:space="preserve">Mr. Mohammed Junaid Shaikh</t>
  </si>
  <si>
    <t xml:space="preserve">BSc-Information Technology-2021(FT),HSC/Intermediate/Pre-University-Science-2018(FT),SSC/XTH STD/SSLC-English-2016(FT)</t>
  </si>
  <si>
    <t xml:space="preserve">Mr. Mohd Naseem Ansari</t>
  </si>
  <si>
    <t xml:space="preserve">BTech-Manufacturing-2022(FT),HSC/Intermediate/Pre-University-Science and Technology Studies-2018(FT),SSC/XTH STD/SSLC-Science and Technology Studies-2016(FT)</t>
  </si>
  <si>
    <t xml:space="preserve">Ms. Nikita Annasaheb Thorat</t>
  </si>
  <si>
    <t xml:space="preserve">Others-Others-2024(FT),BE-Computer Science Engg.-2023(FT),HSC/Intermediate/Pre-University-Science-2019(FT),SSC/XTH STD/SSLC-Science-2017(FT)</t>
  </si>
  <si>
    <t xml:space="preserve">Mr. Atharva Maruthi Ghodake</t>
  </si>
  <si>
    <t xml:space="preserve">BTech-Mechanical-2023(FT),Schooling-Science-2019(FT),SSC/XTH STD/SSLC-Upper Primary Education-2017(FT)</t>
  </si>
  <si>
    <t xml:space="preserve">Mr. Venugopal Shetty</t>
  </si>
  <si>
    <t xml:space="preserve">BSc-Information Technology-2017(FT),HSC/Intermediate/Pre-University-Computer Science Engg.-2012(FT),Others-Computer Science Engg.-2011(FT),SSC/XTH STD/SSLC-Others-2010(FT)</t>
  </si>
  <si>
    <t xml:space="preserve">Mr. Adnan Khan Asad Ullah Khan</t>
  </si>
  <si>
    <t xml:space="preserve">Mr. Shreyas Kakde</t>
  </si>
  <si>
    <t xml:space="preserve">BE-Civil-2020(FT),HSC/Intermediate/Pre-University-Science-2016(FT),SSC/XTH STD/SSLC-Science-2014(FT)</t>
  </si>
  <si>
    <t xml:space="preserve">Mr. Suyog Mestri</t>
  </si>
  <si>
    <t xml:space="preserve">BA-Arts-2008(FT),HSC/Intermediate/Pre-University-Arts-2005(FT),SSC/XTH STD/SSLC-Others-2003(FT)</t>
  </si>
  <si>
    <t xml:space="preserve">Mr. Musthak S M</t>
  </si>
  <si>
    <t xml:space="preserve">Engineer Infra &amp; Ops</t>
  </si>
  <si>
    <t xml:space="preserve">Widow</t>
  </si>
  <si>
    <t xml:space="preserve">BTech-Electronics &amp; Comm. Engg-2015(CO),Diploma-Electrical &amp; Electronics Engg-2009(FT),SSC/XTH STD/SSLC-Others-2000(FT)</t>
  </si>
  <si>
    <t xml:space="preserve">Mr. Krushna Biradar</t>
  </si>
  <si>
    <t xml:space="preserve">45280090</t>
  </si>
  <si>
    <t xml:space="preserve">Incharge Infra &amp; Ops</t>
  </si>
  <si>
    <t xml:space="preserve">BE-Electronics &amp; Comm. Engg-2018(FT),HSC/Intermediate/Pre-University-Science-2014(FT),SSC/XTH STD/SSLC-Mathematics-2012(FT)</t>
  </si>
  <si>
    <t xml:space="preserve">Mr. Nagraj Poojari</t>
  </si>
  <si>
    <t xml:space="preserve">BE-Information Technology-2016(FT),Diploma-Information Technology-2013(FT),SSC/XTH STD/SSLC-Education-2010(FT)</t>
  </si>
  <si>
    <t xml:space="preserve">Mr. Aditya Chandrashekhar Chobe</t>
  </si>
  <si>
    <t xml:space="preserve">Product Manager</t>
  </si>
  <si>
    <t xml:space="preserve">45280557</t>
  </si>
  <si>
    <t xml:space="preserve">BE-Chemical-2021(FT),HSC/Intermediate/Pre-University-Science-2017(FT),SSC/XTH STD/SSLC-Science-2015(FT)</t>
  </si>
  <si>
    <t xml:space="preserve">Mr. Vikas Gothwal</t>
  </si>
  <si>
    <t xml:space="preserve">BTech-Information Technology-2017(FT),HSC/Intermediate/Pre-University-Science-2013(FT),SSC/XTH STD/SSLC-Science-2011(FT)</t>
  </si>
  <si>
    <t xml:space="preserve">Ms. Jessica Aggarwal</t>
  </si>
  <si>
    <t xml:space="preserve">IRM Data Privacy</t>
  </si>
  <si>
    <t xml:space="preserve">LLB-Law-2023(FT),Schooling-Others-2017(FT),SSC/XTH STD/SSLC-Others-2015(FT)</t>
  </si>
  <si>
    <t xml:space="preserve">Mr. Arshad Chaudhary</t>
  </si>
  <si>
    <t xml:space="preserve">BE-Computer Engg-2015(FT),HSC/Intermediate/Pre-University-Science-2010(FT),SSC/XTH STD/SSLC-Science-2008(FT)</t>
  </si>
  <si>
    <t xml:space="preserve">Mr. Rajasekaran Muthu</t>
  </si>
  <si>
    <t xml:space="preserve">MS-Others-2000(CO),PGD in Computer Science-Computer Science Engg.-1996(FT),MSc-Mathematics-1995(FT)</t>
  </si>
  <si>
    <t xml:space="preserve">Mr. Sujit Chaphe</t>
  </si>
  <si>
    <t xml:space="preserve">Others-Information Technology-2017(CO),BSc-Physics-2006(FT),HSC/Intermediate/Pre-University-Science-2003(FT),SSC/XTH STD/SSLC-Science-2001(FT)</t>
  </si>
  <si>
    <t xml:space="preserve">Mr. Sharanmeet Singh</t>
  </si>
  <si>
    <t xml:space="preserve">12.5</t>
  </si>
  <si>
    <t xml:space="preserve">Certificate Course-Information Technology-2025(CO),BTech-Computer Engg-2011(FT),HSC/Intermediate/Pre-University-Science-2007(CO),SSC/XTH STD/SSLC-Science and Technology Studies-2005(CO)</t>
  </si>
  <si>
    <t xml:space="preserve">Mr. Abhishek Shetty</t>
  </si>
  <si>
    <t xml:space="preserve">BE-Information &amp; Communication Technology-2017(FT),HSC/Intermediate/Pre-University-Science-2013(FT),SSC/XTH STD/SSLC-English-2011(FT)</t>
  </si>
  <si>
    <t xml:space="preserve">Ms. Vanashree Temgire</t>
  </si>
  <si>
    <t xml:space="preserve">BE-Electronics &amp; Comm. Engg-2014(FT),Diploma - Engineering-Electronics &amp; Comm. Engg-2011(FT),SSC/XTH STD/SSLC-Others-2008(FT)</t>
  </si>
  <si>
    <t xml:space="preserve">Ms. Vadivukarasi Selvaraj</t>
  </si>
  <si>
    <t xml:space="preserve">ME-Computer Science Engg.-2019(FT)</t>
  </si>
  <si>
    <t xml:space="preserve">Mr. Rajendra Babu Moka</t>
  </si>
  <si>
    <t xml:space="preserve">BTech-Electronics &amp; Comm. Engg-2012(FT)</t>
  </si>
  <si>
    <t xml:space="preserve">Mr. Joby Thampan George</t>
  </si>
  <si>
    <t xml:space="preserve">Diploma-Digital Media-2011(FT),HSC/Intermediate/Pre-University-Science-2008(FT),SSC/XTH STD/SSLC-Science-2006(FT)</t>
  </si>
  <si>
    <t xml:space="preserve">Ms. Srushti Kulpe</t>
  </si>
  <si>
    <t xml:space="preserve">BE-Information Technology-2023(FT),SSC/XTH STD/SSLC-Science-2017(FT)</t>
  </si>
  <si>
    <t xml:space="preserve">Ms. Navneeta Kashettiwar</t>
  </si>
  <si>
    <t xml:space="preserve">Mr. Karna Manideep Kaushal</t>
  </si>
  <si>
    <t xml:space="preserve">Mr. Vikram Chavan</t>
  </si>
  <si>
    <t xml:space="preserve">37.2</t>
  </si>
  <si>
    <t xml:space="preserve">Diploma - Engineering-Information Technology-2007(FT),SSC/XTH STD/SSLC-Social Science-2004(FT)</t>
  </si>
  <si>
    <t xml:space="preserve">Mr. Naveen Jha</t>
  </si>
  <si>
    <t xml:space="preserve">Jr. Engineer -Tech Ops</t>
  </si>
  <si>
    <t xml:space="preserve">24281773</t>
  </si>
  <si>
    <t xml:space="preserve">Junior Engineer Tech Operations</t>
  </si>
  <si>
    <t xml:space="preserve">MTech-Computer Engg-2012(FT),BE-Electronics &amp; Comm. Engg-1997(FT),HSC/Intermediate/Pre-University-Science-1989(FT),SSC/XTH STD/SSLC-Hindi-1987(FT)</t>
  </si>
  <si>
    <t xml:space="preserve">Mr. Sudhanshu Kumar</t>
  </si>
  <si>
    <t xml:space="preserve">BE-Computer Science Engg.-2013(FT),HSC/Intermediate/Pre-University-Science-2006(FT),SSC/XTH STD/SSLC-Science-2004(FT)</t>
  </si>
  <si>
    <t xml:space="preserve">Mr. Parth Mehta</t>
  </si>
  <si>
    <t xml:space="preserve">BCA-Computer Applications-2004(FT),HSC/Intermediate/Pre-University-Gujarati-2001(FT),SSC/XTH STD/SSLC-Gujarati-1999(FT)</t>
  </si>
  <si>
    <t xml:space="preserve">BTech-Computer Science Engg.-2012(FT),HSC/Intermediate/Pre-University-Science-2007(FT),SSC/XTH STD/SSLC-Science-2005(FT)</t>
  </si>
  <si>
    <t xml:space="preserve">Mr. Jadvinder Singh</t>
  </si>
  <si>
    <t xml:space="preserve">65.9</t>
  </si>
  <si>
    <t xml:space="preserve">MBA-Marketing-2005(FT),MSc-Science and Technology Studies-1998(FT),MTech-Computer Science Engg.-1992(FT),BTech-Electrical-1983(FT)</t>
  </si>
  <si>
    <t xml:space="preserve">Mr. Suraj Gautam</t>
  </si>
  <si>
    <t xml:space="preserve">MBA-Information Technology-2019(FT),BSc-Mathematics-2016(FT),HSC/Intermediate/Pre-University-Science-2013(FT),SSC/XTH STD/SSLC-Science-2009(FT)</t>
  </si>
  <si>
    <t xml:space="preserve">Mr. Nitin Yevale</t>
  </si>
  <si>
    <t xml:space="preserve">40.3</t>
  </si>
  <si>
    <t xml:space="preserve">Others-Information Technology-2008(FT),Bachelor in Fine Arts-Arts-2006(FT),HSC/Intermediate/Pre-University-Arts-2003(FT),SSC/XTH STD/SSLC-Marathi-2001(FT)</t>
  </si>
  <si>
    <t xml:space="preserve">Mr. Rohit Sharma</t>
  </si>
  <si>
    <t xml:space="preserve">32.3</t>
  </si>
  <si>
    <t xml:space="preserve">BSc-Information Technology-2014(FT),HSC/Intermediate/Pre-University-Science-2011(FT),SSC/XTH STD/SSLC-Science-2009(FT)</t>
  </si>
  <si>
    <t xml:space="preserve">Mr. Rahul Tripathi</t>
  </si>
  <si>
    <t xml:space="preserve">16.3</t>
  </si>
  <si>
    <t xml:space="preserve">BCA-Information Technology-2007(CO),HSC/Intermediate/Pre-University-Science-2004(FT),SSC/XTH STD/SSLC-Science-2001(FT)</t>
  </si>
  <si>
    <t xml:space="preserve">E&amp;M IT Cadre</t>
  </si>
  <si>
    <t xml:space="preserve">Ms. Arathi Prakash</t>
  </si>
  <si>
    <t xml:space="preserve">E&amp;M IT E&amp;M IT Cadre</t>
  </si>
  <si>
    <t xml:space="preserve">Graduate Trainee</t>
  </si>
  <si>
    <t xml:space="preserve">45283902</t>
  </si>
  <si>
    <t xml:space="preserve">Graduate Trainee IT Support</t>
  </si>
  <si>
    <t xml:space="preserve">MCom-Accounts-2024(FT),BCom-Finance-2022(FT),HSC/Intermediate/Pre-University-Commerce-2019(FT),SSC/XTH STD/SSLC-Education-2017(FT)</t>
  </si>
  <si>
    <t xml:space="preserve">Mr. Ankeet Gupte</t>
  </si>
  <si>
    <t xml:space="preserve">45282945</t>
  </si>
  <si>
    <t xml:space="preserve">Senior Information Security Engineer</t>
  </si>
  <si>
    <t xml:space="preserve">43.2</t>
  </si>
  <si>
    <t xml:space="preserve">Others-Others-2009(FT),ME-Electrical &amp; Electronics Engg-2009(FT),BE-Telecommunication-2006(FT),HSC/Intermediate/Pre-University-Science-2001(FT),SSC/XTH STD/SSLC-Science-1999(FT)</t>
  </si>
  <si>
    <t xml:space="preserve">Ms. Purva Parab</t>
  </si>
  <si>
    <t xml:space="preserve">BCom-Commerce-2024(FT),HSC/Intermediate/Pre-University-Commerce-2021(FT),SSC/XTH STD/SSLC-English-2019(FT)</t>
  </si>
  <si>
    <t xml:space="preserve">Mr. Ajit Pal</t>
  </si>
  <si>
    <t xml:space="preserve">BSc-Information Technology-2014(FT),HSC/Intermediate/Pre-University-Science-2011(FT),SSC/XTH STD/SSLC-Sociology of Knowledge and Education-2008(FT)</t>
  </si>
  <si>
    <t xml:space="preserve">Ms. Divya Singh</t>
  </si>
  <si>
    <t xml:space="preserve">BTech-Information Technology-2019(FT),HSC/Intermediate/Pre-University-Science-2014(FT),SSC/XTH STD/SSLC-Upper Primary Education-2012(FT)</t>
  </si>
  <si>
    <t xml:space="preserve">Mr. Abhishek Patimetla</t>
  </si>
  <si>
    <t xml:space="preserve">BTech-Computer Science Engg.-2013(FT),HSC/Intermediate/Pre-University-Mathematics-2009(FT),SSC/XTH STD/SSLC-Pre Schooling Education-2007(FT)</t>
  </si>
  <si>
    <t xml:space="preserve">Mr. Navin Chandra Vutha</t>
  </si>
  <si>
    <t xml:space="preserve">HR Platform Data Management</t>
  </si>
  <si>
    <t xml:space="preserve">MS-Architechtural Engg.-2004(FT),BArch-Architechtural Engg.-2002(FT)</t>
  </si>
  <si>
    <t xml:space="preserve">Ms. Maithili Mhatre</t>
  </si>
  <si>
    <t xml:space="preserve">Jio Tech Scholar_45496866_T</t>
  </si>
  <si>
    <t xml:space="preserve">BSc-Computer Science Engg.-2022(FT),HSC/Intermediate/Pre-University-Computer Science Engg.-2019(FT),SSC/XTH STD/SSLC-Science-2017(FT)</t>
  </si>
  <si>
    <t xml:space="preserve">Ms. Jyothi Thiruchittambalam</t>
  </si>
  <si>
    <t xml:space="preserve">Jio Tech Scholar_45496877_T</t>
  </si>
  <si>
    <t xml:space="preserve">BSc-Others-2022(FT),HSC/Intermediate/Pre-University-Science-2019(FT),SSC/XTH STD/SSLC-Science-2017(FT)</t>
  </si>
  <si>
    <t xml:space="preserve">Mr. Rajaprasad Maganti</t>
  </si>
  <si>
    <t xml:space="preserve">Team Lead -SRE</t>
  </si>
  <si>
    <t xml:space="preserve">24281801</t>
  </si>
  <si>
    <t xml:space="preserve">Team Lead SRE</t>
  </si>
  <si>
    <t xml:space="preserve">MSc-Chemistry-2005(PT),BSc-Chemistry-2000(FT)</t>
  </si>
  <si>
    <t xml:space="preserve">Mr. Abhinav Wadhwa</t>
  </si>
  <si>
    <t xml:space="preserve">LLB-Law-2020(FT),HSC/Intermediate/Pre-University-Commerce-2015(FT),SSC/XTH STD/SSLC-Pre Schooling Education-2013(FT)</t>
  </si>
  <si>
    <t xml:space="preserve">Mr. Raju Harijan</t>
  </si>
  <si>
    <t xml:space="preserve">BE-Electronics &amp; Comm. Engg-2015(FT),HSC/Intermediate/Pre-University-Physical Chemistry-2009(FT),SSC/XTH STD/SSLC-Hindi-2007(FT)</t>
  </si>
  <si>
    <t xml:space="preserve">Mr. Pritpal Singh Matharu</t>
  </si>
  <si>
    <t xml:space="preserve">BE-Electronics &amp; Comm. Engg-2006(FT),Diploma-Electronics Engg-2003(FT),SSC/XTH STD/SSLC-Mathematics-1999(FT)</t>
  </si>
  <si>
    <t xml:space="preserve">Ms. Ashwini Chendge</t>
  </si>
  <si>
    <t xml:space="preserve">BSc-Information Technology-2014(FT)</t>
  </si>
  <si>
    <t xml:space="preserve">Mr. Aditya Vyavahare</t>
  </si>
  <si>
    <t xml:space="preserve">BSc-Computer Science Engg.-2023(FT),HSC/Intermediate/Pre-University-Science-2020(FT),SSC/XTH STD/SSLC-Upper Primary Education-2017(FT)</t>
  </si>
  <si>
    <t xml:space="preserve">Mr. Akula Vikram</t>
  </si>
  <si>
    <t xml:space="preserve">BTech-Electronics &amp; Instru Engg-2010(FT),HSC/Intermediate/Pre-University-Mathematics-2004(FT),SSC/XTH STD/SSLC-Others-2002(FT)</t>
  </si>
  <si>
    <t xml:space="preserve">OLP Scored Model — How Every Column Is Calculated</t>
  </si>
  <si>
    <t xml:space="preserve">Columns A-AA are the raw OLP source data (hardcoded, blue font). Everything from column AB onward is a live Excel formula — change any raw value or any assumption on the Assumptions tab and the whole sheet recalculates.</t>
  </si>
  <si>
    <t xml:space="preserve">Column</t>
  </si>
  <si>
    <t xml:space="preserve">What it means</t>
  </si>
  <si>
    <t xml:space="preserve">Excel logic</t>
  </si>
  <si>
    <t xml:space="preserve">Prev Exp Clean / Age Clean / RilExp Clean / Tot Exp Clean</t>
  </si>
  <si>
    <t xml:space="preserve">Source columns store these as TEXT (a "." marks 0 years prior experience). These convert them to real numbers.</t>
  </si>
  <si>
    <t xml:space="preserve">IFERROR(VALUE(raw_cell), 0 or blank)</t>
  </si>
  <si>
    <t xml:space="preserve">RTG##-##_num (x5)</t>
  </si>
  <si>
    <t xml:space="preserve">Converts each year's letter grade (A*/A+/A/B) into a 4/3/2/1 numeric score.</t>
  </si>
  <si>
    <t xml:space="preserve">VLOOKUP(letter, Rating Map on Assumptions tab, 2, FALSE)</t>
  </si>
  <si>
    <t xml:space="preserve">Average numeric rating across whichever of the 5 years has data (blanks ignored).</t>
  </si>
  <si>
    <t xml:space="preserve">AVERAGE(of the 5 *_num columns)</t>
  </si>
  <si>
    <t xml:space="preserve">Change in rating from 2021-22 to 2025-26. Positive = improved, negative = declined.</t>
  </si>
  <si>
    <t xml:space="preserve">RTG25-26_num minus RTG21-22_num (blank if either year missing)</t>
  </si>
  <si>
    <t xml:space="preserve">Volatility of ratings over time (sample std-dev). Low = reliably consistent performer.</t>
  </si>
  <si>
    <t xml:space="preserve">STDEV.S(the 5 *_num columns), needs 2+ years of data</t>
  </si>
  <si>
    <t xml:space="preserve">Like avg_rating, but recent years count more (10/15/20/25/30% weights, oldest→newest).</t>
  </si>
  <si>
    <t xml:space="preserve">Weighted SUM of (year rating x year weight), weights on Assumptions tab</t>
  </si>
  <si>
    <t xml:space="preserve">Age bucketed into 5 bands for segmentation.</t>
  </si>
  <si>
    <t xml:space="preserve">Nested IF against Assumptions age thresholds</t>
  </si>
  <si>
    <t xml:space="preserve">Current Grade rolled up into Junior / Mid / Senior / Leadership.</t>
  </si>
  <si>
    <t xml:space="preserve">VLOOKUP(grade, Seniority Map on Assumptions tab); "Other" if no match</t>
  </si>
  <si>
    <t xml:space="preserve">was_promoted / had_progression</t>
  </si>
  <si>
    <t xml:space="preserve">Flags whether the employee has a promotion / progression date on record.</t>
  </si>
  <si>
    <t xml:space="preserve">IF(date cell is blank, 0, 1)</t>
  </si>
  <si>
    <t xml:space="preserve">score_avg_rating / score_trend / score_consistency / score_exp / score_recency_rtg</t>
  </si>
  <si>
    <t xml:space="preserve">Each underlying metric rescaled to a common 0-100 scale (min-max normalisation) so they can be combined fairly.</t>
  </si>
  <si>
    <t xml:space="preserve">(value - MIN of column) / (MAX - MIN) x 100; see helper columns BC:BE for trend/consistency pre-processing</t>
  </si>
  <si>
    <t xml:space="preserve">score_promotion / score_progression</t>
  </si>
  <si>
    <t xml:space="preserve">Binary flags expressed on the same 0-100 scale.</t>
  </si>
  <si>
    <t xml:space="preserve">flag x 100</t>
  </si>
  <si>
    <t xml:space="preserve">The overall HR performance score (0-100), a weighted blend of all 7 score_* columns.</t>
  </si>
  <si>
    <t xml:space="preserve">Weighted SUM of (score_* x its weight), weights on Assumptions tab (sum to 1.00)</t>
  </si>
  <si>
    <t xml:space="preserve">5-band classification of composite_score for reporting.</t>
  </si>
  <si>
    <t xml:space="preserve">Nested IF against Assumptions tier thresholds (&lt;=40/55/70/85 / above)</t>
  </si>
  <si>
    <t xml:space="preserve">Flags the top 20% of the workforce by composite_score.</t>
  </si>
  <si>
    <t xml:space="preserve">IF(composite_score &gt;= 80th-percentile threshold on Assumptions tab, 1, 0)</t>
  </si>
  <si>
    <t xml:space="preserve">OLP Scoring Model — Assumptions &amp; Lookup Tables</t>
  </si>
  <si>
    <t xml:space="preserve">All formulas in the model sheet reference the tables below. Change a value here and the entire model recalculates.</t>
  </si>
  <si>
    <t xml:space="preserve">Rating → Numeric Score Map</t>
  </si>
  <si>
    <t xml:space="preserve">Age Group — Upper Bound Thresholds</t>
  </si>
  <si>
    <t xml:space="preserve">Composite Score — Component Weights</t>
  </si>
  <si>
    <t xml:space="preserve">Rating</t>
  </si>
  <si>
    <t xml:space="preserve">Numeric Value</t>
  </si>
  <si>
    <t xml:space="preserve">Age Group</t>
  </si>
  <si>
    <t xml:space="preserve">Upper Bound (≤)</t>
  </si>
  <si>
    <t xml:space="preserve">Score Component</t>
  </si>
  <si>
    <t xml:space="preserve">Weight</t>
  </si>
  <si>
    <t xml:space="preserve">20-30</t>
  </si>
  <si>
    <t xml:space="preserve">30-40</t>
  </si>
  <si>
    <t xml:space="preserve">40-50</t>
  </si>
  <si>
    <t xml:space="preserve">50-60</t>
  </si>
  <si>
    <t xml:space="preserve">60+</t>
  </si>
  <si>
    <t xml:space="preserve">Current Grade → Seniority Tier Map</t>
  </si>
  <si>
    <t xml:space="preserve">Seniority Tier</t>
  </si>
  <si>
    <t xml:space="preserve">Recency-Weighted Rating — Year Weights</t>
  </si>
  <si>
    <t xml:space="preserve">Total</t>
  </si>
  <si>
    <t xml:space="preserve">Year</t>
  </si>
  <si>
    <t xml:space="preserve">Performance Tier — Upper Bound Thresholds</t>
  </si>
  <si>
    <t xml:space="preserve">Tier (cumulative ≤)</t>
  </si>
  <si>
    <t xml:space="preserve">Composite Score</t>
  </si>
  <si>
    <t xml:space="preserve">Below Expectation</t>
  </si>
  <si>
    <t xml:space="preserve">Developing</t>
  </si>
  <si>
    <t xml:space="preserve">Meets Expectation</t>
  </si>
  <si>
    <t xml:space="preserve">Exceeds</t>
  </si>
  <si>
    <t xml:space="preserve">Leadership</t>
  </si>
  <si>
    <t xml:space="preserve">Star Performer (above)</t>
  </si>
  <si>
    <t xml:space="preserve">Top Performer Cut-off</t>
  </si>
  <si>
    <t xml:space="preserve">Top Performer Percentile</t>
  </si>
  <si>
    <t xml:space="preserve">Composite Score Threshold (80th pct)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</si>
</sst>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m/d/yyyy"/>
    <numFmt numFmtId="167" formatCode="0.000"/>
    <numFmt numFmtId="168" formatCode="0.00"/>
    <numFmt numFmtId="169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3"/>
      <name val="Calibri"/>
      <family val="2"/>
      <charset val="1"/>
    </font>
    <font>
      <sz val="10"/>
      <name val="Calibri"/>
      <family val="2"/>
      <charset val="1"/>
    </font>
    <font>
      <i val="true"/>
      <sz val="9"/>
      <color rgb="FF808080"/>
      <name val="Arial"/>
      <family val="2"/>
      <charset val="1"/>
    </font>
    <font>
      <b val="true"/>
      <sz val="14"/>
      <name val="Arial"/>
      <family val="2"/>
      <charset val="1"/>
    </font>
    <font>
      <i val="true"/>
      <sz val="9"/>
      <color rgb="FF666666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1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CC99"/>
      </patternFill>
    </fill>
    <fill>
      <patternFill patternType="solid">
        <fgColor rgb="FFF2F2F2"/>
        <bgColor rgb="FFFFFFFF"/>
      </patternFill>
    </fill>
    <fill>
      <patternFill patternType="solid">
        <fgColor rgb="FF404040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2" xfId="20"/>
  </cellStyles>
  <dxfs count="6">
    <dxf>
      <fill>
        <patternFill patternType="solid">
          <fgColor rgb="FFFFEB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97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5B3D7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A7C0D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95B3D7"/>
    <pageSetUpPr fitToPage="false"/>
  </sheetPr>
  <dimension ref="A1:BE9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47" activeCellId="0" sqref="Y47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9.21"/>
    <col collapsed="false" customWidth="true" hidden="false" outlineLevel="0" max="2" min="2" style="0" width="13.22"/>
    <col collapsed="false" customWidth="true" hidden="false" outlineLevel="0" max="3" min="3" style="0" width="29.33"/>
    <col collapsed="false" customWidth="true" hidden="false" outlineLevel="0" max="4" min="4" style="0" width="29.88"/>
    <col collapsed="false" customWidth="true" hidden="true" outlineLevel="0" max="5" min="5" style="0" width="35.77"/>
    <col collapsed="false" customWidth="true" hidden="true" outlineLevel="0" max="6" min="6" style="0" width="36.11"/>
    <col collapsed="false" customWidth="true" hidden="true" outlineLevel="0" max="7" min="7" style="0" width="10"/>
    <col collapsed="false" customWidth="true" hidden="true" outlineLevel="0" max="8" min="8" style="0" width="31.88"/>
    <col collapsed="false" customWidth="true" hidden="true" outlineLevel="0" max="9" min="9" style="0" width="13.34"/>
    <col collapsed="false" customWidth="true" hidden="true" outlineLevel="0" max="10" min="10" style="0" width="16.77"/>
    <col collapsed="false" customWidth="true" hidden="true" outlineLevel="0" max="11" min="11" style="0" width="16.44"/>
    <col collapsed="false" customWidth="true" hidden="true" outlineLevel="0" max="12" min="12" style="0" width="10.11"/>
    <col collapsed="false" customWidth="true" hidden="true" outlineLevel="0" max="13" min="13" style="0" width="15.44"/>
    <col collapsed="false" customWidth="true" hidden="true" outlineLevel="0" max="14" min="14" style="0" width="10.11"/>
    <col collapsed="false" customWidth="true" hidden="true" outlineLevel="0" max="15" min="15" style="0" width="16.44"/>
    <col collapsed="false" customWidth="true" hidden="false" outlineLevel="0" max="16" min="16" style="0" width="21"/>
    <col collapsed="false" customWidth="true" hidden="true" outlineLevel="0" max="17" min="17" style="0" width="16"/>
    <col collapsed="false" customWidth="true" hidden="true" outlineLevel="0" max="18" min="18" style="0" width="18.11"/>
    <col collapsed="false" customWidth="true" hidden="true" outlineLevel="0" max="19" min="19" style="0" width="17.11"/>
    <col collapsed="false" customWidth="true" hidden="true" outlineLevel="0" max="20" min="20" style="0" width="13.88"/>
    <col collapsed="false" customWidth="true" hidden="true" outlineLevel="0" max="21" min="21" style="0" width="20.11"/>
    <col collapsed="false" customWidth="true" hidden="false" outlineLevel="0" max="26" min="22" style="0" width="13.11"/>
    <col collapsed="false" customWidth="true" hidden="true" outlineLevel="0" max="27" min="27" style="0" width="7.44"/>
    <col collapsed="false" customWidth="true" hidden="true" outlineLevel="0" max="28" min="28" style="0" width="13.88"/>
    <col collapsed="false" customWidth="true" hidden="true" outlineLevel="0" max="29" min="29" style="0" width="14.21"/>
    <col collapsed="false" customWidth="true" hidden="false" outlineLevel="0" max="30" min="30" style="0" width="16.44"/>
    <col collapsed="false" customWidth="true" hidden="false" outlineLevel="0" max="31" min="31" style="0" width="17.77"/>
    <col collapsed="false" customWidth="true" hidden="false" outlineLevel="0" max="36" min="32" style="0" width="12.22"/>
    <col collapsed="false" customWidth="true" hidden="false" outlineLevel="0" max="37" min="37" style="0" width="14.67"/>
    <col collapsed="false" customWidth="true" hidden="false" outlineLevel="0" max="38" min="38" style="0" width="16.22"/>
    <col collapsed="false" customWidth="true" hidden="false" outlineLevel="0" max="39" min="39" style="0" width="18"/>
    <col collapsed="false" customWidth="true" hidden="false" outlineLevel="0" max="40" min="40" style="0" width="17.33"/>
    <col collapsed="false" customWidth="true" hidden="false" outlineLevel="0" max="41" min="41" style="0" width="14.78"/>
    <col collapsed="false" customWidth="true" hidden="false" outlineLevel="0" max="42" min="42" style="0" width="16.89"/>
    <col collapsed="false" customWidth="true" hidden="false" outlineLevel="0" max="43" min="43" style="0" width="18.44"/>
    <col collapsed="false" customWidth="true" hidden="false" outlineLevel="0" max="44" min="44" style="0" width="18.11"/>
    <col collapsed="false" customWidth="true" hidden="false" outlineLevel="0" max="45" min="45" style="0" width="18.44"/>
    <col collapsed="false" customWidth="true" hidden="false" outlineLevel="0" max="46" min="46" style="0" width="16"/>
    <col collapsed="false" customWidth="true" hidden="false" outlineLevel="0" max="47" min="47" style="0" width="17.77"/>
    <col collapsed="false" customWidth="true" hidden="false" outlineLevel="0" max="48" min="48" style="0" width="14.44"/>
    <col collapsed="false" customWidth="true" hidden="false" outlineLevel="0" max="49" min="49" style="0" width="18.34"/>
    <col collapsed="false" customWidth="true" hidden="false" outlineLevel="0" max="50" min="50" style="0" width="18.22"/>
    <col collapsed="false" customWidth="true" hidden="false" outlineLevel="0" max="51" min="51" style="0" width="18.34"/>
    <col collapsed="false" customWidth="true" hidden="false" outlineLevel="0" max="52" min="52" style="0" width="17.56"/>
    <col collapsed="false" customWidth="true" hidden="false" outlineLevel="0" max="53" min="53" style="0" width="18.22"/>
    <col collapsed="false" customWidth="true" hidden="false" outlineLevel="0" max="54" min="54" style="0" width="17.11"/>
    <col collapsed="false" customWidth="true" hidden="false" outlineLevel="0" max="55" min="55" style="0" width="17.67"/>
    <col collapsed="false" customWidth="true" hidden="false" outlineLevel="0" max="56" min="56" style="0" width="20.11"/>
    <col collapsed="false" customWidth="true" hidden="false" outlineLevel="0" max="57" min="57" style="0" width="20.56"/>
  </cols>
  <sheetData>
    <row r="1" s="3" customFormat="true" ht="35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customFormat="false" ht="15" hidden="true" customHeight="true" outlineLevel="0" collapsed="false">
      <c r="A2" s="4" t="n">
        <v>909</v>
      </c>
      <c r="B2" s="5" t="n">
        <v>55159907</v>
      </c>
      <c r="C2" s="5" t="s">
        <v>57</v>
      </c>
      <c r="D2" s="5" t="s">
        <v>58</v>
      </c>
      <c r="E2" s="5" t="s">
        <v>59</v>
      </c>
      <c r="F2" s="5" t="s">
        <v>60</v>
      </c>
      <c r="G2" s="5" t="s">
        <v>61</v>
      </c>
      <c r="H2" s="5" t="s">
        <v>62</v>
      </c>
      <c r="I2" s="5" t="s">
        <v>63</v>
      </c>
      <c r="J2" s="5" t="s">
        <v>64</v>
      </c>
      <c r="K2" s="5" t="s">
        <v>65</v>
      </c>
      <c r="L2" s="6" t="n">
        <v>46062</v>
      </c>
      <c r="M2" s="5" t="s">
        <v>66</v>
      </c>
      <c r="N2" s="6" t="n">
        <v>24552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6"/>
      <c r="U2" s="6"/>
      <c r="V2" s="5"/>
      <c r="W2" s="5"/>
      <c r="X2" s="5"/>
      <c r="Y2" s="5"/>
      <c r="Z2" s="5"/>
      <c r="AA2" s="5" t="s">
        <v>72</v>
      </c>
      <c r="AB2" s="0" t="n">
        <f aca="false">IFERROR(VALUE(R2),0)</f>
        <v>9.4</v>
      </c>
      <c r="AC2" s="0" t="n">
        <f aca="false">IFERROR(VALUE(M2),"")</f>
        <v>59.2</v>
      </c>
      <c r="AD2" s="0" t="n">
        <f aca="false">IFERROR(VALUE(Q2),"")</f>
        <v>0.3</v>
      </c>
      <c r="AE2" s="0" t="n">
        <f aca="false">IFERROR(VALUE(S2),"")</f>
        <v>9.7</v>
      </c>
      <c r="AF2" s="0" t="str">
        <f aca="false">IF(V2="","",VLOOKUP(V2,Assumptions!$B$6:$C$9,2,FALSE()))</f>
        <v/>
      </c>
      <c r="AG2" s="0" t="str">
        <f aca="false">IF(W2="","",VLOOKUP(W2,Assumptions!$B$6:$C$9,2,FALSE()))</f>
        <v/>
      </c>
      <c r="AH2" s="0" t="str">
        <f aca="false">IF(X2="","",VLOOKUP(X2,Assumptions!$B$6:$C$9,2,FALSE()))</f>
        <v/>
      </c>
      <c r="AI2" s="0" t="str">
        <f aca="false">IF(Y2="","",VLOOKUP(Y2,Assumptions!$B$6:$C$9,2,FALSE()))</f>
        <v/>
      </c>
      <c r="AJ2" s="0" t="str">
        <f aca="false">IF(Z2="","",VLOOKUP(Z2,Assumptions!$B$6:$C$9,2,FALSE()))</f>
        <v/>
      </c>
      <c r="AK2" s="7" t="str">
        <f aca="false">IFERROR(ROUND(AVERAGE(AF2:AJ2),3),"")</f>
        <v/>
      </c>
      <c r="AL2" s="7" t="str">
        <f aca="false">IF(OR(AF2="",AJ2=""),"",AJ2-AF2)</f>
        <v/>
      </c>
      <c r="AM2" s="7" t="str">
        <f aca="false">IF(COUNT(AF2:AJ2)&gt;=2,ROUND(_xlfn.STDEV.S(AF2:AJ2),3),"")</f>
        <v/>
      </c>
      <c r="AN2" s="7" t="n">
        <f aca="false">ROUND((IF(AF2="",0,AF2)*Assumptions!$F$15)+(IF(AG2="",0,AG2)*Assumptions!$F$16)+(IF(AH2="",0,AH2)*Assumptions!$F$17)+(IF(AI2="",0,AI2)*Assumptions!$F$18)+(IF(AJ2="",0,AJ2)*Assumptions!$F$19),3)</f>
        <v>0</v>
      </c>
      <c r="AO2" s="0" t="str">
        <f aca="false">IF(AC2&lt;=20,"",IF(AC2&lt;=Assumptions!$F$6,"20-30",IF(AC2&lt;=Assumptions!$F$7,"30-40",IF(AC2&lt;=Assumptions!$F$8,"40-50",IF(AC2&lt;=Assumptions!$F$9,"50-60",IF(AC2&lt;=Assumptions!$F$10,"60+",""))))))</f>
        <v>50-60</v>
      </c>
      <c r="AP2" s="0" t="str">
        <f aca="false">IFERROR(VLOOKUP(O2,Assumptions!$B$14:$C$26,2,FALSE()),"Other")</f>
        <v>Leadership</v>
      </c>
      <c r="AQ2" s="0" t="n">
        <f aca="false">IF(T2="",0,1)</f>
        <v>0</v>
      </c>
      <c r="AR2" s="0" t="n">
        <f aca="false">IF(U2="",0,1)</f>
        <v>0</v>
      </c>
      <c r="AS2" s="8" t="str">
        <f aca="false">IF(AK2="","",IF(MAX($AK$2:$AK$921)=MIN($AK$2:$AK$921),50,ROUND((AK2-MIN($AK$2:$AK$921))/(MAX($AK$2:$AK$921)-MIN($AK$2:$AK$921))*100,2)))</f>
        <v/>
      </c>
      <c r="AT2" s="8" t="n">
        <f aca="false">IF(MAX($BC$2:$BC$921)=MIN($BC$2:$BC$921),50,ROUND((BC2-MIN($BC$2:$BC$921))/(MAX($BC$2:$BC$921)-MIN($BC$2:$BC$921))*100,2))</f>
        <v>50</v>
      </c>
      <c r="AU2" s="8" t="n">
        <f aca="false">IF(MAX($BE$2:$BE$921)=MIN($BE$2:$BE$921),50,ROUND((BE2-MIN($BE$2:$BE$921))/(MAX($BE$2:$BE$921)-MIN($BE$2:$BE$921))*100,2))</f>
        <v>75.4</v>
      </c>
      <c r="AV2" s="8" t="n">
        <f aca="false">IF(MAX($AD$2:$AD$921)=MIN($AD$2:$AD$921),50,ROUND((AD2-MIN($AD$2:$AD$921))/(MAX($AD$2:$AD$921)-MIN($AD$2:$AD$921))*100,2))</f>
        <v>0.52</v>
      </c>
      <c r="AW2" s="8" t="n">
        <f aca="false">IF(MAX($AN$2:$AN$921)=MIN($AN$2:$AN$921),50,ROUND((AN2-MIN($AN$2:$AN$921))/(MAX($AN$2:$AN$921)-MIN($AN$2:$AN$921))*100,2))</f>
        <v>0</v>
      </c>
      <c r="AX2" s="8" t="n">
        <f aca="false">AQ2*100</f>
        <v>0</v>
      </c>
      <c r="AY2" s="8" t="n">
        <f aca="false">AR2*100</f>
        <v>0</v>
      </c>
      <c r="AZ2" s="8" t="str">
        <f aca="false">IFERROR(ROUND(AS2*Assumptions!$I$6+AW2*Assumptions!$I$7+AT2*Assumptions!$I$8+AU2*Assumptions!$I$9+AV2*Assumptions!$I$10+AX2*Assumptions!$I$11+AY2*Assumptions!$I$12,2),"")</f>
        <v/>
      </c>
      <c r="BA2" s="0" t="str">
        <f aca="false">IF(AZ2="","",IF(AZ2&lt;=Assumptions!$I$18,"Below Expectation",IF(AZ2&lt;=Assumptions!$I$19,"Developing",IF(AZ2&lt;=Assumptions!$I$20,"Meets Expectation",IF(AZ2&lt;=Assumptions!$I$21,"Exceeds","Star Performer")))))</f>
        <v/>
      </c>
      <c r="BB2" s="0" t="n">
        <f aca="false">IF(AZ2="",0,IF(AZ2&gt;=Assumptions!$I$26,1,0))</f>
        <v>0</v>
      </c>
      <c r="BC2" s="9" t="n">
        <f aca="false">IF(AL2="",2,AL2+2)</f>
        <v>2</v>
      </c>
      <c r="BD2" s="9" t="n">
        <f aca="false">IF(AM2="",ROUND(AVERAGE($AM$2:$AM$921),3),AM2)</f>
        <v>0.426</v>
      </c>
      <c r="BE2" s="9" t="n">
        <f aca="false">1-BD2</f>
        <v>0.574</v>
      </c>
    </row>
    <row r="3" customFormat="false" ht="15" hidden="true" customHeight="true" outlineLevel="0" collapsed="false">
      <c r="A3" s="4" t="n">
        <v>26</v>
      </c>
      <c r="B3" s="5" t="n">
        <v>1128301</v>
      </c>
      <c r="C3" s="5" t="s">
        <v>73</v>
      </c>
      <c r="D3" s="5" t="s">
        <v>74</v>
      </c>
      <c r="E3" s="5" t="s">
        <v>73</v>
      </c>
      <c r="F3" s="5" t="s">
        <v>75</v>
      </c>
      <c r="G3" s="5" t="s">
        <v>61</v>
      </c>
      <c r="H3" s="5" t="s">
        <v>62</v>
      </c>
      <c r="I3" s="5" t="s">
        <v>63</v>
      </c>
      <c r="J3" s="5" t="s">
        <v>76</v>
      </c>
      <c r="K3" s="5" t="s">
        <v>65</v>
      </c>
      <c r="L3" s="6" t="n">
        <v>35362</v>
      </c>
      <c r="M3" s="5" t="s">
        <v>77</v>
      </c>
      <c r="N3" s="6" t="n">
        <v>24863</v>
      </c>
      <c r="O3" s="5" t="s">
        <v>78</v>
      </c>
      <c r="P3" s="5" t="s">
        <v>79</v>
      </c>
      <c r="Q3" s="5" t="s">
        <v>80</v>
      </c>
      <c r="R3" s="5" t="s">
        <v>81</v>
      </c>
      <c r="S3" s="5" t="s">
        <v>82</v>
      </c>
      <c r="T3" s="6" t="n">
        <v>39173</v>
      </c>
      <c r="U3" s="6" t="n">
        <v>44440</v>
      </c>
      <c r="V3" s="5" t="s">
        <v>83</v>
      </c>
      <c r="W3" s="5" t="s">
        <v>83</v>
      </c>
      <c r="X3" s="5" t="s">
        <v>83</v>
      </c>
      <c r="Y3" s="5" t="s">
        <v>83</v>
      </c>
      <c r="Z3" s="5" t="s">
        <v>83</v>
      </c>
      <c r="AA3" s="5" t="s">
        <v>84</v>
      </c>
      <c r="AB3" s="0" t="n">
        <f aca="false">IFERROR(VALUE(R3),0)</f>
        <v>4.5</v>
      </c>
      <c r="AC3" s="0" t="n">
        <f aca="false">IFERROR(VALUE(M3),"")</f>
        <v>58.4</v>
      </c>
      <c r="AD3" s="0" t="n">
        <f aca="false">IFERROR(VALUE(Q3),"")</f>
        <v>29.7</v>
      </c>
      <c r="AE3" s="0" t="n">
        <f aca="false">IFERROR(VALUE(S3),"")</f>
        <v>34</v>
      </c>
      <c r="AF3" s="0" t="n">
        <f aca="false">IF(V3="","",VLOOKUP(V3,Assumptions!$B$6:$C$9,2,FALSE()))</f>
        <v>4</v>
      </c>
      <c r="AG3" s="0" t="n">
        <f aca="false">IF(W3="","",VLOOKUP(W3,Assumptions!$B$6:$C$9,2,FALSE()))</f>
        <v>4</v>
      </c>
      <c r="AH3" s="0" t="n">
        <f aca="false">IF(X3="","",VLOOKUP(X3,Assumptions!$B$6:$C$9,2,FALSE()))</f>
        <v>4</v>
      </c>
      <c r="AI3" s="0" t="n">
        <f aca="false">IF(Y3="","",VLOOKUP(Y3,Assumptions!$B$6:$C$9,2,FALSE()))</f>
        <v>4</v>
      </c>
      <c r="AJ3" s="0" t="n">
        <f aca="false">IF(Z3="","",VLOOKUP(Z3,Assumptions!$B$6:$C$9,2,FALSE()))</f>
        <v>4</v>
      </c>
      <c r="AK3" s="7" t="n">
        <f aca="false">IFERROR(ROUND(AVERAGE(AF3:AJ3),3),"")</f>
        <v>4</v>
      </c>
      <c r="AL3" s="7" t="n">
        <f aca="false">IF(OR(AF3="",AJ3=""),"",AJ3-AF3)</f>
        <v>0</v>
      </c>
      <c r="AM3" s="7" t="n">
        <f aca="false">IF(COUNT(AF3:AJ3)&gt;=2,ROUND(_xlfn.STDEV.S(AF3:AJ3),3),"")</f>
        <v>0</v>
      </c>
      <c r="AN3" s="7" t="n">
        <f aca="false">ROUND((IF(AF3="",0,AF3)*Assumptions!$F$15)+(IF(AG3="",0,AG3)*Assumptions!$F$16)+(IF(AH3="",0,AH3)*Assumptions!$F$17)+(IF(AI3="",0,AI3)*Assumptions!$F$18)+(IF(AJ3="",0,AJ3)*Assumptions!$F$19),3)</f>
        <v>4</v>
      </c>
      <c r="AO3" s="0" t="str">
        <f aca="false">IF(AC3&lt;=20,"",IF(AC3&lt;=Assumptions!$F$6,"20-30",IF(AC3&lt;=Assumptions!$F$7,"30-40",IF(AC3&lt;=Assumptions!$F$8,"40-50",IF(AC3&lt;=Assumptions!$F$9,"50-60",IF(AC3&lt;=Assumptions!$F$10,"60+",""))))))</f>
        <v>50-60</v>
      </c>
      <c r="AP3" s="0" t="str">
        <f aca="false">IFERROR(VLOOKUP(O3,Assumptions!$B$14:$C$26,2,FALSE()),"Other")</f>
        <v>Leadership</v>
      </c>
      <c r="AQ3" s="0" t="n">
        <f aca="false">IF(T3="",0,1)</f>
        <v>1</v>
      </c>
      <c r="AR3" s="0" t="n">
        <f aca="false">IF(U3="",0,1)</f>
        <v>1</v>
      </c>
      <c r="AS3" s="8" t="n">
        <f aca="false">IF(AK3="","",IF(MAX($AK$2:$AK$921)=MIN($AK$2:$AK$921),50,ROUND((AK3-MIN($AK$2:$AK$921))/(MAX($AK$2:$AK$921)-MIN($AK$2:$AK$921))*100,2)))</f>
        <v>100</v>
      </c>
      <c r="AT3" s="8" t="n">
        <f aca="false">IF(MAX($BC$2:$BC$921)=MIN($BC$2:$BC$921),50,ROUND((BC3-MIN($BC$2:$BC$921))/(MAX($BC$2:$BC$921)-MIN($BC$2:$BC$921))*100,2))</f>
        <v>50</v>
      </c>
      <c r="AU3" s="8" t="n">
        <f aca="false">IF(MAX($BE$2:$BE$921)=MIN($BE$2:$BE$921),50,ROUND((BE3-MIN($BE$2:$BE$921))/(MAX($BE$2:$BE$921)-MIN($BE$2:$BE$921))*100,2))</f>
        <v>100</v>
      </c>
      <c r="AV3" s="8" t="n">
        <f aca="false">IF(MAX($AD$2:$AD$921)=MIN($AD$2:$AD$921),50,ROUND((AD3-MIN($AD$2:$AD$921))/(MAX($AD$2:$AD$921)-MIN($AD$2:$AD$921))*100,2))</f>
        <v>80.43</v>
      </c>
      <c r="AW3" s="8" t="n">
        <f aca="false">IF(MAX($AN$2:$AN$921)=MIN($AN$2:$AN$921),50,ROUND((AN3-MIN($AN$2:$AN$921))/(MAX($AN$2:$AN$921)-MIN($AN$2:$AN$921))*100,2))</f>
        <v>100</v>
      </c>
      <c r="AX3" s="8" t="n">
        <f aca="false">AQ3*100</f>
        <v>100</v>
      </c>
      <c r="AY3" s="8" t="n">
        <f aca="false">AR3*100</f>
        <v>100</v>
      </c>
      <c r="AZ3" s="8" t="n">
        <f aca="false">IFERROR(ROUND(AS3*Assumptions!$I$6+AW3*Assumptions!$I$7+AT3*Assumptions!$I$8+AU3*Assumptions!$I$9+AV3*Assumptions!$I$10+AX3*Assumptions!$I$11+AY3*Assumptions!$I$12,2),"")</f>
        <v>90.54</v>
      </c>
      <c r="BA3" s="0" t="str">
        <f aca="false">IF(AZ3="","",IF(AZ3&lt;=Assumptions!$I$18,"Below Expectation",IF(AZ3&lt;=Assumptions!$I$19,"Developing",IF(AZ3&lt;=Assumptions!$I$20,"Meets Expectation",IF(AZ3&lt;=Assumptions!$I$21,"Exceeds","Star Performer")))))</f>
        <v>Star Performer</v>
      </c>
      <c r="BB3" s="0" t="n">
        <f aca="false">IF(AZ3="",0,IF(AZ3&gt;=Assumptions!$I$26,1,0))</f>
        <v>1</v>
      </c>
      <c r="BC3" s="9" t="n">
        <f aca="false">IF(AL3="",2,AL3+2)</f>
        <v>2</v>
      </c>
      <c r="BD3" s="10" t="n">
        <f aca="false">IF(AM3="",ROUND(AVERAGE($AM$2:$AM$921),3),AM3)</f>
        <v>0</v>
      </c>
      <c r="BE3" s="9" t="n">
        <f aca="false">1-BD3</f>
        <v>1</v>
      </c>
    </row>
    <row r="4" customFormat="false" ht="15" hidden="true" customHeight="true" outlineLevel="0" collapsed="false">
      <c r="A4" s="4" t="n">
        <v>30</v>
      </c>
      <c r="B4" s="5" t="n">
        <v>2044308</v>
      </c>
      <c r="C4" s="5" t="s">
        <v>85</v>
      </c>
      <c r="D4" s="5" t="s">
        <v>86</v>
      </c>
      <c r="E4" s="5" t="s">
        <v>87</v>
      </c>
      <c r="F4" s="5" t="s">
        <v>62</v>
      </c>
      <c r="G4" s="5" t="s">
        <v>61</v>
      </c>
      <c r="H4" s="5" t="s">
        <v>62</v>
      </c>
      <c r="I4" s="5" t="s">
        <v>63</v>
      </c>
      <c r="J4" s="5" t="s">
        <v>76</v>
      </c>
      <c r="K4" s="5" t="s">
        <v>65</v>
      </c>
      <c r="L4" s="6" t="n">
        <v>35387</v>
      </c>
      <c r="M4" s="5" t="s">
        <v>88</v>
      </c>
      <c r="N4" s="6" t="n">
        <v>26836</v>
      </c>
      <c r="O4" s="5" t="s">
        <v>89</v>
      </c>
      <c r="P4" s="5" t="s">
        <v>90</v>
      </c>
      <c r="Q4" s="5" t="s">
        <v>91</v>
      </c>
      <c r="R4" s="5" t="s">
        <v>92</v>
      </c>
      <c r="S4" s="5" t="s">
        <v>93</v>
      </c>
      <c r="T4" s="6" t="n">
        <v>40269</v>
      </c>
      <c r="U4" s="6" t="n">
        <v>44440</v>
      </c>
      <c r="V4" s="5" t="s">
        <v>83</v>
      </c>
      <c r="W4" s="5" t="s">
        <v>83</v>
      </c>
      <c r="X4" s="5" t="s">
        <v>83</v>
      </c>
      <c r="Y4" s="5" t="s">
        <v>83</v>
      </c>
      <c r="Z4" s="5" t="s">
        <v>83</v>
      </c>
      <c r="AA4" s="5" t="s">
        <v>94</v>
      </c>
      <c r="AB4" s="0" t="n">
        <f aca="false">IFERROR(VALUE(R4),0)</f>
        <v>0.5</v>
      </c>
      <c r="AC4" s="0" t="n">
        <f aca="false">IFERROR(VALUE(M4),"")</f>
        <v>52.11</v>
      </c>
      <c r="AD4" s="0" t="n">
        <f aca="false">IFERROR(VALUE(Q4),"")</f>
        <v>29.6</v>
      </c>
      <c r="AE4" s="0" t="n">
        <f aca="false">IFERROR(VALUE(S4),"")</f>
        <v>29.11</v>
      </c>
      <c r="AF4" s="0" t="n">
        <f aca="false">IF(V4="","",VLOOKUP(V4,Assumptions!$B$6:$C$9,2,FALSE()))</f>
        <v>4</v>
      </c>
      <c r="AG4" s="0" t="n">
        <f aca="false">IF(W4="","",VLOOKUP(W4,Assumptions!$B$6:$C$9,2,FALSE()))</f>
        <v>4</v>
      </c>
      <c r="AH4" s="0" t="n">
        <f aca="false">IF(X4="","",VLOOKUP(X4,Assumptions!$B$6:$C$9,2,FALSE()))</f>
        <v>4</v>
      </c>
      <c r="AI4" s="0" t="n">
        <f aca="false">IF(Y4="","",VLOOKUP(Y4,Assumptions!$B$6:$C$9,2,FALSE()))</f>
        <v>4</v>
      </c>
      <c r="AJ4" s="0" t="n">
        <f aca="false">IF(Z4="","",VLOOKUP(Z4,Assumptions!$B$6:$C$9,2,FALSE()))</f>
        <v>4</v>
      </c>
      <c r="AK4" s="7" t="n">
        <f aca="false">IFERROR(ROUND(AVERAGE(AF4:AJ4),3),"")</f>
        <v>4</v>
      </c>
      <c r="AL4" s="7" t="n">
        <f aca="false">IF(OR(AF4="",AJ4=""),"",AJ4-AF4)</f>
        <v>0</v>
      </c>
      <c r="AM4" s="7" t="n">
        <f aca="false">IF(COUNT(AF4:AJ4)&gt;=2,ROUND(_xlfn.STDEV.S(AF4:AJ4),3),"")</f>
        <v>0</v>
      </c>
      <c r="AN4" s="7" t="n">
        <f aca="false">ROUND((IF(AF4="",0,AF4)*Assumptions!$F$15)+(IF(AG4="",0,AG4)*Assumptions!$F$16)+(IF(AH4="",0,AH4)*Assumptions!$F$17)+(IF(AI4="",0,AI4)*Assumptions!$F$18)+(IF(AJ4="",0,AJ4)*Assumptions!$F$19),3)</f>
        <v>4</v>
      </c>
      <c r="AO4" s="0" t="str">
        <f aca="false">IF(AC4&lt;=20,"",IF(AC4&lt;=Assumptions!$F$6,"20-30",IF(AC4&lt;=Assumptions!$F$7,"30-40",IF(AC4&lt;=Assumptions!$F$8,"40-50",IF(AC4&lt;=Assumptions!$F$9,"50-60",IF(AC4&lt;=Assumptions!$F$10,"60+",""))))))</f>
        <v>50-60</v>
      </c>
      <c r="AP4" s="0" t="str">
        <f aca="false">IFERROR(VLOOKUP(O4,Assumptions!$B$14:$C$26,2,FALSE()),"Other")</f>
        <v>Leadership</v>
      </c>
      <c r="AQ4" s="0" t="n">
        <f aca="false">IF(T4="",0,1)</f>
        <v>1</v>
      </c>
      <c r="AR4" s="0" t="n">
        <f aca="false">IF(U4="",0,1)</f>
        <v>1</v>
      </c>
      <c r="AS4" s="8" t="n">
        <f aca="false">IF(AK4="","",IF(MAX($AK$2:$AK$921)=MIN($AK$2:$AK$921),50,ROUND((AK4-MIN($AK$2:$AK$921))/(MAX($AK$2:$AK$921)-MIN($AK$2:$AK$921))*100,2)))</f>
        <v>100</v>
      </c>
      <c r="AT4" s="8" t="n">
        <f aca="false">IF(MAX($BC$2:$BC$921)=MIN($BC$2:$BC$921),50,ROUND((BC4-MIN($BC$2:$BC$921))/(MAX($BC$2:$BC$921)-MIN($BC$2:$BC$921))*100,2))</f>
        <v>50</v>
      </c>
      <c r="AU4" s="8" t="n">
        <f aca="false">IF(MAX($BE$2:$BE$921)=MIN($BE$2:$BE$921),50,ROUND((BE4-MIN($BE$2:$BE$921))/(MAX($BE$2:$BE$921)-MIN($BE$2:$BE$921))*100,2))</f>
        <v>100</v>
      </c>
      <c r="AV4" s="8" t="n">
        <f aca="false">IF(MAX($AD$2:$AD$921)=MIN($AD$2:$AD$921),50,ROUND((AD4-MIN($AD$2:$AD$921))/(MAX($AD$2:$AD$921)-MIN($AD$2:$AD$921))*100,2))</f>
        <v>80.16</v>
      </c>
      <c r="AW4" s="8" t="n">
        <f aca="false">IF(MAX($AN$2:$AN$921)=MIN($AN$2:$AN$921),50,ROUND((AN4-MIN($AN$2:$AN$921))/(MAX($AN$2:$AN$921)-MIN($AN$2:$AN$921))*100,2))</f>
        <v>100</v>
      </c>
      <c r="AX4" s="8" t="n">
        <f aca="false">AQ4*100</f>
        <v>100</v>
      </c>
      <c r="AY4" s="8" t="n">
        <f aca="false">AR4*100</f>
        <v>100</v>
      </c>
      <c r="AZ4" s="8" t="n">
        <f aca="false">IFERROR(ROUND(AS4*Assumptions!$I$6+AW4*Assumptions!$I$7+AT4*Assumptions!$I$8+AU4*Assumptions!$I$9+AV4*Assumptions!$I$10+AX4*Assumptions!$I$11+AY4*Assumptions!$I$12,2),"")</f>
        <v>90.52</v>
      </c>
      <c r="BA4" s="0" t="str">
        <f aca="false">IF(AZ4="","",IF(AZ4&lt;=Assumptions!$I$18,"Below Expectation",IF(AZ4&lt;=Assumptions!$I$19,"Developing",IF(AZ4&lt;=Assumptions!$I$20,"Meets Expectation",IF(AZ4&lt;=Assumptions!$I$21,"Exceeds","Star Performer")))))</f>
        <v>Star Performer</v>
      </c>
      <c r="BB4" s="0" t="n">
        <f aca="false">IF(AZ4="",0,IF(AZ4&gt;=Assumptions!$I$26,1,0))</f>
        <v>1</v>
      </c>
      <c r="BC4" s="9" t="n">
        <f aca="false">IF(AL4="",2,AL4+2)</f>
        <v>2</v>
      </c>
      <c r="BD4" s="10" t="n">
        <f aca="false">IF(AM4="",ROUND(AVERAGE($AM$2:$AM$921),3),AM4)</f>
        <v>0</v>
      </c>
      <c r="BE4" s="9" t="n">
        <f aca="false">1-BD4</f>
        <v>1</v>
      </c>
    </row>
    <row r="5" customFormat="false" ht="15" hidden="true" customHeight="true" outlineLevel="0" collapsed="false">
      <c r="A5" s="4" t="n">
        <v>9</v>
      </c>
      <c r="B5" s="5" t="n">
        <v>25514</v>
      </c>
      <c r="C5" s="5" t="s">
        <v>57</v>
      </c>
      <c r="D5" s="5" t="s">
        <v>95</v>
      </c>
      <c r="E5" s="5" t="s">
        <v>96</v>
      </c>
      <c r="F5" s="5" t="s">
        <v>97</v>
      </c>
      <c r="G5" s="5" t="s">
        <v>98</v>
      </c>
      <c r="H5" s="5" t="s">
        <v>99</v>
      </c>
      <c r="I5" s="5" t="s">
        <v>63</v>
      </c>
      <c r="J5" s="5" t="s">
        <v>100</v>
      </c>
      <c r="K5" s="5" t="s">
        <v>65</v>
      </c>
      <c r="L5" s="6" t="n">
        <v>35735</v>
      </c>
      <c r="M5" s="5" t="s">
        <v>101</v>
      </c>
      <c r="N5" s="6" t="n">
        <v>25779</v>
      </c>
      <c r="O5" s="5" t="s">
        <v>89</v>
      </c>
      <c r="P5" s="5" t="s">
        <v>90</v>
      </c>
      <c r="Q5" s="5" t="s">
        <v>102</v>
      </c>
      <c r="R5" s="5" t="s">
        <v>103</v>
      </c>
      <c r="S5" s="5" t="s">
        <v>104</v>
      </c>
      <c r="T5" s="6" t="n">
        <v>40269</v>
      </c>
      <c r="U5" s="6" t="n">
        <v>44470</v>
      </c>
      <c r="V5" s="5" t="s">
        <v>83</v>
      </c>
      <c r="W5" s="5" t="s">
        <v>83</v>
      </c>
      <c r="X5" s="5" t="s">
        <v>83</v>
      </c>
      <c r="Y5" s="5" t="s">
        <v>83</v>
      </c>
      <c r="Z5" s="5" t="s">
        <v>83</v>
      </c>
      <c r="AA5" s="5" t="s">
        <v>105</v>
      </c>
      <c r="AB5" s="0" t="n">
        <f aca="false">IFERROR(VALUE(R5),0)</f>
        <v>3.2</v>
      </c>
      <c r="AC5" s="0" t="n">
        <f aca="false">IFERROR(VALUE(M5),"")</f>
        <v>55.1</v>
      </c>
      <c r="AD5" s="0" t="n">
        <f aca="false">IFERROR(VALUE(Q5),"")</f>
        <v>28.7</v>
      </c>
      <c r="AE5" s="0" t="n">
        <f aca="false">IFERROR(VALUE(S5),"")</f>
        <v>31.9</v>
      </c>
      <c r="AF5" s="0" t="n">
        <f aca="false">IF(V5="","",VLOOKUP(V5,Assumptions!$B$6:$C$9,2,FALSE()))</f>
        <v>4</v>
      </c>
      <c r="AG5" s="0" t="n">
        <f aca="false">IF(W5="","",VLOOKUP(W5,Assumptions!$B$6:$C$9,2,FALSE()))</f>
        <v>4</v>
      </c>
      <c r="AH5" s="0" t="n">
        <f aca="false">IF(X5="","",VLOOKUP(X5,Assumptions!$B$6:$C$9,2,FALSE()))</f>
        <v>4</v>
      </c>
      <c r="AI5" s="0" t="n">
        <f aca="false">IF(Y5="","",VLOOKUP(Y5,Assumptions!$B$6:$C$9,2,FALSE()))</f>
        <v>4</v>
      </c>
      <c r="AJ5" s="0" t="n">
        <f aca="false">IF(Z5="","",VLOOKUP(Z5,Assumptions!$B$6:$C$9,2,FALSE()))</f>
        <v>4</v>
      </c>
      <c r="AK5" s="7" t="n">
        <f aca="false">IFERROR(ROUND(AVERAGE(AF5:AJ5),3),"")</f>
        <v>4</v>
      </c>
      <c r="AL5" s="7" t="n">
        <f aca="false">IF(OR(AF5="",AJ5=""),"",AJ5-AF5)</f>
        <v>0</v>
      </c>
      <c r="AM5" s="7" t="n">
        <f aca="false">IF(COUNT(AF5:AJ5)&gt;=2,ROUND(_xlfn.STDEV.S(AF5:AJ5),3),"")</f>
        <v>0</v>
      </c>
      <c r="AN5" s="7" t="n">
        <f aca="false">ROUND((IF(AF5="",0,AF5)*Assumptions!$F$15)+(IF(AG5="",0,AG5)*Assumptions!$F$16)+(IF(AH5="",0,AH5)*Assumptions!$F$17)+(IF(AI5="",0,AI5)*Assumptions!$F$18)+(IF(AJ5="",0,AJ5)*Assumptions!$F$19),3)</f>
        <v>4</v>
      </c>
      <c r="AO5" s="0" t="str">
        <f aca="false">IF(AC5&lt;=20,"",IF(AC5&lt;=Assumptions!$F$6,"20-30",IF(AC5&lt;=Assumptions!$F$7,"30-40",IF(AC5&lt;=Assumptions!$F$8,"40-50",IF(AC5&lt;=Assumptions!$F$9,"50-60",IF(AC5&lt;=Assumptions!$F$10,"60+",""))))))</f>
        <v>50-60</v>
      </c>
      <c r="AP5" s="0" t="str">
        <f aca="false">IFERROR(VLOOKUP(O5,Assumptions!$B$14:$C$26,2,FALSE()),"Other")</f>
        <v>Leadership</v>
      </c>
      <c r="AQ5" s="0" t="n">
        <f aca="false">IF(T5="",0,1)</f>
        <v>1</v>
      </c>
      <c r="AR5" s="0" t="n">
        <f aca="false">IF(U5="",0,1)</f>
        <v>1</v>
      </c>
      <c r="AS5" s="8" t="n">
        <f aca="false">IF(AK5="","",IF(MAX($AK$2:$AK$921)=MIN($AK$2:$AK$921),50,ROUND((AK5-MIN($AK$2:$AK$921))/(MAX($AK$2:$AK$921)-MIN($AK$2:$AK$921))*100,2)))</f>
        <v>100</v>
      </c>
      <c r="AT5" s="8" t="n">
        <f aca="false">IF(MAX($BC$2:$BC$921)=MIN($BC$2:$BC$921),50,ROUND((BC5-MIN($BC$2:$BC$921))/(MAX($BC$2:$BC$921)-MIN($BC$2:$BC$921))*100,2))</f>
        <v>50</v>
      </c>
      <c r="AU5" s="8" t="n">
        <f aca="false">IF(MAX($BE$2:$BE$921)=MIN($BE$2:$BE$921),50,ROUND((BE5-MIN($BE$2:$BE$921))/(MAX($BE$2:$BE$921)-MIN($BE$2:$BE$921))*100,2))</f>
        <v>100</v>
      </c>
      <c r="AV5" s="8" t="n">
        <f aca="false">IF(MAX($AD$2:$AD$921)=MIN($AD$2:$AD$921),50,ROUND((AD5-MIN($AD$2:$AD$921))/(MAX($AD$2:$AD$921)-MIN($AD$2:$AD$921))*100,2))</f>
        <v>77.71</v>
      </c>
      <c r="AW5" s="8" t="n">
        <f aca="false">IF(MAX($AN$2:$AN$921)=MIN($AN$2:$AN$921),50,ROUND((AN5-MIN($AN$2:$AN$921))/(MAX($AN$2:$AN$921)-MIN($AN$2:$AN$921))*100,2))</f>
        <v>100</v>
      </c>
      <c r="AX5" s="8" t="n">
        <f aca="false">AQ5*100</f>
        <v>100</v>
      </c>
      <c r="AY5" s="8" t="n">
        <f aca="false">AR5*100</f>
        <v>100</v>
      </c>
      <c r="AZ5" s="8" t="n">
        <f aca="false">IFERROR(ROUND(AS5*Assumptions!$I$6+AW5*Assumptions!$I$7+AT5*Assumptions!$I$8+AU5*Assumptions!$I$9+AV5*Assumptions!$I$10+AX5*Assumptions!$I$11+AY5*Assumptions!$I$12,2),"")</f>
        <v>90.27</v>
      </c>
      <c r="BA5" s="0" t="str">
        <f aca="false">IF(AZ5="","",IF(AZ5&lt;=Assumptions!$I$18,"Below Expectation",IF(AZ5&lt;=Assumptions!$I$19,"Developing",IF(AZ5&lt;=Assumptions!$I$20,"Meets Expectation",IF(AZ5&lt;=Assumptions!$I$21,"Exceeds","Star Performer")))))</f>
        <v>Star Performer</v>
      </c>
      <c r="BB5" s="0" t="n">
        <f aca="false">IF(AZ5="",0,IF(AZ5&gt;=Assumptions!$I$26,1,0))</f>
        <v>1</v>
      </c>
      <c r="BC5" s="9" t="n">
        <f aca="false">IF(AL5="",2,AL5+2)</f>
        <v>2</v>
      </c>
      <c r="BD5" s="10" t="n">
        <f aca="false">IF(AM5="",ROUND(AVERAGE($AM$2:$AM$921),3),AM5)</f>
        <v>0</v>
      </c>
      <c r="BE5" s="9" t="n">
        <f aca="false">1-BD5</f>
        <v>1</v>
      </c>
    </row>
    <row r="6" customFormat="false" ht="15" hidden="true" customHeight="true" outlineLevel="0" collapsed="false">
      <c r="A6" s="4" t="n">
        <v>10</v>
      </c>
      <c r="B6" s="5" t="n">
        <v>33214</v>
      </c>
      <c r="C6" s="5" t="s">
        <v>106</v>
      </c>
      <c r="D6" s="5" t="s">
        <v>107</v>
      </c>
      <c r="E6" s="5" t="s">
        <v>108</v>
      </c>
      <c r="F6" s="5" t="s">
        <v>109</v>
      </c>
      <c r="G6" s="5" t="s">
        <v>110</v>
      </c>
      <c r="H6" s="5" t="s">
        <v>111</v>
      </c>
      <c r="I6" s="5" t="s">
        <v>63</v>
      </c>
      <c r="J6" s="5" t="s">
        <v>112</v>
      </c>
      <c r="K6" s="5" t="s">
        <v>65</v>
      </c>
      <c r="L6" s="6" t="n">
        <v>35977</v>
      </c>
      <c r="M6" s="5" t="s">
        <v>113</v>
      </c>
      <c r="N6" s="6" t="n">
        <v>27546</v>
      </c>
      <c r="O6" s="5" t="s">
        <v>89</v>
      </c>
      <c r="P6" s="5" t="s">
        <v>90</v>
      </c>
      <c r="Q6" s="5" t="s">
        <v>114</v>
      </c>
      <c r="R6" s="5" t="s">
        <v>115</v>
      </c>
      <c r="S6" s="5" t="s">
        <v>114</v>
      </c>
      <c r="T6" s="6" t="n">
        <v>40269</v>
      </c>
      <c r="U6" s="6" t="n">
        <v>44652</v>
      </c>
      <c r="V6" s="5" t="s">
        <v>83</v>
      </c>
      <c r="W6" s="5" t="s">
        <v>83</v>
      </c>
      <c r="X6" s="5" t="s">
        <v>83</v>
      </c>
      <c r="Y6" s="5" t="s">
        <v>83</v>
      </c>
      <c r="Z6" s="5" t="s">
        <v>83</v>
      </c>
      <c r="AA6" s="5" t="s">
        <v>116</v>
      </c>
      <c r="AB6" s="0" t="n">
        <f aca="false">IFERROR(VALUE(R6),0)</f>
        <v>0</v>
      </c>
      <c r="AC6" s="0" t="n">
        <f aca="false">IFERROR(VALUE(M6),"")</f>
        <v>51</v>
      </c>
      <c r="AD6" s="0" t="n">
        <f aca="false">IFERROR(VALUE(Q6),"")</f>
        <v>27.11</v>
      </c>
      <c r="AE6" s="0" t="n">
        <f aca="false">IFERROR(VALUE(S6),"")</f>
        <v>27.11</v>
      </c>
      <c r="AF6" s="0" t="n">
        <f aca="false">IF(V6="","",VLOOKUP(V6,Assumptions!$B$6:$C$9,2,FALSE()))</f>
        <v>4</v>
      </c>
      <c r="AG6" s="0" t="n">
        <f aca="false">IF(W6="","",VLOOKUP(W6,Assumptions!$B$6:$C$9,2,FALSE()))</f>
        <v>4</v>
      </c>
      <c r="AH6" s="0" t="n">
        <f aca="false">IF(X6="","",VLOOKUP(X6,Assumptions!$B$6:$C$9,2,FALSE()))</f>
        <v>4</v>
      </c>
      <c r="AI6" s="0" t="n">
        <f aca="false">IF(Y6="","",VLOOKUP(Y6,Assumptions!$B$6:$C$9,2,FALSE()))</f>
        <v>4</v>
      </c>
      <c r="AJ6" s="0" t="n">
        <f aca="false">IF(Z6="","",VLOOKUP(Z6,Assumptions!$B$6:$C$9,2,FALSE()))</f>
        <v>4</v>
      </c>
      <c r="AK6" s="7" t="n">
        <f aca="false">IFERROR(ROUND(AVERAGE(AF6:AJ6),3),"")</f>
        <v>4</v>
      </c>
      <c r="AL6" s="7" t="n">
        <f aca="false">IF(OR(AF6="",AJ6=""),"",AJ6-AF6)</f>
        <v>0</v>
      </c>
      <c r="AM6" s="7" t="n">
        <f aca="false">IF(COUNT(AF6:AJ6)&gt;=2,ROUND(_xlfn.STDEV.S(AF6:AJ6),3),"")</f>
        <v>0</v>
      </c>
      <c r="AN6" s="7" t="n">
        <f aca="false">ROUND((IF(AF6="",0,AF6)*Assumptions!$F$15)+(IF(AG6="",0,AG6)*Assumptions!$F$16)+(IF(AH6="",0,AH6)*Assumptions!$F$17)+(IF(AI6="",0,AI6)*Assumptions!$F$18)+(IF(AJ6="",0,AJ6)*Assumptions!$F$19),3)</f>
        <v>4</v>
      </c>
      <c r="AO6" s="0" t="str">
        <f aca="false">IF(AC6&lt;=20,"",IF(AC6&lt;=Assumptions!$F$6,"20-30",IF(AC6&lt;=Assumptions!$F$7,"30-40",IF(AC6&lt;=Assumptions!$F$8,"40-50",IF(AC6&lt;=Assumptions!$F$9,"50-60",IF(AC6&lt;=Assumptions!$F$10,"60+",""))))))</f>
        <v>50-60</v>
      </c>
      <c r="AP6" s="0" t="str">
        <f aca="false">IFERROR(VLOOKUP(O6,Assumptions!$B$14:$C$26,2,FALSE()),"Other")</f>
        <v>Leadership</v>
      </c>
      <c r="AQ6" s="0" t="n">
        <f aca="false">IF(T6="",0,1)</f>
        <v>1</v>
      </c>
      <c r="AR6" s="0" t="n">
        <f aca="false">IF(U6="",0,1)</f>
        <v>1</v>
      </c>
      <c r="AS6" s="8" t="n">
        <f aca="false">IF(AK6="","",IF(MAX($AK$2:$AK$921)=MIN($AK$2:$AK$921),50,ROUND((AK6-MIN($AK$2:$AK$921))/(MAX($AK$2:$AK$921)-MIN($AK$2:$AK$921))*100,2)))</f>
        <v>100</v>
      </c>
      <c r="AT6" s="8" t="n">
        <f aca="false">IF(MAX($BC$2:$BC$921)=MIN($BC$2:$BC$921),50,ROUND((BC6-MIN($BC$2:$BC$921))/(MAX($BC$2:$BC$921)-MIN($BC$2:$BC$921))*100,2))</f>
        <v>50</v>
      </c>
      <c r="AU6" s="8" t="n">
        <f aca="false">IF(MAX($BE$2:$BE$921)=MIN($BE$2:$BE$921),50,ROUND((BE6-MIN($BE$2:$BE$921))/(MAX($BE$2:$BE$921)-MIN($BE$2:$BE$921))*100,2))</f>
        <v>100</v>
      </c>
      <c r="AV6" s="8" t="n">
        <f aca="false">IF(MAX($AD$2:$AD$921)=MIN($AD$2:$AD$921),50,ROUND((AD6-MIN($AD$2:$AD$921))/(MAX($AD$2:$AD$921)-MIN($AD$2:$AD$921))*100,2))</f>
        <v>73.39</v>
      </c>
      <c r="AW6" s="8" t="n">
        <f aca="false">IF(MAX($AN$2:$AN$921)=MIN($AN$2:$AN$921),50,ROUND((AN6-MIN($AN$2:$AN$921))/(MAX($AN$2:$AN$921)-MIN($AN$2:$AN$921))*100,2))</f>
        <v>100</v>
      </c>
      <c r="AX6" s="8" t="n">
        <f aca="false">AQ6*100</f>
        <v>100</v>
      </c>
      <c r="AY6" s="8" t="n">
        <f aca="false">AR6*100</f>
        <v>100</v>
      </c>
      <c r="AZ6" s="8" t="n">
        <f aca="false">IFERROR(ROUND(AS6*Assumptions!$I$6+AW6*Assumptions!$I$7+AT6*Assumptions!$I$8+AU6*Assumptions!$I$9+AV6*Assumptions!$I$10+AX6*Assumptions!$I$11+AY6*Assumptions!$I$12,2),"")</f>
        <v>89.84</v>
      </c>
      <c r="BA6" s="0" t="str">
        <f aca="false">IF(AZ6="","",IF(AZ6&lt;=Assumptions!$I$18,"Below Expectation",IF(AZ6&lt;=Assumptions!$I$19,"Developing",IF(AZ6&lt;=Assumptions!$I$20,"Meets Expectation",IF(AZ6&lt;=Assumptions!$I$21,"Exceeds","Star Performer")))))</f>
        <v>Star Performer</v>
      </c>
      <c r="BB6" s="0" t="n">
        <f aca="false">IF(AZ6="",0,IF(AZ6&gt;=Assumptions!$I$26,1,0))</f>
        <v>1</v>
      </c>
      <c r="BC6" s="9" t="n">
        <f aca="false">IF(AL6="",2,AL6+2)</f>
        <v>2</v>
      </c>
      <c r="BD6" s="10" t="n">
        <f aca="false">IF(AM6="",ROUND(AVERAGE($AM$2:$AM$921),3),AM6)</f>
        <v>0</v>
      </c>
      <c r="BE6" s="9" t="n">
        <f aca="false">1-BD6</f>
        <v>1</v>
      </c>
    </row>
    <row r="7" customFormat="false" ht="15" hidden="true" customHeight="true" outlineLevel="0" collapsed="false">
      <c r="A7" s="4" t="n">
        <v>13</v>
      </c>
      <c r="B7" s="5" t="n">
        <v>39214</v>
      </c>
      <c r="C7" s="5" t="s">
        <v>106</v>
      </c>
      <c r="D7" s="5" t="s">
        <v>117</v>
      </c>
      <c r="E7" s="5" t="s">
        <v>108</v>
      </c>
      <c r="F7" s="5" t="s">
        <v>118</v>
      </c>
      <c r="G7" s="5" t="s">
        <v>119</v>
      </c>
      <c r="H7" s="5" t="s">
        <v>120</v>
      </c>
      <c r="I7" s="5" t="s">
        <v>63</v>
      </c>
      <c r="J7" s="5" t="s">
        <v>112</v>
      </c>
      <c r="K7" s="5" t="s">
        <v>65</v>
      </c>
      <c r="L7" s="6" t="n">
        <v>36810</v>
      </c>
      <c r="M7" s="5" t="s">
        <v>121</v>
      </c>
      <c r="N7" s="6" t="n">
        <v>28762</v>
      </c>
      <c r="O7" s="5" t="s">
        <v>122</v>
      </c>
      <c r="P7" s="5" t="s">
        <v>123</v>
      </c>
      <c r="Q7" s="5" t="s">
        <v>124</v>
      </c>
      <c r="R7" s="5" t="s">
        <v>115</v>
      </c>
      <c r="S7" s="5" t="s">
        <v>124</v>
      </c>
      <c r="T7" s="6" t="n">
        <v>40269</v>
      </c>
      <c r="U7" s="6" t="n">
        <v>43191</v>
      </c>
      <c r="V7" s="5" t="s">
        <v>83</v>
      </c>
      <c r="W7" s="5" t="s">
        <v>83</v>
      </c>
      <c r="X7" s="5" t="s">
        <v>83</v>
      </c>
      <c r="Y7" s="5" t="s">
        <v>83</v>
      </c>
      <c r="Z7" s="5" t="s">
        <v>83</v>
      </c>
      <c r="AA7" s="5" t="s">
        <v>125</v>
      </c>
      <c r="AB7" s="0" t="n">
        <f aca="false">IFERROR(VALUE(R7),0)</f>
        <v>0</v>
      </c>
      <c r="AC7" s="0" t="n">
        <f aca="false">IFERROR(VALUE(M7),"")</f>
        <v>47.8</v>
      </c>
      <c r="AD7" s="0" t="n">
        <f aca="false">IFERROR(VALUE(Q7),"")</f>
        <v>25.7</v>
      </c>
      <c r="AE7" s="0" t="n">
        <f aca="false">IFERROR(VALUE(S7),"")</f>
        <v>25.7</v>
      </c>
      <c r="AF7" s="0" t="n">
        <f aca="false">IF(V7="","",VLOOKUP(V7,Assumptions!$B$6:$C$9,2,FALSE()))</f>
        <v>4</v>
      </c>
      <c r="AG7" s="0" t="n">
        <f aca="false">IF(W7="","",VLOOKUP(W7,Assumptions!$B$6:$C$9,2,FALSE()))</f>
        <v>4</v>
      </c>
      <c r="AH7" s="0" t="n">
        <f aca="false">IF(X7="","",VLOOKUP(X7,Assumptions!$B$6:$C$9,2,FALSE()))</f>
        <v>4</v>
      </c>
      <c r="AI7" s="0" t="n">
        <f aca="false">IF(Y7="","",VLOOKUP(Y7,Assumptions!$B$6:$C$9,2,FALSE()))</f>
        <v>4</v>
      </c>
      <c r="AJ7" s="0" t="n">
        <f aca="false">IF(Z7="","",VLOOKUP(Z7,Assumptions!$B$6:$C$9,2,FALSE()))</f>
        <v>4</v>
      </c>
      <c r="AK7" s="7" t="n">
        <f aca="false">IFERROR(ROUND(AVERAGE(AF7:AJ7),3),"")</f>
        <v>4</v>
      </c>
      <c r="AL7" s="7" t="n">
        <f aca="false">IF(OR(AF7="",AJ7=""),"",AJ7-AF7)</f>
        <v>0</v>
      </c>
      <c r="AM7" s="7" t="n">
        <f aca="false">IF(COUNT(AF7:AJ7)&gt;=2,ROUND(_xlfn.STDEV.S(AF7:AJ7),3),"")</f>
        <v>0</v>
      </c>
      <c r="AN7" s="7" t="n">
        <f aca="false">ROUND((IF(AF7="",0,AF7)*Assumptions!$F$15)+(IF(AG7="",0,AG7)*Assumptions!$F$16)+(IF(AH7="",0,AH7)*Assumptions!$F$17)+(IF(AI7="",0,AI7)*Assumptions!$F$18)+(IF(AJ7="",0,AJ7)*Assumptions!$F$19),3)</f>
        <v>4</v>
      </c>
      <c r="AO7" s="0" t="str">
        <f aca="false">IF(AC7&lt;=20,"",IF(AC7&lt;=Assumptions!$F$6,"20-30",IF(AC7&lt;=Assumptions!$F$7,"30-40",IF(AC7&lt;=Assumptions!$F$8,"40-50",IF(AC7&lt;=Assumptions!$F$9,"50-60",IF(AC7&lt;=Assumptions!$F$10,"60+",""))))))</f>
        <v>40-50</v>
      </c>
      <c r="AP7" s="0" t="str">
        <f aca="false">IFERROR(VLOOKUP(O7,Assumptions!$B$14:$C$26,2,FALSE()),"Other")</f>
        <v>Leadership</v>
      </c>
      <c r="AQ7" s="0" t="n">
        <f aca="false">IF(T7="",0,1)</f>
        <v>1</v>
      </c>
      <c r="AR7" s="0" t="n">
        <f aca="false">IF(U7="",0,1)</f>
        <v>1</v>
      </c>
      <c r="AS7" s="8" t="n">
        <f aca="false">IF(AK7="","",IF(MAX($AK$2:$AK$921)=MIN($AK$2:$AK$921),50,ROUND((AK7-MIN($AK$2:$AK$921))/(MAX($AK$2:$AK$921)-MIN($AK$2:$AK$921))*100,2)))</f>
        <v>100</v>
      </c>
      <c r="AT7" s="8" t="n">
        <f aca="false">IF(MAX($BC$2:$BC$921)=MIN($BC$2:$BC$921),50,ROUND((BC7-MIN($BC$2:$BC$921))/(MAX($BC$2:$BC$921)-MIN($BC$2:$BC$921))*100,2))</f>
        <v>50</v>
      </c>
      <c r="AU7" s="8" t="n">
        <f aca="false">IF(MAX($BE$2:$BE$921)=MIN($BE$2:$BE$921),50,ROUND((BE7-MIN($BE$2:$BE$921))/(MAX($BE$2:$BE$921)-MIN($BE$2:$BE$921))*100,2))</f>
        <v>100</v>
      </c>
      <c r="AV7" s="8" t="n">
        <f aca="false">IF(MAX($AD$2:$AD$921)=MIN($AD$2:$AD$921),50,ROUND((AD7-MIN($AD$2:$AD$921))/(MAX($AD$2:$AD$921)-MIN($AD$2:$AD$921))*100,2))</f>
        <v>69.56</v>
      </c>
      <c r="AW7" s="8" t="n">
        <f aca="false">IF(MAX($AN$2:$AN$921)=MIN($AN$2:$AN$921),50,ROUND((AN7-MIN($AN$2:$AN$921))/(MAX($AN$2:$AN$921)-MIN($AN$2:$AN$921))*100,2))</f>
        <v>100</v>
      </c>
      <c r="AX7" s="8" t="n">
        <f aca="false">AQ7*100</f>
        <v>100</v>
      </c>
      <c r="AY7" s="8" t="n">
        <f aca="false">AR7*100</f>
        <v>100</v>
      </c>
      <c r="AZ7" s="8" t="n">
        <f aca="false">IFERROR(ROUND(AS7*Assumptions!$I$6+AW7*Assumptions!$I$7+AT7*Assumptions!$I$8+AU7*Assumptions!$I$9+AV7*Assumptions!$I$10+AX7*Assumptions!$I$11+AY7*Assumptions!$I$12,2),"")</f>
        <v>89.46</v>
      </c>
      <c r="BA7" s="0" t="str">
        <f aca="false">IF(AZ7="","",IF(AZ7&lt;=Assumptions!$I$18,"Below Expectation",IF(AZ7&lt;=Assumptions!$I$19,"Developing",IF(AZ7&lt;=Assumptions!$I$20,"Meets Expectation",IF(AZ7&lt;=Assumptions!$I$21,"Exceeds","Star Performer")))))</f>
        <v>Star Performer</v>
      </c>
      <c r="BB7" s="0" t="n">
        <f aca="false">IF(AZ7="",0,IF(AZ7&gt;=Assumptions!$I$26,1,0))</f>
        <v>1</v>
      </c>
      <c r="BC7" s="9" t="n">
        <f aca="false">IF(AL7="",2,AL7+2)</f>
        <v>2</v>
      </c>
      <c r="BD7" s="10" t="n">
        <f aca="false">IF(AM7="",ROUND(AVERAGE($AM$2:$AM$921),3),AM7)</f>
        <v>0</v>
      </c>
      <c r="BE7" s="9" t="n">
        <f aca="false">1-BD7</f>
        <v>1</v>
      </c>
    </row>
    <row r="8" customFormat="false" ht="15" hidden="true" customHeight="true" outlineLevel="0" collapsed="false">
      <c r="A8" s="4" t="n">
        <v>45</v>
      </c>
      <c r="B8" s="5" t="n">
        <v>10009823</v>
      </c>
      <c r="C8" s="5" t="s">
        <v>106</v>
      </c>
      <c r="D8" s="5" t="s">
        <v>126</v>
      </c>
      <c r="E8" s="5" t="s">
        <v>127</v>
      </c>
      <c r="F8" s="5" t="s">
        <v>128</v>
      </c>
      <c r="G8" s="5" t="s">
        <v>129</v>
      </c>
      <c r="H8" s="5" t="s">
        <v>130</v>
      </c>
      <c r="I8" s="5" t="s">
        <v>63</v>
      </c>
      <c r="J8" s="5" t="s">
        <v>112</v>
      </c>
      <c r="K8" s="5" t="s">
        <v>65</v>
      </c>
      <c r="L8" s="6" t="n">
        <v>37547</v>
      </c>
      <c r="M8" s="5" t="s">
        <v>131</v>
      </c>
      <c r="N8" s="6" t="n">
        <v>29184</v>
      </c>
      <c r="O8" s="5" t="s">
        <v>89</v>
      </c>
      <c r="P8" s="5" t="s">
        <v>90</v>
      </c>
      <c r="Q8" s="5" t="s">
        <v>132</v>
      </c>
      <c r="R8" s="5" t="s">
        <v>133</v>
      </c>
      <c r="S8" s="5" t="s">
        <v>134</v>
      </c>
      <c r="T8" s="6" t="n">
        <v>42461</v>
      </c>
      <c r="U8" s="6" t="n">
        <v>44562</v>
      </c>
      <c r="V8" s="5" t="s">
        <v>83</v>
      </c>
      <c r="W8" s="5" t="s">
        <v>83</v>
      </c>
      <c r="X8" s="5" t="s">
        <v>83</v>
      </c>
      <c r="Y8" s="5" t="s">
        <v>83</v>
      </c>
      <c r="Z8" s="5" t="s">
        <v>83</v>
      </c>
      <c r="AA8" s="5" t="s">
        <v>135</v>
      </c>
      <c r="AB8" s="0" t="n">
        <f aca="false">IFERROR(VALUE(R8),0)</f>
        <v>1</v>
      </c>
      <c r="AC8" s="0" t="n">
        <f aca="false">IFERROR(VALUE(M8),"")</f>
        <v>46.6</v>
      </c>
      <c r="AD8" s="0" t="n">
        <f aca="false">IFERROR(VALUE(Q8),"")</f>
        <v>23.7</v>
      </c>
      <c r="AE8" s="0" t="n">
        <f aca="false">IFERROR(VALUE(S8),"")</f>
        <v>24.7</v>
      </c>
      <c r="AF8" s="0" t="n">
        <f aca="false">IF(V8="","",VLOOKUP(V8,Assumptions!$B$6:$C$9,2,FALSE()))</f>
        <v>4</v>
      </c>
      <c r="AG8" s="0" t="n">
        <f aca="false">IF(W8="","",VLOOKUP(W8,Assumptions!$B$6:$C$9,2,FALSE()))</f>
        <v>4</v>
      </c>
      <c r="AH8" s="0" t="n">
        <f aca="false">IF(X8="","",VLOOKUP(X8,Assumptions!$B$6:$C$9,2,FALSE()))</f>
        <v>4</v>
      </c>
      <c r="AI8" s="0" t="n">
        <f aca="false">IF(Y8="","",VLOOKUP(Y8,Assumptions!$B$6:$C$9,2,FALSE()))</f>
        <v>4</v>
      </c>
      <c r="AJ8" s="0" t="n">
        <f aca="false">IF(Z8="","",VLOOKUP(Z8,Assumptions!$B$6:$C$9,2,FALSE()))</f>
        <v>4</v>
      </c>
      <c r="AK8" s="7" t="n">
        <f aca="false">IFERROR(ROUND(AVERAGE(AF8:AJ8),3),"")</f>
        <v>4</v>
      </c>
      <c r="AL8" s="7" t="n">
        <f aca="false">IF(OR(AF8="",AJ8=""),"",AJ8-AF8)</f>
        <v>0</v>
      </c>
      <c r="AM8" s="7" t="n">
        <f aca="false">IF(COUNT(AF8:AJ8)&gt;=2,ROUND(_xlfn.STDEV.S(AF8:AJ8),3),"")</f>
        <v>0</v>
      </c>
      <c r="AN8" s="7" t="n">
        <f aca="false">ROUND((IF(AF8="",0,AF8)*Assumptions!$F$15)+(IF(AG8="",0,AG8)*Assumptions!$F$16)+(IF(AH8="",0,AH8)*Assumptions!$F$17)+(IF(AI8="",0,AI8)*Assumptions!$F$18)+(IF(AJ8="",0,AJ8)*Assumptions!$F$19),3)</f>
        <v>4</v>
      </c>
      <c r="AO8" s="0" t="str">
        <f aca="false">IF(AC8&lt;=20,"",IF(AC8&lt;=Assumptions!$F$6,"20-30",IF(AC8&lt;=Assumptions!$F$7,"30-40",IF(AC8&lt;=Assumptions!$F$8,"40-50",IF(AC8&lt;=Assumptions!$F$9,"50-60",IF(AC8&lt;=Assumptions!$F$10,"60+",""))))))</f>
        <v>40-50</v>
      </c>
      <c r="AP8" s="0" t="str">
        <f aca="false">IFERROR(VLOOKUP(O8,Assumptions!$B$14:$C$26,2,FALSE()),"Other")</f>
        <v>Leadership</v>
      </c>
      <c r="AQ8" s="0" t="n">
        <f aca="false">IF(T8="",0,1)</f>
        <v>1</v>
      </c>
      <c r="AR8" s="0" t="n">
        <f aca="false">IF(U8="",0,1)</f>
        <v>1</v>
      </c>
      <c r="AS8" s="8" t="n">
        <f aca="false">IF(AK8="","",IF(MAX($AK$2:$AK$921)=MIN($AK$2:$AK$921),50,ROUND((AK8-MIN($AK$2:$AK$921))/(MAX($AK$2:$AK$921)-MIN($AK$2:$AK$921))*100,2)))</f>
        <v>100</v>
      </c>
      <c r="AT8" s="8" t="n">
        <f aca="false">IF(MAX($BC$2:$BC$921)=MIN($BC$2:$BC$921),50,ROUND((BC8-MIN($BC$2:$BC$921))/(MAX($BC$2:$BC$921)-MIN($BC$2:$BC$921))*100,2))</f>
        <v>50</v>
      </c>
      <c r="AU8" s="8" t="n">
        <f aca="false">IF(MAX($BE$2:$BE$921)=MIN($BE$2:$BE$921),50,ROUND((BE8-MIN($BE$2:$BE$921))/(MAX($BE$2:$BE$921)-MIN($BE$2:$BE$921))*100,2))</f>
        <v>100</v>
      </c>
      <c r="AV8" s="8" t="n">
        <f aca="false">IF(MAX($AD$2:$AD$921)=MIN($AD$2:$AD$921),50,ROUND((AD8-MIN($AD$2:$AD$921))/(MAX($AD$2:$AD$921)-MIN($AD$2:$AD$921))*100,2))</f>
        <v>64.12</v>
      </c>
      <c r="AW8" s="8" t="n">
        <f aca="false">IF(MAX($AN$2:$AN$921)=MIN($AN$2:$AN$921),50,ROUND((AN8-MIN($AN$2:$AN$921))/(MAX($AN$2:$AN$921)-MIN($AN$2:$AN$921))*100,2))</f>
        <v>100</v>
      </c>
      <c r="AX8" s="8" t="n">
        <f aca="false">AQ8*100</f>
        <v>100</v>
      </c>
      <c r="AY8" s="8" t="n">
        <f aca="false">AR8*100</f>
        <v>100</v>
      </c>
      <c r="AZ8" s="8" t="n">
        <f aca="false">IFERROR(ROUND(AS8*Assumptions!$I$6+AW8*Assumptions!$I$7+AT8*Assumptions!$I$8+AU8*Assumptions!$I$9+AV8*Assumptions!$I$10+AX8*Assumptions!$I$11+AY8*Assumptions!$I$12,2),"")</f>
        <v>88.91</v>
      </c>
      <c r="BA8" s="0" t="str">
        <f aca="false">IF(AZ8="","",IF(AZ8&lt;=Assumptions!$I$18,"Below Expectation",IF(AZ8&lt;=Assumptions!$I$19,"Developing",IF(AZ8&lt;=Assumptions!$I$20,"Meets Expectation",IF(AZ8&lt;=Assumptions!$I$21,"Exceeds","Star Performer")))))</f>
        <v>Star Performer</v>
      </c>
      <c r="BB8" s="0" t="n">
        <f aca="false">IF(AZ8="",0,IF(AZ8&gt;=Assumptions!$I$26,1,0))</f>
        <v>1</v>
      </c>
      <c r="BC8" s="9" t="n">
        <f aca="false">IF(AL8="",2,AL8+2)</f>
        <v>2</v>
      </c>
      <c r="BD8" s="10" t="n">
        <f aca="false">IF(AM8="",ROUND(AVERAGE($AM$2:$AM$921),3),AM8)</f>
        <v>0</v>
      </c>
      <c r="BE8" s="9" t="n">
        <f aca="false">1-BD8</f>
        <v>1</v>
      </c>
    </row>
    <row r="9" customFormat="false" ht="15" hidden="true" customHeight="true" outlineLevel="0" collapsed="false">
      <c r="A9" s="4" t="n">
        <v>18</v>
      </c>
      <c r="B9" s="5" t="n">
        <v>573601</v>
      </c>
      <c r="C9" s="5" t="s">
        <v>85</v>
      </c>
      <c r="D9" s="5" t="s">
        <v>136</v>
      </c>
      <c r="E9" s="5" t="s">
        <v>137</v>
      </c>
      <c r="F9" s="5" t="s">
        <v>138</v>
      </c>
      <c r="G9" s="5" t="s">
        <v>61</v>
      </c>
      <c r="H9" s="5" t="s">
        <v>62</v>
      </c>
      <c r="I9" s="5" t="s">
        <v>63</v>
      </c>
      <c r="J9" s="5" t="s">
        <v>76</v>
      </c>
      <c r="K9" s="5" t="s">
        <v>65</v>
      </c>
      <c r="L9" s="6" t="n">
        <v>33484</v>
      </c>
      <c r="M9" s="5" t="s">
        <v>139</v>
      </c>
      <c r="N9" s="6" t="n">
        <v>25672</v>
      </c>
      <c r="O9" s="5" t="s">
        <v>89</v>
      </c>
      <c r="P9" s="5" t="s">
        <v>90</v>
      </c>
      <c r="Q9" s="5" t="s">
        <v>140</v>
      </c>
      <c r="R9" s="5" t="s">
        <v>115</v>
      </c>
      <c r="S9" s="5" t="s">
        <v>140</v>
      </c>
      <c r="T9" s="6" t="n">
        <v>41000</v>
      </c>
      <c r="U9" s="6" t="n">
        <v>44440</v>
      </c>
      <c r="V9" s="5" t="s">
        <v>141</v>
      </c>
      <c r="W9" s="5" t="s">
        <v>83</v>
      </c>
      <c r="X9" s="5" t="s">
        <v>83</v>
      </c>
      <c r="Y9" s="5" t="s">
        <v>83</v>
      </c>
      <c r="Z9" s="5" t="s">
        <v>83</v>
      </c>
      <c r="AA9" s="5" t="s">
        <v>142</v>
      </c>
      <c r="AB9" s="0" t="n">
        <f aca="false">IFERROR(VALUE(R9),0)</f>
        <v>0</v>
      </c>
      <c r="AC9" s="0" t="n">
        <f aca="false">IFERROR(VALUE(M9),"")</f>
        <v>56.1</v>
      </c>
      <c r="AD9" s="0" t="n">
        <f aca="false">IFERROR(VALUE(Q9),"")</f>
        <v>34.9</v>
      </c>
      <c r="AE9" s="0" t="n">
        <f aca="false">IFERROR(VALUE(S9),"")</f>
        <v>34.9</v>
      </c>
      <c r="AF9" s="0" t="n">
        <f aca="false">IF(V9="","",VLOOKUP(V9,Assumptions!$B$6:$C$9,2,FALSE()))</f>
        <v>3</v>
      </c>
      <c r="AG9" s="0" t="n">
        <f aca="false">IF(W9="","",VLOOKUP(W9,Assumptions!$B$6:$C$9,2,FALSE()))</f>
        <v>4</v>
      </c>
      <c r="AH9" s="0" t="n">
        <f aca="false">IF(X9="","",VLOOKUP(X9,Assumptions!$B$6:$C$9,2,FALSE()))</f>
        <v>4</v>
      </c>
      <c r="AI9" s="0" t="n">
        <f aca="false">IF(Y9="","",VLOOKUP(Y9,Assumptions!$B$6:$C$9,2,FALSE()))</f>
        <v>4</v>
      </c>
      <c r="AJ9" s="0" t="n">
        <f aca="false">IF(Z9="","",VLOOKUP(Z9,Assumptions!$B$6:$C$9,2,FALSE()))</f>
        <v>4</v>
      </c>
      <c r="AK9" s="7" t="n">
        <f aca="false">IFERROR(ROUND(AVERAGE(AF9:AJ9),3),"")</f>
        <v>3.8</v>
      </c>
      <c r="AL9" s="7" t="n">
        <f aca="false">IF(OR(AF9="",AJ9=""),"",AJ9-AF9)</f>
        <v>1</v>
      </c>
      <c r="AM9" s="7" t="n">
        <f aca="false">IF(COUNT(AF9:AJ9)&gt;=2,ROUND(_xlfn.STDEV.S(AF9:AJ9),3),"")</f>
        <v>0.447</v>
      </c>
      <c r="AN9" s="7" t="n">
        <f aca="false">ROUND((IF(AF9="",0,AF9)*Assumptions!$F$15)+(IF(AG9="",0,AG9)*Assumptions!$F$16)+(IF(AH9="",0,AH9)*Assumptions!$F$17)+(IF(AI9="",0,AI9)*Assumptions!$F$18)+(IF(AJ9="",0,AJ9)*Assumptions!$F$19),3)</f>
        <v>3.9</v>
      </c>
      <c r="AO9" s="0" t="str">
        <f aca="false">IF(AC9&lt;=20,"",IF(AC9&lt;=Assumptions!$F$6,"20-30",IF(AC9&lt;=Assumptions!$F$7,"30-40",IF(AC9&lt;=Assumptions!$F$8,"40-50",IF(AC9&lt;=Assumptions!$F$9,"50-60",IF(AC9&lt;=Assumptions!$F$10,"60+",""))))))</f>
        <v>50-60</v>
      </c>
      <c r="AP9" s="0" t="str">
        <f aca="false">IFERROR(VLOOKUP(O9,Assumptions!$B$14:$C$26,2,FALSE()),"Other")</f>
        <v>Leadership</v>
      </c>
      <c r="AQ9" s="0" t="n">
        <f aca="false">IF(T9="",0,1)</f>
        <v>1</v>
      </c>
      <c r="AR9" s="0" t="n">
        <f aca="false">IF(U9="",0,1)</f>
        <v>1</v>
      </c>
      <c r="AS9" s="8" t="n">
        <f aca="false">IF(AK9="","",IF(MAX($AK$2:$AK$921)=MIN($AK$2:$AK$921),50,ROUND((AK9-MIN($AK$2:$AK$921))/(MAX($AK$2:$AK$921)-MIN($AK$2:$AK$921))*100,2)))</f>
        <v>91.43</v>
      </c>
      <c r="AT9" s="8" t="n">
        <f aca="false">IF(MAX($BC$2:$BC$921)=MIN($BC$2:$BC$921),50,ROUND((BC9-MIN($BC$2:$BC$921))/(MAX($BC$2:$BC$921)-MIN($BC$2:$BC$921))*100,2))</f>
        <v>75</v>
      </c>
      <c r="AU9" s="8" t="n">
        <f aca="false">IF(MAX($BE$2:$BE$921)=MIN($BE$2:$BE$921),50,ROUND((BE9-MIN($BE$2:$BE$921))/(MAX($BE$2:$BE$921)-MIN($BE$2:$BE$921))*100,2))</f>
        <v>74.19</v>
      </c>
      <c r="AV9" s="8" t="n">
        <f aca="false">IF(MAX($AD$2:$AD$921)=MIN($AD$2:$AD$921),50,ROUND((AD9-MIN($AD$2:$AD$921))/(MAX($AD$2:$AD$921)-MIN($AD$2:$AD$921))*100,2))</f>
        <v>94.56</v>
      </c>
      <c r="AW9" s="8" t="n">
        <f aca="false">IF(MAX($AN$2:$AN$921)=MIN($AN$2:$AN$921),50,ROUND((AN9-MIN($AN$2:$AN$921))/(MAX($AN$2:$AN$921)-MIN($AN$2:$AN$921))*100,2))</f>
        <v>97.5</v>
      </c>
      <c r="AX9" s="8" t="n">
        <f aca="false">AQ9*100</f>
        <v>100</v>
      </c>
      <c r="AY9" s="8" t="n">
        <f aca="false">AR9*100</f>
        <v>100</v>
      </c>
      <c r="AZ9" s="8" t="n">
        <f aca="false">IFERROR(ROUND(AS9*Assumptions!$I$6+AW9*Assumptions!$I$7+AT9*Assumptions!$I$8+AU9*Assumptions!$I$9+AV9*Assumptions!$I$10+AX9*Assumptions!$I$11+AY9*Assumptions!$I$12,2),"")</f>
        <v>88.76</v>
      </c>
      <c r="BA9" s="0" t="str">
        <f aca="false">IF(AZ9="","",IF(AZ9&lt;=Assumptions!$I$18,"Below Expectation",IF(AZ9&lt;=Assumptions!$I$19,"Developing",IF(AZ9&lt;=Assumptions!$I$20,"Meets Expectation",IF(AZ9&lt;=Assumptions!$I$21,"Exceeds","Star Performer")))))</f>
        <v>Star Performer</v>
      </c>
      <c r="BB9" s="0" t="n">
        <f aca="false">IF(AZ9="",0,IF(AZ9&gt;=Assumptions!$I$26,1,0))</f>
        <v>1</v>
      </c>
      <c r="BC9" s="9" t="n">
        <f aca="false">IF(AL9="",2,AL9+2)</f>
        <v>3</v>
      </c>
      <c r="BD9" s="10" t="n">
        <f aca="false">IF(AM9="",ROUND(AVERAGE($AM$2:$AM$921),3),AM9)</f>
        <v>0.447</v>
      </c>
      <c r="BE9" s="9" t="n">
        <f aca="false">1-BD9</f>
        <v>0.553</v>
      </c>
    </row>
    <row r="10" customFormat="false" ht="15" hidden="true" customHeight="true" outlineLevel="0" collapsed="false">
      <c r="A10" s="4" t="n">
        <v>39</v>
      </c>
      <c r="B10" s="5" t="n">
        <v>10001835</v>
      </c>
      <c r="C10" s="5" t="s">
        <v>85</v>
      </c>
      <c r="D10" s="5" t="s">
        <v>143</v>
      </c>
      <c r="E10" s="5" t="s">
        <v>144</v>
      </c>
      <c r="F10" s="5" t="s">
        <v>62</v>
      </c>
      <c r="G10" s="5" t="s">
        <v>61</v>
      </c>
      <c r="H10" s="5" t="s">
        <v>62</v>
      </c>
      <c r="I10" s="5" t="s">
        <v>63</v>
      </c>
      <c r="J10" s="5" t="s">
        <v>76</v>
      </c>
      <c r="K10" s="5" t="s">
        <v>65</v>
      </c>
      <c r="L10" s="6" t="n">
        <v>37970</v>
      </c>
      <c r="M10" s="5" t="s">
        <v>145</v>
      </c>
      <c r="N10" s="6" t="n">
        <v>27503</v>
      </c>
      <c r="O10" s="5" t="s">
        <v>89</v>
      </c>
      <c r="P10" s="5" t="s">
        <v>90</v>
      </c>
      <c r="Q10" s="5" t="s">
        <v>146</v>
      </c>
      <c r="R10" s="5" t="s">
        <v>147</v>
      </c>
      <c r="S10" s="5" t="s">
        <v>114</v>
      </c>
      <c r="T10" s="6" t="n">
        <v>43598</v>
      </c>
      <c r="U10" s="6" t="n">
        <v>44440</v>
      </c>
      <c r="V10" s="5" t="s">
        <v>83</v>
      </c>
      <c r="W10" s="5" t="s">
        <v>83</v>
      </c>
      <c r="X10" s="5" t="s">
        <v>83</v>
      </c>
      <c r="Y10" s="5" t="s">
        <v>83</v>
      </c>
      <c r="Z10" s="5" t="s">
        <v>83</v>
      </c>
      <c r="AA10" s="5" t="s">
        <v>148</v>
      </c>
      <c r="AB10" s="0" t="n">
        <f aca="false">IFERROR(VALUE(R10),0)</f>
        <v>5.6</v>
      </c>
      <c r="AC10" s="0" t="n">
        <f aca="false">IFERROR(VALUE(M10),"")</f>
        <v>51.1</v>
      </c>
      <c r="AD10" s="0" t="n">
        <f aca="false">IFERROR(VALUE(Q10),"")</f>
        <v>22.5</v>
      </c>
      <c r="AE10" s="0" t="n">
        <f aca="false">IFERROR(VALUE(S10),"")</f>
        <v>27.11</v>
      </c>
      <c r="AF10" s="0" t="n">
        <f aca="false">IF(V10="","",VLOOKUP(V10,Assumptions!$B$6:$C$9,2,FALSE()))</f>
        <v>4</v>
      </c>
      <c r="AG10" s="0" t="n">
        <f aca="false">IF(W10="","",VLOOKUP(W10,Assumptions!$B$6:$C$9,2,FALSE()))</f>
        <v>4</v>
      </c>
      <c r="AH10" s="0" t="n">
        <f aca="false">IF(X10="","",VLOOKUP(X10,Assumptions!$B$6:$C$9,2,FALSE()))</f>
        <v>4</v>
      </c>
      <c r="AI10" s="0" t="n">
        <f aca="false">IF(Y10="","",VLOOKUP(Y10,Assumptions!$B$6:$C$9,2,FALSE()))</f>
        <v>4</v>
      </c>
      <c r="AJ10" s="0" t="n">
        <f aca="false">IF(Z10="","",VLOOKUP(Z10,Assumptions!$B$6:$C$9,2,FALSE()))</f>
        <v>4</v>
      </c>
      <c r="AK10" s="7" t="n">
        <f aca="false">IFERROR(ROUND(AVERAGE(AF10:AJ10),3),"")</f>
        <v>4</v>
      </c>
      <c r="AL10" s="7" t="n">
        <f aca="false">IF(OR(AF10="",AJ10=""),"",AJ10-AF10)</f>
        <v>0</v>
      </c>
      <c r="AM10" s="7" t="n">
        <f aca="false">IF(COUNT(AF10:AJ10)&gt;=2,ROUND(_xlfn.STDEV.S(AF10:AJ10),3),"")</f>
        <v>0</v>
      </c>
      <c r="AN10" s="7" t="n">
        <f aca="false">ROUND((IF(AF10="",0,AF10)*Assumptions!$F$15)+(IF(AG10="",0,AG10)*Assumptions!$F$16)+(IF(AH10="",0,AH10)*Assumptions!$F$17)+(IF(AI10="",0,AI10)*Assumptions!$F$18)+(IF(AJ10="",0,AJ10)*Assumptions!$F$19),3)</f>
        <v>4</v>
      </c>
      <c r="AO10" s="0" t="str">
        <f aca="false">IF(AC10&lt;=20,"",IF(AC10&lt;=Assumptions!$F$6,"20-30",IF(AC10&lt;=Assumptions!$F$7,"30-40",IF(AC10&lt;=Assumptions!$F$8,"40-50",IF(AC10&lt;=Assumptions!$F$9,"50-60",IF(AC10&lt;=Assumptions!$F$10,"60+",""))))))</f>
        <v>50-60</v>
      </c>
      <c r="AP10" s="0" t="str">
        <f aca="false">IFERROR(VLOOKUP(O10,Assumptions!$B$14:$C$26,2,FALSE()),"Other")</f>
        <v>Leadership</v>
      </c>
      <c r="AQ10" s="0" t="n">
        <f aca="false">IF(T10="",0,1)</f>
        <v>1</v>
      </c>
      <c r="AR10" s="0" t="n">
        <f aca="false">IF(U10="",0,1)</f>
        <v>1</v>
      </c>
      <c r="AS10" s="8" t="n">
        <f aca="false">IF(AK10="","",IF(MAX($AK$2:$AK$921)=MIN($AK$2:$AK$921),50,ROUND((AK10-MIN($AK$2:$AK$921))/(MAX($AK$2:$AK$921)-MIN($AK$2:$AK$921))*100,2)))</f>
        <v>100</v>
      </c>
      <c r="AT10" s="8" t="n">
        <f aca="false">IF(MAX($BC$2:$BC$921)=MIN($BC$2:$BC$921),50,ROUND((BC10-MIN($BC$2:$BC$921))/(MAX($BC$2:$BC$921)-MIN($BC$2:$BC$921))*100,2))</f>
        <v>50</v>
      </c>
      <c r="AU10" s="8" t="n">
        <f aca="false">IF(MAX($BE$2:$BE$921)=MIN($BE$2:$BE$921),50,ROUND((BE10-MIN($BE$2:$BE$921))/(MAX($BE$2:$BE$921)-MIN($BE$2:$BE$921))*100,2))</f>
        <v>100</v>
      </c>
      <c r="AV10" s="8" t="n">
        <f aca="false">IF(MAX($AD$2:$AD$921)=MIN($AD$2:$AD$921),50,ROUND((AD10-MIN($AD$2:$AD$921))/(MAX($AD$2:$AD$921)-MIN($AD$2:$AD$921))*100,2))</f>
        <v>60.86</v>
      </c>
      <c r="AW10" s="8" t="n">
        <f aca="false">IF(MAX($AN$2:$AN$921)=MIN($AN$2:$AN$921),50,ROUND((AN10-MIN($AN$2:$AN$921))/(MAX($AN$2:$AN$921)-MIN($AN$2:$AN$921))*100,2))</f>
        <v>100</v>
      </c>
      <c r="AX10" s="8" t="n">
        <f aca="false">AQ10*100</f>
        <v>100</v>
      </c>
      <c r="AY10" s="8" t="n">
        <f aca="false">AR10*100</f>
        <v>100</v>
      </c>
      <c r="AZ10" s="8" t="n">
        <f aca="false">IFERROR(ROUND(AS10*Assumptions!$I$6+AW10*Assumptions!$I$7+AT10*Assumptions!$I$8+AU10*Assumptions!$I$9+AV10*Assumptions!$I$10+AX10*Assumptions!$I$11+AY10*Assumptions!$I$12,2),"")</f>
        <v>88.59</v>
      </c>
      <c r="BA10" s="0" t="str">
        <f aca="false">IF(AZ10="","",IF(AZ10&lt;=Assumptions!$I$18,"Below Expectation",IF(AZ10&lt;=Assumptions!$I$19,"Developing",IF(AZ10&lt;=Assumptions!$I$20,"Meets Expectation",IF(AZ10&lt;=Assumptions!$I$21,"Exceeds","Star Performer")))))</f>
        <v>Star Performer</v>
      </c>
      <c r="BB10" s="0" t="n">
        <f aca="false">IF(AZ10="",0,IF(AZ10&gt;=Assumptions!$I$26,1,0))</f>
        <v>1</v>
      </c>
      <c r="BC10" s="9" t="n">
        <f aca="false">IF(AL10="",2,AL10+2)</f>
        <v>2</v>
      </c>
      <c r="BD10" s="10" t="n">
        <f aca="false">IF(AM10="",ROUND(AVERAGE($AM$2:$AM$921),3),AM10)</f>
        <v>0</v>
      </c>
      <c r="BE10" s="9" t="n">
        <f aca="false">1-BD10</f>
        <v>1</v>
      </c>
    </row>
    <row r="11" customFormat="false" ht="15" hidden="true" customHeight="true" outlineLevel="0" collapsed="false">
      <c r="A11" s="4" t="n">
        <v>350</v>
      </c>
      <c r="B11" s="5" t="n">
        <v>37100262</v>
      </c>
      <c r="C11" s="5" t="s">
        <v>149</v>
      </c>
      <c r="D11" s="5" t="s">
        <v>150</v>
      </c>
      <c r="E11" s="5" t="s">
        <v>151</v>
      </c>
      <c r="F11" s="5" t="s">
        <v>152</v>
      </c>
      <c r="G11" s="5" t="s">
        <v>153</v>
      </c>
      <c r="H11" s="5" t="s">
        <v>152</v>
      </c>
      <c r="I11" s="5" t="s">
        <v>63</v>
      </c>
      <c r="J11" s="5" t="s">
        <v>100</v>
      </c>
      <c r="K11" s="5" t="s">
        <v>65</v>
      </c>
      <c r="L11" s="6" t="n">
        <v>38268</v>
      </c>
      <c r="M11" s="5" t="s">
        <v>154</v>
      </c>
      <c r="N11" s="6" t="n">
        <v>28836</v>
      </c>
      <c r="O11" s="5" t="s">
        <v>122</v>
      </c>
      <c r="P11" s="5" t="s">
        <v>123</v>
      </c>
      <c r="Q11" s="5" t="s">
        <v>155</v>
      </c>
      <c r="R11" s="5" t="s">
        <v>156</v>
      </c>
      <c r="S11" s="5" t="s">
        <v>134</v>
      </c>
      <c r="T11" s="6" t="n">
        <v>42751</v>
      </c>
      <c r="U11" s="6" t="n">
        <v>44440</v>
      </c>
      <c r="V11" s="5" t="s">
        <v>83</v>
      </c>
      <c r="W11" s="5" t="s">
        <v>83</v>
      </c>
      <c r="X11" s="5" t="s">
        <v>83</v>
      </c>
      <c r="Y11" s="5" t="s">
        <v>83</v>
      </c>
      <c r="Z11" s="5" t="s">
        <v>83</v>
      </c>
      <c r="AA11" s="5" t="s">
        <v>157</v>
      </c>
      <c r="AB11" s="0" t="n">
        <f aca="false">IFERROR(VALUE(R11),0)</f>
        <v>2.11</v>
      </c>
      <c r="AC11" s="0" t="n">
        <f aca="false">IFERROR(VALUE(M11),"")</f>
        <v>47.5</v>
      </c>
      <c r="AD11" s="0" t="n">
        <f aca="false">IFERROR(VALUE(Q11),"")</f>
        <v>21.8</v>
      </c>
      <c r="AE11" s="0" t="n">
        <f aca="false">IFERROR(VALUE(S11),"")</f>
        <v>24.7</v>
      </c>
      <c r="AF11" s="0" t="n">
        <f aca="false">IF(V11="","",VLOOKUP(V11,Assumptions!$B$6:$C$9,2,FALSE()))</f>
        <v>4</v>
      </c>
      <c r="AG11" s="0" t="n">
        <f aca="false">IF(W11="","",VLOOKUP(W11,Assumptions!$B$6:$C$9,2,FALSE()))</f>
        <v>4</v>
      </c>
      <c r="AH11" s="0" t="n">
        <f aca="false">IF(X11="","",VLOOKUP(X11,Assumptions!$B$6:$C$9,2,FALSE()))</f>
        <v>4</v>
      </c>
      <c r="AI11" s="0" t="n">
        <f aca="false">IF(Y11="","",VLOOKUP(Y11,Assumptions!$B$6:$C$9,2,FALSE()))</f>
        <v>4</v>
      </c>
      <c r="AJ11" s="0" t="n">
        <f aca="false">IF(Z11="","",VLOOKUP(Z11,Assumptions!$B$6:$C$9,2,FALSE()))</f>
        <v>4</v>
      </c>
      <c r="AK11" s="7" t="n">
        <f aca="false">IFERROR(ROUND(AVERAGE(AF11:AJ11),3),"")</f>
        <v>4</v>
      </c>
      <c r="AL11" s="7" t="n">
        <f aca="false">IF(OR(AF11="",AJ11=""),"",AJ11-AF11)</f>
        <v>0</v>
      </c>
      <c r="AM11" s="7" t="n">
        <f aca="false">IF(COUNT(AF11:AJ11)&gt;=2,ROUND(_xlfn.STDEV.S(AF11:AJ11),3),"")</f>
        <v>0</v>
      </c>
      <c r="AN11" s="7" t="n">
        <f aca="false">ROUND((IF(AF11="",0,AF11)*Assumptions!$F$15)+(IF(AG11="",0,AG11)*Assumptions!$F$16)+(IF(AH11="",0,AH11)*Assumptions!$F$17)+(IF(AI11="",0,AI11)*Assumptions!$F$18)+(IF(AJ11="",0,AJ11)*Assumptions!$F$19),3)</f>
        <v>4</v>
      </c>
      <c r="AO11" s="0" t="str">
        <f aca="false">IF(AC11&lt;=20,"",IF(AC11&lt;=Assumptions!$F$6,"20-30",IF(AC11&lt;=Assumptions!$F$7,"30-40",IF(AC11&lt;=Assumptions!$F$8,"40-50",IF(AC11&lt;=Assumptions!$F$9,"50-60",IF(AC11&lt;=Assumptions!$F$10,"60+",""))))))</f>
        <v>40-50</v>
      </c>
      <c r="AP11" s="0" t="str">
        <f aca="false">IFERROR(VLOOKUP(O11,Assumptions!$B$14:$C$26,2,FALSE()),"Other")</f>
        <v>Leadership</v>
      </c>
      <c r="AQ11" s="0" t="n">
        <f aca="false">IF(T11="",0,1)</f>
        <v>1</v>
      </c>
      <c r="AR11" s="0" t="n">
        <f aca="false">IF(U11="",0,1)</f>
        <v>1</v>
      </c>
      <c r="AS11" s="8" t="n">
        <f aca="false">IF(AK11="","",IF(MAX($AK$2:$AK$921)=MIN($AK$2:$AK$921),50,ROUND((AK11-MIN($AK$2:$AK$921))/(MAX($AK$2:$AK$921)-MIN($AK$2:$AK$921))*100,2)))</f>
        <v>100</v>
      </c>
      <c r="AT11" s="8" t="n">
        <f aca="false">IF(MAX($BC$2:$BC$921)=MIN($BC$2:$BC$921),50,ROUND((BC11-MIN($BC$2:$BC$921))/(MAX($BC$2:$BC$921)-MIN($BC$2:$BC$921))*100,2))</f>
        <v>50</v>
      </c>
      <c r="AU11" s="8" t="n">
        <f aca="false">IF(MAX($BE$2:$BE$921)=MIN($BE$2:$BE$921),50,ROUND((BE11-MIN($BE$2:$BE$921))/(MAX($BE$2:$BE$921)-MIN($BE$2:$BE$921))*100,2))</f>
        <v>100</v>
      </c>
      <c r="AV11" s="8" t="n">
        <f aca="false">IF(MAX($AD$2:$AD$921)=MIN($AD$2:$AD$921),50,ROUND((AD11-MIN($AD$2:$AD$921))/(MAX($AD$2:$AD$921)-MIN($AD$2:$AD$921))*100,2))</f>
        <v>58.96</v>
      </c>
      <c r="AW11" s="8" t="n">
        <f aca="false">IF(MAX($AN$2:$AN$921)=MIN($AN$2:$AN$921),50,ROUND((AN11-MIN($AN$2:$AN$921))/(MAX($AN$2:$AN$921)-MIN($AN$2:$AN$921))*100,2))</f>
        <v>100</v>
      </c>
      <c r="AX11" s="8" t="n">
        <f aca="false">AQ11*100</f>
        <v>100</v>
      </c>
      <c r="AY11" s="8" t="n">
        <f aca="false">AR11*100</f>
        <v>100</v>
      </c>
      <c r="AZ11" s="8" t="n">
        <f aca="false">IFERROR(ROUND(AS11*Assumptions!$I$6+AW11*Assumptions!$I$7+AT11*Assumptions!$I$8+AU11*Assumptions!$I$9+AV11*Assumptions!$I$10+AX11*Assumptions!$I$11+AY11*Assumptions!$I$12,2),"")</f>
        <v>88.4</v>
      </c>
      <c r="BA11" s="0" t="str">
        <f aca="false">IF(AZ11="","",IF(AZ11&lt;=Assumptions!$I$18,"Below Expectation",IF(AZ11&lt;=Assumptions!$I$19,"Developing",IF(AZ11&lt;=Assumptions!$I$20,"Meets Expectation",IF(AZ11&lt;=Assumptions!$I$21,"Exceeds","Star Performer")))))</f>
        <v>Star Performer</v>
      </c>
      <c r="BB11" s="0" t="n">
        <f aca="false">IF(AZ11="",0,IF(AZ11&gt;=Assumptions!$I$26,1,0))</f>
        <v>1</v>
      </c>
      <c r="BC11" s="9" t="n">
        <f aca="false">IF(AL11="",2,AL11+2)</f>
        <v>2</v>
      </c>
      <c r="BD11" s="10" t="n">
        <f aca="false">IF(AM11="",ROUND(AVERAGE($AM$2:$AM$921),3),AM11)</f>
        <v>0</v>
      </c>
      <c r="BE11" s="9" t="n">
        <f aca="false">1-BD11</f>
        <v>1</v>
      </c>
    </row>
    <row r="12" customFormat="false" ht="15" hidden="false" customHeight="true" outlineLevel="0" collapsed="false">
      <c r="A12" s="4" t="n">
        <v>42</v>
      </c>
      <c r="B12" s="5" t="n">
        <v>10005916</v>
      </c>
      <c r="C12" s="5" t="s">
        <v>106</v>
      </c>
      <c r="D12" s="5" t="s">
        <v>158</v>
      </c>
      <c r="E12" s="5" t="s">
        <v>108</v>
      </c>
      <c r="F12" s="5" t="s">
        <v>159</v>
      </c>
      <c r="G12" s="5" t="s">
        <v>160</v>
      </c>
      <c r="H12" s="5" t="s">
        <v>159</v>
      </c>
      <c r="I12" s="5" t="s">
        <v>63</v>
      </c>
      <c r="J12" s="5" t="s">
        <v>112</v>
      </c>
      <c r="K12" s="5" t="s">
        <v>65</v>
      </c>
      <c r="L12" s="6" t="n">
        <v>38290</v>
      </c>
      <c r="M12" s="5" t="s">
        <v>161</v>
      </c>
      <c r="N12" s="6" t="n">
        <v>29339</v>
      </c>
      <c r="O12" s="5" t="s">
        <v>162</v>
      </c>
      <c r="P12" s="5" t="s">
        <v>162</v>
      </c>
      <c r="Q12" s="5" t="s">
        <v>163</v>
      </c>
      <c r="R12" s="5" t="s">
        <v>164</v>
      </c>
      <c r="S12" s="5" t="s">
        <v>165</v>
      </c>
      <c r="T12" s="6" t="n">
        <v>43598</v>
      </c>
      <c r="U12" s="6" t="n">
        <v>44440</v>
      </c>
      <c r="V12" s="5" t="s">
        <v>83</v>
      </c>
      <c r="W12" s="5" t="s">
        <v>83</v>
      </c>
      <c r="X12" s="5" t="s">
        <v>83</v>
      </c>
      <c r="Y12" s="5" t="s">
        <v>83</v>
      </c>
      <c r="Z12" s="5" t="s">
        <v>83</v>
      </c>
      <c r="AA12" s="5" t="s">
        <v>166</v>
      </c>
      <c r="AB12" s="0" t="n">
        <f aca="false">IFERROR(VALUE(R12),0)</f>
        <v>3.5</v>
      </c>
      <c r="AC12" s="0" t="n">
        <f aca="false">IFERROR(VALUE(M12),"")</f>
        <v>46.1</v>
      </c>
      <c r="AD12" s="0" t="n">
        <f aca="false">IFERROR(VALUE(Q12),"")</f>
        <v>21.7</v>
      </c>
      <c r="AE12" s="0" t="n">
        <f aca="false">IFERROR(VALUE(S12),"")</f>
        <v>25</v>
      </c>
      <c r="AF12" s="0" t="n">
        <f aca="false">IF(V12="","",VLOOKUP(V12,Assumptions!$B$6:$C$9,2,FALSE()))</f>
        <v>4</v>
      </c>
      <c r="AG12" s="0" t="n">
        <f aca="false">IF(W12="","",VLOOKUP(W12,Assumptions!$B$6:$C$9,2,FALSE()))</f>
        <v>4</v>
      </c>
      <c r="AH12" s="0" t="n">
        <f aca="false">IF(X12="","",VLOOKUP(X12,Assumptions!$B$6:$C$9,2,FALSE()))</f>
        <v>4</v>
      </c>
      <c r="AI12" s="0" t="n">
        <f aca="false">IF(Y12="","",VLOOKUP(Y12,Assumptions!$B$6:$C$9,2,FALSE()))</f>
        <v>4</v>
      </c>
      <c r="AJ12" s="0" t="n">
        <f aca="false">IF(Z12="","",VLOOKUP(Z12,Assumptions!$B$6:$C$9,2,FALSE()))</f>
        <v>4</v>
      </c>
      <c r="AK12" s="7" t="n">
        <f aca="false">IFERROR(ROUND(AVERAGE(AF12:AJ12),3),"")</f>
        <v>4</v>
      </c>
      <c r="AL12" s="7" t="n">
        <f aca="false">IF(OR(AF12="",AJ12=""),"",AJ12-AF12)</f>
        <v>0</v>
      </c>
      <c r="AM12" s="7" t="n">
        <f aca="false">IF(COUNT(AF12:AJ12)&gt;=2,ROUND(_xlfn.STDEV.S(AF12:AJ12),3),"")</f>
        <v>0</v>
      </c>
      <c r="AN12" s="7" t="n">
        <f aca="false">ROUND((IF(AF12="",0,AF12)*Assumptions!$F$15)+(IF(AG12="",0,AG12)*Assumptions!$F$16)+(IF(AH12="",0,AH12)*Assumptions!$F$17)+(IF(AI12="",0,AI12)*Assumptions!$F$18)+(IF(AJ12="",0,AJ12)*Assumptions!$F$19),3)</f>
        <v>4</v>
      </c>
      <c r="AO12" s="0" t="str">
        <f aca="false">IF(AC12&lt;=20,"",IF(AC12&lt;=Assumptions!$F$6,"20-30",IF(AC12&lt;=Assumptions!$F$7,"30-40",IF(AC12&lt;=Assumptions!$F$8,"40-50",IF(AC12&lt;=Assumptions!$F$9,"50-60",IF(AC12&lt;=Assumptions!$F$10,"60+",""))))))</f>
        <v>40-50</v>
      </c>
      <c r="AP12" s="0" t="str">
        <f aca="false">IFERROR(VLOOKUP(O12,Assumptions!$B$14:$C$26,2,FALSE()),"Other")</f>
        <v>Manager</v>
      </c>
      <c r="AQ12" s="0" t="n">
        <f aca="false">IF(T12="",0,1)</f>
        <v>1</v>
      </c>
      <c r="AR12" s="0" t="n">
        <f aca="false">IF(U12="",0,1)</f>
        <v>1</v>
      </c>
      <c r="AS12" s="8" t="n">
        <f aca="false">IF(AK12="","",IF(MAX($AK$2:$AK$921)=MIN($AK$2:$AK$921),50,ROUND((AK12-MIN($AK$2:$AK$921))/(MAX($AK$2:$AK$921)-MIN($AK$2:$AK$921))*100,2)))</f>
        <v>100</v>
      </c>
      <c r="AT12" s="8" t="n">
        <f aca="false">IF(MAX($BC$2:$BC$921)=MIN($BC$2:$BC$921),50,ROUND((BC12-MIN($BC$2:$BC$921))/(MAX($BC$2:$BC$921)-MIN($BC$2:$BC$921))*100,2))</f>
        <v>50</v>
      </c>
      <c r="AU12" s="8" t="n">
        <f aca="false">IF(MAX($BE$2:$BE$921)=MIN($BE$2:$BE$921),50,ROUND((BE12-MIN($BE$2:$BE$921))/(MAX($BE$2:$BE$921)-MIN($BE$2:$BE$921))*100,2))</f>
        <v>100</v>
      </c>
      <c r="AV12" s="8" t="n">
        <f aca="false">IF(MAX($AD$2:$AD$921)=MIN($AD$2:$AD$921),50,ROUND((AD12-MIN($AD$2:$AD$921))/(MAX($AD$2:$AD$921)-MIN($AD$2:$AD$921))*100,2))</f>
        <v>58.68</v>
      </c>
      <c r="AW12" s="8" t="n">
        <f aca="false">IF(MAX($AN$2:$AN$921)=MIN($AN$2:$AN$921),50,ROUND((AN12-MIN($AN$2:$AN$921))/(MAX($AN$2:$AN$921)-MIN($AN$2:$AN$921))*100,2))</f>
        <v>100</v>
      </c>
      <c r="AX12" s="8" t="n">
        <f aca="false">AQ12*100</f>
        <v>100</v>
      </c>
      <c r="AY12" s="8" t="n">
        <f aca="false">AR12*100</f>
        <v>100</v>
      </c>
      <c r="AZ12" s="8" t="n">
        <f aca="false">IFERROR(ROUND(AS12*Assumptions!$I$6+AW12*Assumptions!$I$7+AT12*Assumptions!$I$8+AU12*Assumptions!$I$9+AV12*Assumptions!$I$10+AX12*Assumptions!$I$11+AY12*Assumptions!$I$12,2),"")</f>
        <v>88.37</v>
      </c>
      <c r="BA12" s="0" t="str">
        <f aca="false">IF(AZ12="","",IF(AZ12&lt;=Assumptions!$I$18,"Below Expectation",IF(AZ12&lt;=Assumptions!$I$19,"Developing",IF(AZ12&lt;=Assumptions!$I$20,"Meets Expectation",IF(AZ12&lt;=Assumptions!$I$21,"Exceeds","Star Performer")))))</f>
        <v>Star Performer</v>
      </c>
      <c r="BB12" s="0" t="n">
        <f aca="false">IF(AZ12="",0,IF(AZ12&gt;=Assumptions!$I$26,1,0))</f>
        <v>1</v>
      </c>
      <c r="BC12" s="9" t="n">
        <f aca="false">IF(AL12="",2,AL12+2)</f>
        <v>2</v>
      </c>
      <c r="BD12" s="10" t="n">
        <f aca="false">IF(AM12="",ROUND(AVERAGE($AM$2:$AM$921),3),AM12)</f>
        <v>0</v>
      </c>
      <c r="BE12" s="9" t="n">
        <f aca="false">1-BD12</f>
        <v>1</v>
      </c>
    </row>
    <row r="13" customFormat="false" ht="14.25" hidden="true" customHeight="false" outlineLevel="0" collapsed="false">
      <c r="A13" s="4" t="n">
        <v>359</v>
      </c>
      <c r="B13" s="5" t="n">
        <v>37101494</v>
      </c>
      <c r="C13" s="5" t="s">
        <v>85</v>
      </c>
      <c r="D13" s="5" t="s">
        <v>167</v>
      </c>
      <c r="E13" s="5" t="s">
        <v>87</v>
      </c>
      <c r="F13" s="5" t="s">
        <v>168</v>
      </c>
      <c r="G13" s="5" t="s">
        <v>169</v>
      </c>
      <c r="H13" s="5" t="s">
        <v>168</v>
      </c>
      <c r="I13" s="5" t="s">
        <v>63</v>
      </c>
      <c r="J13" s="5" t="s">
        <v>76</v>
      </c>
      <c r="K13" s="5" t="s">
        <v>65</v>
      </c>
      <c r="L13" s="6" t="n">
        <v>39182</v>
      </c>
      <c r="M13" s="5" t="s">
        <v>170</v>
      </c>
      <c r="N13" s="6" t="n">
        <v>26067</v>
      </c>
      <c r="O13" s="5" t="s">
        <v>122</v>
      </c>
      <c r="P13" s="5" t="s">
        <v>123</v>
      </c>
      <c r="Q13" s="5" t="s">
        <v>171</v>
      </c>
      <c r="R13" s="5" t="s">
        <v>172</v>
      </c>
      <c r="S13" s="5" t="s">
        <v>173</v>
      </c>
      <c r="T13" s="6" t="n">
        <v>42917</v>
      </c>
      <c r="U13" s="6" t="n">
        <v>44440</v>
      </c>
      <c r="V13" s="5" t="s">
        <v>83</v>
      </c>
      <c r="W13" s="5" t="s">
        <v>83</v>
      </c>
      <c r="X13" s="5" t="s">
        <v>83</v>
      </c>
      <c r="Y13" s="5" t="s">
        <v>83</v>
      </c>
      <c r="Z13" s="5" t="s">
        <v>83</v>
      </c>
      <c r="AA13" s="5" t="s">
        <v>174</v>
      </c>
      <c r="AB13" s="0" t="n">
        <f aca="false">IFERROR(VALUE(R13),0)</f>
        <v>11.7</v>
      </c>
      <c r="AC13" s="0" t="n">
        <f aca="false">IFERROR(VALUE(M13),"")</f>
        <v>55</v>
      </c>
      <c r="AD13" s="0" t="n">
        <f aca="false">IFERROR(VALUE(Q13),"")</f>
        <v>19.1</v>
      </c>
      <c r="AE13" s="0" t="n">
        <f aca="false">IFERROR(VALUE(S13),"")</f>
        <v>30.8</v>
      </c>
      <c r="AF13" s="0" t="n">
        <f aca="false">IF(V13="","",VLOOKUP(V13,Assumptions!$B$6:$C$9,2,FALSE()))</f>
        <v>4</v>
      </c>
      <c r="AG13" s="0" t="n">
        <f aca="false">IF(W13="","",VLOOKUP(W13,Assumptions!$B$6:$C$9,2,FALSE()))</f>
        <v>4</v>
      </c>
      <c r="AH13" s="0" t="n">
        <f aca="false">IF(X13="","",VLOOKUP(X13,Assumptions!$B$6:$C$9,2,FALSE()))</f>
        <v>4</v>
      </c>
      <c r="AI13" s="0" t="n">
        <f aca="false">IF(Y13="","",VLOOKUP(Y13,Assumptions!$B$6:$C$9,2,FALSE()))</f>
        <v>4</v>
      </c>
      <c r="AJ13" s="0" t="n">
        <f aca="false">IF(Z13="","",VLOOKUP(Z13,Assumptions!$B$6:$C$9,2,FALSE()))</f>
        <v>4</v>
      </c>
      <c r="AK13" s="7" t="n">
        <f aca="false">IFERROR(ROUND(AVERAGE(AF13:AJ13),3),"")</f>
        <v>4</v>
      </c>
      <c r="AL13" s="7" t="n">
        <f aca="false">IF(OR(AF13="",AJ13=""),"",AJ13-AF13)</f>
        <v>0</v>
      </c>
      <c r="AM13" s="7" t="n">
        <f aca="false">IF(COUNT(AF13:AJ13)&gt;=2,ROUND(_xlfn.STDEV.S(AF13:AJ13),3),"")</f>
        <v>0</v>
      </c>
      <c r="AN13" s="7" t="n">
        <f aca="false">ROUND((IF(AF13="",0,AF13)*Assumptions!$F$15)+(IF(AG13="",0,AG13)*Assumptions!$F$16)+(IF(AH13="",0,AH13)*Assumptions!$F$17)+(IF(AI13="",0,AI13)*Assumptions!$F$18)+(IF(AJ13="",0,AJ13)*Assumptions!$F$19),3)</f>
        <v>4</v>
      </c>
      <c r="AO13" s="0" t="str">
        <f aca="false">IF(AC13&lt;=20,"",IF(AC13&lt;=Assumptions!$F$6,"20-30",IF(AC13&lt;=Assumptions!$F$7,"30-40",IF(AC13&lt;=Assumptions!$F$8,"40-50",IF(AC13&lt;=Assumptions!$F$9,"50-60",IF(AC13&lt;=Assumptions!$F$10,"60+",""))))))</f>
        <v>50-60</v>
      </c>
      <c r="AP13" s="0" t="str">
        <f aca="false">IFERROR(VLOOKUP(O13,Assumptions!$B$14:$C$26,2,FALSE()),"Other")</f>
        <v>Leadership</v>
      </c>
      <c r="AQ13" s="0" t="n">
        <f aca="false">IF(T13="",0,1)</f>
        <v>1</v>
      </c>
      <c r="AR13" s="0" t="n">
        <f aca="false">IF(U13="",0,1)</f>
        <v>1</v>
      </c>
      <c r="AS13" s="8" t="n">
        <f aca="false">IF(AK13="","",IF(MAX($AK$2:$AK$921)=MIN($AK$2:$AK$921),50,ROUND((AK13-MIN($AK$2:$AK$921))/(MAX($AK$2:$AK$921)-MIN($AK$2:$AK$921))*100,2)))</f>
        <v>100</v>
      </c>
      <c r="AT13" s="8" t="n">
        <f aca="false">IF(MAX($BC$2:$BC$921)=MIN($BC$2:$BC$921),50,ROUND((BC13-MIN($BC$2:$BC$921))/(MAX($BC$2:$BC$921)-MIN($BC$2:$BC$921))*100,2))</f>
        <v>50</v>
      </c>
      <c r="AU13" s="8" t="n">
        <f aca="false">IF(MAX($BE$2:$BE$921)=MIN($BE$2:$BE$921),50,ROUND((BE13-MIN($BE$2:$BE$921))/(MAX($BE$2:$BE$921)-MIN($BE$2:$BE$921))*100,2))</f>
        <v>100</v>
      </c>
      <c r="AV13" s="8" t="n">
        <f aca="false">IF(MAX($AD$2:$AD$921)=MIN($AD$2:$AD$921),50,ROUND((AD13-MIN($AD$2:$AD$921))/(MAX($AD$2:$AD$921)-MIN($AD$2:$AD$921))*100,2))</f>
        <v>51.62</v>
      </c>
      <c r="AW13" s="8" t="n">
        <f aca="false">IF(MAX($AN$2:$AN$921)=MIN($AN$2:$AN$921),50,ROUND((AN13-MIN($AN$2:$AN$921))/(MAX($AN$2:$AN$921)-MIN($AN$2:$AN$921))*100,2))</f>
        <v>100</v>
      </c>
      <c r="AX13" s="8" t="n">
        <f aca="false">AQ13*100</f>
        <v>100</v>
      </c>
      <c r="AY13" s="8" t="n">
        <f aca="false">AR13*100</f>
        <v>100</v>
      </c>
      <c r="AZ13" s="8" t="n">
        <f aca="false">IFERROR(ROUND(AS13*Assumptions!$I$6+AW13*Assumptions!$I$7+AT13*Assumptions!$I$8+AU13*Assumptions!$I$9+AV13*Assumptions!$I$10+AX13*Assumptions!$I$11+AY13*Assumptions!$I$12,2),"")</f>
        <v>87.66</v>
      </c>
      <c r="BA13" s="0" t="str">
        <f aca="false">IF(AZ13="","",IF(AZ13&lt;=Assumptions!$I$18,"Below Expectation",IF(AZ13&lt;=Assumptions!$I$19,"Developing",IF(AZ13&lt;=Assumptions!$I$20,"Meets Expectation",IF(AZ13&lt;=Assumptions!$I$21,"Exceeds","Star Performer")))))</f>
        <v>Star Performer</v>
      </c>
      <c r="BB13" s="0" t="n">
        <f aca="false">IF(AZ13="",0,IF(AZ13&gt;=Assumptions!$I$26,1,0))</f>
        <v>1</v>
      </c>
      <c r="BC13" s="9" t="n">
        <f aca="false">IF(AL13="",2,AL13+2)</f>
        <v>2</v>
      </c>
      <c r="BD13" s="10" t="n">
        <f aca="false">IF(AM13="",ROUND(AVERAGE($AM$2:$AM$921),3),AM13)</f>
        <v>0</v>
      </c>
      <c r="BE13" s="9" t="n">
        <f aca="false">1-BD13</f>
        <v>1</v>
      </c>
    </row>
    <row r="14" customFormat="false" ht="14.25" hidden="true" customHeight="false" outlineLevel="0" collapsed="false">
      <c r="A14" s="4" t="n">
        <v>441</v>
      </c>
      <c r="B14" s="5" t="n">
        <v>55000019</v>
      </c>
      <c r="C14" s="5" t="s">
        <v>106</v>
      </c>
      <c r="D14" s="5" t="s">
        <v>175</v>
      </c>
      <c r="E14" s="5" t="s">
        <v>108</v>
      </c>
      <c r="F14" s="5" t="s">
        <v>176</v>
      </c>
      <c r="G14" s="5" t="s">
        <v>177</v>
      </c>
      <c r="H14" s="5" t="s">
        <v>178</v>
      </c>
      <c r="I14" s="5" t="s">
        <v>63</v>
      </c>
      <c r="J14" s="5" t="s">
        <v>112</v>
      </c>
      <c r="K14" s="5" t="s">
        <v>65</v>
      </c>
      <c r="L14" s="6" t="n">
        <v>39580</v>
      </c>
      <c r="M14" s="5" t="s">
        <v>179</v>
      </c>
      <c r="N14" s="6" t="n">
        <v>28740</v>
      </c>
      <c r="O14" s="5" t="s">
        <v>122</v>
      </c>
      <c r="P14" s="5" t="s">
        <v>123</v>
      </c>
      <c r="Q14" s="5" t="s">
        <v>180</v>
      </c>
      <c r="R14" s="5" t="s">
        <v>181</v>
      </c>
      <c r="S14" s="5" t="s">
        <v>182</v>
      </c>
      <c r="T14" s="6" t="n">
        <v>41730</v>
      </c>
      <c r="U14" s="6" t="n">
        <v>43556</v>
      </c>
      <c r="V14" s="5" t="s">
        <v>83</v>
      </c>
      <c r="W14" s="5" t="s">
        <v>83</v>
      </c>
      <c r="X14" s="5" t="s">
        <v>83</v>
      </c>
      <c r="Y14" s="5" t="s">
        <v>83</v>
      </c>
      <c r="Z14" s="5" t="s">
        <v>83</v>
      </c>
      <c r="AA14" s="5" t="s">
        <v>183</v>
      </c>
      <c r="AB14" s="0" t="n">
        <f aca="false">IFERROR(VALUE(R14),0)</f>
        <v>8.1</v>
      </c>
      <c r="AC14" s="0" t="n">
        <f aca="false">IFERROR(VALUE(M14),"")</f>
        <v>47.9</v>
      </c>
      <c r="AD14" s="0" t="n">
        <f aca="false">IFERROR(VALUE(Q14),"")</f>
        <v>18</v>
      </c>
      <c r="AE14" s="0" t="n">
        <f aca="false">IFERROR(VALUE(S14),"")</f>
        <v>26.1</v>
      </c>
      <c r="AF14" s="0" t="n">
        <f aca="false">IF(V14="","",VLOOKUP(V14,Assumptions!$B$6:$C$9,2,FALSE()))</f>
        <v>4</v>
      </c>
      <c r="AG14" s="0" t="n">
        <f aca="false">IF(W14="","",VLOOKUP(W14,Assumptions!$B$6:$C$9,2,FALSE()))</f>
        <v>4</v>
      </c>
      <c r="AH14" s="0" t="n">
        <f aca="false">IF(X14="","",VLOOKUP(X14,Assumptions!$B$6:$C$9,2,FALSE()))</f>
        <v>4</v>
      </c>
      <c r="AI14" s="0" t="n">
        <f aca="false">IF(Y14="","",VLOOKUP(Y14,Assumptions!$B$6:$C$9,2,FALSE()))</f>
        <v>4</v>
      </c>
      <c r="AJ14" s="0" t="n">
        <f aca="false">IF(Z14="","",VLOOKUP(Z14,Assumptions!$B$6:$C$9,2,FALSE()))</f>
        <v>4</v>
      </c>
      <c r="AK14" s="7" t="n">
        <f aca="false">IFERROR(ROUND(AVERAGE(AF14:AJ14),3),"")</f>
        <v>4</v>
      </c>
      <c r="AL14" s="7" t="n">
        <f aca="false">IF(OR(AF14="",AJ14=""),"",AJ14-AF14)</f>
        <v>0</v>
      </c>
      <c r="AM14" s="7" t="n">
        <f aca="false">IF(COUNT(AF14:AJ14)&gt;=2,ROUND(_xlfn.STDEV.S(AF14:AJ14),3),"")</f>
        <v>0</v>
      </c>
      <c r="AN14" s="7" t="n">
        <f aca="false">ROUND((IF(AF14="",0,AF14)*Assumptions!$F$15)+(IF(AG14="",0,AG14)*Assumptions!$F$16)+(IF(AH14="",0,AH14)*Assumptions!$F$17)+(IF(AI14="",0,AI14)*Assumptions!$F$18)+(IF(AJ14="",0,AJ14)*Assumptions!$F$19),3)</f>
        <v>4</v>
      </c>
      <c r="AO14" s="0" t="str">
        <f aca="false">IF(AC14&lt;=20,"",IF(AC14&lt;=Assumptions!$F$6,"20-30",IF(AC14&lt;=Assumptions!$F$7,"30-40",IF(AC14&lt;=Assumptions!$F$8,"40-50",IF(AC14&lt;=Assumptions!$F$9,"50-60",IF(AC14&lt;=Assumptions!$F$10,"60+",""))))))</f>
        <v>40-50</v>
      </c>
      <c r="AP14" s="0" t="str">
        <f aca="false">IFERROR(VLOOKUP(O14,Assumptions!$B$14:$C$26,2,FALSE()),"Other")</f>
        <v>Leadership</v>
      </c>
      <c r="AQ14" s="0" t="n">
        <f aca="false">IF(T14="",0,1)</f>
        <v>1</v>
      </c>
      <c r="AR14" s="0" t="n">
        <f aca="false">IF(U14="",0,1)</f>
        <v>1</v>
      </c>
      <c r="AS14" s="8" t="n">
        <f aca="false">IF(AK14="","",IF(MAX($AK$2:$AK$921)=MIN($AK$2:$AK$921),50,ROUND((AK14-MIN($AK$2:$AK$921))/(MAX($AK$2:$AK$921)-MIN($AK$2:$AK$921))*100,2)))</f>
        <v>100</v>
      </c>
      <c r="AT14" s="8" t="n">
        <f aca="false">IF(MAX($BC$2:$BC$921)=MIN($BC$2:$BC$921),50,ROUND((BC14-MIN($BC$2:$BC$921))/(MAX($BC$2:$BC$921)-MIN($BC$2:$BC$921))*100,2))</f>
        <v>50</v>
      </c>
      <c r="AU14" s="8" t="n">
        <f aca="false">IF(MAX($BE$2:$BE$921)=MIN($BE$2:$BE$921),50,ROUND((BE14-MIN($BE$2:$BE$921))/(MAX($BE$2:$BE$921)-MIN($BE$2:$BE$921))*100,2))</f>
        <v>100</v>
      </c>
      <c r="AV14" s="8" t="n">
        <f aca="false">IF(MAX($AD$2:$AD$921)=MIN($AD$2:$AD$921),50,ROUND((AD14-MIN($AD$2:$AD$921))/(MAX($AD$2:$AD$921)-MIN($AD$2:$AD$921))*100,2))</f>
        <v>48.63</v>
      </c>
      <c r="AW14" s="8" t="n">
        <f aca="false">IF(MAX($AN$2:$AN$921)=MIN($AN$2:$AN$921),50,ROUND((AN14-MIN($AN$2:$AN$921))/(MAX($AN$2:$AN$921)-MIN($AN$2:$AN$921))*100,2))</f>
        <v>100</v>
      </c>
      <c r="AX14" s="8" t="n">
        <f aca="false">AQ14*100</f>
        <v>100</v>
      </c>
      <c r="AY14" s="8" t="n">
        <f aca="false">AR14*100</f>
        <v>100</v>
      </c>
      <c r="AZ14" s="8" t="n">
        <f aca="false">IFERROR(ROUND(AS14*Assumptions!$I$6+AW14*Assumptions!$I$7+AT14*Assumptions!$I$8+AU14*Assumptions!$I$9+AV14*Assumptions!$I$10+AX14*Assumptions!$I$11+AY14*Assumptions!$I$12,2),"")</f>
        <v>87.36</v>
      </c>
      <c r="BA14" s="0" t="str">
        <f aca="false">IF(AZ14="","",IF(AZ14&lt;=Assumptions!$I$18,"Below Expectation",IF(AZ14&lt;=Assumptions!$I$19,"Developing",IF(AZ14&lt;=Assumptions!$I$20,"Meets Expectation",IF(AZ14&lt;=Assumptions!$I$21,"Exceeds","Star Performer")))))</f>
        <v>Star Performer</v>
      </c>
      <c r="BB14" s="0" t="n">
        <f aca="false">IF(AZ14="",0,IF(AZ14&gt;=Assumptions!$I$26,1,0))</f>
        <v>1</v>
      </c>
      <c r="BC14" s="9" t="n">
        <f aca="false">IF(AL14="",2,AL14+2)</f>
        <v>2</v>
      </c>
      <c r="BD14" s="10" t="n">
        <f aca="false">IF(AM14="",ROUND(AVERAGE($AM$2:$AM$921),3),AM14)</f>
        <v>0</v>
      </c>
      <c r="BE14" s="9" t="n">
        <f aca="false">1-BD14</f>
        <v>1</v>
      </c>
    </row>
    <row r="15" customFormat="false" ht="14.25" hidden="true" customHeight="false" outlineLevel="0" collapsed="false">
      <c r="A15" s="4" t="n">
        <v>25</v>
      </c>
      <c r="B15" s="5" t="n">
        <v>1059904</v>
      </c>
      <c r="C15" s="5" t="s">
        <v>85</v>
      </c>
      <c r="D15" s="5" t="s">
        <v>184</v>
      </c>
      <c r="E15" s="5" t="s">
        <v>185</v>
      </c>
      <c r="F15" s="5" t="s">
        <v>178</v>
      </c>
      <c r="G15" s="5" t="s">
        <v>177</v>
      </c>
      <c r="H15" s="5" t="s">
        <v>178</v>
      </c>
      <c r="I15" s="5" t="s">
        <v>63</v>
      </c>
      <c r="J15" s="5" t="s">
        <v>76</v>
      </c>
      <c r="K15" s="5" t="s">
        <v>65</v>
      </c>
      <c r="L15" s="6" t="n">
        <v>35691</v>
      </c>
      <c r="M15" s="5" t="s">
        <v>186</v>
      </c>
      <c r="N15" s="6" t="n">
        <v>27883</v>
      </c>
      <c r="O15" s="5" t="s">
        <v>122</v>
      </c>
      <c r="P15" s="5" t="s">
        <v>123</v>
      </c>
      <c r="Q15" s="5" t="s">
        <v>187</v>
      </c>
      <c r="R15" s="5" t="s">
        <v>115</v>
      </c>
      <c r="S15" s="5" t="s">
        <v>187</v>
      </c>
      <c r="T15" s="6" t="n">
        <v>41000</v>
      </c>
      <c r="U15" s="6" t="n">
        <v>44440</v>
      </c>
      <c r="V15" s="5" t="s">
        <v>141</v>
      </c>
      <c r="W15" s="5" t="s">
        <v>83</v>
      </c>
      <c r="X15" s="5" t="s">
        <v>83</v>
      </c>
      <c r="Y15" s="5" t="s">
        <v>83</v>
      </c>
      <c r="Z15" s="5" t="s">
        <v>83</v>
      </c>
      <c r="AA15" s="5" t="s">
        <v>188</v>
      </c>
      <c r="AB15" s="0" t="n">
        <f aca="false">IFERROR(VALUE(R15),0)</f>
        <v>0</v>
      </c>
      <c r="AC15" s="0" t="n">
        <f aca="false">IFERROR(VALUE(M15),"")</f>
        <v>50.1</v>
      </c>
      <c r="AD15" s="0" t="n">
        <f aca="false">IFERROR(VALUE(Q15),"")</f>
        <v>28.8</v>
      </c>
      <c r="AE15" s="0" t="n">
        <f aca="false">IFERROR(VALUE(S15),"")</f>
        <v>28.8</v>
      </c>
      <c r="AF15" s="0" t="n">
        <f aca="false">IF(V15="","",VLOOKUP(V15,Assumptions!$B$6:$C$9,2,FALSE()))</f>
        <v>3</v>
      </c>
      <c r="AG15" s="0" t="n">
        <f aca="false">IF(W15="","",VLOOKUP(W15,Assumptions!$B$6:$C$9,2,FALSE()))</f>
        <v>4</v>
      </c>
      <c r="AH15" s="0" t="n">
        <f aca="false">IF(X15="","",VLOOKUP(X15,Assumptions!$B$6:$C$9,2,FALSE()))</f>
        <v>4</v>
      </c>
      <c r="AI15" s="0" t="n">
        <f aca="false">IF(Y15="","",VLOOKUP(Y15,Assumptions!$B$6:$C$9,2,FALSE()))</f>
        <v>4</v>
      </c>
      <c r="AJ15" s="0" t="n">
        <f aca="false">IF(Z15="","",VLOOKUP(Z15,Assumptions!$B$6:$C$9,2,FALSE()))</f>
        <v>4</v>
      </c>
      <c r="AK15" s="7" t="n">
        <f aca="false">IFERROR(ROUND(AVERAGE(AF15:AJ15),3),"")</f>
        <v>3.8</v>
      </c>
      <c r="AL15" s="7" t="n">
        <f aca="false">IF(OR(AF15="",AJ15=""),"",AJ15-AF15)</f>
        <v>1</v>
      </c>
      <c r="AM15" s="7" t="n">
        <f aca="false">IF(COUNT(AF15:AJ15)&gt;=2,ROUND(_xlfn.STDEV.S(AF15:AJ15),3),"")</f>
        <v>0.447</v>
      </c>
      <c r="AN15" s="7" t="n">
        <f aca="false">ROUND((IF(AF15="",0,AF15)*Assumptions!$F$15)+(IF(AG15="",0,AG15)*Assumptions!$F$16)+(IF(AH15="",0,AH15)*Assumptions!$F$17)+(IF(AI15="",0,AI15)*Assumptions!$F$18)+(IF(AJ15="",0,AJ15)*Assumptions!$F$19),3)</f>
        <v>3.9</v>
      </c>
      <c r="AO15" s="0" t="str">
        <f aca="false">IF(AC15&lt;=20,"",IF(AC15&lt;=Assumptions!$F$6,"20-30",IF(AC15&lt;=Assumptions!$F$7,"30-40",IF(AC15&lt;=Assumptions!$F$8,"40-50",IF(AC15&lt;=Assumptions!$F$9,"50-60",IF(AC15&lt;=Assumptions!$F$10,"60+",""))))))</f>
        <v>50-60</v>
      </c>
      <c r="AP15" s="0" t="str">
        <f aca="false">IFERROR(VLOOKUP(O15,Assumptions!$B$14:$C$26,2,FALSE()),"Other")</f>
        <v>Leadership</v>
      </c>
      <c r="AQ15" s="0" t="n">
        <f aca="false">IF(T15="",0,1)</f>
        <v>1</v>
      </c>
      <c r="AR15" s="0" t="n">
        <f aca="false">IF(U15="",0,1)</f>
        <v>1</v>
      </c>
      <c r="AS15" s="8" t="n">
        <f aca="false">IF(AK15="","",IF(MAX($AK$2:$AK$921)=MIN($AK$2:$AK$921),50,ROUND((AK15-MIN($AK$2:$AK$921))/(MAX($AK$2:$AK$921)-MIN($AK$2:$AK$921))*100,2)))</f>
        <v>91.43</v>
      </c>
      <c r="AT15" s="8" t="n">
        <f aca="false">IF(MAX($BC$2:$BC$921)=MIN($BC$2:$BC$921),50,ROUND((BC15-MIN($BC$2:$BC$921))/(MAX($BC$2:$BC$921)-MIN($BC$2:$BC$921))*100,2))</f>
        <v>75</v>
      </c>
      <c r="AU15" s="8" t="n">
        <f aca="false">IF(MAX($BE$2:$BE$921)=MIN($BE$2:$BE$921),50,ROUND((BE15-MIN($BE$2:$BE$921))/(MAX($BE$2:$BE$921)-MIN($BE$2:$BE$921))*100,2))</f>
        <v>74.19</v>
      </c>
      <c r="AV15" s="8" t="n">
        <f aca="false">IF(MAX($AD$2:$AD$921)=MIN($AD$2:$AD$921),50,ROUND((AD15-MIN($AD$2:$AD$921))/(MAX($AD$2:$AD$921)-MIN($AD$2:$AD$921))*100,2))</f>
        <v>77.98</v>
      </c>
      <c r="AW15" s="8" t="n">
        <f aca="false">IF(MAX($AN$2:$AN$921)=MIN($AN$2:$AN$921),50,ROUND((AN15-MIN($AN$2:$AN$921))/(MAX($AN$2:$AN$921)-MIN($AN$2:$AN$921))*100,2))</f>
        <v>97.5</v>
      </c>
      <c r="AX15" s="8" t="n">
        <f aca="false">AQ15*100</f>
        <v>100</v>
      </c>
      <c r="AY15" s="8" t="n">
        <f aca="false">AR15*100</f>
        <v>100</v>
      </c>
      <c r="AZ15" s="8" t="n">
        <f aca="false">IFERROR(ROUND(AS15*Assumptions!$I$6+AW15*Assumptions!$I$7+AT15*Assumptions!$I$8+AU15*Assumptions!$I$9+AV15*Assumptions!$I$10+AX15*Assumptions!$I$11+AY15*Assumptions!$I$12,2),"")</f>
        <v>87.11</v>
      </c>
      <c r="BA15" s="0" t="str">
        <f aca="false">IF(AZ15="","",IF(AZ15&lt;=Assumptions!$I$18,"Below Expectation",IF(AZ15&lt;=Assumptions!$I$19,"Developing",IF(AZ15&lt;=Assumptions!$I$20,"Meets Expectation",IF(AZ15&lt;=Assumptions!$I$21,"Exceeds","Star Performer")))))</f>
        <v>Star Performer</v>
      </c>
      <c r="BB15" s="0" t="n">
        <f aca="false">IF(AZ15="",0,IF(AZ15&gt;=Assumptions!$I$26,1,0))</f>
        <v>1</v>
      </c>
      <c r="BC15" s="9" t="n">
        <f aca="false">IF(AL15="",2,AL15+2)</f>
        <v>3</v>
      </c>
      <c r="BD15" s="10" t="n">
        <f aca="false">IF(AM15="",ROUND(AVERAGE($AM$2:$AM$921),3),AM15)</f>
        <v>0.447</v>
      </c>
      <c r="BE15" s="9" t="n">
        <f aca="false">1-BD15</f>
        <v>0.553</v>
      </c>
    </row>
    <row r="16" customFormat="false" ht="14.25" hidden="false" customHeight="false" outlineLevel="0" collapsed="false">
      <c r="A16" s="4" t="n">
        <v>379</v>
      </c>
      <c r="B16" s="5" t="n">
        <v>50007091</v>
      </c>
      <c r="C16" s="5" t="s">
        <v>106</v>
      </c>
      <c r="D16" s="5" t="s">
        <v>189</v>
      </c>
      <c r="E16" s="5" t="s">
        <v>108</v>
      </c>
      <c r="F16" s="5" t="s">
        <v>190</v>
      </c>
      <c r="G16" s="5" t="s">
        <v>191</v>
      </c>
      <c r="H16" s="5" t="s">
        <v>192</v>
      </c>
      <c r="I16" s="5" t="s">
        <v>63</v>
      </c>
      <c r="J16" s="5" t="s">
        <v>112</v>
      </c>
      <c r="K16" s="5" t="s">
        <v>65</v>
      </c>
      <c r="L16" s="6" t="n">
        <v>40273</v>
      </c>
      <c r="M16" s="5" t="s">
        <v>193</v>
      </c>
      <c r="N16" s="6" t="n">
        <v>30509</v>
      </c>
      <c r="O16" s="5" t="s">
        <v>162</v>
      </c>
      <c r="P16" s="5" t="s">
        <v>162</v>
      </c>
      <c r="Q16" s="5" t="s">
        <v>194</v>
      </c>
      <c r="R16" s="5" t="s">
        <v>195</v>
      </c>
      <c r="S16" s="5" t="s">
        <v>196</v>
      </c>
      <c r="T16" s="6" t="n">
        <v>41518</v>
      </c>
      <c r="U16" s="6" t="n">
        <v>45992</v>
      </c>
      <c r="V16" s="5" t="s">
        <v>83</v>
      </c>
      <c r="W16" s="5" t="s">
        <v>83</v>
      </c>
      <c r="X16" s="5" t="s">
        <v>83</v>
      </c>
      <c r="Y16" s="5" t="s">
        <v>83</v>
      </c>
      <c r="Z16" s="5" t="s">
        <v>83</v>
      </c>
      <c r="AA16" s="5" t="s">
        <v>197</v>
      </c>
      <c r="AB16" s="0" t="n">
        <f aca="false">IFERROR(VALUE(R16),0)</f>
        <v>2.7</v>
      </c>
      <c r="AC16" s="0" t="n">
        <f aca="false">IFERROR(VALUE(M16),"")</f>
        <v>42.1</v>
      </c>
      <c r="AD16" s="0" t="n">
        <f aca="false">IFERROR(VALUE(Q16),"")</f>
        <v>16.2</v>
      </c>
      <c r="AE16" s="0" t="n">
        <f aca="false">IFERROR(VALUE(S16),"")</f>
        <v>18.9</v>
      </c>
      <c r="AF16" s="0" t="n">
        <f aca="false">IF(V16="","",VLOOKUP(V16,Assumptions!$B$6:$C$9,2,FALSE()))</f>
        <v>4</v>
      </c>
      <c r="AG16" s="0" t="n">
        <f aca="false">IF(W16="","",VLOOKUP(W16,Assumptions!$B$6:$C$9,2,FALSE()))</f>
        <v>4</v>
      </c>
      <c r="AH16" s="0" t="n">
        <f aca="false">IF(X16="","",VLOOKUP(X16,Assumptions!$B$6:$C$9,2,FALSE()))</f>
        <v>4</v>
      </c>
      <c r="AI16" s="0" t="n">
        <f aca="false">IF(Y16="","",VLOOKUP(Y16,Assumptions!$B$6:$C$9,2,FALSE()))</f>
        <v>4</v>
      </c>
      <c r="AJ16" s="0" t="n">
        <f aca="false">IF(Z16="","",VLOOKUP(Z16,Assumptions!$B$6:$C$9,2,FALSE()))</f>
        <v>4</v>
      </c>
      <c r="AK16" s="7" t="n">
        <f aca="false">IFERROR(ROUND(AVERAGE(AF16:AJ16),3),"")</f>
        <v>4</v>
      </c>
      <c r="AL16" s="7" t="n">
        <f aca="false">IF(OR(AF16="",AJ16=""),"",AJ16-AF16)</f>
        <v>0</v>
      </c>
      <c r="AM16" s="7" t="n">
        <f aca="false">IF(COUNT(AF16:AJ16)&gt;=2,ROUND(_xlfn.STDEV.S(AF16:AJ16),3),"")</f>
        <v>0</v>
      </c>
      <c r="AN16" s="7" t="n">
        <f aca="false">ROUND((IF(AF16="",0,AF16)*Assumptions!$F$15)+(IF(AG16="",0,AG16)*Assumptions!$F$16)+(IF(AH16="",0,AH16)*Assumptions!$F$17)+(IF(AI16="",0,AI16)*Assumptions!$F$18)+(IF(AJ16="",0,AJ16)*Assumptions!$F$19),3)</f>
        <v>4</v>
      </c>
      <c r="AO16" s="0" t="str">
        <f aca="false">IF(AC16&lt;=20,"",IF(AC16&lt;=Assumptions!$F$6,"20-30",IF(AC16&lt;=Assumptions!$F$7,"30-40",IF(AC16&lt;=Assumptions!$F$8,"40-50",IF(AC16&lt;=Assumptions!$F$9,"50-60",IF(AC16&lt;=Assumptions!$F$10,"60+",""))))))</f>
        <v>40-50</v>
      </c>
      <c r="AP16" s="0" t="str">
        <f aca="false">IFERROR(VLOOKUP(O16,Assumptions!$B$14:$C$26,2,FALSE()),"Other")</f>
        <v>Manager</v>
      </c>
      <c r="AQ16" s="0" t="n">
        <f aca="false">IF(T16="",0,1)</f>
        <v>1</v>
      </c>
      <c r="AR16" s="0" t="n">
        <f aca="false">IF(U16="",0,1)</f>
        <v>1</v>
      </c>
      <c r="AS16" s="8" t="n">
        <f aca="false">IF(AK16="","",IF(MAX($AK$2:$AK$921)=MIN($AK$2:$AK$921),50,ROUND((AK16-MIN($AK$2:$AK$921))/(MAX($AK$2:$AK$921)-MIN($AK$2:$AK$921))*100,2)))</f>
        <v>100</v>
      </c>
      <c r="AT16" s="8" t="n">
        <f aca="false">IF(MAX($BC$2:$BC$921)=MIN($BC$2:$BC$921),50,ROUND((BC16-MIN($BC$2:$BC$921))/(MAX($BC$2:$BC$921)-MIN($BC$2:$BC$921))*100,2))</f>
        <v>50</v>
      </c>
      <c r="AU16" s="8" t="n">
        <f aca="false">IF(MAX($BE$2:$BE$921)=MIN($BE$2:$BE$921),50,ROUND((BE16-MIN($BE$2:$BE$921))/(MAX($BE$2:$BE$921)-MIN($BE$2:$BE$921))*100,2))</f>
        <v>100</v>
      </c>
      <c r="AV16" s="8" t="n">
        <f aca="false">IF(MAX($AD$2:$AD$921)=MIN($AD$2:$AD$921),50,ROUND((AD16-MIN($AD$2:$AD$921))/(MAX($AD$2:$AD$921)-MIN($AD$2:$AD$921))*100,2))</f>
        <v>43.73</v>
      </c>
      <c r="AW16" s="8" t="n">
        <f aca="false">IF(MAX($AN$2:$AN$921)=MIN($AN$2:$AN$921),50,ROUND((AN16-MIN($AN$2:$AN$921))/(MAX($AN$2:$AN$921)-MIN($AN$2:$AN$921))*100,2))</f>
        <v>100</v>
      </c>
      <c r="AX16" s="8" t="n">
        <f aca="false">AQ16*100</f>
        <v>100</v>
      </c>
      <c r="AY16" s="8" t="n">
        <f aca="false">AR16*100</f>
        <v>100</v>
      </c>
      <c r="AZ16" s="8" t="n">
        <f aca="false">IFERROR(ROUND(AS16*Assumptions!$I$6+AW16*Assumptions!$I$7+AT16*Assumptions!$I$8+AU16*Assumptions!$I$9+AV16*Assumptions!$I$10+AX16*Assumptions!$I$11+AY16*Assumptions!$I$12,2),"")</f>
        <v>86.87</v>
      </c>
      <c r="BA16" s="0" t="str">
        <f aca="false">IF(AZ16="","",IF(AZ16&lt;=Assumptions!$I$18,"Below Expectation",IF(AZ16&lt;=Assumptions!$I$19,"Developing",IF(AZ16&lt;=Assumptions!$I$20,"Meets Expectation",IF(AZ16&lt;=Assumptions!$I$21,"Exceeds","Star Performer")))))</f>
        <v>Star Performer</v>
      </c>
      <c r="BB16" s="0" t="n">
        <f aca="false">IF(AZ16="",0,IF(AZ16&gt;=Assumptions!$I$26,1,0))</f>
        <v>1</v>
      </c>
      <c r="BC16" s="9" t="n">
        <f aca="false">IF(AL16="",2,AL16+2)</f>
        <v>2</v>
      </c>
      <c r="BD16" s="10" t="n">
        <f aca="false">IF(AM16="",ROUND(AVERAGE($AM$2:$AM$921),3),AM16)</f>
        <v>0</v>
      </c>
      <c r="BE16" s="9" t="n">
        <f aca="false">1-BD16</f>
        <v>1</v>
      </c>
    </row>
    <row r="17" customFormat="false" ht="14.25" hidden="true" customHeight="false" outlineLevel="0" collapsed="false">
      <c r="A17" s="4" t="n">
        <v>381</v>
      </c>
      <c r="B17" s="5" t="n">
        <v>50007378</v>
      </c>
      <c r="C17" s="5" t="s">
        <v>85</v>
      </c>
      <c r="D17" s="5" t="s">
        <v>198</v>
      </c>
      <c r="E17" s="5" t="s">
        <v>87</v>
      </c>
      <c r="F17" s="5" t="s">
        <v>199</v>
      </c>
      <c r="G17" s="5" t="s">
        <v>200</v>
      </c>
      <c r="H17" s="5" t="s">
        <v>201</v>
      </c>
      <c r="I17" s="5" t="s">
        <v>63</v>
      </c>
      <c r="J17" s="5" t="s">
        <v>76</v>
      </c>
      <c r="K17" s="5" t="s">
        <v>65</v>
      </c>
      <c r="L17" s="6" t="n">
        <v>40336</v>
      </c>
      <c r="M17" s="5" t="s">
        <v>202</v>
      </c>
      <c r="N17" s="6" t="n">
        <v>31725</v>
      </c>
      <c r="O17" s="5" t="s">
        <v>162</v>
      </c>
      <c r="P17" s="5" t="s">
        <v>162</v>
      </c>
      <c r="Q17" s="5" t="s">
        <v>203</v>
      </c>
      <c r="R17" s="5" t="s">
        <v>204</v>
      </c>
      <c r="S17" s="5" t="s">
        <v>205</v>
      </c>
      <c r="T17" s="6" t="n">
        <v>42248</v>
      </c>
      <c r="U17" s="6" t="n">
        <v>46113</v>
      </c>
      <c r="V17" s="5" t="s">
        <v>83</v>
      </c>
      <c r="W17" s="5" t="s">
        <v>83</v>
      </c>
      <c r="X17" s="5" t="s">
        <v>83</v>
      </c>
      <c r="Y17" s="5" t="s">
        <v>83</v>
      </c>
      <c r="Z17" s="5" t="s">
        <v>83</v>
      </c>
      <c r="AA17" s="5" t="s">
        <v>206</v>
      </c>
      <c r="AB17" s="0" t="n">
        <f aca="false">IFERROR(VALUE(R17),0)</f>
        <v>1.11</v>
      </c>
      <c r="AC17" s="0" t="n">
        <f aca="false">IFERROR(VALUE(M17),"")</f>
        <v>39.6</v>
      </c>
      <c r="AD17" s="0" t="n">
        <f aca="false">IFERROR(VALUE(Q17),"")</f>
        <v>16</v>
      </c>
      <c r="AE17" s="0" t="n">
        <f aca="false">IFERROR(VALUE(S17),"")</f>
        <v>17.11</v>
      </c>
      <c r="AF17" s="0" t="n">
        <f aca="false">IF(V17="","",VLOOKUP(V17,Assumptions!$B$6:$C$9,2,FALSE()))</f>
        <v>4</v>
      </c>
      <c r="AG17" s="0" t="n">
        <f aca="false">IF(W17="","",VLOOKUP(W17,Assumptions!$B$6:$C$9,2,FALSE()))</f>
        <v>4</v>
      </c>
      <c r="AH17" s="0" t="n">
        <f aca="false">IF(X17="","",VLOOKUP(X17,Assumptions!$B$6:$C$9,2,FALSE()))</f>
        <v>4</v>
      </c>
      <c r="AI17" s="0" t="n">
        <f aca="false">IF(Y17="","",VLOOKUP(Y17,Assumptions!$B$6:$C$9,2,FALSE()))</f>
        <v>4</v>
      </c>
      <c r="AJ17" s="0" t="n">
        <f aca="false">IF(Z17="","",VLOOKUP(Z17,Assumptions!$B$6:$C$9,2,FALSE()))</f>
        <v>4</v>
      </c>
      <c r="AK17" s="7" t="n">
        <f aca="false">IFERROR(ROUND(AVERAGE(AF17:AJ17),3),"")</f>
        <v>4</v>
      </c>
      <c r="AL17" s="7" t="n">
        <f aca="false">IF(OR(AF17="",AJ17=""),"",AJ17-AF17)</f>
        <v>0</v>
      </c>
      <c r="AM17" s="7" t="n">
        <f aca="false">IF(COUNT(AF17:AJ17)&gt;=2,ROUND(_xlfn.STDEV.S(AF17:AJ17),3),"")</f>
        <v>0</v>
      </c>
      <c r="AN17" s="7" t="n">
        <f aca="false">ROUND((IF(AF17="",0,AF17)*Assumptions!$F$15)+(IF(AG17="",0,AG17)*Assumptions!$F$16)+(IF(AH17="",0,AH17)*Assumptions!$F$17)+(IF(AI17="",0,AI17)*Assumptions!$F$18)+(IF(AJ17="",0,AJ17)*Assumptions!$F$19),3)</f>
        <v>4</v>
      </c>
      <c r="AO17" s="0" t="str">
        <f aca="false">IF(AC17&lt;=20,"",IF(AC17&lt;=Assumptions!$F$6,"20-30",IF(AC17&lt;=Assumptions!$F$7,"30-40",IF(AC17&lt;=Assumptions!$F$8,"40-50",IF(AC17&lt;=Assumptions!$F$9,"50-60",IF(AC17&lt;=Assumptions!$F$10,"60+",""))))))</f>
        <v>30-40</v>
      </c>
      <c r="AP17" s="0" t="str">
        <f aca="false">IFERROR(VLOOKUP(O17,Assumptions!$B$14:$C$26,2,FALSE()),"Other")</f>
        <v>Manager</v>
      </c>
      <c r="AQ17" s="0" t="n">
        <f aca="false">IF(T17="",0,1)</f>
        <v>1</v>
      </c>
      <c r="AR17" s="0" t="n">
        <f aca="false">IF(U17="",0,1)</f>
        <v>1</v>
      </c>
      <c r="AS17" s="8" t="n">
        <f aca="false">IF(AK17="","",IF(MAX($AK$2:$AK$921)=MIN($AK$2:$AK$921),50,ROUND((AK17-MIN($AK$2:$AK$921))/(MAX($AK$2:$AK$921)-MIN($AK$2:$AK$921))*100,2)))</f>
        <v>100</v>
      </c>
      <c r="AT17" s="8" t="n">
        <f aca="false">IF(MAX($BC$2:$BC$921)=MIN($BC$2:$BC$921),50,ROUND((BC17-MIN($BC$2:$BC$921))/(MAX($BC$2:$BC$921)-MIN($BC$2:$BC$921))*100,2))</f>
        <v>50</v>
      </c>
      <c r="AU17" s="8" t="n">
        <f aca="false">IF(MAX($BE$2:$BE$921)=MIN($BE$2:$BE$921),50,ROUND((BE17-MIN($BE$2:$BE$921))/(MAX($BE$2:$BE$921)-MIN($BE$2:$BE$921))*100,2))</f>
        <v>100</v>
      </c>
      <c r="AV17" s="8" t="n">
        <f aca="false">IF(MAX($AD$2:$AD$921)=MIN($AD$2:$AD$921),50,ROUND((AD17-MIN($AD$2:$AD$921))/(MAX($AD$2:$AD$921)-MIN($AD$2:$AD$921))*100,2))</f>
        <v>43.19</v>
      </c>
      <c r="AW17" s="8" t="n">
        <f aca="false">IF(MAX($AN$2:$AN$921)=MIN($AN$2:$AN$921),50,ROUND((AN17-MIN($AN$2:$AN$921))/(MAX($AN$2:$AN$921)-MIN($AN$2:$AN$921))*100,2))</f>
        <v>100</v>
      </c>
      <c r="AX17" s="8" t="n">
        <f aca="false">AQ17*100</f>
        <v>100</v>
      </c>
      <c r="AY17" s="8" t="n">
        <f aca="false">AR17*100</f>
        <v>100</v>
      </c>
      <c r="AZ17" s="8" t="n">
        <f aca="false">IFERROR(ROUND(AS17*Assumptions!$I$6+AW17*Assumptions!$I$7+AT17*Assumptions!$I$8+AU17*Assumptions!$I$9+AV17*Assumptions!$I$10+AX17*Assumptions!$I$11+AY17*Assumptions!$I$12,2),"")</f>
        <v>86.82</v>
      </c>
      <c r="BA17" s="0" t="str">
        <f aca="false">IF(AZ17="","",IF(AZ17&lt;=Assumptions!$I$18,"Below Expectation",IF(AZ17&lt;=Assumptions!$I$19,"Developing",IF(AZ17&lt;=Assumptions!$I$20,"Meets Expectation",IF(AZ17&lt;=Assumptions!$I$21,"Exceeds","Star Performer")))))</f>
        <v>Star Performer</v>
      </c>
      <c r="BB17" s="0" t="n">
        <f aca="false">IF(AZ17="",0,IF(AZ17&gt;=Assumptions!$I$26,1,0))</f>
        <v>1</v>
      </c>
      <c r="BC17" s="9" t="n">
        <f aca="false">IF(AL17="",2,AL17+2)</f>
        <v>2</v>
      </c>
      <c r="BD17" s="10" t="n">
        <f aca="false">IF(AM17="",ROUND(AVERAGE($AM$2:$AM$921),3),AM17)</f>
        <v>0</v>
      </c>
      <c r="BE17" s="9" t="n">
        <f aca="false">1-BD17</f>
        <v>1</v>
      </c>
    </row>
    <row r="18" customFormat="false" ht="14.25" hidden="true" customHeight="false" outlineLevel="0" collapsed="false">
      <c r="A18" s="4" t="n">
        <v>370</v>
      </c>
      <c r="B18" s="5" t="n">
        <v>37102293</v>
      </c>
      <c r="C18" s="5" t="s">
        <v>57</v>
      </c>
      <c r="D18" s="5" t="s">
        <v>207</v>
      </c>
      <c r="E18" s="5" t="s">
        <v>208</v>
      </c>
      <c r="F18" s="5" t="s">
        <v>209</v>
      </c>
      <c r="G18" s="5" t="s">
        <v>210</v>
      </c>
      <c r="H18" s="5" t="s">
        <v>209</v>
      </c>
      <c r="I18" s="5" t="s">
        <v>63</v>
      </c>
      <c r="J18" s="5" t="s">
        <v>100</v>
      </c>
      <c r="K18" s="5" t="s">
        <v>65</v>
      </c>
      <c r="L18" s="6" t="n">
        <v>40462</v>
      </c>
      <c r="M18" s="5" t="s">
        <v>211</v>
      </c>
      <c r="N18" s="6" t="n">
        <v>30858</v>
      </c>
      <c r="O18" s="5" t="s">
        <v>162</v>
      </c>
      <c r="P18" s="5" t="s">
        <v>162</v>
      </c>
      <c r="Q18" s="5" t="s">
        <v>212</v>
      </c>
      <c r="R18" s="5" t="s">
        <v>213</v>
      </c>
      <c r="S18" s="5" t="s">
        <v>214</v>
      </c>
      <c r="T18" s="6" t="n">
        <v>41365</v>
      </c>
      <c r="U18" s="6" t="n">
        <v>45748</v>
      </c>
      <c r="V18" s="5" t="s">
        <v>83</v>
      </c>
      <c r="W18" s="5" t="s">
        <v>83</v>
      </c>
      <c r="X18" s="5" t="s">
        <v>83</v>
      </c>
      <c r="Y18" s="5" t="s">
        <v>83</v>
      </c>
      <c r="Z18" s="5" t="s">
        <v>83</v>
      </c>
      <c r="AA18" s="5" t="s">
        <v>215</v>
      </c>
      <c r="AB18" s="0" t="n">
        <f aca="false">IFERROR(VALUE(R18),0)</f>
        <v>5.2</v>
      </c>
      <c r="AC18" s="0" t="n">
        <f aca="false">IFERROR(VALUE(M18),"")</f>
        <v>41.11</v>
      </c>
      <c r="AD18" s="0" t="n">
        <f aca="false">IFERROR(VALUE(Q18),"")</f>
        <v>15.7</v>
      </c>
      <c r="AE18" s="0" t="n">
        <f aca="false">IFERROR(VALUE(S18),"")</f>
        <v>20.9</v>
      </c>
      <c r="AF18" s="0" t="n">
        <f aca="false">IF(V18="","",VLOOKUP(V18,Assumptions!$B$6:$C$9,2,FALSE()))</f>
        <v>4</v>
      </c>
      <c r="AG18" s="0" t="n">
        <f aca="false">IF(W18="","",VLOOKUP(W18,Assumptions!$B$6:$C$9,2,FALSE()))</f>
        <v>4</v>
      </c>
      <c r="AH18" s="0" t="n">
        <f aca="false">IF(X18="","",VLOOKUP(X18,Assumptions!$B$6:$C$9,2,FALSE()))</f>
        <v>4</v>
      </c>
      <c r="AI18" s="0" t="n">
        <f aca="false">IF(Y18="","",VLOOKUP(Y18,Assumptions!$B$6:$C$9,2,FALSE()))</f>
        <v>4</v>
      </c>
      <c r="AJ18" s="0" t="n">
        <f aca="false">IF(Z18="","",VLOOKUP(Z18,Assumptions!$B$6:$C$9,2,FALSE()))</f>
        <v>4</v>
      </c>
      <c r="AK18" s="7" t="n">
        <f aca="false">IFERROR(ROUND(AVERAGE(AF18:AJ18),3),"")</f>
        <v>4</v>
      </c>
      <c r="AL18" s="7" t="n">
        <f aca="false">IF(OR(AF18="",AJ18=""),"",AJ18-AF18)</f>
        <v>0</v>
      </c>
      <c r="AM18" s="7" t="n">
        <f aca="false">IF(COUNT(AF18:AJ18)&gt;=2,ROUND(_xlfn.STDEV.S(AF18:AJ18),3),"")</f>
        <v>0</v>
      </c>
      <c r="AN18" s="7" t="n">
        <f aca="false">ROUND((IF(AF18="",0,AF18)*Assumptions!$F$15)+(IF(AG18="",0,AG18)*Assumptions!$F$16)+(IF(AH18="",0,AH18)*Assumptions!$F$17)+(IF(AI18="",0,AI18)*Assumptions!$F$18)+(IF(AJ18="",0,AJ18)*Assumptions!$F$19),3)</f>
        <v>4</v>
      </c>
      <c r="AO18" s="0" t="str">
        <f aca="false">IF(AC18&lt;=20,"",IF(AC18&lt;=Assumptions!$F$6,"20-30",IF(AC18&lt;=Assumptions!$F$7,"30-40",IF(AC18&lt;=Assumptions!$F$8,"40-50",IF(AC18&lt;=Assumptions!$F$9,"50-60",IF(AC18&lt;=Assumptions!$F$10,"60+",""))))))</f>
        <v>40-50</v>
      </c>
      <c r="AP18" s="0" t="str">
        <f aca="false">IFERROR(VLOOKUP(O18,Assumptions!$B$14:$C$26,2,FALSE()),"Other")</f>
        <v>Manager</v>
      </c>
      <c r="AQ18" s="0" t="n">
        <f aca="false">IF(T18="",0,1)</f>
        <v>1</v>
      </c>
      <c r="AR18" s="0" t="n">
        <f aca="false">IF(U18="",0,1)</f>
        <v>1</v>
      </c>
      <c r="AS18" s="8" t="n">
        <f aca="false">IF(AK18="","",IF(MAX($AK$2:$AK$921)=MIN($AK$2:$AK$921),50,ROUND((AK18-MIN($AK$2:$AK$921))/(MAX($AK$2:$AK$921)-MIN($AK$2:$AK$921))*100,2)))</f>
        <v>100</v>
      </c>
      <c r="AT18" s="8" t="n">
        <f aca="false">IF(MAX($BC$2:$BC$921)=MIN($BC$2:$BC$921),50,ROUND((BC18-MIN($BC$2:$BC$921))/(MAX($BC$2:$BC$921)-MIN($BC$2:$BC$921))*100,2))</f>
        <v>50</v>
      </c>
      <c r="AU18" s="8" t="n">
        <f aca="false">IF(MAX($BE$2:$BE$921)=MIN($BE$2:$BE$921),50,ROUND((BE18-MIN($BE$2:$BE$921))/(MAX($BE$2:$BE$921)-MIN($BE$2:$BE$921))*100,2))</f>
        <v>100</v>
      </c>
      <c r="AV18" s="8" t="n">
        <f aca="false">IF(MAX($AD$2:$AD$921)=MIN($AD$2:$AD$921),50,ROUND((AD18-MIN($AD$2:$AD$921))/(MAX($AD$2:$AD$921)-MIN($AD$2:$AD$921))*100,2))</f>
        <v>42.38</v>
      </c>
      <c r="AW18" s="8" t="n">
        <f aca="false">IF(MAX($AN$2:$AN$921)=MIN($AN$2:$AN$921),50,ROUND((AN18-MIN($AN$2:$AN$921))/(MAX($AN$2:$AN$921)-MIN($AN$2:$AN$921))*100,2))</f>
        <v>100</v>
      </c>
      <c r="AX18" s="8" t="n">
        <f aca="false">AQ18*100</f>
        <v>100</v>
      </c>
      <c r="AY18" s="8" t="n">
        <f aca="false">AR18*100</f>
        <v>100</v>
      </c>
      <c r="AZ18" s="8" t="n">
        <f aca="false">IFERROR(ROUND(AS18*Assumptions!$I$6+AW18*Assumptions!$I$7+AT18*Assumptions!$I$8+AU18*Assumptions!$I$9+AV18*Assumptions!$I$10+AX18*Assumptions!$I$11+AY18*Assumptions!$I$12,2),"")</f>
        <v>86.74</v>
      </c>
      <c r="BA18" s="0" t="str">
        <f aca="false">IF(AZ18="","",IF(AZ18&lt;=Assumptions!$I$18,"Below Expectation",IF(AZ18&lt;=Assumptions!$I$19,"Developing",IF(AZ18&lt;=Assumptions!$I$20,"Meets Expectation",IF(AZ18&lt;=Assumptions!$I$21,"Exceeds","Star Performer")))))</f>
        <v>Star Performer</v>
      </c>
      <c r="BB18" s="0" t="n">
        <f aca="false">IF(AZ18="",0,IF(AZ18&gt;=Assumptions!$I$26,1,0))</f>
        <v>1</v>
      </c>
      <c r="BC18" s="9" t="n">
        <f aca="false">IF(AL18="",2,AL18+2)</f>
        <v>2</v>
      </c>
      <c r="BD18" s="10" t="n">
        <f aca="false">IF(AM18="",ROUND(AVERAGE($AM$2:$AM$921),3),AM18)</f>
        <v>0</v>
      </c>
      <c r="BE18" s="9" t="n">
        <f aca="false">1-BD18</f>
        <v>1</v>
      </c>
    </row>
    <row r="19" customFormat="false" ht="14.25" hidden="true" customHeight="false" outlineLevel="0" collapsed="false">
      <c r="A19" s="4" t="n">
        <v>418</v>
      </c>
      <c r="B19" s="5" t="n">
        <v>50009791</v>
      </c>
      <c r="C19" s="5" t="s">
        <v>85</v>
      </c>
      <c r="D19" s="5" t="s">
        <v>216</v>
      </c>
      <c r="E19" s="5" t="s">
        <v>87</v>
      </c>
      <c r="F19" s="5" t="s">
        <v>199</v>
      </c>
      <c r="G19" s="5" t="s">
        <v>200</v>
      </c>
      <c r="H19" s="5" t="s">
        <v>201</v>
      </c>
      <c r="I19" s="5" t="s">
        <v>63</v>
      </c>
      <c r="J19" s="5" t="s">
        <v>76</v>
      </c>
      <c r="K19" s="5" t="s">
        <v>65</v>
      </c>
      <c r="L19" s="6" t="n">
        <v>40882</v>
      </c>
      <c r="M19" s="5" t="s">
        <v>217</v>
      </c>
      <c r="N19" s="6" t="n">
        <v>30768</v>
      </c>
      <c r="O19" s="5" t="s">
        <v>162</v>
      </c>
      <c r="P19" s="5" t="s">
        <v>162</v>
      </c>
      <c r="Q19" s="5" t="s">
        <v>218</v>
      </c>
      <c r="R19" s="5" t="s">
        <v>219</v>
      </c>
      <c r="S19" s="5" t="s">
        <v>220</v>
      </c>
      <c r="T19" s="6" t="n">
        <v>42767</v>
      </c>
      <c r="U19" s="6" t="n">
        <v>46113</v>
      </c>
      <c r="V19" s="5" t="s">
        <v>83</v>
      </c>
      <c r="W19" s="5" t="s">
        <v>83</v>
      </c>
      <c r="X19" s="5" t="s">
        <v>83</v>
      </c>
      <c r="Y19" s="5" t="s">
        <v>83</v>
      </c>
      <c r="Z19" s="5" t="s">
        <v>83</v>
      </c>
      <c r="AA19" s="5" t="s">
        <v>221</v>
      </c>
      <c r="AB19" s="0" t="n">
        <f aca="false">IFERROR(VALUE(R19),0)</f>
        <v>2.9</v>
      </c>
      <c r="AC19" s="0" t="n">
        <f aca="false">IFERROR(VALUE(M19),"")</f>
        <v>42.2</v>
      </c>
      <c r="AD19" s="0" t="n">
        <f aca="false">IFERROR(VALUE(Q19),"")</f>
        <v>14.6</v>
      </c>
      <c r="AE19" s="0" t="n">
        <f aca="false">IFERROR(VALUE(S19),"")</f>
        <v>17.3</v>
      </c>
      <c r="AF19" s="0" t="n">
        <f aca="false">IF(V19="","",VLOOKUP(V19,Assumptions!$B$6:$C$9,2,FALSE()))</f>
        <v>4</v>
      </c>
      <c r="AG19" s="0" t="n">
        <f aca="false">IF(W19="","",VLOOKUP(W19,Assumptions!$B$6:$C$9,2,FALSE()))</f>
        <v>4</v>
      </c>
      <c r="AH19" s="0" t="n">
        <f aca="false">IF(X19="","",VLOOKUP(X19,Assumptions!$B$6:$C$9,2,FALSE()))</f>
        <v>4</v>
      </c>
      <c r="AI19" s="0" t="n">
        <f aca="false">IF(Y19="","",VLOOKUP(Y19,Assumptions!$B$6:$C$9,2,FALSE()))</f>
        <v>4</v>
      </c>
      <c r="AJ19" s="0" t="n">
        <f aca="false">IF(Z19="","",VLOOKUP(Z19,Assumptions!$B$6:$C$9,2,FALSE()))</f>
        <v>4</v>
      </c>
      <c r="AK19" s="7" t="n">
        <f aca="false">IFERROR(ROUND(AVERAGE(AF19:AJ19),3),"")</f>
        <v>4</v>
      </c>
      <c r="AL19" s="7" t="n">
        <f aca="false">IF(OR(AF19="",AJ19=""),"",AJ19-AF19)</f>
        <v>0</v>
      </c>
      <c r="AM19" s="7" t="n">
        <f aca="false">IF(COUNT(AF19:AJ19)&gt;=2,ROUND(_xlfn.STDEV.S(AF19:AJ19),3),"")</f>
        <v>0</v>
      </c>
      <c r="AN19" s="7" t="n">
        <f aca="false">ROUND((IF(AF19="",0,AF19)*Assumptions!$F$15)+(IF(AG19="",0,AG19)*Assumptions!$F$16)+(IF(AH19="",0,AH19)*Assumptions!$F$17)+(IF(AI19="",0,AI19)*Assumptions!$F$18)+(IF(AJ19="",0,AJ19)*Assumptions!$F$19),3)</f>
        <v>4</v>
      </c>
      <c r="AO19" s="0" t="str">
        <f aca="false">IF(AC19&lt;=20,"",IF(AC19&lt;=Assumptions!$F$6,"20-30",IF(AC19&lt;=Assumptions!$F$7,"30-40",IF(AC19&lt;=Assumptions!$F$8,"40-50",IF(AC19&lt;=Assumptions!$F$9,"50-60",IF(AC19&lt;=Assumptions!$F$10,"60+",""))))))</f>
        <v>40-50</v>
      </c>
      <c r="AP19" s="0" t="str">
        <f aca="false">IFERROR(VLOOKUP(O19,Assumptions!$B$14:$C$26,2,FALSE()),"Other")</f>
        <v>Manager</v>
      </c>
      <c r="AQ19" s="0" t="n">
        <f aca="false">IF(T19="",0,1)</f>
        <v>1</v>
      </c>
      <c r="AR19" s="0" t="n">
        <f aca="false">IF(U19="",0,1)</f>
        <v>1</v>
      </c>
      <c r="AS19" s="8" t="n">
        <f aca="false">IF(AK19="","",IF(MAX($AK$2:$AK$921)=MIN($AK$2:$AK$921),50,ROUND((AK19-MIN($AK$2:$AK$921))/(MAX($AK$2:$AK$921)-MIN($AK$2:$AK$921))*100,2)))</f>
        <v>100</v>
      </c>
      <c r="AT19" s="8" t="n">
        <f aca="false">IF(MAX($BC$2:$BC$921)=MIN($BC$2:$BC$921),50,ROUND((BC19-MIN($BC$2:$BC$921))/(MAX($BC$2:$BC$921)-MIN($BC$2:$BC$921))*100,2))</f>
        <v>50</v>
      </c>
      <c r="AU19" s="8" t="n">
        <f aca="false">IF(MAX($BE$2:$BE$921)=MIN($BE$2:$BE$921),50,ROUND((BE19-MIN($BE$2:$BE$921))/(MAX($BE$2:$BE$921)-MIN($BE$2:$BE$921))*100,2))</f>
        <v>100</v>
      </c>
      <c r="AV19" s="8" t="n">
        <f aca="false">IF(MAX($AD$2:$AD$921)=MIN($AD$2:$AD$921),50,ROUND((AD19-MIN($AD$2:$AD$921))/(MAX($AD$2:$AD$921)-MIN($AD$2:$AD$921))*100,2))</f>
        <v>39.39</v>
      </c>
      <c r="AW19" s="8" t="n">
        <f aca="false">IF(MAX($AN$2:$AN$921)=MIN($AN$2:$AN$921),50,ROUND((AN19-MIN($AN$2:$AN$921))/(MAX($AN$2:$AN$921)-MIN($AN$2:$AN$921))*100,2))</f>
        <v>100</v>
      </c>
      <c r="AX19" s="8" t="n">
        <f aca="false">AQ19*100</f>
        <v>100</v>
      </c>
      <c r="AY19" s="8" t="n">
        <f aca="false">AR19*100</f>
        <v>100</v>
      </c>
      <c r="AZ19" s="8" t="n">
        <f aca="false">IFERROR(ROUND(AS19*Assumptions!$I$6+AW19*Assumptions!$I$7+AT19*Assumptions!$I$8+AU19*Assumptions!$I$9+AV19*Assumptions!$I$10+AX19*Assumptions!$I$11+AY19*Assumptions!$I$12,2),"")</f>
        <v>86.44</v>
      </c>
      <c r="BA19" s="0" t="str">
        <f aca="false">IF(AZ19="","",IF(AZ19&lt;=Assumptions!$I$18,"Below Expectation",IF(AZ19&lt;=Assumptions!$I$19,"Developing",IF(AZ19&lt;=Assumptions!$I$20,"Meets Expectation",IF(AZ19&lt;=Assumptions!$I$21,"Exceeds","Star Performer")))))</f>
        <v>Star Performer</v>
      </c>
      <c r="BB19" s="0" t="n">
        <f aca="false">IF(AZ19="",0,IF(AZ19&gt;=Assumptions!$I$26,1,0))</f>
        <v>1</v>
      </c>
      <c r="BC19" s="9" t="n">
        <f aca="false">IF(AL19="",2,AL19+2)</f>
        <v>2</v>
      </c>
      <c r="BD19" s="10" t="n">
        <f aca="false">IF(AM19="",ROUND(AVERAGE($AM$2:$AM$921),3),AM19)</f>
        <v>0</v>
      </c>
      <c r="BE19" s="9" t="n">
        <f aca="false">1-BD19</f>
        <v>1</v>
      </c>
    </row>
    <row r="20" customFormat="false" ht="14.25" hidden="true" customHeight="false" outlineLevel="0" collapsed="false">
      <c r="A20" s="4" t="n">
        <v>12</v>
      </c>
      <c r="B20" s="5" t="n">
        <v>38014</v>
      </c>
      <c r="C20" s="5" t="s">
        <v>57</v>
      </c>
      <c r="D20" s="5" t="s">
        <v>222</v>
      </c>
      <c r="E20" s="5" t="s">
        <v>208</v>
      </c>
      <c r="F20" s="5" t="s">
        <v>223</v>
      </c>
      <c r="G20" s="5" t="s">
        <v>224</v>
      </c>
      <c r="H20" s="5" t="s">
        <v>223</v>
      </c>
      <c r="I20" s="5" t="s">
        <v>63</v>
      </c>
      <c r="J20" s="5" t="s">
        <v>100</v>
      </c>
      <c r="K20" s="5" t="s">
        <v>65</v>
      </c>
      <c r="L20" s="6" t="n">
        <v>36780</v>
      </c>
      <c r="M20" s="5" t="s">
        <v>225</v>
      </c>
      <c r="N20" s="6" t="n">
        <v>29719</v>
      </c>
      <c r="O20" s="5" t="s">
        <v>122</v>
      </c>
      <c r="P20" s="5" t="s">
        <v>123</v>
      </c>
      <c r="Q20" s="5" t="s">
        <v>226</v>
      </c>
      <c r="R20" s="5" t="s">
        <v>115</v>
      </c>
      <c r="S20" s="5" t="s">
        <v>226</v>
      </c>
      <c r="T20" s="6" t="n">
        <v>39173</v>
      </c>
      <c r="U20" s="6" t="n">
        <v>46113</v>
      </c>
      <c r="V20" s="5" t="s">
        <v>141</v>
      </c>
      <c r="W20" s="5" t="s">
        <v>83</v>
      </c>
      <c r="X20" s="5" t="s">
        <v>83</v>
      </c>
      <c r="Y20" s="5" t="s">
        <v>83</v>
      </c>
      <c r="Z20" s="5" t="s">
        <v>83</v>
      </c>
      <c r="AA20" s="5" t="s">
        <v>227</v>
      </c>
      <c r="AB20" s="0" t="n">
        <f aca="false">IFERROR(VALUE(R20),0)</f>
        <v>0</v>
      </c>
      <c r="AC20" s="0" t="n">
        <f aca="false">IFERROR(VALUE(M20),"")</f>
        <v>45</v>
      </c>
      <c r="AD20" s="0" t="n">
        <f aca="false">IFERROR(VALUE(Q20),"")</f>
        <v>25.8</v>
      </c>
      <c r="AE20" s="0" t="n">
        <f aca="false">IFERROR(VALUE(S20),"")</f>
        <v>25.8</v>
      </c>
      <c r="AF20" s="0" t="n">
        <f aca="false">IF(V20="","",VLOOKUP(V20,Assumptions!$B$6:$C$9,2,FALSE()))</f>
        <v>3</v>
      </c>
      <c r="AG20" s="0" t="n">
        <f aca="false">IF(W20="","",VLOOKUP(W20,Assumptions!$B$6:$C$9,2,FALSE()))</f>
        <v>4</v>
      </c>
      <c r="AH20" s="0" t="n">
        <f aca="false">IF(X20="","",VLOOKUP(X20,Assumptions!$B$6:$C$9,2,FALSE()))</f>
        <v>4</v>
      </c>
      <c r="AI20" s="0" t="n">
        <f aca="false">IF(Y20="","",VLOOKUP(Y20,Assumptions!$B$6:$C$9,2,FALSE()))</f>
        <v>4</v>
      </c>
      <c r="AJ20" s="0" t="n">
        <f aca="false">IF(Z20="","",VLOOKUP(Z20,Assumptions!$B$6:$C$9,2,FALSE()))</f>
        <v>4</v>
      </c>
      <c r="AK20" s="7" t="n">
        <f aca="false">IFERROR(ROUND(AVERAGE(AF20:AJ20),3),"")</f>
        <v>3.8</v>
      </c>
      <c r="AL20" s="7" t="n">
        <f aca="false">IF(OR(AF20="",AJ20=""),"",AJ20-AF20)</f>
        <v>1</v>
      </c>
      <c r="AM20" s="7" t="n">
        <f aca="false">IF(COUNT(AF20:AJ20)&gt;=2,ROUND(_xlfn.STDEV.S(AF20:AJ20),3),"")</f>
        <v>0.447</v>
      </c>
      <c r="AN20" s="7" t="n">
        <f aca="false">ROUND((IF(AF20="",0,AF20)*Assumptions!$F$15)+(IF(AG20="",0,AG20)*Assumptions!$F$16)+(IF(AH20="",0,AH20)*Assumptions!$F$17)+(IF(AI20="",0,AI20)*Assumptions!$F$18)+(IF(AJ20="",0,AJ20)*Assumptions!$F$19),3)</f>
        <v>3.9</v>
      </c>
      <c r="AO20" s="0" t="str">
        <f aca="false">IF(AC20&lt;=20,"",IF(AC20&lt;=Assumptions!$F$6,"20-30",IF(AC20&lt;=Assumptions!$F$7,"30-40",IF(AC20&lt;=Assumptions!$F$8,"40-50",IF(AC20&lt;=Assumptions!$F$9,"50-60",IF(AC20&lt;=Assumptions!$F$10,"60+",""))))))</f>
        <v>40-50</v>
      </c>
      <c r="AP20" s="0" t="str">
        <f aca="false">IFERROR(VLOOKUP(O20,Assumptions!$B$14:$C$26,2,FALSE()),"Other")</f>
        <v>Leadership</v>
      </c>
      <c r="AQ20" s="0" t="n">
        <f aca="false">IF(T20="",0,1)</f>
        <v>1</v>
      </c>
      <c r="AR20" s="0" t="n">
        <f aca="false">IF(U20="",0,1)</f>
        <v>1</v>
      </c>
      <c r="AS20" s="8" t="n">
        <f aca="false">IF(AK20="","",IF(MAX($AK$2:$AK$921)=MIN($AK$2:$AK$921),50,ROUND((AK20-MIN($AK$2:$AK$921))/(MAX($AK$2:$AK$921)-MIN($AK$2:$AK$921))*100,2)))</f>
        <v>91.43</v>
      </c>
      <c r="AT20" s="8" t="n">
        <f aca="false">IF(MAX($BC$2:$BC$921)=MIN($BC$2:$BC$921),50,ROUND((BC20-MIN($BC$2:$BC$921))/(MAX($BC$2:$BC$921)-MIN($BC$2:$BC$921))*100,2))</f>
        <v>75</v>
      </c>
      <c r="AU20" s="8" t="n">
        <f aca="false">IF(MAX($BE$2:$BE$921)=MIN($BE$2:$BE$921),50,ROUND((BE20-MIN($BE$2:$BE$921))/(MAX($BE$2:$BE$921)-MIN($BE$2:$BE$921))*100,2))</f>
        <v>74.19</v>
      </c>
      <c r="AV20" s="8" t="n">
        <f aca="false">IF(MAX($AD$2:$AD$921)=MIN($AD$2:$AD$921),50,ROUND((AD20-MIN($AD$2:$AD$921))/(MAX($AD$2:$AD$921)-MIN($AD$2:$AD$921))*100,2))</f>
        <v>69.83</v>
      </c>
      <c r="AW20" s="8" t="n">
        <f aca="false">IF(MAX($AN$2:$AN$921)=MIN($AN$2:$AN$921),50,ROUND((AN20-MIN($AN$2:$AN$921))/(MAX($AN$2:$AN$921)-MIN($AN$2:$AN$921))*100,2))</f>
        <v>97.5</v>
      </c>
      <c r="AX20" s="8" t="n">
        <f aca="false">AQ20*100</f>
        <v>100</v>
      </c>
      <c r="AY20" s="8" t="n">
        <f aca="false">AR20*100</f>
        <v>100</v>
      </c>
      <c r="AZ20" s="8" t="n">
        <f aca="false">IFERROR(ROUND(AS20*Assumptions!$I$6+AW20*Assumptions!$I$7+AT20*Assumptions!$I$8+AU20*Assumptions!$I$9+AV20*Assumptions!$I$10+AX20*Assumptions!$I$11+AY20*Assumptions!$I$12,2),"")</f>
        <v>86.29</v>
      </c>
      <c r="BA20" s="0" t="str">
        <f aca="false">IF(AZ20="","",IF(AZ20&lt;=Assumptions!$I$18,"Below Expectation",IF(AZ20&lt;=Assumptions!$I$19,"Developing",IF(AZ20&lt;=Assumptions!$I$20,"Meets Expectation",IF(AZ20&lt;=Assumptions!$I$21,"Exceeds","Star Performer")))))</f>
        <v>Star Performer</v>
      </c>
      <c r="BB20" s="0" t="n">
        <f aca="false">IF(AZ20="",0,IF(AZ20&gt;=Assumptions!$I$26,1,0))</f>
        <v>1</v>
      </c>
      <c r="BC20" s="9" t="n">
        <f aca="false">IF(AL20="",2,AL20+2)</f>
        <v>3</v>
      </c>
      <c r="BD20" s="10" t="n">
        <f aca="false">IF(AM20="",ROUND(AVERAGE($AM$2:$AM$921),3),AM20)</f>
        <v>0.447</v>
      </c>
      <c r="BE20" s="9" t="n">
        <f aca="false">1-BD20</f>
        <v>0.553</v>
      </c>
    </row>
    <row r="21" customFormat="false" ht="14.25" hidden="true" customHeight="false" outlineLevel="0" collapsed="false">
      <c r="A21" s="4" t="n">
        <v>14</v>
      </c>
      <c r="B21" s="5" t="n">
        <v>40014</v>
      </c>
      <c r="C21" s="5" t="s">
        <v>57</v>
      </c>
      <c r="D21" s="5" t="s">
        <v>228</v>
      </c>
      <c r="E21" s="5" t="s">
        <v>229</v>
      </c>
      <c r="F21" s="5" t="s">
        <v>223</v>
      </c>
      <c r="G21" s="5" t="s">
        <v>224</v>
      </c>
      <c r="H21" s="5" t="s">
        <v>223</v>
      </c>
      <c r="I21" s="5" t="s">
        <v>63</v>
      </c>
      <c r="J21" s="5" t="s">
        <v>100</v>
      </c>
      <c r="K21" s="5" t="s">
        <v>65</v>
      </c>
      <c r="L21" s="6" t="n">
        <v>36927</v>
      </c>
      <c r="M21" s="5" t="s">
        <v>113</v>
      </c>
      <c r="N21" s="6" t="n">
        <v>27546</v>
      </c>
      <c r="O21" s="5" t="s">
        <v>122</v>
      </c>
      <c r="P21" s="5" t="s">
        <v>123</v>
      </c>
      <c r="Q21" s="5" t="s">
        <v>230</v>
      </c>
      <c r="R21" s="5" t="s">
        <v>231</v>
      </c>
      <c r="S21" s="5" t="s">
        <v>232</v>
      </c>
      <c r="T21" s="6" t="n">
        <v>43180</v>
      </c>
      <c r="U21" s="6" t="n">
        <v>46113</v>
      </c>
      <c r="V21" s="5" t="s">
        <v>141</v>
      </c>
      <c r="W21" s="5" t="s">
        <v>83</v>
      </c>
      <c r="X21" s="5" t="s">
        <v>83</v>
      </c>
      <c r="Y21" s="5" t="s">
        <v>83</v>
      </c>
      <c r="Z21" s="5" t="s">
        <v>83</v>
      </c>
      <c r="AA21" s="5" t="s">
        <v>233</v>
      </c>
      <c r="AB21" s="0" t="n">
        <f aca="false">IFERROR(VALUE(R21),0)</f>
        <v>3.9</v>
      </c>
      <c r="AC21" s="0" t="n">
        <f aca="false">IFERROR(VALUE(M21),"")</f>
        <v>51</v>
      </c>
      <c r="AD21" s="0" t="n">
        <f aca="false">IFERROR(VALUE(Q21),"")</f>
        <v>25.4</v>
      </c>
      <c r="AE21" s="0" t="n">
        <f aca="false">IFERROR(VALUE(S21),"")</f>
        <v>29.1</v>
      </c>
      <c r="AF21" s="0" t="n">
        <f aca="false">IF(V21="","",VLOOKUP(V21,Assumptions!$B$6:$C$9,2,FALSE()))</f>
        <v>3</v>
      </c>
      <c r="AG21" s="0" t="n">
        <f aca="false">IF(W21="","",VLOOKUP(W21,Assumptions!$B$6:$C$9,2,FALSE()))</f>
        <v>4</v>
      </c>
      <c r="AH21" s="0" t="n">
        <f aca="false">IF(X21="","",VLOOKUP(X21,Assumptions!$B$6:$C$9,2,FALSE()))</f>
        <v>4</v>
      </c>
      <c r="AI21" s="0" t="n">
        <f aca="false">IF(Y21="","",VLOOKUP(Y21,Assumptions!$B$6:$C$9,2,FALSE()))</f>
        <v>4</v>
      </c>
      <c r="AJ21" s="0" t="n">
        <f aca="false">IF(Z21="","",VLOOKUP(Z21,Assumptions!$B$6:$C$9,2,FALSE()))</f>
        <v>4</v>
      </c>
      <c r="AK21" s="7" t="n">
        <f aca="false">IFERROR(ROUND(AVERAGE(AF21:AJ21),3),"")</f>
        <v>3.8</v>
      </c>
      <c r="AL21" s="7" t="n">
        <f aca="false">IF(OR(AF21="",AJ21=""),"",AJ21-AF21)</f>
        <v>1</v>
      </c>
      <c r="AM21" s="7" t="n">
        <f aca="false">IF(COUNT(AF21:AJ21)&gt;=2,ROUND(_xlfn.STDEV.S(AF21:AJ21),3),"")</f>
        <v>0.447</v>
      </c>
      <c r="AN21" s="7" t="n">
        <f aca="false">ROUND((IF(AF21="",0,AF21)*Assumptions!$F$15)+(IF(AG21="",0,AG21)*Assumptions!$F$16)+(IF(AH21="",0,AH21)*Assumptions!$F$17)+(IF(AI21="",0,AI21)*Assumptions!$F$18)+(IF(AJ21="",0,AJ21)*Assumptions!$F$19),3)</f>
        <v>3.9</v>
      </c>
      <c r="AO21" s="0" t="str">
        <f aca="false">IF(AC21&lt;=20,"",IF(AC21&lt;=Assumptions!$F$6,"20-30",IF(AC21&lt;=Assumptions!$F$7,"30-40",IF(AC21&lt;=Assumptions!$F$8,"40-50",IF(AC21&lt;=Assumptions!$F$9,"50-60",IF(AC21&lt;=Assumptions!$F$10,"60+",""))))))</f>
        <v>50-60</v>
      </c>
      <c r="AP21" s="0" t="str">
        <f aca="false">IFERROR(VLOOKUP(O21,Assumptions!$B$14:$C$26,2,FALSE()),"Other")</f>
        <v>Leadership</v>
      </c>
      <c r="AQ21" s="0" t="n">
        <f aca="false">IF(T21="",0,1)</f>
        <v>1</v>
      </c>
      <c r="AR21" s="0" t="n">
        <f aca="false">IF(U21="",0,1)</f>
        <v>1</v>
      </c>
      <c r="AS21" s="8" t="n">
        <f aca="false">IF(AK21="","",IF(MAX($AK$2:$AK$921)=MIN($AK$2:$AK$921),50,ROUND((AK21-MIN($AK$2:$AK$921))/(MAX($AK$2:$AK$921)-MIN($AK$2:$AK$921))*100,2)))</f>
        <v>91.43</v>
      </c>
      <c r="AT21" s="8" t="n">
        <f aca="false">IF(MAX($BC$2:$BC$921)=MIN($BC$2:$BC$921),50,ROUND((BC21-MIN($BC$2:$BC$921))/(MAX($BC$2:$BC$921)-MIN($BC$2:$BC$921))*100,2))</f>
        <v>75</v>
      </c>
      <c r="AU21" s="8" t="n">
        <f aca="false">IF(MAX($BE$2:$BE$921)=MIN($BE$2:$BE$921),50,ROUND((BE21-MIN($BE$2:$BE$921))/(MAX($BE$2:$BE$921)-MIN($BE$2:$BE$921))*100,2))</f>
        <v>74.19</v>
      </c>
      <c r="AV21" s="8" t="n">
        <f aca="false">IF(MAX($AD$2:$AD$921)=MIN($AD$2:$AD$921),50,ROUND((AD21-MIN($AD$2:$AD$921))/(MAX($AD$2:$AD$921)-MIN($AD$2:$AD$921))*100,2))</f>
        <v>68.74</v>
      </c>
      <c r="AW21" s="8" t="n">
        <f aca="false">IF(MAX($AN$2:$AN$921)=MIN($AN$2:$AN$921),50,ROUND((AN21-MIN($AN$2:$AN$921))/(MAX($AN$2:$AN$921)-MIN($AN$2:$AN$921))*100,2))</f>
        <v>97.5</v>
      </c>
      <c r="AX21" s="8" t="n">
        <f aca="false">AQ21*100</f>
        <v>100</v>
      </c>
      <c r="AY21" s="8" t="n">
        <f aca="false">AR21*100</f>
        <v>100</v>
      </c>
      <c r="AZ21" s="8" t="n">
        <f aca="false">IFERROR(ROUND(AS21*Assumptions!$I$6+AW21*Assumptions!$I$7+AT21*Assumptions!$I$8+AU21*Assumptions!$I$9+AV21*Assumptions!$I$10+AX21*Assumptions!$I$11+AY21*Assumptions!$I$12,2),"")</f>
        <v>86.18</v>
      </c>
      <c r="BA21" s="0" t="str">
        <f aca="false">IF(AZ21="","",IF(AZ21&lt;=Assumptions!$I$18,"Below Expectation",IF(AZ21&lt;=Assumptions!$I$19,"Developing",IF(AZ21&lt;=Assumptions!$I$20,"Meets Expectation",IF(AZ21&lt;=Assumptions!$I$21,"Exceeds","Star Performer")))))</f>
        <v>Star Performer</v>
      </c>
      <c r="BB21" s="0" t="n">
        <f aca="false">IF(AZ21="",0,IF(AZ21&gt;=Assumptions!$I$26,1,0))</f>
        <v>1</v>
      </c>
      <c r="BC21" s="9" t="n">
        <f aca="false">IF(AL21="",2,AL21+2)</f>
        <v>3</v>
      </c>
      <c r="BD21" s="10" t="n">
        <f aca="false">IF(AM21="",ROUND(AVERAGE($AM$2:$AM$921),3),AM21)</f>
        <v>0.447</v>
      </c>
      <c r="BE21" s="9" t="n">
        <f aca="false">1-BD21</f>
        <v>0.553</v>
      </c>
    </row>
    <row r="22" customFormat="false" ht="14.25" hidden="true" customHeight="false" outlineLevel="0" collapsed="false">
      <c r="A22" s="4" t="n">
        <v>140</v>
      </c>
      <c r="B22" s="5" t="n">
        <v>10045784</v>
      </c>
      <c r="C22" s="5" t="s">
        <v>85</v>
      </c>
      <c r="D22" s="5" t="s">
        <v>234</v>
      </c>
      <c r="E22" s="5" t="s">
        <v>235</v>
      </c>
      <c r="F22" s="5" t="s">
        <v>236</v>
      </c>
      <c r="G22" s="5" t="s">
        <v>237</v>
      </c>
      <c r="H22" s="5" t="s">
        <v>238</v>
      </c>
      <c r="I22" s="5" t="s">
        <v>63</v>
      </c>
      <c r="J22" s="5" t="s">
        <v>76</v>
      </c>
      <c r="K22" s="5" t="s">
        <v>65</v>
      </c>
      <c r="L22" s="6" t="n">
        <v>41883</v>
      </c>
      <c r="M22" s="5" t="s">
        <v>239</v>
      </c>
      <c r="N22" s="6" t="n">
        <v>28243</v>
      </c>
      <c r="O22" s="5" t="s">
        <v>162</v>
      </c>
      <c r="P22" s="5" t="s">
        <v>162</v>
      </c>
      <c r="Q22" s="5" t="s">
        <v>240</v>
      </c>
      <c r="R22" s="5" t="s">
        <v>241</v>
      </c>
      <c r="S22" s="5" t="s">
        <v>242</v>
      </c>
      <c r="T22" s="6" t="n">
        <v>43605</v>
      </c>
      <c r="U22" s="6" t="n">
        <v>44440</v>
      </c>
      <c r="V22" s="5" t="s">
        <v>83</v>
      </c>
      <c r="W22" s="5" t="s">
        <v>83</v>
      </c>
      <c r="X22" s="5" t="s">
        <v>83</v>
      </c>
      <c r="Y22" s="5" t="s">
        <v>83</v>
      </c>
      <c r="Z22" s="5" t="s">
        <v>83</v>
      </c>
      <c r="AA22" s="5" t="s">
        <v>243</v>
      </c>
      <c r="AB22" s="0" t="n">
        <f aca="false">IFERROR(VALUE(R22),0)</f>
        <v>15</v>
      </c>
      <c r="AC22" s="0" t="n">
        <f aca="false">IFERROR(VALUE(M22),"")</f>
        <v>49.1</v>
      </c>
      <c r="AD22" s="0" t="n">
        <f aca="false">IFERROR(VALUE(Q22),"")</f>
        <v>11.9</v>
      </c>
      <c r="AE22" s="0" t="n">
        <f aca="false">IFERROR(VALUE(S22),"")</f>
        <v>26.9</v>
      </c>
      <c r="AF22" s="0" t="n">
        <f aca="false">IF(V22="","",VLOOKUP(V22,Assumptions!$B$6:$C$9,2,FALSE()))</f>
        <v>4</v>
      </c>
      <c r="AG22" s="0" t="n">
        <f aca="false">IF(W22="","",VLOOKUP(W22,Assumptions!$B$6:$C$9,2,FALSE()))</f>
        <v>4</v>
      </c>
      <c r="AH22" s="0" t="n">
        <f aca="false">IF(X22="","",VLOOKUP(X22,Assumptions!$B$6:$C$9,2,FALSE()))</f>
        <v>4</v>
      </c>
      <c r="AI22" s="0" t="n">
        <f aca="false">IF(Y22="","",VLOOKUP(Y22,Assumptions!$B$6:$C$9,2,FALSE()))</f>
        <v>4</v>
      </c>
      <c r="AJ22" s="0" t="n">
        <f aca="false">IF(Z22="","",VLOOKUP(Z22,Assumptions!$B$6:$C$9,2,FALSE()))</f>
        <v>4</v>
      </c>
      <c r="AK22" s="7" t="n">
        <f aca="false">IFERROR(ROUND(AVERAGE(AF22:AJ22),3),"")</f>
        <v>4</v>
      </c>
      <c r="AL22" s="7" t="n">
        <f aca="false">IF(OR(AF22="",AJ22=""),"",AJ22-AF22)</f>
        <v>0</v>
      </c>
      <c r="AM22" s="7" t="n">
        <f aca="false">IF(COUNT(AF22:AJ22)&gt;=2,ROUND(_xlfn.STDEV.S(AF22:AJ22),3),"")</f>
        <v>0</v>
      </c>
      <c r="AN22" s="7" t="n">
        <f aca="false">ROUND((IF(AF22="",0,AF22)*Assumptions!$F$15)+(IF(AG22="",0,AG22)*Assumptions!$F$16)+(IF(AH22="",0,AH22)*Assumptions!$F$17)+(IF(AI22="",0,AI22)*Assumptions!$F$18)+(IF(AJ22="",0,AJ22)*Assumptions!$F$19),3)</f>
        <v>4</v>
      </c>
      <c r="AO22" s="0" t="str">
        <f aca="false">IF(AC22&lt;=20,"",IF(AC22&lt;=Assumptions!$F$6,"20-30",IF(AC22&lt;=Assumptions!$F$7,"30-40",IF(AC22&lt;=Assumptions!$F$8,"40-50",IF(AC22&lt;=Assumptions!$F$9,"50-60",IF(AC22&lt;=Assumptions!$F$10,"60+",""))))))</f>
        <v>40-50</v>
      </c>
      <c r="AP22" s="0" t="str">
        <f aca="false">IFERROR(VLOOKUP(O22,Assumptions!$B$14:$C$26,2,FALSE()),"Other")</f>
        <v>Manager</v>
      </c>
      <c r="AQ22" s="0" t="n">
        <f aca="false">IF(T22="",0,1)</f>
        <v>1</v>
      </c>
      <c r="AR22" s="0" t="n">
        <f aca="false">IF(U22="",0,1)</f>
        <v>1</v>
      </c>
      <c r="AS22" s="8" t="n">
        <f aca="false">IF(AK22="","",IF(MAX($AK$2:$AK$921)=MIN($AK$2:$AK$921),50,ROUND((AK22-MIN($AK$2:$AK$921))/(MAX($AK$2:$AK$921)-MIN($AK$2:$AK$921))*100,2)))</f>
        <v>100</v>
      </c>
      <c r="AT22" s="8" t="n">
        <f aca="false">IF(MAX($BC$2:$BC$921)=MIN($BC$2:$BC$921),50,ROUND((BC22-MIN($BC$2:$BC$921))/(MAX($BC$2:$BC$921)-MIN($BC$2:$BC$921))*100,2))</f>
        <v>50</v>
      </c>
      <c r="AU22" s="8" t="n">
        <f aca="false">IF(MAX($BE$2:$BE$921)=MIN($BE$2:$BE$921),50,ROUND((BE22-MIN($BE$2:$BE$921))/(MAX($BE$2:$BE$921)-MIN($BE$2:$BE$921))*100,2))</f>
        <v>100</v>
      </c>
      <c r="AV22" s="8" t="n">
        <f aca="false">IF(MAX($AD$2:$AD$921)=MIN($AD$2:$AD$921),50,ROUND((AD22-MIN($AD$2:$AD$921))/(MAX($AD$2:$AD$921)-MIN($AD$2:$AD$921))*100,2))</f>
        <v>32.05</v>
      </c>
      <c r="AW22" s="8" t="n">
        <f aca="false">IF(MAX($AN$2:$AN$921)=MIN($AN$2:$AN$921),50,ROUND((AN22-MIN($AN$2:$AN$921))/(MAX($AN$2:$AN$921)-MIN($AN$2:$AN$921))*100,2))</f>
        <v>100</v>
      </c>
      <c r="AX22" s="8" t="n">
        <f aca="false">AQ22*100</f>
        <v>100</v>
      </c>
      <c r="AY22" s="8" t="n">
        <f aca="false">AR22*100</f>
        <v>100</v>
      </c>
      <c r="AZ22" s="8" t="n">
        <f aca="false">IFERROR(ROUND(AS22*Assumptions!$I$6+AW22*Assumptions!$I$7+AT22*Assumptions!$I$8+AU22*Assumptions!$I$9+AV22*Assumptions!$I$10+AX22*Assumptions!$I$11+AY22*Assumptions!$I$12,2),"")</f>
        <v>85.71</v>
      </c>
      <c r="BA22" s="0" t="str">
        <f aca="false">IF(AZ22="","",IF(AZ22&lt;=Assumptions!$I$18,"Below Expectation",IF(AZ22&lt;=Assumptions!$I$19,"Developing",IF(AZ22&lt;=Assumptions!$I$20,"Meets Expectation",IF(AZ22&lt;=Assumptions!$I$21,"Exceeds","Star Performer")))))</f>
        <v>Star Performer</v>
      </c>
      <c r="BB22" s="0" t="n">
        <f aca="false">IF(AZ22="",0,IF(AZ22&gt;=Assumptions!$I$26,1,0))</f>
        <v>1</v>
      </c>
      <c r="BC22" s="9" t="n">
        <f aca="false">IF(AL22="",2,AL22+2)</f>
        <v>2</v>
      </c>
      <c r="BD22" s="10" t="n">
        <f aca="false">IF(AM22="",ROUND(AVERAGE($AM$2:$AM$921),3),AM22)</f>
        <v>0</v>
      </c>
      <c r="BE22" s="9" t="n">
        <f aca="false">1-BD22</f>
        <v>1</v>
      </c>
    </row>
    <row r="23" customFormat="false" ht="14.25" hidden="true" customHeight="false" outlineLevel="0" collapsed="false">
      <c r="A23" s="4" t="n">
        <v>215</v>
      </c>
      <c r="B23" s="5" t="n">
        <v>10056730</v>
      </c>
      <c r="C23" s="5" t="s">
        <v>149</v>
      </c>
      <c r="D23" s="5" t="s">
        <v>244</v>
      </c>
      <c r="E23" s="5" t="s">
        <v>151</v>
      </c>
      <c r="F23" s="5" t="s">
        <v>245</v>
      </c>
      <c r="G23" s="5" t="s">
        <v>246</v>
      </c>
      <c r="H23" s="5" t="s">
        <v>245</v>
      </c>
      <c r="I23" s="5" t="s">
        <v>63</v>
      </c>
      <c r="J23" s="5" t="s">
        <v>100</v>
      </c>
      <c r="K23" s="5" t="s">
        <v>65</v>
      </c>
      <c r="L23" s="6" t="n">
        <v>42751</v>
      </c>
      <c r="M23" s="5" t="s">
        <v>247</v>
      </c>
      <c r="N23" s="6" t="n">
        <v>32554</v>
      </c>
      <c r="O23" s="5" t="s">
        <v>162</v>
      </c>
      <c r="P23" s="5" t="s">
        <v>162</v>
      </c>
      <c r="Q23" s="5" t="s">
        <v>70</v>
      </c>
      <c r="R23" s="5" t="s">
        <v>248</v>
      </c>
      <c r="S23" s="5" t="s">
        <v>249</v>
      </c>
      <c r="T23" s="6" t="n">
        <v>43405</v>
      </c>
      <c r="U23" s="6" t="n">
        <v>45474</v>
      </c>
      <c r="V23" s="5" t="s">
        <v>83</v>
      </c>
      <c r="W23" s="5" t="s">
        <v>83</v>
      </c>
      <c r="X23" s="5" t="s">
        <v>83</v>
      </c>
      <c r="Y23" s="5" t="s">
        <v>83</v>
      </c>
      <c r="Z23" s="5" t="s">
        <v>83</v>
      </c>
      <c r="AA23" s="5" t="s">
        <v>250</v>
      </c>
      <c r="AB23" s="0" t="n">
        <f aca="false">IFERROR(VALUE(R23),0)</f>
        <v>5</v>
      </c>
      <c r="AC23" s="0" t="n">
        <f aca="false">IFERROR(VALUE(M23),"")</f>
        <v>37.3</v>
      </c>
      <c r="AD23" s="0" t="n">
        <f aca="false">IFERROR(VALUE(Q23),"")</f>
        <v>9.4</v>
      </c>
      <c r="AE23" s="0" t="n">
        <f aca="false">IFERROR(VALUE(S23),"")</f>
        <v>14.4</v>
      </c>
      <c r="AF23" s="0" t="n">
        <f aca="false">IF(V23="","",VLOOKUP(V23,Assumptions!$B$6:$C$9,2,FALSE()))</f>
        <v>4</v>
      </c>
      <c r="AG23" s="0" t="n">
        <f aca="false">IF(W23="","",VLOOKUP(W23,Assumptions!$B$6:$C$9,2,FALSE()))</f>
        <v>4</v>
      </c>
      <c r="AH23" s="0" t="n">
        <f aca="false">IF(X23="","",VLOOKUP(X23,Assumptions!$B$6:$C$9,2,FALSE()))</f>
        <v>4</v>
      </c>
      <c r="AI23" s="0" t="n">
        <f aca="false">IF(Y23="","",VLOOKUP(Y23,Assumptions!$B$6:$C$9,2,FALSE()))</f>
        <v>4</v>
      </c>
      <c r="AJ23" s="0" t="n">
        <f aca="false">IF(Z23="","",VLOOKUP(Z23,Assumptions!$B$6:$C$9,2,FALSE()))</f>
        <v>4</v>
      </c>
      <c r="AK23" s="7" t="n">
        <f aca="false">IFERROR(ROUND(AVERAGE(AF23:AJ23),3),"")</f>
        <v>4</v>
      </c>
      <c r="AL23" s="7" t="n">
        <f aca="false">IF(OR(AF23="",AJ23=""),"",AJ23-AF23)</f>
        <v>0</v>
      </c>
      <c r="AM23" s="7" t="n">
        <f aca="false">IF(COUNT(AF23:AJ23)&gt;=2,ROUND(_xlfn.STDEV.S(AF23:AJ23),3),"")</f>
        <v>0</v>
      </c>
      <c r="AN23" s="7" t="n">
        <f aca="false">ROUND((IF(AF23="",0,AF23)*Assumptions!$F$15)+(IF(AG23="",0,AG23)*Assumptions!$F$16)+(IF(AH23="",0,AH23)*Assumptions!$F$17)+(IF(AI23="",0,AI23)*Assumptions!$F$18)+(IF(AJ23="",0,AJ23)*Assumptions!$F$19),3)</f>
        <v>4</v>
      </c>
      <c r="AO23" s="0" t="str">
        <f aca="false">IF(AC23&lt;=20,"",IF(AC23&lt;=Assumptions!$F$6,"20-30",IF(AC23&lt;=Assumptions!$F$7,"30-40",IF(AC23&lt;=Assumptions!$F$8,"40-50",IF(AC23&lt;=Assumptions!$F$9,"50-60",IF(AC23&lt;=Assumptions!$F$10,"60+",""))))))</f>
        <v>30-40</v>
      </c>
      <c r="AP23" s="0" t="str">
        <f aca="false">IFERROR(VLOOKUP(O23,Assumptions!$B$14:$C$26,2,FALSE()),"Other")</f>
        <v>Manager</v>
      </c>
      <c r="AQ23" s="0" t="n">
        <f aca="false">IF(T23="",0,1)</f>
        <v>1</v>
      </c>
      <c r="AR23" s="0" t="n">
        <f aca="false">IF(U23="",0,1)</f>
        <v>1</v>
      </c>
      <c r="AS23" s="8" t="n">
        <f aca="false">IF(AK23="","",IF(MAX($AK$2:$AK$921)=MIN($AK$2:$AK$921),50,ROUND((AK23-MIN($AK$2:$AK$921))/(MAX($AK$2:$AK$921)-MIN($AK$2:$AK$921))*100,2)))</f>
        <v>100</v>
      </c>
      <c r="AT23" s="8" t="n">
        <f aca="false">IF(MAX($BC$2:$BC$921)=MIN($BC$2:$BC$921),50,ROUND((BC23-MIN($BC$2:$BC$921))/(MAX($BC$2:$BC$921)-MIN($BC$2:$BC$921))*100,2))</f>
        <v>50</v>
      </c>
      <c r="AU23" s="8" t="n">
        <f aca="false">IF(MAX($BE$2:$BE$921)=MIN($BE$2:$BE$921),50,ROUND((BE23-MIN($BE$2:$BE$921))/(MAX($BE$2:$BE$921)-MIN($BE$2:$BE$921))*100,2))</f>
        <v>100</v>
      </c>
      <c r="AV23" s="8" t="n">
        <f aca="false">IF(MAX($AD$2:$AD$921)=MIN($AD$2:$AD$921),50,ROUND((AD23-MIN($AD$2:$AD$921))/(MAX($AD$2:$AD$921)-MIN($AD$2:$AD$921))*100,2))</f>
        <v>25.25</v>
      </c>
      <c r="AW23" s="8" t="n">
        <f aca="false">IF(MAX($AN$2:$AN$921)=MIN($AN$2:$AN$921),50,ROUND((AN23-MIN($AN$2:$AN$921))/(MAX($AN$2:$AN$921)-MIN($AN$2:$AN$921))*100,2))</f>
        <v>100</v>
      </c>
      <c r="AX23" s="8" t="n">
        <f aca="false">AQ23*100</f>
        <v>100</v>
      </c>
      <c r="AY23" s="8" t="n">
        <f aca="false">AR23*100</f>
        <v>100</v>
      </c>
      <c r="AZ23" s="8" t="n">
        <f aca="false">IFERROR(ROUND(AS23*Assumptions!$I$6+AW23*Assumptions!$I$7+AT23*Assumptions!$I$8+AU23*Assumptions!$I$9+AV23*Assumptions!$I$10+AX23*Assumptions!$I$11+AY23*Assumptions!$I$12,2),"")</f>
        <v>85.03</v>
      </c>
      <c r="BA23" s="0" t="str">
        <f aca="false">IF(AZ23="","",IF(AZ23&lt;=Assumptions!$I$18,"Below Expectation",IF(AZ23&lt;=Assumptions!$I$19,"Developing",IF(AZ23&lt;=Assumptions!$I$20,"Meets Expectation",IF(AZ23&lt;=Assumptions!$I$21,"Exceeds","Star Performer")))))</f>
        <v>Star Performer</v>
      </c>
      <c r="BB23" s="0" t="n">
        <f aca="false">IF(AZ23="",0,IF(AZ23&gt;=Assumptions!$I$26,1,0))</f>
        <v>1</v>
      </c>
      <c r="BC23" s="9" t="n">
        <f aca="false">IF(AL23="",2,AL23+2)</f>
        <v>2</v>
      </c>
      <c r="BD23" s="10" t="n">
        <f aca="false">IF(AM23="",ROUND(AVERAGE($AM$2:$AM$921),3),AM23)</f>
        <v>0</v>
      </c>
      <c r="BE23" s="9" t="n">
        <f aca="false">1-BD23</f>
        <v>1</v>
      </c>
    </row>
    <row r="24" customFormat="false" ht="14.25" hidden="true" customHeight="false" outlineLevel="0" collapsed="false">
      <c r="A24" s="4" t="n">
        <v>2</v>
      </c>
      <c r="B24" s="5" t="n">
        <v>7214</v>
      </c>
      <c r="C24" s="5" t="s">
        <v>57</v>
      </c>
      <c r="D24" s="5" t="s">
        <v>251</v>
      </c>
      <c r="E24" s="5" t="s">
        <v>252</v>
      </c>
      <c r="F24" s="5" t="s">
        <v>97</v>
      </c>
      <c r="G24" s="5" t="s">
        <v>98</v>
      </c>
      <c r="H24" s="5" t="s">
        <v>99</v>
      </c>
      <c r="I24" s="5" t="s">
        <v>63</v>
      </c>
      <c r="J24" s="5" t="s">
        <v>100</v>
      </c>
      <c r="K24" s="5" t="s">
        <v>65</v>
      </c>
      <c r="L24" s="6" t="n">
        <v>34348</v>
      </c>
      <c r="M24" s="5" t="s">
        <v>253</v>
      </c>
      <c r="N24" s="6" t="n">
        <v>25433</v>
      </c>
      <c r="O24" s="5" t="s">
        <v>89</v>
      </c>
      <c r="P24" s="5" t="s">
        <v>90</v>
      </c>
      <c r="Q24" s="5" t="s">
        <v>254</v>
      </c>
      <c r="R24" s="5" t="s">
        <v>115</v>
      </c>
      <c r="S24" s="5" t="s">
        <v>254</v>
      </c>
      <c r="T24" s="6" t="n">
        <v>40634</v>
      </c>
      <c r="U24" s="6" t="n">
        <v>44470</v>
      </c>
      <c r="V24" s="5" t="s">
        <v>141</v>
      </c>
      <c r="W24" s="5" t="s">
        <v>141</v>
      </c>
      <c r="X24" s="5" t="s">
        <v>83</v>
      </c>
      <c r="Y24" s="5" t="s">
        <v>83</v>
      </c>
      <c r="Z24" s="5" t="s">
        <v>83</v>
      </c>
      <c r="AA24" s="5" t="s">
        <v>255</v>
      </c>
      <c r="AB24" s="0" t="n">
        <f aca="false">IFERROR(VALUE(R24),0)</f>
        <v>0</v>
      </c>
      <c r="AC24" s="0" t="n">
        <f aca="false">IFERROR(VALUE(M24),"")</f>
        <v>56.9</v>
      </c>
      <c r="AD24" s="0" t="n">
        <f aca="false">IFERROR(VALUE(Q24),"")</f>
        <v>32.4</v>
      </c>
      <c r="AE24" s="0" t="n">
        <f aca="false">IFERROR(VALUE(S24),"")</f>
        <v>32.4</v>
      </c>
      <c r="AF24" s="0" t="n">
        <f aca="false">IF(V24="","",VLOOKUP(V24,Assumptions!$B$6:$C$9,2,FALSE()))</f>
        <v>3</v>
      </c>
      <c r="AG24" s="0" t="n">
        <f aca="false">IF(W24="","",VLOOKUP(W24,Assumptions!$B$6:$C$9,2,FALSE()))</f>
        <v>3</v>
      </c>
      <c r="AH24" s="0" t="n">
        <f aca="false">IF(X24="","",VLOOKUP(X24,Assumptions!$B$6:$C$9,2,FALSE()))</f>
        <v>4</v>
      </c>
      <c r="AI24" s="0" t="n">
        <f aca="false">IF(Y24="","",VLOOKUP(Y24,Assumptions!$B$6:$C$9,2,FALSE()))</f>
        <v>4</v>
      </c>
      <c r="AJ24" s="0" t="n">
        <f aca="false">IF(Z24="","",VLOOKUP(Z24,Assumptions!$B$6:$C$9,2,FALSE()))</f>
        <v>4</v>
      </c>
      <c r="AK24" s="7" t="n">
        <f aca="false">IFERROR(ROUND(AVERAGE(AF24:AJ24),3),"")</f>
        <v>3.6</v>
      </c>
      <c r="AL24" s="7" t="n">
        <f aca="false">IF(OR(AF24="",AJ24=""),"",AJ24-AF24)</f>
        <v>1</v>
      </c>
      <c r="AM24" s="7" t="n">
        <f aca="false">IF(COUNT(AF24:AJ24)&gt;=2,ROUND(_xlfn.STDEV.S(AF24:AJ24),3),"")</f>
        <v>0.548</v>
      </c>
      <c r="AN24" s="7" t="n">
        <f aca="false">ROUND((IF(AF24="",0,AF24)*Assumptions!$F$15)+(IF(AG24="",0,AG24)*Assumptions!$F$16)+(IF(AH24="",0,AH24)*Assumptions!$F$17)+(IF(AI24="",0,AI24)*Assumptions!$F$18)+(IF(AJ24="",0,AJ24)*Assumptions!$F$19),3)</f>
        <v>3.75</v>
      </c>
      <c r="AO24" s="0" t="str">
        <f aca="false">IF(AC24&lt;=20,"",IF(AC24&lt;=Assumptions!$F$6,"20-30",IF(AC24&lt;=Assumptions!$F$7,"30-40",IF(AC24&lt;=Assumptions!$F$8,"40-50",IF(AC24&lt;=Assumptions!$F$9,"50-60",IF(AC24&lt;=Assumptions!$F$10,"60+",""))))))</f>
        <v>50-60</v>
      </c>
      <c r="AP24" s="0" t="str">
        <f aca="false">IFERROR(VLOOKUP(O24,Assumptions!$B$14:$C$26,2,FALSE()),"Other")</f>
        <v>Leadership</v>
      </c>
      <c r="AQ24" s="0" t="n">
        <f aca="false">IF(T24="",0,1)</f>
        <v>1</v>
      </c>
      <c r="AR24" s="0" t="n">
        <f aca="false">IF(U24="",0,1)</f>
        <v>1</v>
      </c>
      <c r="AS24" s="8" t="n">
        <f aca="false">IF(AK24="","",IF(MAX($AK$2:$AK$921)=MIN($AK$2:$AK$921),50,ROUND((AK24-MIN($AK$2:$AK$921))/(MAX($AK$2:$AK$921)-MIN($AK$2:$AK$921))*100,2)))</f>
        <v>82.85</v>
      </c>
      <c r="AT24" s="8" t="n">
        <f aca="false">IF(MAX($BC$2:$BC$921)=MIN($BC$2:$BC$921),50,ROUND((BC24-MIN($BC$2:$BC$921))/(MAX($BC$2:$BC$921)-MIN($BC$2:$BC$921))*100,2))</f>
        <v>75</v>
      </c>
      <c r="AU24" s="8" t="n">
        <f aca="false">IF(MAX($BE$2:$BE$921)=MIN($BE$2:$BE$921),50,ROUND((BE24-MIN($BE$2:$BE$921))/(MAX($BE$2:$BE$921)-MIN($BE$2:$BE$921))*100,2))</f>
        <v>68.36</v>
      </c>
      <c r="AV24" s="8" t="n">
        <f aca="false">IF(MAX($AD$2:$AD$921)=MIN($AD$2:$AD$921),50,ROUND((AD24-MIN($AD$2:$AD$921))/(MAX($AD$2:$AD$921)-MIN($AD$2:$AD$921))*100,2))</f>
        <v>87.77</v>
      </c>
      <c r="AW24" s="8" t="n">
        <f aca="false">IF(MAX($AN$2:$AN$921)=MIN($AN$2:$AN$921),50,ROUND((AN24-MIN($AN$2:$AN$921))/(MAX($AN$2:$AN$921)-MIN($AN$2:$AN$921))*100,2))</f>
        <v>93.75</v>
      </c>
      <c r="AX24" s="8" t="n">
        <f aca="false">AQ24*100</f>
        <v>100</v>
      </c>
      <c r="AY24" s="8" t="n">
        <f aca="false">AR24*100</f>
        <v>100</v>
      </c>
      <c r="AZ24" s="8" t="n">
        <f aca="false">IFERROR(ROUND(AS24*Assumptions!$I$6+AW24*Assumptions!$I$7+AT24*Assumptions!$I$8+AU24*Assumptions!$I$9+AV24*Assumptions!$I$10+AX24*Assumptions!$I$11+AY24*Assumptions!$I$12,2),"")</f>
        <v>83.89</v>
      </c>
      <c r="BA24" s="0" t="str">
        <f aca="false">IF(AZ24="","",IF(AZ24&lt;=Assumptions!$I$18,"Below Expectation",IF(AZ24&lt;=Assumptions!$I$19,"Developing",IF(AZ24&lt;=Assumptions!$I$20,"Meets Expectation",IF(AZ24&lt;=Assumptions!$I$21,"Exceeds","Star Performer")))))</f>
        <v>Exceeds</v>
      </c>
      <c r="BB24" s="0" t="n">
        <f aca="false">IF(AZ24="",0,IF(AZ24&gt;=Assumptions!$I$26,1,0))</f>
        <v>1</v>
      </c>
      <c r="BC24" s="9" t="n">
        <f aca="false">IF(AL24="",2,AL24+2)</f>
        <v>3</v>
      </c>
      <c r="BD24" s="10" t="n">
        <f aca="false">IF(AM24="",ROUND(AVERAGE($AM$2:$AM$921),3),AM24)</f>
        <v>0.548</v>
      </c>
      <c r="BE24" s="9" t="n">
        <f aca="false">1-BD24</f>
        <v>0.452</v>
      </c>
    </row>
    <row r="25" customFormat="false" ht="14.25" hidden="true" customHeight="false" outlineLevel="0" collapsed="false">
      <c r="A25" s="4" t="n">
        <v>419</v>
      </c>
      <c r="B25" s="5" t="n">
        <v>50009964</v>
      </c>
      <c r="C25" s="5"/>
      <c r="D25" s="5" t="s">
        <v>256</v>
      </c>
      <c r="E25" s="5" t="s">
        <v>257</v>
      </c>
      <c r="F25" s="5" t="s">
        <v>258</v>
      </c>
      <c r="G25" s="5" t="s">
        <v>259</v>
      </c>
      <c r="H25" s="5" t="s">
        <v>260</v>
      </c>
      <c r="I25" s="5" t="s">
        <v>63</v>
      </c>
      <c r="J25" s="5" t="s">
        <v>76</v>
      </c>
      <c r="K25" s="5" t="s">
        <v>65</v>
      </c>
      <c r="L25" s="6" t="n">
        <v>40917</v>
      </c>
      <c r="M25" s="5" t="s">
        <v>261</v>
      </c>
      <c r="N25" s="6" t="n">
        <v>32135</v>
      </c>
      <c r="O25" s="5" t="s">
        <v>262</v>
      </c>
      <c r="P25" s="5" t="s">
        <v>263</v>
      </c>
      <c r="Q25" s="5" t="s">
        <v>249</v>
      </c>
      <c r="R25" s="5" t="s">
        <v>115</v>
      </c>
      <c r="S25" s="5" t="s">
        <v>249</v>
      </c>
      <c r="T25" s="6" t="n">
        <v>42430</v>
      </c>
      <c r="U25" s="6" t="n">
        <v>44440</v>
      </c>
      <c r="V25" s="5" t="s">
        <v>141</v>
      </c>
      <c r="W25" s="5" t="s">
        <v>83</v>
      </c>
      <c r="X25" s="5" t="s">
        <v>83</v>
      </c>
      <c r="Y25" s="5" t="s">
        <v>83</v>
      </c>
      <c r="Z25" s="5" t="s">
        <v>83</v>
      </c>
      <c r="AA25" s="5" t="s">
        <v>264</v>
      </c>
      <c r="AB25" s="0" t="n">
        <f aca="false">IFERROR(VALUE(R25),0)</f>
        <v>0</v>
      </c>
      <c r="AC25" s="0" t="n">
        <f aca="false">IFERROR(VALUE(M25),"")</f>
        <v>38.5</v>
      </c>
      <c r="AD25" s="0" t="n">
        <f aca="false">IFERROR(VALUE(Q25),"")</f>
        <v>14.4</v>
      </c>
      <c r="AE25" s="0" t="n">
        <f aca="false">IFERROR(VALUE(S25),"")</f>
        <v>14.4</v>
      </c>
      <c r="AF25" s="0" t="n">
        <f aca="false">IF(V25="","",VLOOKUP(V25,Assumptions!$B$6:$C$9,2,FALSE()))</f>
        <v>3</v>
      </c>
      <c r="AG25" s="0" t="n">
        <f aca="false">IF(W25="","",VLOOKUP(W25,Assumptions!$B$6:$C$9,2,FALSE()))</f>
        <v>4</v>
      </c>
      <c r="AH25" s="0" t="n">
        <f aca="false">IF(X25="","",VLOOKUP(X25,Assumptions!$B$6:$C$9,2,FALSE()))</f>
        <v>4</v>
      </c>
      <c r="AI25" s="0" t="n">
        <f aca="false">IF(Y25="","",VLOOKUP(Y25,Assumptions!$B$6:$C$9,2,FALSE()))</f>
        <v>4</v>
      </c>
      <c r="AJ25" s="0" t="n">
        <f aca="false">IF(Z25="","",VLOOKUP(Z25,Assumptions!$B$6:$C$9,2,FALSE()))</f>
        <v>4</v>
      </c>
      <c r="AK25" s="7" t="n">
        <f aca="false">IFERROR(ROUND(AVERAGE(AF25:AJ25),3),"")</f>
        <v>3.8</v>
      </c>
      <c r="AL25" s="7" t="n">
        <f aca="false">IF(OR(AF25="",AJ25=""),"",AJ25-AF25)</f>
        <v>1</v>
      </c>
      <c r="AM25" s="7" t="n">
        <f aca="false">IF(COUNT(AF25:AJ25)&gt;=2,ROUND(_xlfn.STDEV.S(AF25:AJ25),3),"")</f>
        <v>0.447</v>
      </c>
      <c r="AN25" s="7" t="n">
        <f aca="false">ROUND((IF(AF25="",0,AF25)*Assumptions!$F$15)+(IF(AG25="",0,AG25)*Assumptions!$F$16)+(IF(AH25="",0,AH25)*Assumptions!$F$17)+(IF(AI25="",0,AI25)*Assumptions!$F$18)+(IF(AJ25="",0,AJ25)*Assumptions!$F$19),3)</f>
        <v>3.9</v>
      </c>
      <c r="AO25" s="0" t="str">
        <f aca="false">IF(AC25&lt;=20,"",IF(AC25&lt;=Assumptions!$F$6,"20-30",IF(AC25&lt;=Assumptions!$F$7,"30-40",IF(AC25&lt;=Assumptions!$F$8,"40-50",IF(AC25&lt;=Assumptions!$F$9,"50-60",IF(AC25&lt;=Assumptions!$F$10,"60+",""))))))</f>
        <v>30-40</v>
      </c>
      <c r="AP25" s="0" t="str">
        <f aca="false">IFERROR(VLOOKUP(O25,Assumptions!$B$14:$C$26,2,FALSE()),"Other")</f>
        <v>Manager</v>
      </c>
      <c r="AQ25" s="0" t="n">
        <f aca="false">IF(T25="",0,1)</f>
        <v>1</v>
      </c>
      <c r="AR25" s="0" t="n">
        <f aca="false">IF(U25="",0,1)</f>
        <v>1</v>
      </c>
      <c r="AS25" s="8" t="n">
        <f aca="false">IF(AK25="","",IF(MAX($AK$2:$AK$921)=MIN($AK$2:$AK$921),50,ROUND((AK25-MIN($AK$2:$AK$921))/(MAX($AK$2:$AK$921)-MIN($AK$2:$AK$921))*100,2)))</f>
        <v>91.43</v>
      </c>
      <c r="AT25" s="8" t="n">
        <f aca="false">IF(MAX($BC$2:$BC$921)=MIN($BC$2:$BC$921),50,ROUND((BC25-MIN($BC$2:$BC$921))/(MAX($BC$2:$BC$921)-MIN($BC$2:$BC$921))*100,2))</f>
        <v>75</v>
      </c>
      <c r="AU25" s="8" t="n">
        <f aca="false">IF(MAX($BE$2:$BE$921)=MIN($BE$2:$BE$921),50,ROUND((BE25-MIN($BE$2:$BE$921))/(MAX($BE$2:$BE$921)-MIN($BE$2:$BE$921))*100,2))</f>
        <v>74.19</v>
      </c>
      <c r="AV25" s="8" t="n">
        <f aca="false">IF(MAX($AD$2:$AD$921)=MIN($AD$2:$AD$921),50,ROUND((AD25-MIN($AD$2:$AD$921))/(MAX($AD$2:$AD$921)-MIN($AD$2:$AD$921))*100,2))</f>
        <v>38.84</v>
      </c>
      <c r="AW25" s="8" t="n">
        <f aca="false">IF(MAX($AN$2:$AN$921)=MIN($AN$2:$AN$921),50,ROUND((AN25-MIN($AN$2:$AN$921))/(MAX($AN$2:$AN$921)-MIN($AN$2:$AN$921))*100,2))</f>
        <v>97.5</v>
      </c>
      <c r="AX25" s="8" t="n">
        <f aca="false">AQ25*100</f>
        <v>100</v>
      </c>
      <c r="AY25" s="8" t="n">
        <f aca="false">AR25*100</f>
        <v>100</v>
      </c>
      <c r="AZ25" s="8" t="n">
        <f aca="false">IFERROR(ROUND(AS25*Assumptions!$I$6+AW25*Assumptions!$I$7+AT25*Assumptions!$I$8+AU25*Assumptions!$I$9+AV25*Assumptions!$I$10+AX25*Assumptions!$I$11+AY25*Assumptions!$I$12,2),"")</f>
        <v>83.19</v>
      </c>
      <c r="BA25" s="0" t="str">
        <f aca="false">IF(AZ25="","",IF(AZ25&lt;=Assumptions!$I$18,"Below Expectation",IF(AZ25&lt;=Assumptions!$I$19,"Developing",IF(AZ25&lt;=Assumptions!$I$20,"Meets Expectation",IF(AZ25&lt;=Assumptions!$I$21,"Exceeds","Star Performer")))))</f>
        <v>Exceeds</v>
      </c>
      <c r="BB25" s="0" t="n">
        <f aca="false">IF(AZ25="",0,IF(AZ25&gt;=Assumptions!$I$26,1,0))</f>
        <v>1</v>
      </c>
      <c r="BC25" s="9" t="n">
        <f aca="false">IF(AL25="",2,AL25+2)</f>
        <v>3</v>
      </c>
      <c r="BD25" s="10" t="n">
        <f aca="false">IF(AM25="",ROUND(AVERAGE($AM$2:$AM$921),3),AM25)</f>
        <v>0.447</v>
      </c>
      <c r="BE25" s="9" t="n">
        <f aca="false">1-BD25</f>
        <v>0.553</v>
      </c>
    </row>
    <row r="26" customFormat="false" ht="14.25" hidden="true" customHeight="false" outlineLevel="0" collapsed="false">
      <c r="A26" s="4" t="n">
        <v>426</v>
      </c>
      <c r="B26" s="5" t="n">
        <v>50010485</v>
      </c>
      <c r="C26" s="5" t="s">
        <v>85</v>
      </c>
      <c r="D26" s="5" t="s">
        <v>265</v>
      </c>
      <c r="E26" s="5" t="s">
        <v>266</v>
      </c>
      <c r="F26" s="5" t="s">
        <v>267</v>
      </c>
      <c r="G26" s="5" t="s">
        <v>268</v>
      </c>
      <c r="H26" s="5" t="s">
        <v>267</v>
      </c>
      <c r="I26" s="5" t="s">
        <v>63</v>
      </c>
      <c r="J26" s="5" t="s">
        <v>76</v>
      </c>
      <c r="K26" s="5" t="s">
        <v>65</v>
      </c>
      <c r="L26" s="6" t="n">
        <v>41037</v>
      </c>
      <c r="M26" s="5" t="s">
        <v>269</v>
      </c>
      <c r="N26" s="6" t="n">
        <v>31020</v>
      </c>
      <c r="O26" s="5" t="s">
        <v>162</v>
      </c>
      <c r="P26" s="5" t="s">
        <v>162</v>
      </c>
      <c r="Q26" s="5" t="s">
        <v>270</v>
      </c>
      <c r="R26" s="5" t="s">
        <v>271</v>
      </c>
      <c r="S26" s="5" t="s">
        <v>272</v>
      </c>
      <c r="T26" s="6" t="n">
        <v>42644</v>
      </c>
      <c r="U26" s="6" t="n">
        <v>46113</v>
      </c>
      <c r="V26" s="5" t="s">
        <v>141</v>
      </c>
      <c r="W26" s="5" t="s">
        <v>83</v>
      </c>
      <c r="X26" s="5" t="s">
        <v>83</v>
      </c>
      <c r="Y26" s="5" t="s">
        <v>83</v>
      </c>
      <c r="Z26" s="5" t="s">
        <v>83</v>
      </c>
      <c r="AA26" s="5" t="s">
        <v>273</v>
      </c>
      <c r="AB26" s="0" t="n">
        <f aca="false">IFERROR(VALUE(R26),0)</f>
        <v>2.1</v>
      </c>
      <c r="AC26" s="0" t="n">
        <f aca="false">IFERROR(VALUE(M26),"")</f>
        <v>41.6</v>
      </c>
      <c r="AD26" s="0" t="n">
        <f aca="false">IFERROR(VALUE(Q26),"")</f>
        <v>14.1</v>
      </c>
      <c r="AE26" s="0" t="n">
        <f aca="false">IFERROR(VALUE(S26),"")</f>
        <v>16.11</v>
      </c>
      <c r="AF26" s="0" t="n">
        <f aca="false">IF(V26="","",VLOOKUP(V26,Assumptions!$B$6:$C$9,2,FALSE()))</f>
        <v>3</v>
      </c>
      <c r="AG26" s="0" t="n">
        <f aca="false">IF(W26="","",VLOOKUP(W26,Assumptions!$B$6:$C$9,2,FALSE()))</f>
        <v>4</v>
      </c>
      <c r="AH26" s="0" t="n">
        <f aca="false">IF(X26="","",VLOOKUP(X26,Assumptions!$B$6:$C$9,2,FALSE()))</f>
        <v>4</v>
      </c>
      <c r="AI26" s="0" t="n">
        <f aca="false">IF(Y26="","",VLOOKUP(Y26,Assumptions!$B$6:$C$9,2,FALSE()))</f>
        <v>4</v>
      </c>
      <c r="AJ26" s="0" t="n">
        <f aca="false">IF(Z26="","",VLOOKUP(Z26,Assumptions!$B$6:$C$9,2,FALSE()))</f>
        <v>4</v>
      </c>
      <c r="AK26" s="7" t="n">
        <f aca="false">IFERROR(ROUND(AVERAGE(AF26:AJ26),3),"")</f>
        <v>3.8</v>
      </c>
      <c r="AL26" s="7" t="n">
        <f aca="false">IF(OR(AF26="",AJ26=""),"",AJ26-AF26)</f>
        <v>1</v>
      </c>
      <c r="AM26" s="7" t="n">
        <f aca="false">IF(COUNT(AF26:AJ26)&gt;=2,ROUND(_xlfn.STDEV.S(AF26:AJ26),3),"")</f>
        <v>0.447</v>
      </c>
      <c r="AN26" s="7" t="n">
        <f aca="false">ROUND((IF(AF26="",0,AF26)*Assumptions!$F$15)+(IF(AG26="",0,AG26)*Assumptions!$F$16)+(IF(AH26="",0,AH26)*Assumptions!$F$17)+(IF(AI26="",0,AI26)*Assumptions!$F$18)+(IF(AJ26="",0,AJ26)*Assumptions!$F$19),3)</f>
        <v>3.9</v>
      </c>
      <c r="AO26" s="0" t="str">
        <f aca="false">IF(AC26&lt;=20,"",IF(AC26&lt;=Assumptions!$F$6,"20-30",IF(AC26&lt;=Assumptions!$F$7,"30-40",IF(AC26&lt;=Assumptions!$F$8,"40-50",IF(AC26&lt;=Assumptions!$F$9,"50-60",IF(AC26&lt;=Assumptions!$F$10,"60+",""))))))</f>
        <v>40-50</v>
      </c>
      <c r="AP26" s="0" t="str">
        <f aca="false">IFERROR(VLOOKUP(O26,Assumptions!$B$14:$C$26,2,FALSE()),"Other")</f>
        <v>Manager</v>
      </c>
      <c r="AQ26" s="0" t="n">
        <f aca="false">IF(T26="",0,1)</f>
        <v>1</v>
      </c>
      <c r="AR26" s="0" t="n">
        <f aca="false">IF(U26="",0,1)</f>
        <v>1</v>
      </c>
      <c r="AS26" s="8" t="n">
        <f aca="false">IF(AK26="","",IF(MAX($AK$2:$AK$921)=MIN($AK$2:$AK$921),50,ROUND((AK26-MIN($AK$2:$AK$921))/(MAX($AK$2:$AK$921)-MIN($AK$2:$AK$921))*100,2)))</f>
        <v>91.43</v>
      </c>
      <c r="AT26" s="8" t="n">
        <f aca="false">IF(MAX($BC$2:$BC$921)=MIN($BC$2:$BC$921),50,ROUND((BC26-MIN($BC$2:$BC$921))/(MAX($BC$2:$BC$921)-MIN($BC$2:$BC$921))*100,2))</f>
        <v>75</v>
      </c>
      <c r="AU26" s="8" t="n">
        <f aca="false">IF(MAX($BE$2:$BE$921)=MIN($BE$2:$BE$921),50,ROUND((BE26-MIN($BE$2:$BE$921))/(MAX($BE$2:$BE$921)-MIN($BE$2:$BE$921))*100,2))</f>
        <v>74.19</v>
      </c>
      <c r="AV26" s="8" t="n">
        <f aca="false">IF(MAX($AD$2:$AD$921)=MIN($AD$2:$AD$921),50,ROUND((AD26-MIN($AD$2:$AD$921))/(MAX($AD$2:$AD$921)-MIN($AD$2:$AD$921))*100,2))</f>
        <v>38.03</v>
      </c>
      <c r="AW26" s="8" t="n">
        <f aca="false">IF(MAX($AN$2:$AN$921)=MIN($AN$2:$AN$921),50,ROUND((AN26-MIN($AN$2:$AN$921))/(MAX($AN$2:$AN$921)-MIN($AN$2:$AN$921))*100,2))</f>
        <v>97.5</v>
      </c>
      <c r="AX26" s="8" t="n">
        <f aca="false">AQ26*100</f>
        <v>100</v>
      </c>
      <c r="AY26" s="8" t="n">
        <f aca="false">AR26*100</f>
        <v>100</v>
      </c>
      <c r="AZ26" s="8" t="n">
        <f aca="false">IFERROR(ROUND(AS26*Assumptions!$I$6+AW26*Assumptions!$I$7+AT26*Assumptions!$I$8+AU26*Assumptions!$I$9+AV26*Assumptions!$I$10+AX26*Assumptions!$I$11+AY26*Assumptions!$I$12,2),"")</f>
        <v>83.11</v>
      </c>
      <c r="BA26" s="0" t="str">
        <f aca="false">IF(AZ26="","",IF(AZ26&lt;=Assumptions!$I$18,"Below Expectation",IF(AZ26&lt;=Assumptions!$I$19,"Developing",IF(AZ26&lt;=Assumptions!$I$20,"Meets Expectation",IF(AZ26&lt;=Assumptions!$I$21,"Exceeds","Star Performer")))))</f>
        <v>Exceeds</v>
      </c>
      <c r="BB26" s="0" t="n">
        <f aca="false">IF(AZ26="",0,IF(AZ26&gt;=Assumptions!$I$26,1,0))</f>
        <v>1</v>
      </c>
      <c r="BC26" s="9" t="n">
        <f aca="false">IF(AL26="",2,AL26+2)</f>
        <v>3</v>
      </c>
      <c r="BD26" s="10" t="n">
        <f aca="false">IF(AM26="",ROUND(AVERAGE($AM$2:$AM$921),3),AM26)</f>
        <v>0.447</v>
      </c>
      <c r="BE26" s="9" t="n">
        <f aca="false">1-BD26</f>
        <v>0.553</v>
      </c>
    </row>
    <row r="27" customFormat="false" ht="14.25" hidden="true" customHeight="false" outlineLevel="0" collapsed="false">
      <c r="A27" s="4" t="n">
        <v>8</v>
      </c>
      <c r="B27" s="5" t="n">
        <v>22114</v>
      </c>
      <c r="C27" s="5" t="s">
        <v>57</v>
      </c>
      <c r="D27" s="5" t="s">
        <v>274</v>
      </c>
      <c r="E27" s="5" t="s">
        <v>275</v>
      </c>
      <c r="F27" s="5" t="s">
        <v>97</v>
      </c>
      <c r="G27" s="5" t="s">
        <v>98</v>
      </c>
      <c r="H27" s="5" t="s">
        <v>99</v>
      </c>
      <c r="I27" s="5" t="s">
        <v>63</v>
      </c>
      <c r="J27" s="5" t="s">
        <v>100</v>
      </c>
      <c r="K27" s="5" t="s">
        <v>65</v>
      </c>
      <c r="L27" s="6" t="n">
        <v>35389</v>
      </c>
      <c r="M27" s="5" t="s">
        <v>276</v>
      </c>
      <c r="N27" s="6" t="n">
        <v>27242</v>
      </c>
      <c r="O27" s="5" t="s">
        <v>89</v>
      </c>
      <c r="P27" s="5" t="s">
        <v>90</v>
      </c>
      <c r="Q27" s="5" t="s">
        <v>91</v>
      </c>
      <c r="R27" s="5" t="s">
        <v>204</v>
      </c>
      <c r="S27" s="5" t="s">
        <v>277</v>
      </c>
      <c r="T27" s="6" t="n">
        <v>42917</v>
      </c>
      <c r="U27" s="6" t="n">
        <v>44470</v>
      </c>
      <c r="V27" s="5" t="s">
        <v>141</v>
      </c>
      <c r="W27" s="5" t="s">
        <v>83</v>
      </c>
      <c r="X27" s="5" t="s">
        <v>141</v>
      </c>
      <c r="Y27" s="5" t="s">
        <v>83</v>
      </c>
      <c r="Z27" s="5" t="s">
        <v>83</v>
      </c>
      <c r="AA27" s="5" t="s">
        <v>278</v>
      </c>
      <c r="AB27" s="0" t="n">
        <f aca="false">IFERROR(VALUE(R27),0)</f>
        <v>1.11</v>
      </c>
      <c r="AC27" s="0" t="n">
        <f aca="false">IFERROR(VALUE(M27),"")</f>
        <v>51.1</v>
      </c>
      <c r="AD27" s="0" t="n">
        <f aca="false">IFERROR(VALUE(Q27),"")</f>
        <v>29.6</v>
      </c>
      <c r="AE27" s="0" t="n">
        <f aca="false">IFERROR(VALUE(S27),"")</f>
        <v>31.5</v>
      </c>
      <c r="AF27" s="0" t="n">
        <f aca="false">IF(V27="","",VLOOKUP(V27,Assumptions!$B$6:$C$9,2,FALSE()))</f>
        <v>3</v>
      </c>
      <c r="AG27" s="0" t="n">
        <f aca="false">IF(W27="","",VLOOKUP(W27,Assumptions!$B$6:$C$9,2,FALSE()))</f>
        <v>4</v>
      </c>
      <c r="AH27" s="0" t="n">
        <f aca="false">IF(X27="","",VLOOKUP(X27,Assumptions!$B$6:$C$9,2,FALSE()))</f>
        <v>3</v>
      </c>
      <c r="AI27" s="0" t="n">
        <f aca="false">IF(Y27="","",VLOOKUP(Y27,Assumptions!$B$6:$C$9,2,FALSE()))</f>
        <v>4</v>
      </c>
      <c r="AJ27" s="0" t="n">
        <f aca="false">IF(Z27="","",VLOOKUP(Z27,Assumptions!$B$6:$C$9,2,FALSE()))</f>
        <v>4</v>
      </c>
      <c r="AK27" s="7" t="n">
        <f aca="false">IFERROR(ROUND(AVERAGE(AF27:AJ27),3),"")</f>
        <v>3.6</v>
      </c>
      <c r="AL27" s="7" t="n">
        <f aca="false">IF(OR(AF27="",AJ27=""),"",AJ27-AF27)</f>
        <v>1</v>
      </c>
      <c r="AM27" s="7" t="n">
        <f aca="false">IF(COUNT(AF27:AJ27)&gt;=2,ROUND(_xlfn.STDEV.S(AF27:AJ27),3),"")</f>
        <v>0.548</v>
      </c>
      <c r="AN27" s="7" t="n">
        <f aca="false">ROUND((IF(AF27="",0,AF27)*Assumptions!$F$15)+(IF(AG27="",0,AG27)*Assumptions!$F$16)+(IF(AH27="",0,AH27)*Assumptions!$F$17)+(IF(AI27="",0,AI27)*Assumptions!$F$18)+(IF(AJ27="",0,AJ27)*Assumptions!$F$19),3)</f>
        <v>3.7</v>
      </c>
      <c r="AO27" s="0" t="str">
        <f aca="false">IF(AC27&lt;=20,"",IF(AC27&lt;=Assumptions!$F$6,"20-30",IF(AC27&lt;=Assumptions!$F$7,"30-40",IF(AC27&lt;=Assumptions!$F$8,"40-50",IF(AC27&lt;=Assumptions!$F$9,"50-60",IF(AC27&lt;=Assumptions!$F$10,"60+",""))))))</f>
        <v>50-60</v>
      </c>
      <c r="AP27" s="0" t="str">
        <f aca="false">IFERROR(VLOOKUP(O27,Assumptions!$B$14:$C$26,2,FALSE()),"Other")</f>
        <v>Leadership</v>
      </c>
      <c r="AQ27" s="0" t="n">
        <f aca="false">IF(T27="",0,1)</f>
        <v>1</v>
      </c>
      <c r="AR27" s="0" t="n">
        <f aca="false">IF(U27="",0,1)</f>
        <v>1</v>
      </c>
      <c r="AS27" s="8" t="n">
        <f aca="false">IF(AK27="","",IF(MAX($AK$2:$AK$921)=MIN($AK$2:$AK$921),50,ROUND((AK27-MIN($AK$2:$AK$921))/(MAX($AK$2:$AK$921)-MIN($AK$2:$AK$921))*100,2)))</f>
        <v>82.85</v>
      </c>
      <c r="AT27" s="8" t="n">
        <f aca="false">IF(MAX($BC$2:$BC$921)=MIN($BC$2:$BC$921),50,ROUND((BC27-MIN($BC$2:$BC$921))/(MAX($BC$2:$BC$921)-MIN($BC$2:$BC$921))*100,2))</f>
        <v>75</v>
      </c>
      <c r="AU27" s="8" t="n">
        <f aca="false">IF(MAX($BE$2:$BE$921)=MIN($BE$2:$BE$921),50,ROUND((BE27-MIN($BE$2:$BE$921))/(MAX($BE$2:$BE$921)-MIN($BE$2:$BE$921))*100,2))</f>
        <v>68.36</v>
      </c>
      <c r="AV27" s="8" t="n">
        <f aca="false">IF(MAX($AD$2:$AD$921)=MIN($AD$2:$AD$921),50,ROUND((AD27-MIN($AD$2:$AD$921))/(MAX($AD$2:$AD$921)-MIN($AD$2:$AD$921))*100,2))</f>
        <v>80.16</v>
      </c>
      <c r="AW27" s="8" t="n">
        <f aca="false">IF(MAX($AN$2:$AN$921)=MIN($AN$2:$AN$921),50,ROUND((AN27-MIN($AN$2:$AN$921))/(MAX($AN$2:$AN$921)-MIN($AN$2:$AN$921))*100,2))</f>
        <v>92.5</v>
      </c>
      <c r="AX27" s="8" t="n">
        <f aca="false">AQ27*100</f>
        <v>100</v>
      </c>
      <c r="AY27" s="8" t="n">
        <f aca="false">AR27*100</f>
        <v>100</v>
      </c>
      <c r="AZ27" s="8" t="n">
        <f aca="false">IFERROR(ROUND(AS27*Assumptions!$I$6+AW27*Assumptions!$I$7+AT27*Assumptions!$I$8+AU27*Assumptions!$I$9+AV27*Assumptions!$I$10+AX27*Assumptions!$I$11+AY27*Assumptions!$I$12,2),"")</f>
        <v>82.88</v>
      </c>
      <c r="BA27" s="0" t="str">
        <f aca="false">IF(AZ27="","",IF(AZ27&lt;=Assumptions!$I$18,"Below Expectation",IF(AZ27&lt;=Assumptions!$I$19,"Developing",IF(AZ27&lt;=Assumptions!$I$20,"Meets Expectation",IF(AZ27&lt;=Assumptions!$I$21,"Exceeds","Star Performer")))))</f>
        <v>Exceeds</v>
      </c>
      <c r="BB27" s="0" t="n">
        <f aca="false">IF(AZ27="",0,IF(AZ27&gt;=Assumptions!$I$26,1,0))</f>
        <v>1</v>
      </c>
      <c r="BC27" s="9" t="n">
        <f aca="false">IF(AL27="",2,AL27+2)</f>
        <v>3</v>
      </c>
      <c r="BD27" s="10" t="n">
        <f aca="false">IF(AM27="",ROUND(AVERAGE($AM$2:$AM$921),3),AM27)</f>
        <v>0.548</v>
      </c>
      <c r="BE27" s="9" t="n">
        <f aca="false">1-BD27</f>
        <v>0.452</v>
      </c>
    </row>
    <row r="28" customFormat="false" ht="14.25" hidden="true" customHeight="false" outlineLevel="0" collapsed="false">
      <c r="A28" s="4" t="n">
        <v>332</v>
      </c>
      <c r="B28" s="5" t="n">
        <v>19507440</v>
      </c>
      <c r="C28" s="5"/>
      <c r="D28" s="5" t="s">
        <v>279</v>
      </c>
      <c r="E28" s="5" t="s">
        <v>257</v>
      </c>
      <c r="F28" s="5" t="s">
        <v>267</v>
      </c>
      <c r="G28" s="5" t="s">
        <v>268</v>
      </c>
      <c r="H28" s="5" t="s">
        <v>267</v>
      </c>
      <c r="I28" s="5" t="s">
        <v>63</v>
      </c>
      <c r="J28" s="5" t="s">
        <v>76</v>
      </c>
      <c r="K28" s="5" t="s">
        <v>65</v>
      </c>
      <c r="L28" s="6" t="n">
        <v>37391</v>
      </c>
      <c r="M28" s="5" t="s">
        <v>280</v>
      </c>
      <c r="N28" s="6" t="n">
        <v>28814</v>
      </c>
      <c r="O28" s="5" t="s">
        <v>262</v>
      </c>
      <c r="P28" s="5" t="s">
        <v>263</v>
      </c>
      <c r="Q28" s="5" t="s">
        <v>281</v>
      </c>
      <c r="R28" s="5" t="s">
        <v>115</v>
      </c>
      <c r="S28" s="5" t="s">
        <v>282</v>
      </c>
      <c r="T28" s="6" t="n">
        <v>38808</v>
      </c>
      <c r="U28" s="6" t="n">
        <v>44440</v>
      </c>
      <c r="V28" s="5" t="s">
        <v>83</v>
      </c>
      <c r="W28" s="5" t="s">
        <v>141</v>
      </c>
      <c r="X28" s="5" t="s">
        <v>83</v>
      </c>
      <c r="Y28" s="5" t="s">
        <v>83</v>
      </c>
      <c r="Z28" s="5" t="s">
        <v>83</v>
      </c>
      <c r="AA28" s="5" t="s">
        <v>283</v>
      </c>
      <c r="AB28" s="0" t="n">
        <f aca="false">IFERROR(VALUE(R28),0)</f>
        <v>0</v>
      </c>
      <c r="AC28" s="0" t="n">
        <f aca="false">IFERROR(VALUE(M28),"")</f>
        <v>47.6</v>
      </c>
      <c r="AD28" s="0" t="n">
        <f aca="false">IFERROR(VALUE(Q28),"")</f>
        <v>24</v>
      </c>
      <c r="AE28" s="0" t="n">
        <f aca="false">IFERROR(VALUE(S28),"")</f>
        <v>24</v>
      </c>
      <c r="AF28" s="0" t="n">
        <f aca="false">IF(V28="","",VLOOKUP(V28,Assumptions!$B$6:$C$9,2,FALSE()))</f>
        <v>4</v>
      </c>
      <c r="AG28" s="0" t="n">
        <f aca="false">IF(W28="","",VLOOKUP(W28,Assumptions!$B$6:$C$9,2,FALSE()))</f>
        <v>3</v>
      </c>
      <c r="AH28" s="0" t="n">
        <f aca="false">IF(X28="","",VLOOKUP(X28,Assumptions!$B$6:$C$9,2,FALSE()))</f>
        <v>4</v>
      </c>
      <c r="AI28" s="0" t="n">
        <f aca="false">IF(Y28="","",VLOOKUP(Y28,Assumptions!$B$6:$C$9,2,FALSE()))</f>
        <v>4</v>
      </c>
      <c r="AJ28" s="0" t="n">
        <f aca="false">IF(Z28="","",VLOOKUP(Z28,Assumptions!$B$6:$C$9,2,FALSE()))</f>
        <v>4</v>
      </c>
      <c r="AK28" s="7" t="n">
        <f aca="false">IFERROR(ROUND(AVERAGE(AF28:AJ28),3),"")</f>
        <v>3.8</v>
      </c>
      <c r="AL28" s="7" t="n">
        <f aca="false">IF(OR(AF28="",AJ28=""),"",AJ28-AF28)</f>
        <v>0</v>
      </c>
      <c r="AM28" s="7" t="n">
        <f aca="false">IF(COUNT(AF28:AJ28)&gt;=2,ROUND(_xlfn.STDEV.S(AF28:AJ28),3),"")</f>
        <v>0.447</v>
      </c>
      <c r="AN28" s="7" t="n">
        <f aca="false">ROUND((IF(AF28="",0,AF28)*Assumptions!$F$15)+(IF(AG28="",0,AG28)*Assumptions!$F$16)+(IF(AH28="",0,AH28)*Assumptions!$F$17)+(IF(AI28="",0,AI28)*Assumptions!$F$18)+(IF(AJ28="",0,AJ28)*Assumptions!$F$19),3)</f>
        <v>3.85</v>
      </c>
      <c r="AO28" s="0" t="str">
        <f aca="false">IF(AC28&lt;=20,"",IF(AC28&lt;=Assumptions!$F$6,"20-30",IF(AC28&lt;=Assumptions!$F$7,"30-40",IF(AC28&lt;=Assumptions!$F$8,"40-50",IF(AC28&lt;=Assumptions!$F$9,"50-60",IF(AC28&lt;=Assumptions!$F$10,"60+",""))))))</f>
        <v>40-50</v>
      </c>
      <c r="AP28" s="0" t="str">
        <f aca="false">IFERROR(VLOOKUP(O28,Assumptions!$B$14:$C$26,2,FALSE()),"Other")</f>
        <v>Manager</v>
      </c>
      <c r="AQ28" s="0" t="n">
        <f aca="false">IF(T28="",0,1)</f>
        <v>1</v>
      </c>
      <c r="AR28" s="0" t="n">
        <f aca="false">IF(U28="",0,1)</f>
        <v>1</v>
      </c>
      <c r="AS28" s="8" t="n">
        <f aca="false">IF(AK28="","",IF(MAX($AK$2:$AK$921)=MIN($AK$2:$AK$921),50,ROUND((AK28-MIN($AK$2:$AK$921))/(MAX($AK$2:$AK$921)-MIN($AK$2:$AK$921))*100,2)))</f>
        <v>91.43</v>
      </c>
      <c r="AT28" s="8" t="n">
        <f aca="false">IF(MAX($BC$2:$BC$921)=MIN($BC$2:$BC$921),50,ROUND((BC28-MIN($BC$2:$BC$921))/(MAX($BC$2:$BC$921)-MIN($BC$2:$BC$921))*100,2))</f>
        <v>50</v>
      </c>
      <c r="AU28" s="8" t="n">
        <f aca="false">IF(MAX($BE$2:$BE$921)=MIN($BE$2:$BE$921),50,ROUND((BE28-MIN($BE$2:$BE$921))/(MAX($BE$2:$BE$921)-MIN($BE$2:$BE$921))*100,2))</f>
        <v>74.19</v>
      </c>
      <c r="AV28" s="8" t="n">
        <f aca="false">IF(MAX($AD$2:$AD$921)=MIN($AD$2:$AD$921),50,ROUND((AD28-MIN($AD$2:$AD$921))/(MAX($AD$2:$AD$921)-MIN($AD$2:$AD$921))*100,2))</f>
        <v>64.94</v>
      </c>
      <c r="AW28" s="8" t="n">
        <f aca="false">IF(MAX($AN$2:$AN$921)=MIN($AN$2:$AN$921),50,ROUND((AN28-MIN($AN$2:$AN$921))/(MAX($AN$2:$AN$921)-MIN($AN$2:$AN$921))*100,2))</f>
        <v>96.25</v>
      </c>
      <c r="AX28" s="8" t="n">
        <f aca="false">AQ28*100</f>
        <v>100</v>
      </c>
      <c r="AY28" s="8" t="n">
        <f aca="false">AR28*100</f>
        <v>100</v>
      </c>
      <c r="AZ28" s="8" t="n">
        <f aca="false">IFERROR(ROUND(AS28*Assumptions!$I$6+AW28*Assumptions!$I$7+AT28*Assumptions!$I$8+AU28*Assumptions!$I$9+AV28*Assumptions!$I$10+AX28*Assumptions!$I$11+AY28*Assumptions!$I$12,2),"")</f>
        <v>81.8</v>
      </c>
      <c r="BA28" s="0" t="str">
        <f aca="false">IF(AZ28="","",IF(AZ28&lt;=Assumptions!$I$18,"Below Expectation",IF(AZ28&lt;=Assumptions!$I$19,"Developing",IF(AZ28&lt;=Assumptions!$I$20,"Meets Expectation",IF(AZ28&lt;=Assumptions!$I$21,"Exceeds","Star Performer")))))</f>
        <v>Exceeds</v>
      </c>
      <c r="BB28" s="0" t="n">
        <f aca="false">IF(AZ28="",0,IF(AZ28&gt;=Assumptions!$I$26,1,0))</f>
        <v>1</v>
      </c>
      <c r="BC28" s="9" t="n">
        <f aca="false">IF(AL28="",2,AL28+2)</f>
        <v>2</v>
      </c>
      <c r="BD28" s="10" t="n">
        <f aca="false">IF(AM28="",ROUND(AVERAGE($AM$2:$AM$921),3),AM28)</f>
        <v>0.447</v>
      </c>
      <c r="BE28" s="9" t="n">
        <f aca="false">1-BD28</f>
        <v>0.553</v>
      </c>
    </row>
    <row r="29" customFormat="false" ht="14.25" hidden="true" customHeight="false" outlineLevel="0" collapsed="false">
      <c r="A29" s="4" t="n">
        <v>385</v>
      </c>
      <c r="B29" s="5" t="n">
        <v>50007745</v>
      </c>
      <c r="C29" s="5" t="s">
        <v>85</v>
      </c>
      <c r="D29" s="5" t="s">
        <v>284</v>
      </c>
      <c r="E29" s="5" t="s">
        <v>185</v>
      </c>
      <c r="F29" s="5" t="s">
        <v>267</v>
      </c>
      <c r="G29" s="5" t="s">
        <v>268</v>
      </c>
      <c r="H29" s="5" t="s">
        <v>267</v>
      </c>
      <c r="I29" s="5" t="s">
        <v>63</v>
      </c>
      <c r="J29" s="5" t="s">
        <v>76</v>
      </c>
      <c r="K29" s="5" t="s">
        <v>65</v>
      </c>
      <c r="L29" s="6" t="n">
        <v>40413</v>
      </c>
      <c r="M29" s="5" t="s">
        <v>285</v>
      </c>
      <c r="N29" s="6" t="n">
        <v>30974</v>
      </c>
      <c r="O29" s="5" t="s">
        <v>162</v>
      </c>
      <c r="P29" s="5" t="s">
        <v>162</v>
      </c>
      <c r="Q29" s="5" t="s">
        <v>286</v>
      </c>
      <c r="R29" s="5" t="s">
        <v>287</v>
      </c>
      <c r="S29" s="5" t="s">
        <v>288</v>
      </c>
      <c r="T29" s="6"/>
      <c r="U29" s="6" t="n">
        <v>46113</v>
      </c>
      <c r="V29" s="5" t="s">
        <v>83</v>
      </c>
      <c r="W29" s="5" t="s">
        <v>83</v>
      </c>
      <c r="X29" s="5" t="s">
        <v>83</v>
      </c>
      <c r="Y29" s="5" t="s">
        <v>83</v>
      </c>
      <c r="Z29" s="5" t="s">
        <v>83</v>
      </c>
      <c r="AA29" s="5" t="s">
        <v>289</v>
      </c>
      <c r="AB29" s="0" t="n">
        <f aca="false">IFERROR(VALUE(R29),0)</f>
        <v>4</v>
      </c>
      <c r="AC29" s="0" t="n">
        <f aca="false">IFERROR(VALUE(M29),"")</f>
        <v>41.7</v>
      </c>
      <c r="AD29" s="0" t="n">
        <f aca="false">IFERROR(VALUE(Q29),"")</f>
        <v>15.9</v>
      </c>
      <c r="AE29" s="0" t="n">
        <f aca="false">IFERROR(VALUE(S29),"")</f>
        <v>19.9</v>
      </c>
      <c r="AF29" s="0" t="n">
        <f aca="false">IF(V29="","",VLOOKUP(V29,Assumptions!$B$6:$C$9,2,FALSE()))</f>
        <v>4</v>
      </c>
      <c r="AG29" s="0" t="n">
        <f aca="false">IF(W29="","",VLOOKUP(W29,Assumptions!$B$6:$C$9,2,FALSE()))</f>
        <v>4</v>
      </c>
      <c r="AH29" s="0" t="n">
        <f aca="false">IF(X29="","",VLOOKUP(X29,Assumptions!$B$6:$C$9,2,FALSE()))</f>
        <v>4</v>
      </c>
      <c r="AI29" s="0" t="n">
        <f aca="false">IF(Y29="","",VLOOKUP(Y29,Assumptions!$B$6:$C$9,2,FALSE()))</f>
        <v>4</v>
      </c>
      <c r="AJ29" s="0" t="n">
        <f aca="false">IF(Z29="","",VLOOKUP(Z29,Assumptions!$B$6:$C$9,2,FALSE()))</f>
        <v>4</v>
      </c>
      <c r="AK29" s="7" t="n">
        <f aca="false">IFERROR(ROUND(AVERAGE(AF29:AJ29),3),"")</f>
        <v>4</v>
      </c>
      <c r="AL29" s="7" t="n">
        <f aca="false">IF(OR(AF29="",AJ29=""),"",AJ29-AF29)</f>
        <v>0</v>
      </c>
      <c r="AM29" s="7" t="n">
        <f aca="false">IF(COUNT(AF29:AJ29)&gt;=2,ROUND(_xlfn.STDEV.S(AF29:AJ29),3),"")</f>
        <v>0</v>
      </c>
      <c r="AN29" s="7" t="n">
        <f aca="false">ROUND((IF(AF29="",0,AF29)*Assumptions!$F$15)+(IF(AG29="",0,AG29)*Assumptions!$F$16)+(IF(AH29="",0,AH29)*Assumptions!$F$17)+(IF(AI29="",0,AI29)*Assumptions!$F$18)+(IF(AJ29="",0,AJ29)*Assumptions!$F$19),3)</f>
        <v>4</v>
      </c>
      <c r="AO29" s="0" t="str">
        <f aca="false">IF(AC29&lt;=20,"",IF(AC29&lt;=Assumptions!$F$6,"20-30",IF(AC29&lt;=Assumptions!$F$7,"30-40",IF(AC29&lt;=Assumptions!$F$8,"40-50",IF(AC29&lt;=Assumptions!$F$9,"50-60",IF(AC29&lt;=Assumptions!$F$10,"60+",""))))))</f>
        <v>40-50</v>
      </c>
      <c r="AP29" s="0" t="str">
        <f aca="false">IFERROR(VLOOKUP(O29,Assumptions!$B$14:$C$26,2,FALSE()),"Other")</f>
        <v>Manager</v>
      </c>
      <c r="AQ29" s="0" t="n">
        <f aca="false">IF(T29="",0,1)</f>
        <v>0</v>
      </c>
      <c r="AR29" s="0" t="n">
        <f aca="false">IF(U29="",0,1)</f>
        <v>1</v>
      </c>
      <c r="AS29" s="8" t="n">
        <f aca="false">IF(AK29="","",IF(MAX($AK$2:$AK$921)=MIN($AK$2:$AK$921),50,ROUND((AK29-MIN($AK$2:$AK$921))/(MAX($AK$2:$AK$921)-MIN($AK$2:$AK$921))*100,2)))</f>
        <v>100</v>
      </c>
      <c r="AT29" s="8" t="n">
        <f aca="false">IF(MAX($BC$2:$BC$921)=MIN($BC$2:$BC$921),50,ROUND((BC29-MIN($BC$2:$BC$921))/(MAX($BC$2:$BC$921)-MIN($BC$2:$BC$921))*100,2))</f>
        <v>50</v>
      </c>
      <c r="AU29" s="8" t="n">
        <f aca="false">IF(MAX($BE$2:$BE$921)=MIN($BE$2:$BE$921),50,ROUND((BE29-MIN($BE$2:$BE$921))/(MAX($BE$2:$BE$921)-MIN($BE$2:$BE$921))*100,2))</f>
        <v>100</v>
      </c>
      <c r="AV29" s="8" t="n">
        <f aca="false">IF(MAX($AD$2:$AD$921)=MIN($AD$2:$AD$921),50,ROUND((AD29-MIN($AD$2:$AD$921))/(MAX($AD$2:$AD$921)-MIN($AD$2:$AD$921))*100,2))</f>
        <v>42.92</v>
      </c>
      <c r="AW29" s="8" t="n">
        <f aca="false">IF(MAX($AN$2:$AN$921)=MIN($AN$2:$AN$921),50,ROUND((AN29-MIN($AN$2:$AN$921))/(MAX($AN$2:$AN$921)-MIN($AN$2:$AN$921))*100,2))</f>
        <v>100</v>
      </c>
      <c r="AX29" s="8" t="n">
        <f aca="false">AQ29*100</f>
        <v>0</v>
      </c>
      <c r="AY29" s="8" t="n">
        <f aca="false">AR29*100</f>
        <v>100</v>
      </c>
      <c r="AZ29" s="8" t="n">
        <f aca="false">IFERROR(ROUND(AS29*Assumptions!$I$6+AW29*Assumptions!$I$7+AT29*Assumptions!$I$8+AU29*Assumptions!$I$9+AV29*Assumptions!$I$10+AX29*Assumptions!$I$11+AY29*Assumptions!$I$12,2),"")</f>
        <v>81.79</v>
      </c>
      <c r="BA29" s="0" t="str">
        <f aca="false">IF(AZ29="","",IF(AZ29&lt;=Assumptions!$I$18,"Below Expectation",IF(AZ29&lt;=Assumptions!$I$19,"Developing",IF(AZ29&lt;=Assumptions!$I$20,"Meets Expectation",IF(AZ29&lt;=Assumptions!$I$21,"Exceeds","Star Performer")))))</f>
        <v>Exceeds</v>
      </c>
      <c r="BB29" s="0" t="n">
        <f aca="false">IF(AZ29="",0,IF(AZ29&gt;=Assumptions!$I$26,1,0))</f>
        <v>1</v>
      </c>
      <c r="BC29" s="9" t="n">
        <f aca="false">IF(AL29="",2,AL29+2)</f>
        <v>2</v>
      </c>
      <c r="BD29" s="10" t="n">
        <f aca="false">IF(AM29="",ROUND(AVERAGE($AM$2:$AM$921),3),AM29)</f>
        <v>0</v>
      </c>
      <c r="BE29" s="9" t="n">
        <f aca="false">1-BD29</f>
        <v>1</v>
      </c>
    </row>
    <row r="30" customFormat="false" ht="14.25" hidden="true" customHeight="false" outlineLevel="0" collapsed="false">
      <c r="A30" s="4" t="n">
        <v>115</v>
      </c>
      <c r="B30" s="5" t="n">
        <v>10035303</v>
      </c>
      <c r="C30" s="5" t="s">
        <v>85</v>
      </c>
      <c r="D30" s="5" t="s">
        <v>290</v>
      </c>
      <c r="E30" s="5" t="s">
        <v>291</v>
      </c>
      <c r="F30" s="5" t="s">
        <v>292</v>
      </c>
      <c r="G30" s="5" t="s">
        <v>293</v>
      </c>
      <c r="H30" s="5" t="s">
        <v>292</v>
      </c>
      <c r="I30" s="5" t="s">
        <v>63</v>
      </c>
      <c r="J30" s="5" t="s">
        <v>76</v>
      </c>
      <c r="K30" s="5" t="s">
        <v>65</v>
      </c>
      <c r="L30" s="6" t="n">
        <v>41235</v>
      </c>
      <c r="M30" s="5" t="s">
        <v>294</v>
      </c>
      <c r="N30" s="6" t="n">
        <v>28464</v>
      </c>
      <c r="O30" s="5" t="s">
        <v>122</v>
      </c>
      <c r="P30" s="5" t="s">
        <v>123</v>
      </c>
      <c r="Q30" s="5" t="s">
        <v>295</v>
      </c>
      <c r="R30" s="5" t="s">
        <v>296</v>
      </c>
      <c r="S30" s="5" t="s">
        <v>242</v>
      </c>
      <c r="T30" s="6" t="n">
        <v>42491</v>
      </c>
      <c r="U30" s="6"/>
      <c r="V30" s="5" t="s">
        <v>83</v>
      </c>
      <c r="W30" s="5" t="s">
        <v>83</v>
      </c>
      <c r="X30" s="5" t="s">
        <v>83</v>
      </c>
      <c r="Y30" s="5" t="s">
        <v>83</v>
      </c>
      <c r="Z30" s="5" t="s">
        <v>83</v>
      </c>
      <c r="AA30" s="5" t="s">
        <v>297</v>
      </c>
      <c r="AB30" s="0" t="n">
        <f aca="false">IFERROR(VALUE(R30),0)</f>
        <v>13.3</v>
      </c>
      <c r="AC30" s="0" t="n">
        <f aca="false">IFERROR(VALUE(M30),"")</f>
        <v>48.6</v>
      </c>
      <c r="AD30" s="0" t="n">
        <f aca="false">IFERROR(VALUE(Q30),"")</f>
        <v>13.6</v>
      </c>
      <c r="AE30" s="0" t="n">
        <f aca="false">IFERROR(VALUE(S30),"")</f>
        <v>26.9</v>
      </c>
      <c r="AF30" s="0" t="n">
        <f aca="false">IF(V30="","",VLOOKUP(V30,Assumptions!$B$6:$C$9,2,FALSE()))</f>
        <v>4</v>
      </c>
      <c r="AG30" s="0" t="n">
        <f aca="false">IF(W30="","",VLOOKUP(W30,Assumptions!$B$6:$C$9,2,FALSE()))</f>
        <v>4</v>
      </c>
      <c r="AH30" s="0" t="n">
        <f aca="false">IF(X30="","",VLOOKUP(X30,Assumptions!$B$6:$C$9,2,FALSE()))</f>
        <v>4</v>
      </c>
      <c r="AI30" s="0" t="n">
        <f aca="false">IF(Y30="","",VLOOKUP(Y30,Assumptions!$B$6:$C$9,2,FALSE()))</f>
        <v>4</v>
      </c>
      <c r="AJ30" s="0" t="n">
        <f aca="false">IF(Z30="","",VLOOKUP(Z30,Assumptions!$B$6:$C$9,2,FALSE()))</f>
        <v>4</v>
      </c>
      <c r="AK30" s="7" t="n">
        <f aca="false">IFERROR(ROUND(AVERAGE(AF30:AJ30),3),"")</f>
        <v>4</v>
      </c>
      <c r="AL30" s="7" t="n">
        <f aca="false">IF(OR(AF30="",AJ30=""),"",AJ30-AF30)</f>
        <v>0</v>
      </c>
      <c r="AM30" s="7" t="n">
        <f aca="false">IF(COUNT(AF30:AJ30)&gt;=2,ROUND(_xlfn.STDEV.S(AF30:AJ30),3),"")</f>
        <v>0</v>
      </c>
      <c r="AN30" s="7" t="n">
        <f aca="false">ROUND((IF(AF30="",0,AF30)*Assumptions!$F$15)+(IF(AG30="",0,AG30)*Assumptions!$F$16)+(IF(AH30="",0,AH30)*Assumptions!$F$17)+(IF(AI30="",0,AI30)*Assumptions!$F$18)+(IF(AJ30="",0,AJ30)*Assumptions!$F$19),3)</f>
        <v>4</v>
      </c>
      <c r="AO30" s="0" t="str">
        <f aca="false">IF(AC30&lt;=20,"",IF(AC30&lt;=Assumptions!$F$6,"20-30",IF(AC30&lt;=Assumptions!$F$7,"30-40",IF(AC30&lt;=Assumptions!$F$8,"40-50",IF(AC30&lt;=Assumptions!$F$9,"50-60",IF(AC30&lt;=Assumptions!$F$10,"60+",""))))))</f>
        <v>40-50</v>
      </c>
      <c r="AP30" s="0" t="str">
        <f aca="false">IFERROR(VLOOKUP(O30,Assumptions!$B$14:$C$26,2,FALSE()),"Other")</f>
        <v>Leadership</v>
      </c>
      <c r="AQ30" s="0" t="n">
        <f aca="false">IF(T30="",0,1)</f>
        <v>1</v>
      </c>
      <c r="AR30" s="0" t="n">
        <f aca="false">IF(U30="",0,1)</f>
        <v>0</v>
      </c>
      <c r="AS30" s="8" t="n">
        <f aca="false">IF(AK30="","",IF(MAX($AK$2:$AK$921)=MIN($AK$2:$AK$921),50,ROUND((AK30-MIN($AK$2:$AK$921))/(MAX($AK$2:$AK$921)-MIN($AK$2:$AK$921))*100,2)))</f>
        <v>100</v>
      </c>
      <c r="AT30" s="8" t="n">
        <f aca="false">IF(MAX($BC$2:$BC$921)=MIN($BC$2:$BC$921),50,ROUND((BC30-MIN($BC$2:$BC$921))/(MAX($BC$2:$BC$921)-MIN($BC$2:$BC$921))*100,2))</f>
        <v>50</v>
      </c>
      <c r="AU30" s="8" t="n">
        <f aca="false">IF(MAX($BE$2:$BE$921)=MIN($BE$2:$BE$921),50,ROUND((BE30-MIN($BE$2:$BE$921))/(MAX($BE$2:$BE$921)-MIN($BE$2:$BE$921))*100,2))</f>
        <v>100</v>
      </c>
      <c r="AV30" s="8" t="n">
        <f aca="false">IF(MAX($AD$2:$AD$921)=MIN($AD$2:$AD$921),50,ROUND((AD30-MIN($AD$2:$AD$921))/(MAX($AD$2:$AD$921)-MIN($AD$2:$AD$921))*100,2))</f>
        <v>36.67</v>
      </c>
      <c r="AW30" s="8" t="n">
        <f aca="false">IF(MAX($AN$2:$AN$921)=MIN($AN$2:$AN$921),50,ROUND((AN30-MIN($AN$2:$AN$921))/(MAX($AN$2:$AN$921)-MIN($AN$2:$AN$921))*100,2))</f>
        <v>100</v>
      </c>
      <c r="AX30" s="8" t="n">
        <f aca="false">AQ30*100</f>
        <v>100</v>
      </c>
      <c r="AY30" s="8" t="n">
        <f aca="false">AR30*100</f>
        <v>0</v>
      </c>
      <c r="AZ30" s="8" t="n">
        <f aca="false">IFERROR(ROUND(AS30*Assumptions!$I$6+AW30*Assumptions!$I$7+AT30*Assumptions!$I$8+AU30*Assumptions!$I$9+AV30*Assumptions!$I$10+AX30*Assumptions!$I$11+AY30*Assumptions!$I$12,2),"")</f>
        <v>81.17</v>
      </c>
      <c r="BA30" s="0" t="str">
        <f aca="false">IF(AZ30="","",IF(AZ30&lt;=Assumptions!$I$18,"Below Expectation",IF(AZ30&lt;=Assumptions!$I$19,"Developing",IF(AZ30&lt;=Assumptions!$I$20,"Meets Expectation",IF(AZ30&lt;=Assumptions!$I$21,"Exceeds","Star Performer")))))</f>
        <v>Exceeds</v>
      </c>
      <c r="BB30" s="0" t="n">
        <f aca="false">IF(AZ30="",0,IF(AZ30&gt;=Assumptions!$I$26,1,0))</f>
        <v>1</v>
      </c>
      <c r="BC30" s="9" t="n">
        <f aca="false">IF(AL30="",2,AL30+2)</f>
        <v>2</v>
      </c>
      <c r="BD30" s="10" t="n">
        <f aca="false">IF(AM30="",ROUND(AVERAGE($AM$2:$AM$921),3),AM30)</f>
        <v>0</v>
      </c>
      <c r="BE30" s="9" t="n">
        <f aca="false">1-BD30</f>
        <v>1</v>
      </c>
    </row>
    <row r="31" customFormat="false" ht="14.25" hidden="true" customHeight="false" outlineLevel="0" collapsed="false">
      <c r="A31" s="4" t="n">
        <v>347</v>
      </c>
      <c r="B31" s="5" t="n">
        <v>37100212</v>
      </c>
      <c r="C31" s="5" t="s">
        <v>57</v>
      </c>
      <c r="D31" s="5" t="s">
        <v>298</v>
      </c>
      <c r="E31" s="5" t="s">
        <v>299</v>
      </c>
      <c r="F31" s="5" t="s">
        <v>209</v>
      </c>
      <c r="G31" s="5" t="s">
        <v>210</v>
      </c>
      <c r="H31" s="5" t="s">
        <v>209</v>
      </c>
      <c r="I31" s="5" t="s">
        <v>63</v>
      </c>
      <c r="J31" s="5" t="s">
        <v>100</v>
      </c>
      <c r="K31" s="5" t="s">
        <v>65</v>
      </c>
      <c r="L31" s="6" t="n">
        <v>38047</v>
      </c>
      <c r="M31" s="5" t="s">
        <v>300</v>
      </c>
      <c r="N31" s="6" t="n">
        <v>28434</v>
      </c>
      <c r="O31" s="5" t="s">
        <v>262</v>
      </c>
      <c r="P31" s="5" t="s">
        <v>263</v>
      </c>
      <c r="Q31" s="5" t="s">
        <v>301</v>
      </c>
      <c r="R31" s="5" t="s">
        <v>302</v>
      </c>
      <c r="S31" s="5" t="s">
        <v>114</v>
      </c>
      <c r="T31" s="6" t="n">
        <v>38808</v>
      </c>
      <c r="U31" s="6" t="n">
        <v>44652</v>
      </c>
      <c r="V31" s="5" t="s">
        <v>83</v>
      </c>
      <c r="W31" s="5" t="s">
        <v>83</v>
      </c>
      <c r="X31" s="5" t="s">
        <v>141</v>
      </c>
      <c r="Y31" s="5" t="s">
        <v>83</v>
      </c>
      <c r="Z31" s="5" t="s">
        <v>83</v>
      </c>
      <c r="AA31" s="5" t="s">
        <v>303</v>
      </c>
      <c r="AB31" s="0" t="n">
        <f aca="false">IFERROR(VALUE(R31),0)</f>
        <v>5.8</v>
      </c>
      <c r="AC31" s="0" t="n">
        <f aca="false">IFERROR(VALUE(M31),"")</f>
        <v>48.7</v>
      </c>
      <c r="AD31" s="0" t="n">
        <f aca="false">IFERROR(VALUE(Q31),"")</f>
        <v>22.3</v>
      </c>
      <c r="AE31" s="0" t="n">
        <f aca="false">IFERROR(VALUE(S31),"")</f>
        <v>27.11</v>
      </c>
      <c r="AF31" s="0" t="n">
        <f aca="false">IF(V31="","",VLOOKUP(V31,Assumptions!$B$6:$C$9,2,FALSE()))</f>
        <v>4</v>
      </c>
      <c r="AG31" s="0" t="n">
        <f aca="false">IF(W31="","",VLOOKUP(W31,Assumptions!$B$6:$C$9,2,FALSE()))</f>
        <v>4</v>
      </c>
      <c r="AH31" s="0" t="n">
        <f aca="false">IF(X31="","",VLOOKUP(X31,Assumptions!$B$6:$C$9,2,FALSE()))</f>
        <v>3</v>
      </c>
      <c r="AI31" s="0" t="n">
        <f aca="false">IF(Y31="","",VLOOKUP(Y31,Assumptions!$B$6:$C$9,2,FALSE()))</f>
        <v>4</v>
      </c>
      <c r="AJ31" s="0" t="n">
        <f aca="false">IF(Z31="","",VLOOKUP(Z31,Assumptions!$B$6:$C$9,2,FALSE()))</f>
        <v>4</v>
      </c>
      <c r="AK31" s="7" t="n">
        <f aca="false">IFERROR(ROUND(AVERAGE(AF31:AJ31),3),"")</f>
        <v>3.8</v>
      </c>
      <c r="AL31" s="7" t="n">
        <f aca="false">IF(OR(AF31="",AJ31=""),"",AJ31-AF31)</f>
        <v>0</v>
      </c>
      <c r="AM31" s="7" t="n">
        <f aca="false">IF(COUNT(AF31:AJ31)&gt;=2,ROUND(_xlfn.STDEV.S(AF31:AJ31),3),"")</f>
        <v>0.447</v>
      </c>
      <c r="AN31" s="7" t="n">
        <f aca="false">ROUND((IF(AF31="",0,AF31)*Assumptions!$F$15)+(IF(AG31="",0,AG31)*Assumptions!$F$16)+(IF(AH31="",0,AH31)*Assumptions!$F$17)+(IF(AI31="",0,AI31)*Assumptions!$F$18)+(IF(AJ31="",0,AJ31)*Assumptions!$F$19),3)</f>
        <v>3.8</v>
      </c>
      <c r="AO31" s="0" t="str">
        <f aca="false">IF(AC31&lt;=20,"",IF(AC31&lt;=Assumptions!$F$6,"20-30",IF(AC31&lt;=Assumptions!$F$7,"30-40",IF(AC31&lt;=Assumptions!$F$8,"40-50",IF(AC31&lt;=Assumptions!$F$9,"50-60",IF(AC31&lt;=Assumptions!$F$10,"60+",""))))))</f>
        <v>40-50</v>
      </c>
      <c r="AP31" s="0" t="str">
        <f aca="false">IFERROR(VLOOKUP(O31,Assumptions!$B$14:$C$26,2,FALSE()),"Other")</f>
        <v>Manager</v>
      </c>
      <c r="AQ31" s="0" t="n">
        <f aca="false">IF(T31="",0,1)</f>
        <v>1</v>
      </c>
      <c r="AR31" s="0" t="n">
        <f aca="false">IF(U31="",0,1)</f>
        <v>1</v>
      </c>
      <c r="AS31" s="8" t="n">
        <f aca="false">IF(AK31="","",IF(MAX($AK$2:$AK$921)=MIN($AK$2:$AK$921),50,ROUND((AK31-MIN($AK$2:$AK$921))/(MAX($AK$2:$AK$921)-MIN($AK$2:$AK$921))*100,2)))</f>
        <v>91.43</v>
      </c>
      <c r="AT31" s="8" t="n">
        <f aca="false">IF(MAX($BC$2:$BC$921)=MIN($BC$2:$BC$921),50,ROUND((BC31-MIN($BC$2:$BC$921))/(MAX($BC$2:$BC$921)-MIN($BC$2:$BC$921))*100,2))</f>
        <v>50</v>
      </c>
      <c r="AU31" s="8" t="n">
        <f aca="false">IF(MAX($BE$2:$BE$921)=MIN($BE$2:$BE$921),50,ROUND((BE31-MIN($BE$2:$BE$921))/(MAX($BE$2:$BE$921)-MIN($BE$2:$BE$921))*100,2))</f>
        <v>74.19</v>
      </c>
      <c r="AV31" s="8" t="n">
        <f aca="false">IF(MAX($AD$2:$AD$921)=MIN($AD$2:$AD$921),50,ROUND((AD31-MIN($AD$2:$AD$921))/(MAX($AD$2:$AD$921)-MIN($AD$2:$AD$921))*100,2))</f>
        <v>60.32</v>
      </c>
      <c r="AW31" s="8" t="n">
        <f aca="false">IF(MAX($AN$2:$AN$921)=MIN($AN$2:$AN$921),50,ROUND((AN31-MIN($AN$2:$AN$921))/(MAX($AN$2:$AN$921)-MIN($AN$2:$AN$921))*100,2))</f>
        <v>95</v>
      </c>
      <c r="AX31" s="8" t="n">
        <f aca="false">AQ31*100</f>
        <v>100</v>
      </c>
      <c r="AY31" s="8" t="n">
        <f aca="false">AR31*100</f>
        <v>100</v>
      </c>
      <c r="AZ31" s="8" t="n">
        <f aca="false">IFERROR(ROUND(AS31*Assumptions!$I$6+AW31*Assumptions!$I$7+AT31*Assumptions!$I$8+AU31*Assumptions!$I$9+AV31*Assumptions!$I$10+AX31*Assumptions!$I$11+AY31*Assumptions!$I$12,2),"")</f>
        <v>81.09</v>
      </c>
      <c r="BA31" s="0" t="str">
        <f aca="false">IF(AZ31="","",IF(AZ31&lt;=Assumptions!$I$18,"Below Expectation",IF(AZ31&lt;=Assumptions!$I$19,"Developing",IF(AZ31&lt;=Assumptions!$I$20,"Meets Expectation",IF(AZ31&lt;=Assumptions!$I$21,"Exceeds","Star Performer")))))</f>
        <v>Exceeds</v>
      </c>
      <c r="BB31" s="0" t="n">
        <f aca="false">IF(AZ31="",0,IF(AZ31&gt;=Assumptions!$I$26,1,0))</f>
        <v>1</v>
      </c>
      <c r="BC31" s="9" t="n">
        <f aca="false">IF(AL31="",2,AL31+2)</f>
        <v>2</v>
      </c>
      <c r="BD31" s="10" t="n">
        <f aca="false">IF(AM31="",ROUND(AVERAGE($AM$2:$AM$921),3),AM31)</f>
        <v>0.447</v>
      </c>
      <c r="BE31" s="9" t="n">
        <f aca="false">1-BD31</f>
        <v>0.553</v>
      </c>
    </row>
    <row r="32" customFormat="false" ht="14.25" hidden="false" customHeight="false" outlineLevel="0" collapsed="false">
      <c r="A32" s="4" t="n">
        <v>435</v>
      </c>
      <c r="B32" s="5" t="n">
        <v>50011635</v>
      </c>
      <c r="C32" s="5" t="s">
        <v>106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63</v>
      </c>
      <c r="J32" s="5" t="s">
        <v>112</v>
      </c>
      <c r="K32" s="5" t="s">
        <v>309</v>
      </c>
      <c r="L32" s="6" t="n">
        <v>41327</v>
      </c>
      <c r="M32" s="5" t="s">
        <v>310</v>
      </c>
      <c r="N32" s="6" t="n">
        <v>32976</v>
      </c>
      <c r="O32" s="5" t="s">
        <v>262</v>
      </c>
      <c r="P32" s="5" t="s">
        <v>263</v>
      </c>
      <c r="Q32" s="5" t="s">
        <v>296</v>
      </c>
      <c r="R32" s="5" t="s">
        <v>311</v>
      </c>
      <c r="S32" s="5" t="s">
        <v>312</v>
      </c>
      <c r="T32" s="6"/>
      <c r="U32" s="6" t="n">
        <v>45992</v>
      </c>
      <c r="V32" s="5" t="s">
        <v>83</v>
      </c>
      <c r="W32" s="5" t="s">
        <v>83</v>
      </c>
      <c r="X32" s="5" t="s">
        <v>83</v>
      </c>
      <c r="Y32" s="5" t="s">
        <v>83</v>
      </c>
      <c r="Z32" s="5" t="s">
        <v>83</v>
      </c>
      <c r="AA32" s="5" t="s">
        <v>313</v>
      </c>
      <c r="AB32" s="0" t="n">
        <f aca="false">IFERROR(VALUE(R32),0)</f>
        <v>0.6</v>
      </c>
      <c r="AC32" s="0" t="n">
        <f aca="false">IFERROR(VALUE(M32),"")</f>
        <v>36.1</v>
      </c>
      <c r="AD32" s="0" t="n">
        <f aca="false">IFERROR(VALUE(Q32),"")</f>
        <v>13.3</v>
      </c>
      <c r="AE32" s="0" t="n">
        <f aca="false">IFERROR(VALUE(S32),"")</f>
        <v>13.9</v>
      </c>
      <c r="AF32" s="0" t="n">
        <f aca="false">IF(V32="","",VLOOKUP(V32,Assumptions!$B$6:$C$9,2,FALSE()))</f>
        <v>4</v>
      </c>
      <c r="AG32" s="0" t="n">
        <f aca="false">IF(W32="","",VLOOKUP(W32,Assumptions!$B$6:$C$9,2,FALSE()))</f>
        <v>4</v>
      </c>
      <c r="AH32" s="0" t="n">
        <f aca="false">IF(X32="","",VLOOKUP(X32,Assumptions!$B$6:$C$9,2,FALSE()))</f>
        <v>4</v>
      </c>
      <c r="AI32" s="0" t="n">
        <f aca="false">IF(Y32="","",VLOOKUP(Y32,Assumptions!$B$6:$C$9,2,FALSE()))</f>
        <v>4</v>
      </c>
      <c r="AJ32" s="0" t="n">
        <f aca="false">IF(Z32="","",VLOOKUP(Z32,Assumptions!$B$6:$C$9,2,FALSE()))</f>
        <v>4</v>
      </c>
      <c r="AK32" s="7" t="n">
        <f aca="false">IFERROR(ROUND(AVERAGE(AF32:AJ32),3),"")</f>
        <v>4</v>
      </c>
      <c r="AL32" s="7" t="n">
        <f aca="false">IF(OR(AF32="",AJ32=""),"",AJ32-AF32)</f>
        <v>0</v>
      </c>
      <c r="AM32" s="7" t="n">
        <f aca="false">IF(COUNT(AF32:AJ32)&gt;=2,ROUND(_xlfn.STDEV.S(AF32:AJ32),3),"")</f>
        <v>0</v>
      </c>
      <c r="AN32" s="7" t="n">
        <f aca="false">ROUND((IF(AF32="",0,AF32)*Assumptions!$F$15)+(IF(AG32="",0,AG32)*Assumptions!$F$16)+(IF(AH32="",0,AH32)*Assumptions!$F$17)+(IF(AI32="",0,AI32)*Assumptions!$F$18)+(IF(AJ32="",0,AJ32)*Assumptions!$F$19),3)</f>
        <v>4</v>
      </c>
      <c r="AO32" s="0" t="str">
        <f aca="false">IF(AC32&lt;=20,"",IF(AC32&lt;=Assumptions!$F$6,"20-30",IF(AC32&lt;=Assumptions!$F$7,"30-40",IF(AC32&lt;=Assumptions!$F$8,"40-50",IF(AC32&lt;=Assumptions!$F$9,"50-60",IF(AC32&lt;=Assumptions!$F$10,"60+",""))))))</f>
        <v>30-40</v>
      </c>
      <c r="AP32" s="0" t="str">
        <f aca="false">IFERROR(VLOOKUP(O32,Assumptions!$B$14:$C$26,2,FALSE()),"Other")</f>
        <v>Manager</v>
      </c>
      <c r="AQ32" s="0" t="n">
        <f aca="false">IF(T32="",0,1)</f>
        <v>0</v>
      </c>
      <c r="AR32" s="0" t="n">
        <f aca="false">IF(U32="",0,1)</f>
        <v>1</v>
      </c>
      <c r="AS32" s="8" t="n">
        <f aca="false">IF(AK32="","",IF(MAX($AK$2:$AK$921)=MIN($AK$2:$AK$921),50,ROUND((AK32-MIN($AK$2:$AK$921))/(MAX($AK$2:$AK$921)-MIN($AK$2:$AK$921))*100,2)))</f>
        <v>100</v>
      </c>
      <c r="AT32" s="8" t="n">
        <f aca="false">IF(MAX($BC$2:$BC$921)=MIN($BC$2:$BC$921),50,ROUND((BC32-MIN($BC$2:$BC$921))/(MAX($BC$2:$BC$921)-MIN($BC$2:$BC$921))*100,2))</f>
        <v>50</v>
      </c>
      <c r="AU32" s="8" t="n">
        <f aca="false">IF(MAX($BE$2:$BE$921)=MIN($BE$2:$BE$921),50,ROUND((BE32-MIN($BE$2:$BE$921))/(MAX($BE$2:$BE$921)-MIN($BE$2:$BE$921))*100,2))</f>
        <v>100</v>
      </c>
      <c r="AV32" s="8" t="n">
        <f aca="false">IF(MAX($AD$2:$AD$921)=MIN($AD$2:$AD$921),50,ROUND((AD32-MIN($AD$2:$AD$921))/(MAX($AD$2:$AD$921)-MIN($AD$2:$AD$921))*100,2))</f>
        <v>35.85</v>
      </c>
      <c r="AW32" s="8" t="n">
        <f aca="false">IF(MAX($AN$2:$AN$921)=MIN($AN$2:$AN$921),50,ROUND((AN32-MIN($AN$2:$AN$921))/(MAX($AN$2:$AN$921)-MIN($AN$2:$AN$921))*100,2))</f>
        <v>100</v>
      </c>
      <c r="AX32" s="8" t="n">
        <f aca="false">AQ32*100</f>
        <v>0</v>
      </c>
      <c r="AY32" s="8" t="n">
        <f aca="false">AR32*100</f>
        <v>100</v>
      </c>
      <c r="AZ32" s="8" t="n">
        <f aca="false">IFERROR(ROUND(AS32*Assumptions!$I$6+AW32*Assumptions!$I$7+AT32*Assumptions!$I$8+AU32*Assumptions!$I$9+AV32*Assumptions!$I$10+AX32*Assumptions!$I$11+AY32*Assumptions!$I$12,2),"")</f>
        <v>81.09</v>
      </c>
      <c r="BA32" s="0" t="str">
        <f aca="false">IF(AZ32="","",IF(AZ32&lt;=Assumptions!$I$18,"Below Expectation",IF(AZ32&lt;=Assumptions!$I$19,"Developing",IF(AZ32&lt;=Assumptions!$I$20,"Meets Expectation",IF(AZ32&lt;=Assumptions!$I$21,"Exceeds","Star Performer")))))</f>
        <v>Exceeds</v>
      </c>
      <c r="BB32" s="0" t="n">
        <f aca="false">IF(AZ32="",0,IF(AZ32&gt;=Assumptions!$I$26,1,0))</f>
        <v>1</v>
      </c>
      <c r="BC32" s="9" t="n">
        <f aca="false">IF(AL32="",2,AL32+2)</f>
        <v>2</v>
      </c>
      <c r="BD32" s="10" t="n">
        <f aca="false">IF(AM32="",ROUND(AVERAGE($AM$2:$AM$921),3),AM32)</f>
        <v>0</v>
      </c>
      <c r="BE32" s="9" t="n">
        <f aca="false">1-BD32</f>
        <v>1</v>
      </c>
    </row>
    <row r="33" customFormat="false" ht="14.25" hidden="true" customHeight="false" outlineLevel="0" collapsed="false">
      <c r="A33" s="4" t="n">
        <v>132</v>
      </c>
      <c r="B33" s="5" t="n">
        <v>10042665</v>
      </c>
      <c r="C33" s="5" t="s">
        <v>85</v>
      </c>
      <c r="D33" s="5" t="s">
        <v>314</v>
      </c>
      <c r="E33" s="5" t="s">
        <v>315</v>
      </c>
      <c r="F33" s="5" t="s">
        <v>168</v>
      </c>
      <c r="G33" s="5" t="s">
        <v>169</v>
      </c>
      <c r="H33" s="5" t="s">
        <v>168</v>
      </c>
      <c r="I33" s="5" t="s">
        <v>63</v>
      </c>
      <c r="J33" s="5" t="s">
        <v>76</v>
      </c>
      <c r="K33" s="5" t="s">
        <v>65</v>
      </c>
      <c r="L33" s="6" t="n">
        <v>41736</v>
      </c>
      <c r="M33" s="5" t="s">
        <v>316</v>
      </c>
      <c r="N33" s="6" t="n">
        <v>29099</v>
      </c>
      <c r="O33" s="5" t="s">
        <v>122</v>
      </c>
      <c r="P33" s="5" t="s">
        <v>123</v>
      </c>
      <c r="Q33" s="5" t="s">
        <v>317</v>
      </c>
      <c r="R33" s="5" t="s">
        <v>318</v>
      </c>
      <c r="S33" s="5" t="s">
        <v>319</v>
      </c>
      <c r="T33" s="6"/>
      <c r="U33" s="6" t="n">
        <v>44652</v>
      </c>
      <c r="V33" s="5" t="s">
        <v>83</v>
      </c>
      <c r="W33" s="5" t="s">
        <v>83</v>
      </c>
      <c r="X33" s="5" t="s">
        <v>83</v>
      </c>
      <c r="Y33" s="5" t="s">
        <v>83</v>
      </c>
      <c r="Z33" s="5" t="s">
        <v>83</v>
      </c>
      <c r="AA33" s="5" t="s">
        <v>320</v>
      </c>
      <c r="AB33" s="0" t="n">
        <f aca="false">IFERROR(VALUE(R33),0)</f>
        <v>10.2</v>
      </c>
      <c r="AC33" s="0" t="n">
        <f aca="false">IFERROR(VALUE(M33),"")</f>
        <v>46.9</v>
      </c>
      <c r="AD33" s="0" t="n">
        <f aca="false">IFERROR(VALUE(Q33),"")</f>
        <v>12.2</v>
      </c>
      <c r="AE33" s="0" t="n">
        <f aca="false">IFERROR(VALUE(S33),"")</f>
        <v>22.4</v>
      </c>
      <c r="AF33" s="0" t="n">
        <f aca="false">IF(V33="","",VLOOKUP(V33,Assumptions!$B$6:$C$9,2,FALSE()))</f>
        <v>4</v>
      </c>
      <c r="AG33" s="0" t="n">
        <f aca="false">IF(W33="","",VLOOKUP(W33,Assumptions!$B$6:$C$9,2,FALSE()))</f>
        <v>4</v>
      </c>
      <c r="AH33" s="0" t="n">
        <f aca="false">IF(X33="","",VLOOKUP(X33,Assumptions!$B$6:$C$9,2,FALSE()))</f>
        <v>4</v>
      </c>
      <c r="AI33" s="0" t="n">
        <f aca="false">IF(Y33="","",VLOOKUP(Y33,Assumptions!$B$6:$C$9,2,FALSE()))</f>
        <v>4</v>
      </c>
      <c r="AJ33" s="0" t="n">
        <f aca="false">IF(Z33="","",VLOOKUP(Z33,Assumptions!$B$6:$C$9,2,FALSE()))</f>
        <v>4</v>
      </c>
      <c r="AK33" s="7" t="n">
        <f aca="false">IFERROR(ROUND(AVERAGE(AF33:AJ33),3),"")</f>
        <v>4</v>
      </c>
      <c r="AL33" s="7" t="n">
        <f aca="false">IF(OR(AF33="",AJ33=""),"",AJ33-AF33)</f>
        <v>0</v>
      </c>
      <c r="AM33" s="7" t="n">
        <f aca="false">IF(COUNT(AF33:AJ33)&gt;=2,ROUND(_xlfn.STDEV.S(AF33:AJ33),3),"")</f>
        <v>0</v>
      </c>
      <c r="AN33" s="7" t="n">
        <f aca="false">ROUND((IF(AF33="",0,AF33)*Assumptions!$F$15)+(IF(AG33="",0,AG33)*Assumptions!$F$16)+(IF(AH33="",0,AH33)*Assumptions!$F$17)+(IF(AI33="",0,AI33)*Assumptions!$F$18)+(IF(AJ33="",0,AJ33)*Assumptions!$F$19),3)</f>
        <v>4</v>
      </c>
      <c r="AO33" s="0" t="str">
        <f aca="false">IF(AC33&lt;=20,"",IF(AC33&lt;=Assumptions!$F$6,"20-30",IF(AC33&lt;=Assumptions!$F$7,"30-40",IF(AC33&lt;=Assumptions!$F$8,"40-50",IF(AC33&lt;=Assumptions!$F$9,"50-60",IF(AC33&lt;=Assumptions!$F$10,"60+",""))))))</f>
        <v>40-50</v>
      </c>
      <c r="AP33" s="0" t="str">
        <f aca="false">IFERROR(VLOOKUP(O33,Assumptions!$B$14:$C$26,2,FALSE()),"Other")</f>
        <v>Leadership</v>
      </c>
      <c r="AQ33" s="0" t="n">
        <f aca="false">IF(T33="",0,1)</f>
        <v>0</v>
      </c>
      <c r="AR33" s="0" t="n">
        <f aca="false">IF(U33="",0,1)</f>
        <v>1</v>
      </c>
      <c r="AS33" s="8" t="n">
        <f aca="false">IF(AK33="","",IF(MAX($AK$2:$AK$921)=MIN($AK$2:$AK$921),50,ROUND((AK33-MIN($AK$2:$AK$921))/(MAX($AK$2:$AK$921)-MIN($AK$2:$AK$921))*100,2)))</f>
        <v>100</v>
      </c>
      <c r="AT33" s="8" t="n">
        <f aca="false">IF(MAX($BC$2:$BC$921)=MIN($BC$2:$BC$921),50,ROUND((BC33-MIN($BC$2:$BC$921))/(MAX($BC$2:$BC$921)-MIN($BC$2:$BC$921))*100,2))</f>
        <v>50</v>
      </c>
      <c r="AU33" s="8" t="n">
        <f aca="false">IF(MAX($BE$2:$BE$921)=MIN($BE$2:$BE$921),50,ROUND((BE33-MIN($BE$2:$BE$921))/(MAX($BE$2:$BE$921)-MIN($BE$2:$BE$921))*100,2))</f>
        <v>100</v>
      </c>
      <c r="AV33" s="8" t="n">
        <f aca="false">IF(MAX($AD$2:$AD$921)=MIN($AD$2:$AD$921),50,ROUND((AD33-MIN($AD$2:$AD$921))/(MAX($AD$2:$AD$921)-MIN($AD$2:$AD$921))*100,2))</f>
        <v>32.86</v>
      </c>
      <c r="AW33" s="8" t="n">
        <f aca="false">IF(MAX($AN$2:$AN$921)=MIN($AN$2:$AN$921),50,ROUND((AN33-MIN($AN$2:$AN$921))/(MAX($AN$2:$AN$921)-MIN($AN$2:$AN$921))*100,2))</f>
        <v>100</v>
      </c>
      <c r="AX33" s="8" t="n">
        <f aca="false">AQ33*100</f>
        <v>0</v>
      </c>
      <c r="AY33" s="8" t="n">
        <f aca="false">AR33*100</f>
        <v>100</v>
      </c>
      <c r="AZ33" s="8" t="n">
        <f aca="false">IFERROR(ROUND(AS33*Assumptions!$I$6+AW33*Assumptions!$I$7+AT33*Assumptions!$I$8+AU33*Assumptions!$I$9+AV33*Assumptions!$I$10+AX33*Assumptions!$I$11+AY33*Assumptions!$I$12,2),"")</f>
        <v>80.79</v>
      </c>
      <c r="BA33" s="0" t="str">
        <f aca="false">IF(AZ33="","",IF(AZ33&lt;=Assumptions!$I$18,"Below Expectation",IF(AZ33&lt;=Assumptions!$I$19,"Developing",IF(AZ33&lt;=Assumptions!$I$20,"Meets Expectation",IF(AZ33&lt;=Assumptions!$I$21,"Exceeds","Star Performer")))))</f>
        <v>Exceeds</v>
      </c>
      <c r="BB33" s="0" t="n">
        <f aca="false">IF(AZ33="",0,IF(AZ33&gt;=Assumptions!$I$26,1,0))</f>
        <v>1</v>
      </c>
      <c r="BC33" s="9" t="n">
        <f aca="false">IF(AL33="",2,AL33+2)</f>
        <v>2</v>
      </c>
      <c r="BD33" s="10" t="n">
        <f aca="false">IF(AM33="",ROUND(AVERAGE($AM$2:$AM$921),3),AM33)</f>
        <v>0</v>
      </c>
      <c r="BE33" s="9" t="n">
        <f aca="false">1-BD33</f>
        <v>1</v>
      </c>
    </row>
    <row r="34" customFormat="false" ht="14.25" hidden="true" customHeight="false" outlineLevel="0" collapsed="false">
      <c r="A34" s="4" t="n">
        <v>376</v>
      </c>
      <c r="B34" s="5" t="n">
        <v>50001890</v>
      </c>
      <c r="C34" s="5" t="s">
        <v>57</v>
      </c>
      <c r="D34" s="5" t="s">
        <v>321</v>
      </c>
      <c r="E34" s="5" t="s">
        <v>299</v>
      </c>
      <c r="F34" s="5" t="s">
        <v>209</v>
      </c>
      <c r="G34" s="5" t="s">
        <v>210</v>
      </c>
      <c r="H34" s="5" t="s">
        <v>209</v>
      </c>
      <c r="I34" s="5" t="s">
        <v>63</v>
      </c>
      <c r="J34" s="5" t="s">
        <v>100</v>
      </c>
      <c r="K34" s="5" t="s">
        <v>65</v>
      </c>
      <c r="L34" s="6" t="n">
        <v>39076</v>
      </c>
      <c r="M34" s="5" t="s">
        <v>322</v>
      </c>
      <c r="N34" s="6" t="n">
        <v>27646</v>
      </c>
      <c r="O34" s="5" t="s">
        <v>262</v>
      </c>
      <c r="P34" s="5" t="s">
        <v>263</v>
      </c>
      <c r="Q34" s="5" t="s">
        <v>323</v>
      </c>
      <c r="R34" s="5" t="s">
        <v>324</v>
      </c>
      <c r="S34" s="5" t="s">
        <v>325</v>
      </c>
      <c r="T34" s="6" t="n">
        <v>41000</v>
      </c>
      <c r="U34" s="6" t="n">
        <v>44470</v>
      </c>
      <c r="V34" s="5" t="s">
        <v>83</v>
      </c>
      <c r="W34" s="5" t="s">
        <v>141</v>
      </c>
      <c r="X34" s="5" t="s">
        <v>83</v>
      </c>
      <c r="Y34" s="5" t="s">
        <v>83</v>
      </c>
      <c r="Z34" s="5" t="s">
        <v>83</v>
      </c>
      <c r="AA34" s="5" t="s">
        <v>326</v>
      </c>
      <c r="AB34" s="0" t="n">
        <f aca="false">IFERROR(VALUE(R34),0)</f>
        <v>10.5</v>
      </c>
      <c r="AC34" s="0" t="n">
        <f aca="false">IFERROR(VALUE(M34),"")</f>
        <v>50.8</v>
      </c>
      <c r="AD34" s="0" t="n">
        <f aca="false">IFERROR(VALUE(Q34),"")</f>
        <v>19.5</v>
      </c>
      <c r="AE34" s="0" t="n">
        <f aca="false">IFERROR(VALUE(S34),"")</f>
        <v>29.1</v>
      </c>
      <c r="AF34" s="0" t="n">
        <f aca="false">IF(V34="","",VLOOKUP(V34,Assumptions!$B$6:$C$9,2,FALSE()))</f>
        <v>4</v>
      </c>
      <c r="AG34" s="0" t="n">
        <f aca="false">IF(W34="","",VLOOKUP(W34,Assumptions!$B$6:$C$9,2,FALSE()))</f>
        <v>3</v>
      </c>
      <c r="AH34" s="0" t="n">
        <f aca="false">IF(X34="","",VLOOKUP(X34,Assumptions!$B$6:$C$9,2,FALSE()))</f>
        <v>4</v>
      </c>
      <c r="AI34" s="0" t="n">
        <f aca="false">IF(Y34="","",VLOOKUP(Y34,Assumptions!$B$6:$C$9,2,FALSE()))</f>
        <v>4</v>
      </c>
      <c r="AJ34" s="0" t="n">
        <f aca="false">IF(Z34="","",VLOOKUP(Z34,Assumptions!$B$6:$C$9,2,FALSE()))</f>
        <v>4</v>
      </c>
      <c r="AK34" s="7" t="n">
        <f aca="false">IFERROR(ROUND(AVERAGE(AF34:AJ34),3),"")</f>
        <v>3.8</v>
      </c>
      <c r="AL34" s="7" t="n">
        <f aca="false">IF(OR(AF34="",AJ34=""),"",AJ34-AF34)</f>
        <v>0</v>
      </c>
      <c r="AM34" s="7" t="n">
        <f aca="false">IF(COUNT(AF34:AJ34)&gt;=2,ROUND(_xlfn.STDEV.S(AF34:AJ34),3),"")</f>
        <v>0.447</v>
      </c>
      <c r="AN34" s="7" t="n">
        <f aca="false">ROUND((IF(AF34="",0,AF34)*Assumptions!$F$15)+(IF(AG34="",0,AG34)*Assumptions!$F$16)+(IF(AH34="",0,AH34)*Assumptions!$F$17)+(IF(AI34="",0,AI34)*Assumptions!$F$18)+(IF(AJ34="",0,AJ34)*Assumptions!$F$19),3)</f>
        <v>3.85</v>
      </c>
      <c r="AO34" s="0" t="str">
        <f aca="false">IF(AC34&lt;=20,"",IF(AC34&lt;=Assumptions!$F$6,"20-30",IF(AC34&lt;=Assumptions!$F$7,"30-40",IF(AC34&lt;=Assumptions!$F$8,"40-50",IF(AC34&lt;=Assumptions!$F$9,"50-60",IF(AC34&lt;=Assumptions!$F$10,"60+",""))))))</f>
        <v>50-60</v>
      </c>
      <c r="AP34" s="0" t="str">
        <f aca="false">IFERROR(VLOOKUP(O34,Assumptions!$B$14:$C$26,2,FALSE()),"Other")</f>
        <v>Manager</v>
      </c>
      <c r="AQ34" s="0" t="n">
        <f aca="false">IF(T34="",0,1)</f>
        <v>1</v>
      </c>
      <c r="AR34" s="0" t="n">
        <f aca="false">IF(U34="",0,1)</f>
        <v>1</v>
      </c>
      <c r="AS34" s="8" t="n">
        <f aca="false">IF(AK34="","",IF(MAX($AK$2:$AK$921)=MIN($AK$2:$AK$921),50,ROUND((AK34-MIN($AK$2:$AK$921))/(MAX($AK$2:$AK$921)-MIN($AK$2:$AK$921))*100,2)))</f>
        <v>91.43</v>
      </c>
      <c r="AT34" s="8" t="n">
        <f aca="false">IF(MAX($BC$2:$BC$921)=MIN($BC$2:$BC$921),50,ROUND((BC34-MIN($BC$2:$BC$921))/(MAX($BC$2:$BC$921)-MIN($BC$2:$BC$921))*100,2))</f>
        <v>50</v>
      </c>
      <c r="AU34" s="8" t="n">
        <f aca="false">IF(MAX($BE$2:$BE$921)=MIN($BE$2:$BE$921),50,ROUND((BE34-MIN($BE$2:$BE$921))/(MAX($BE$2:$BE$921)-MIN($BE$2:$BE$921))*100,2))</f>
        <v>74.19</v>
      </c>
      <c r="AV34" s="8" t="n">
        <f aca="false">IF(MAX($AD$2:$AD$921)=MIN($AD$2:$AD$921),50,ROUND((AD34-MIN($AD$2:$AD$921))/(MAX($AD$2:$AD$921)-MIN($AD$2:$AD$921))*100,2))</f>
        <v>52.7</v>
      </c>
      <c r="AW34" s="8" t="n">
        <f aca="false">IF(MAX($AN$2:$AN$921)=MIN($AN$2:$AN$921),50,ROUND((AN34-MIN($AN$2:$AN$921))/(MAX($AN$2:$AN$921)-MIN($AN$2:$AN$921))*100,2))</f>
        <v>96.25</v>
      </c>
      <c r="AX34" s="8" t="n">
        <f aca="false">AQ34*100</f>
        <v>100</v>
      </c>
      <c r="AY34" s="8" t="n">
        <f aca="false">AR34*100</f>
        <v>100</v>
      </c>
      <c r="AZ34" s="8" t="n">
        <f aca="false">IFERROR(ROUND(AS34*Assumptions!$I$6+AW34*Assumptions!$I$7+AT34*Assumptions!$I$8+AU34*Assumptions!$I$9+AV34*Assumptions!$I$10+AX34*Assumptions!$I$11+AY34*Assumptions!$I$12,2),"")</f>
        <v>80.58</v>
      </c>
      <c r="BA34" s="0" t="str">
        <f aca="false">IF(AZ34="","",IF(AZ34&lt;=Assumptions!$I$18,"Below Expectation",IF(AZ34&lt;=Assumptions!$I$19,"Developing",IF(AZ34&lt;=Assumptions!$I$20,"Meets Expectation",IF(AZ34&lt;=Assumptions!$I$21,"Exceeds","Star Performer")))))</f>
        <v>Exceeds</v>
      </c>
      <c r="BB34" s="0" t="n">
        <f aca="false">IF(AZ34="",0,IF(AZ34&gt;=Assumptions!$I$26,1,0))</f>
        <v>1</v>
      </c>
      <c r="BC34" s="9" t="n">
        <f aca="false">IF(AL34="",2,AL34+2)</f>
        <v>2</v>
      </c>
      <c r="BD34" s="10" t="n">
        <f aca="false">IF(AM34="",ROUND(AVERAGE($AM$2:$AM$921),3),AM34)</f>
        <v>0.447</v>
      </c>
      <c r="BE34" s="9" t="n">
        <f aca="false">1-BD34</f>
        <v>0.553</v>
      </c>
    </row>
    <row r="35" customFormat="false" ht="14.25" hidden="false" customHeight="false" outlineLevel="0" collapsed="false">
      <c r="A35" s="4" t="n">
        <v>447</v>
      </c>
      <c r="B35" s="5" t="n">
        <v>55005504</v>
      </c>
      <c r="C35" s="5" t="s">
        <v>106</v>
      </c>
      <c r="D35" s="5" t="s">
        <v>327</v>
      </c>
      <c r="E35" s="5" t="s">
        <v>108</v>
      </c>
      <c r="F35" s="5" t="s">
        <v>328</v>
      </c>
      <c r="G35" s="5" t="s">
        <v>329</v>
      </c>
      <c r="H35" s="5" t="s">
        <v>330</v>
      </c>
      <c r="I35" s="5" t="s">
        <v>63</v>
      </c>
      <c r="J35" s="5" t="s">
        <v>112</v>
      </c>
      <c r="K35" s="5" t="s">
        <v>65</v>
      </c>
      <c r="L35" s="6" t="n">
        <v>42058</v>
      </c>
      <c r="M35" s="5" t="s">
        <v>331</v>
      </c>
      <c r="N35" s="6" t="n">
        <v>32730</v>
      </c>
      <c r="O35" s="5" t="s">
        <v>332</v>
      </c>
      <c r="P35" s="5" t="s">
        <v>333</v>
      </c>
      <c r="Q35" s="5" t="s">
        <v>334</v>
      </c>
      <c r="R35" s="5" t="s">
        <v>335</v>
      </c>
      <c r="S35" s="5" t="s">
        <v>336</v>
      </c>
      <c r="T35" s="6"/>
      <c r="U35" s="6" t="n">
        <v>45992</v>
      </c>
      <c r="V35" s="5" t="s">
        <v>83</v>
      </c>
      <c r="W35" s="5" t="s">
        <v>83</v>
      </c>
      <c r="X35" s="5" t="s">
        <v>83</v>
      </c>
      <c r="Y35" s="5" t="s">
        <v>83</v>
      </c>
      <c r="Z35" s="5" t="s">
        <v>83</v>
      </c>
      <c r="AA35" s="5" t="s">
        <v>337</v>
      </c>
      <c r="AB35" s="0" t="n">
        <f aca="false">IFERROR(VALUE(R35),0)</f>
        <v>3.7</v>
      </c>
      <c r="AC35" s="0" t="n">
        <f aca="false">IFERROR(VALUE(M35),"")</f>
        <v>36.9</v>
      </c>
      <c r="AD35" s="0" t="n">
        <f aca="false">IFERROR(VALUE(Q35),"")</f>
        <v>11.3</v>
      </c>
      <c r="AE35" s="0" t="n">
        <f aca="false">IFERROR(VALUE(S35),"")</f>
        <v>14.1</v>
      </c>
      <c r="AF35" s="0" t="n">
        <f aca="false">IF(V35="","",VLOOKUP(V35,Assumptions!$B$6:$C$9,2,FALSE()))</f>
        <v>4</v>
      </c>
      <c r="AG35" s="0" t="n">
        <f aca="false">IF(W35="","",VLOOKUP(W35,Assumptions!$B$6:$C$9,2,FALSE()))</f>
        <v>4</v>
      </c>
      <c r="AH35" s="0" t="n">
        <f aca="false">IF(X35="","",VLOOKUP(X35,Assumptions!$B$6:$C$9,2,FALSE()))</f>
        <v>4</v>
      </c>
      <c r="AI35" s="0" t="n">
        <f aca="false">IF(Y35="","",VLOOKUP(Y35,Assumptions!$B$6:$C$9,2,FALSE()))</f>
        <v>4</v>
      </c>
      <c r="AJ35" s="0" t="n">
        <f aca="false">IF(Z35="","",VLOOKUP(Z35,Assumptions!$B$6:$C$9,2,FALSE()))</f>
        <v>4</v>
      </c>
      <c r="AK35" s="7" t="n">
        <f aca="false">IFERROR(ROUND(AVERAGE(AF35:AJ35),3),"")</f>
        <v>4</v>
      </c>
      <c r="AL35" s="7" t="n">
        <f aca="false">IF(OR(AF35="",AJ35=""),"",AJ35-AF35)</f>
        <v>0</v>
      </c>
      <c r="AM35" s="7" t="n">
        <f aca="false">IF(COUNT(AF35:AJ35)&gt;=2,ROUND(_xlfn.STDEV.S(AF35:AJ35),3),"")</f>
        <v>0</v>
      </c>
      <c r="AN35" s="7" t="n">
        <f aca="false">ROUND((IF(AF35="",0,AF35)*Assumptions!$F$15)+(IF(AG35="",0,AG35)*Assumptions!$F$16)+(IF(AH35="",0,AH35)*Assumptions!$F$17)+(IF(AI35="",0,AI35)*Assumptions!$F$18)+(IF(AJ35="",0,AJ35)*Assumptions!$F$19),3)</f>
        <v>4</v>
      </c>
      <c r="AO35" s="0" t="str">
        <f aca="false">IF(AC35&lt;=20,"",IF(AC35&lt;=Assumptions!$F$6,"20-30",IF(AC35&lt;=Assumptions!$F$7,"30-40",IF(AC35&lt;=Assumptions!$F$8,"40-50",IF(AC35&lt;=Assumptions!$F$9,"50-60",IF(AC35&lt;=Assumptions!$F$10,"60+",""))))))</f>
        <v>30-40</v>
      </c>
      <c r="AP35" s="0" t="str">
        <f aca="false">IFERROR(VLOOKUP(O35,Assumptions!$B$14:$C$26,2,FALSE()),"Other")</f>
        <v>Manager</v>
      </c>
      <c r="AQ35" s="0" t="n">
        <f aca="false">IF(T35="",0,1)</f>
        <v>0</v>
      </c>
      <c r="AR35" s="0" t="n">
        <f aca="false">IF(U35="",0,1)</f>
        <v>1</v>
      </c>
      <c r="AS35" s="8" t="n">
        <f aca="false">IF(AK35="","",IF(MAX($AK$2:$AK$921)=MIN($AK$2:$AK$921),50,ROUND((AK35-MIN($AK$2:$AK$921))/(MAX($AK$2:$AK$921)-MIN($AK$2:$AK$921))*100,2)))</f>
        <v>100</v>
      </c>
      <c r="AT35" s="8" t="n">
        <f aca="false">IF(MAX($BC$2:$BC$921)=MIN($BC$2:$BC$921),50,ROUND((BC35-MIN($BC$2:$BC$921))/(MAX($BC$2:$BC$921)-MIN($BC$2:$BC$921))*100,2))</f>
        <v>50</v>
      </c>
      <c r="AU35" s="8" t="n">
        <f aca="false">IF(MAX($BE$2:$BE$921)=MIN($BE$2:$BE$921),50,ROUND((BE35-MIN($BE$2:$BE$921))/(MAX($BE$2:$BE$921)-MIN($BE$2:$BE$921))*100,2))</f>
        <v>100</v>
      </c>
      <c r="AV35" s="8" t="n">
        <f aca="false">IF(MAX($AD$2:$AD$921)=MIN($AD$2:$AD$921),50,ROUND((AD35-MIN($AD$2:$AD$921))/(MAX($AD$2:$AD$921)-MIN($AD$2:$AD$921))*100,2))</f>
        <v>30.42</v>
      </c>
      <c r="AW35" s="8" t="n">
        <f aca="false">IF(MAX($AN$2:$AN$921)=MIN($AN$2:$AN$921),50,ROUND((AN35-MIN($AN$2:$AN$921))/(MAX($AN$2:$AN$921)-MIN($AN$2:$AN$921))*100,2))</f>
        <v>100</v>
      </c>
      <c r="AX35" s="8" t="n">
        <f aca="false">AQ35*100</f>
        <v>0</v>
      </c>
      <c r="AY35" s="8" t="n">
        <f aca="false">AR35*100</f>
        <v>100</v>
      </c>
      <c r="AZ35" s="8" t="n">
        <f aca="false">IFERROR(ROUND(AS35*Assumptions!$I$6+AW35*Assumptions!$I$7+AT35*Assumptions!$I$8+AU35*Assumptions!$I$9+AV35*Assumptions!$I$10+AX35*Assumptions!$I$11+AY35*Assumptions!$I$12,2),"")</f>
        <v>80.54</v>
      </c>
      <c r="BA35" s="0" t="str">
        <f aca="false">IF(AZ35="","",IF(AZ35&lt;=Assumptions!$I$18,"Below Expectation",IF(AZ35&lt;=Assumptions!$I$19,"Developing",IF(AZ35&lt;=Assumptions!$I$20,"Meets Expectation",IF(AZ35&lt;=Assumptions!$I$21,"Exceeds","Star Performer")))))</f>
        <v>Exceeds</v>
      </c>
      <c r="BB35" s="0" t="n">
        <f aca="false">IF(AZ35="",0,IF(AZ35&gt;=Assumptions!$I$26,1,0))</f>
        <v>1</v>
      </c>
      <c r="BC35" s="9" t="n">
        <f aca="false">IF(AL35="",2,AL35+2)</f>
        <v>2</v>
      </c>
      <c r="BD35" s="10" t="n">
        <f aca="false">IF(AM35="",ROUND(AVERAGE($AM$2:$AM$921),3),AM35)</f>
        <v>0</v>
      </c>
      <c r="BE35" s="9" t="n">
        <f aca="false">1-BD35</f>
        <v>1</v>
      </c>
    </row>
    <row r="36" customFormat="false" ht="14.25" hidden="true" customHeight="false" outlineLevel="0" collapsed="false">
      <c r="A36" s="4" t="n">
        <v>139</v>
      </c>
      <c r="B36" s="5" t="n">
        <v>10044800</v>
      </c>
      <c r="C36" s="5" t="s">
        <v>85</v>
      </c>
      <c r="D36" s="5" t="s">
        <v>338</v>
      </c>
      <c r="E36" s="5" t="s">
        <v>339</v>
      </c>
      <c r="F36" s="5" t="s">
        <v>236</v>
      </c>
      <c r="G36" s="5" t="s">
        <v>237</v>
      </c>
      <c r="H36" s="5" t="s">
        <v>238</v>
      </c>
      <c r="I36" s="5" t="s">
        <v>63</v>
      </c>
      <c r="J36" s="5" t="s">
        <v>76</v>
      </c>
      <c r="K36" s="5" t="s">
        <v>65</v>
      </c>
      <c r="L36" s="6" t="n">
        <v>41834</v>
      </c>
      <c r="M36" s="5" t="s">
        <v>340</v>
      </c>
      <c r="N36" s="6" t="n">
        <v>31962</v>
      </c>
      <c r="O36" s="5" t="s">
        <v>162</v>
      </c>
      <c r="P36" s="5" t="s">
        <v>162</v>
      </c>
      <c r="Q36" s="5" t="s">
        <v>341</v>
      </c>
      <c r="R36" s="5" t="s">
        <v>231</v>
      </c>
      <c r="S36" s="5" t="s">
        <v>212</v>
      </c>
      <c r="T36" s="6" t="n">
        <v>43009</v>
      </c>
      <c r="U36" s="6"/>
      <c r="V36" s="5" t="s">
        <v>83</v>
      </c>
      <c r="W36" s="5" t="s">
        <v>83</v>
      </c>
      <c r="X36" s="5" t="s">
        <v>83</v>
      </c>
      <c r="Y36" s="5" t="s">
        <v>83</v>
      </c>
      <c r="Z36" s="5" t="s">
        <v>83</v>
      </c>
      <c r="AA36" s="5" t="s">
        <v>342</v>
      </c>
      <c r="AB36" s="0" t="n">
        <f aca="false">IFERROR(VALUE(R36),0)</f>
        <v>3.9</v>
      </c>
      <c r="AC36" s="0" t="n">
        <f aca="false">IFERROR(VALUE(M36),"")</f>
        <v>38.11</v>
      </c>
      <c r="AD36" s="0" t="n">
        <f aca="false">IFERROR(VALUE(Q36),"")</f>
        <v>11.1</v>
      </c>
      <c r="AE36" s="0" t="n">
        <f aca="false">IFERROR(VALUE(S36),"")</f>
        <v>15.7</v>
      </c>
      <c r="AF36" s="0" t="n">
        <f aca="false">IF(V36="","",VLOOKUP(V36,Assumptions!$B$6:$C$9,2,FALSE()))</f>
        <v>4</v>
      </c>
      <c r="AG36" s="0" t="n">
        <f aca="false">IF(W36="","",VLOOKUP(W36,Assumptions!$B$6:$C$9,2,FALSE()))</f>
        <v>4</v>
      </c>
      <c r="AH36" s="0" t="n">
        <f aca="false">IF(X36="","",VLOOKUP(X36,Assumptions!$B$6:$C$9,2,FALSE()))</f>
        <v>4</v>
      </c>
      <c r="AI36" s="0" t="n">
        <f aca="false">IF(Y36="","",VLOOKUP(Y36,Assumptions!$B$6:$C$9,2,FALSE()))</f>
        <v>4</v>
      </c>
      <c r="AJ36" s="0" t="n">
        <f aca="false">IF(Z36="","",VLOOKUP(Z36,Assumptions!$B$6:$C$9,2,FALSE()))</f>
        <v>4</v>
      </c>
      <c r="AK36" s="7" t="n">
        <f aca="false">IFERROR(ROUND(AVERAGE(AF36:AJ36),3),"")</f>
        <v>4</v>
      </c>
      <c r="AL36" s="7" t="n">
        <f aca="false">IF(OR(AF36="",AJ36=""),"",AJ36-AF36)</f>
        <v>0</v>
      </c>
      <c r="AM36" s="7" t="n">
        <f aca="false">IF(COUNT(AF36:AJ36)&gt;=2,ROUND(_xlfn.STDEV.S(AF36:AJ36),3),"")</f>
        <v>0</v>
      </c>
      <c r="AN36" s="7" t="n">
        <f aca="false">ROUND((IF(AF36="",0,AF36)*Assumptions!$F$15)+(IF(AG36="",0,AG36)*Assumptions!$F$16)+(IF(AH36="",0,AH36)*Assumptions!$F$17)+(IF(AI36="",0,AI36)*Assumptions!$F$18)+(IF(AJ36="",0,AJ36)*Assumptions!$F$19),3)</f>
        <v>4</v>
      </c>
      <c r="AO36" s="0" t="str">
        <f aca="false">IF(AC36&lt;=20,"",IF(AC36&lt;=Assumptions!$F$6,"20-30",IF(AC36&lt;=Assumptions!$F$7,"30-40",IF(AC36&lt;=Assumptions!$F$8,"40-50",IF(AC36&lt;=Assumptions!$F$9,"50-60",IF(AC36&lt;=Assumptions!$F$10,"60+",""))))))</f>
        <v>30-40</v>
      </c>
      <c r="AP36" s="0" t="str">
        <f aca="false">IFERROR(VLOOKUP(O36,Assumptions!$B$14:$C$26,2,FALSE()),"Other")</f>
        <v>Manager</v>
      </c>
      <c r="AQ36" s="0" t="n">
        <f aca="false">IF(T36="",0,1)</f>
        <v>1</v>
      </c>
      <c r="AR36" s="0" t="n">
        <f aca="false">IF(U36="",0,1)</f>
        <v>0</v>
      </c>
      <c r="AS36" s="8" t="n">
        <f aca="false">IF(AK36="","",IF(MAX($AK$2:$AK$921)=MIN($AK$2:$AK$921),50,ROUND((AK36-MIN($AK$2:$AK$921))/(MAX($AK$2:$AK$921)-MIN($AK$2:$AK$921))*100,2)))</f>
        <v>100</v>
      </c>
      <c r="AT36" s="8" t="n">
        <f aca="false">IF(MAX($BC$2:$BC$921)=MIN($BC$2:$BC$921),50,ROUND((BC36-MIN($BC$2:$BC$921))/(MAX($BC$2:$BC$921)-MIN($BC$2:$BC$921))*100,2))</f>
        <v>50</v>
      </c>
      <c r="AU36" s="8" t="n">
        <f aca="false">IF(MAX($BE$2:$BE$921)=MIN($BE$2:$BE$921),50,ROUND((BE36-MIN($BE$2:$BE$921))/(MAX($BE$2:$BE$921)-MIN($BE$2:$BE$921))*100,2))</f>
        <v>100</v>
      </c>
      <c r="AV36" s="8" t="n">
        <f aca="false">IF(MAX($AD$2:$AD$921)=MIN($AD$2:$AD$921),50,ROUND((AD36-MIN($AD$2:$AD$921))/(MAX($AD$2:$AD$921)-MIN($AD$2:$AD$921))*100,2))</f>
        <v>29.87</v>
      </c>
      <c r="AW36" s="8" t="n">
        <f aca="false">IF(MAX($AN$2:$AN$921)=MIN($AN$2:$AN$921),50,ROUND((AN36-MIN($AN$2:$AN$921))/(MAX($AN$2:$AN$921)-MIN($AN$2:$AN$921))*100,2))</f>
        <v>100</v>
      </c>
      <c r="AX36" s="8" t="n">
        <f aca="false">AQ36*100</f>
        <v>100</v>
      </c>
      <c r="AY36" s="8" t="n">
        <f aca="false">AR36*100</f>
        <v>0</v>
      </c>
      <c r="AZ36" s="8" t="n">
        <f aca="false">IFERROR(ROUND(AS36*Assumptions!$I$6+AW36*Assumptions!$I$7+AT36*Assumptions!$I$8+AU36*Assumptions!$I$9+AV36*Assumptions!$I$10+AX36*Assumptions!$I$11+AY36*Assumptions!$I$12,2),"")</f>
        <v>80.49</v>
      </c>
      <c r="BA36" s="0" t="str">
        <f aca="false">IF(AZ36="","",IF(AZ36&lt;=Assumptions!$I$18,"Below Expectation",IF(AZ36&lt;=Assumptions!$I$19,"Developing",IF(AZ36&lt;=Assumptions!$I$20,"Meets Expectation",IF(AZ36&lt;=Assumptions!$I$21,"Exceeds","Star Performer")))))</f>
        <v>Exceeds</v>
      </c>
      <c r="BB36" s="0" t="n">
        <f aca="false">IF(AZ36="",0,IF(AZ36&gt;=Assumptions!$I$26,1,0))</f>
        <v>1</v>
      </c>
      <c r="BC36" s="9" t="n">
        <f aca="false">IF(AL36="",2,AL36+2)</f>
        <v>2</v>
      </c>
      <c r="BD36" s="10" t="n">
        <f aca="false">IF(AM36="",ROUND(AVERAGE($AM$2:$AM$921),3),AM36)</f>
        <v>0</v>
      </c>
      <c r="BE36" s="9" t="n">
        <f aca="false">1-BD36</f>
        <v>1</v>
      </c>
    </row>
    <row r="37" customFormat="false" ht="14.25" hidden="true" customHeight="false" outlineLevel="0" collapsed="false">
      <c r="A37" s="4" t="n">
        <v>69</v>
      </c>
      <c r="B37" s="5" t="n">
        <v>10021052</v>
      </c>
      <c r="C37" s="5" t="s">
        <v>57</v>
      </c>
      <c r="D37" s="5" t="s">
        <v>343</v>
      </c>
      <c r="E37" s="5" t="s">
        <v>299</v>
      </c>
      <c r="F37" s="5" t="s">
        <v>209</v>
      </c>
      <c r="G37" s="5" t="s">
        <v>210</v>
      </c>
      <c r="H37" s="5" t="s">
        <v>209</v>
      </c>
      <c r="I37" s="5" t="s">
        <v>63</v>
      </c>
      <c r="J37" s="5" t="s">
        <v>100</v>
      </c>
      <c r="K37" s="5" t="s">
        <v>65</v>
      </c>
      <c r="L37" s="6" t="n">
        <v>39204</v>
      </c>
      <c r="M37" s="5" t="s">
        <v>344</v>
      </c>
      <c r="N37" s="6" t="n">
        <v>28703</v>
      </c>
      <c r="O37" s="5" t="s">
        <v>262</v>
      </c>
      <c r="P37" s="5" t="s">
        <v>263</v>
      </c>
      <c r="Q37" s="5" t="s">
        <v>171</v>
      </c>
      <c r="R37" s="5" t="s">
        <v>345</v>
      </c>
      <c r="S37" s="5" t="s">
        <v>346</v>
      </c>
      <c r="T37" s="6" t="n">
        <v>41000</v>
      </c>
      <c r="U37" s="6" t="n">
        <v>44470</v>
      </c>
      <c r="V37" s="5" t="s">
        <v>83</v>
      </c>
      <c r="W37" s="5" t="s">
        <v>141</v>
      </c>
      <c r="X37" s="5" t="s">
        <v>83</v>
      </c>
      <c r="Y37" s="5" t="s">
        <v>83</v>
      </c>
      <c r="Z37" s="5" t="s">
        <v>83</v>
      </c>
      <c r="AA37" s="5" t="s">
        <v>347</v>
      </c>
      <c r="AB37" s="0" t="n">
        <f aca="false">IFERROR(VALUE(R37),0)</f>
        <v>3.11</v>
      </c>
      <c r="AC37" s="0" t="n">
        <f aca="false">IFERROR(VALUE(M37),"")</f>
        <v>47.1</v>
      </c>
      <c r="AD37" s="0" t="n">
        <f aca="false">IFERROR(VALUE(Q37),"")</f>
        <v>19.1</v>
      </c>
      <c r="AE37" s="0" t="n">
        <f aca="false">IFERROR(VALUE(S37),"")</f>
        <v>23</v>
      </c>
      <c r="AF37" s="0" t="n">
        <f aca="false">IF(V37="","",VLOOKUP(V37,Assumptions!$B$6:$C$9,2,FALSE()))</f>
        <v>4</v>
      </c>
      <c r="AG37" s="0" t="n">
        <f aca="false">IF(W37="","",VLOOKUP(W37,Assumptions!$B$6:$C$9,2,FALSE()))</f>
        <v>3</v>
      </c>
      <c r="AH37" s="0" t="n">
        <f aca="false">IF(X37="","",VLOOKUP(X37,Assumptions!$B$6:$C$9,2,FALSE()))</f>
        <v>4</v>
      </c>
      <c r="AI37" s="0" t="n">
        <f aca="false">IF(Y37="","",VLOOKUP(Y37,Assumptions!$B$6:$C$9,2,FALSE()))</f>
        <v>4</v>
      </c>
      <c r="AJ37" s="0" t="n">
        <f aca="false">IF(Z37="","",VLOOKUP(Z37,Assumptions!$B$6:$C$9,2,FALSE()))</f>
        <v>4</v>
      </c>
      <c r="AK37" s="7" t="n">
        <f aca="false">IFERROR(ROUND(AVERAGE(AF37:AJ37),3),"")</f>
        <v>3.8</v>
      </c>
      <c r="AL37" s="7" t="n">
        <f aca="false">IF(OR(AF37="",AJ37=""),"",AJ37-AF37)</f>
        <v>0</v>
      </c>
      <c r="AM37" s="7" t="n">
        <f aca="false">IF(COUNT(AF37:AJ37)&gt;=2,ROUND(_xlfn.STDEV.S(AF37:AJ37),3),"")</f>
        <v>0.447</v>
      </c>
      <c r="AN37" s="7" t="n">
        <f aca="false">ROUND((IF(AF37="",0,AF37)*Assumptions!$F$15)+(IF(AG37="",0,AG37)*Assumptions!$F$16)+(IF(AH37="",0,AH37)*Assumptions!$F$17)+(IF(AI37="",0,AI37)*Assumptions!$F$18)+(IF(AJ37="",0,AJ37)*Assumptions!$F$19),3)</f>
        <v>3.85</v>
      </c>
      <c r="AO37" s="0" t="str">
        <f aca="false">IF(AC37&lt;=20,"",IF(AC37&lt;=Assumptions!$F$6,"20-30",IF(AC37&lt;=Assumptions!$F$7,"30-40",IF(AC37&lt;=Assumptions!$F$8,"40-50",IF(AC37&lt;=Assumptions!$F$9,"50-60",IF(AC37&lt;=Assumptions!$F$10,"60+",""))))))</f>
        <v>40-50</v>
      </c>
      <c r="AP37" s="0" t="str">
        <f aca="false">IFERROR(VLOOKUP(O37,Assumptions!$B$14:$C$26,2,FALSE()),"Other")</f>
        <v>Manager</v>
      </c>
      <c r="AQ37" s="0" t="n">
        <f aca="false">IF(T37="",0,1)</f>
        <v>1</v>
      </c>
      <c r="AR37" s="0" t="n">
        <f aca="false">IF(U37="",0,1)</f>
        <v>1</v>
      </c>
      <c r="AS37" s="8" t="n">
        <f aca="false">IF(AK37="","",IF(MAX($AK$2:$AK$921)=MIN($AK$2:$AK$921),50,ROUND((AK37-MIN($AK$2:$AK$921))/(MAX($AK$2:$AK$921)-MIN($AK$2:$AK$921))*100,2)))</f>
        <v>91.43</v>
      </c>
      <c r="AT37" s="8" t="n">
        <f aca="false">IF(MAX($BC$2:$BC$921)=MIN($BC$2:$BC$921),50,ROUND((BC37-MIN($BC$2:$BC$921))/(MAX($BC$2:$BC$921)-MIN($BC$2:$BC$921))*100,2))</f>
        <v>50</v>
      </c>
      <c r="AU37" s="8" t="n">
        <f aca="false">IF(MAX($BE$2:$BE$921)=MIN($BE$2:$BE$921),50,ROUND((BE37-MIN($BE$2:$BE$921))/(MAX($BE$2:$BE$921)-MIN($BE$2:$BE$921))*100,2))</f>
        <v>74.19</v>
      </c>
      <c r="AV37" s="8" t="n">
        <f aca="false">IF(MAX($AD$2:$AD$921)=MIN($AD$2:$AD$921),50,ROUND((AD37-MIN($AD$2:$AD$921))/(MAX($AD$2:$AD$921)-MIN($AD$2:$AD$921))*100,2))</f>
        <v>51.62</v>
      </c>
      <c r="AW37" s="8" t="n">
        <f aca="false">IF(MAX($AN$2:$AN$921)=MIN($AN$2:$AN$921),50,ROUND((AN37-MIN($AN$2:$AN$921))/(MAX($AN$2:$AN$921)-MIN($AN$2:$AN$921))*100,2))</f>
        <v>96.25</v>
      </c>
      <c r="AX37" s="8" t="n">
        <f aca="false">AQ37*100</f>
        <v>100</v>
      </c>
      <c r="AY37" s="8" t="n">
        <f aca="false">AR37*100</f>
        <v>100</v>
      </c>
      <c r="AZ37" s="8" t="n">
        <f aca="false">IFERROR(ROUND(AS37*Assumptions!$I$6+AW37*Assumptions!$I$7+AT37*Assumptions!$I$8+AU37*Assumptions!$I$9+AV37*Assumptions!$I$10+AX37*Assumptions!$I$11+AY37*Assumptions!$I$12,2),"")</f>
        <v>80.47</v>
      </c>
      <c r="BA37" s="0" t="str">
        <f aca="false">IF(AZ37="","",IF(AZ37&lt;=Assumptions!$I$18,"Below Expectation",IF(AZ37&lt;=Assumptions!$I$19,"Developing",IF(AZ37&lt;=Assumptions!$I$20,"Meets Expectation",IF(AZ37&lt;=Assumptions!$I$21,"Exceeds","Star Performer")))))</f>
        <v>Exceeds</v>
      </c>
      <c r="BB37" s="0" t="n">
        <f aca="false">IF(AZ37="",0,IF(AZ37&gt;=Assumptions!$I$26,1,0))</f>
        <v>1</v>
      </c>
      <c r="BC37" s="9" t="n">
        <f aca="false">IF(AL37="",2,AL37+2)</f>
        <v>2</v>
      </c>
      <c r="BD37" s="10" t="n">
        <f aca="false">IF(AM37="",ROUND(AVERAGE($AM$2:$AM$921),3),AM37)</f>
        <v>0.447</v>
      </c>
      <c r="BE37" s="9" t="n">
        <f aca="false">1-BD37</f>
        <v>0.553</v>
      </c>
    </row>
    <row r="38" customFormat="false" ht="14.25" hidden="true" customHeight="false" outlineLevel="0" collapsed="false">
      <c r="A38" s="4" t="n">
        <v>335</v>
      </c>
      <c r="B38" s="5" t="n">
        <v>30502255</v>
      </c>
      <c r="C38" s="5" t="s">
        <v>85</v>
      </c>
      <c r="D38" s="5" t="s">
        <v>348</v>
      </c>
      <c r="E38" s="5" t="s">
        <v>185</v>
      </c>
      <c r="F38" s="5" t="s">
        <v>349</v>
      </c>
      <c r="G38" s="5" t="s">
        <v>350</v>
      </c>
      <c r="H38" s="5" t="s">
        <v>349</v>
      </c>
      <c r="I38" s="5" t="s">
        <v>63</v>
      </c>
      <c r="J38" s="5" t="s">
        <v>76</v>
      </c>
      <c r="K38" s="5" t="s">
        <v>65</v>
      </c>
      <c r="L38" s="6" t="n">
        <v>39072</v>
      </c>
      <c r="M38" s="5" t="s">
        <v>351</v>
      </c>
      <c r="N38" s="6" t="n">
        <v>29153</v>
      </c>
      <c r="O38" s="5" t="s">
        <v>332</v>
      </c>
      <c r="P38" s="5" t="s">
        <v>333</v>
      </c>
      <c r="Q38" s="5" t="s">
        <v>323</v>
      </c>
      <c r="R38" s="5" t="s">
        <v>352</v>
      </c>
      <c r="S38" s="5" t="s">
        <v>353</v>
      </c>
      <c r="T38" s="6" t="n">
        <v>42309</v>
      </c>
      <c r="U38" s="6" t="n">
        <v>44652</v>
      </c>
      <c r="V38" s="5" t="s">
        <v>141</v>
      </c>
      <c r="W38" s="5" t="s">
        <v>141</v>
      </c>
      <c r="X38" s="5" t="s">
        <v>83</v>
      </c>
      <c r="Y38" s="5" t="s">
        <v>83</v>
      </c>
      <c r="Z38" s="5" t="s">
        <v>83</v>
      </c>
      <c r="AA38" s="5" t="s">
        <v>354</v>
      </c>
      <c r="AB38" s="0" t="n">
        <f aca="false">IFERROR(VALUE(R38),0)</f>
        <v>4.6</v>
      </c>
      <c r="AC38" s="0" t="n">
        <f aca="false">IFERROR(VALUE(M38),"")</f>
        <v>46.7</v>
      </c>
      <c r="AD38" s="0" t="n">
        <f aca="false">IFERROR(VALUE(Q38),"")</f>
        <v>19.5</v>
      </c>
      <c r="AE38" s="0" t="n">
        <f aca="false">IFERROR(VALUE(S38),"")</f>
        <v>23.11</v>
      </c>
      <c r="AF38" s="0" t="n">
        <f aca="false">IF(V38="","",VLOOKUP(V38,Assumptions!$B$6:$C$9,2,FALSE()))</f>
        <v>3</v>
      </c>
      <c r="AG38" s="0" t="n">
        <f aca="false">IF(W38="","",VLOOKUP(W38,Assumptions!$B$6:$C$9,2,FALSE()))</f>
        <v>3</v>
      </c>
      <c r="AH38" s="0" t="n">
        <f aca="false">IF(X38="","",VLOOKUP(X38,Assumptions!$B$6:$C$9,2,FALSE()))</f>
        <v>4</v>
      </c>
      <c r="AI38" s="0" t="n">
        <f aca="false">IF(Y38="","",VLOOKUP(Y38,Assumptions!$B$6:$C$9,2,FALSE()))</f>
        <v>4</v>
      </c>
      <c r="AJ38" s="0" t="n">
        <f aca="false">IF(Z38="","",VLOOKUP(Z38,Assumptions!$B$6:$C$9,2,FALSE()))</f>
        <v>4</v>
      </c>
      <c r="AK38" s="7" t="n">
        <f aca="false">IFERROR(ROUND(AVERAGE(AF38:AJ38),3),"")</f>
        <v>3.6</v>
      </c>
      <c r="AL38" s="7" t="n">
        <f aca="false">IF(OR(AF38="",AJ38=""),"",AJ38-AF38)</f>
        <v>1</v>
      </c>
      <c r="AM38" s="7" t="n">
        <f aca="false">IF(COUNT(AF38:AJ38)&gt;=2,ROUND(_xlfn.STDEV.S(AF38:AJ38),3),"")</f>
        <v>0.548</v>
      </c>
      <c r="AN38" s="7" t="n">
        <f aca="false">ROUND((IF(AF38="",0,AF38)*Assumptions!$F$15)+(IF(AG38="",0,AG38)*Assumptions!$F$16)+(IF(AH38="",0,AH38)*Assumptions!$F$17)+(IF(AI38="",0,AI38)*Assumptions!$F$18)+(IF(AJ38="",0,AJ38)*Assumptions!$F$19),3)</f>
        <v>3.75</v>
      </c>
      <c r="AO38" s="0" t="str">
        <f aca="false">IF(AC38&lt;=20,"",IF(AC38&lt;=Assumptions!$F$6,"20-30",IF(AC38&lt;=Assumptions!$F$7,"30-40",IF(AC38&lt;=Assumptions!$F$8,"40-50",IF(AC38&lt;=Assumptions!$F$9,"50-60",IF(AC38&lt;=Assumptions!$F$10,"60+",""))))))</f>
        <v>40-50</v>
      </c>
      <c r="AP38" s="0" t="str">
        <f aca="false">IFERROR(VLOOKUP(O38,Assumptions!$B$14:$C$26,2,FALSE()),"Other")</f>
        <v>Manager</v>
      </c>
      <c r="AQ38" s="0" t="n">
        <f aca="false">IF(T38="",0,1)</f>
        <v>1</v>
      </c>
      <c r="AR38" s="0" t="n">
        <f aca="false">IF(U38="",0,1)</f>
        <v>1</v>
      </c>
      <c r="AS38" s="8" t="n">
        <f aca="false">IF(AK38="","",IF(MAX($AK$2:$AK$921)=MIN($AK$2:$AK$921),50,ROUND((AK38-MIN($AK$2:$AK$921))/(MAX($AK$2:$AK$921)-MIN($AK$2:$AK$921))*100,2)))</f>
        <v>82.85</v>
      </c>
      <c r="AT38" s="8" t="n">
        <f aca="false">IF(MAX($BC$2:$BC$921)=MIN($BC$2:$BC$921),50,ROUND((BC38-MIN($BC$2:$BC$921))/(MAX($BC$2:$BC$921)-MIN($BC$2:$BC$921))*100,2))</f>
        <v>75</v>
      </c>
      <c r="AU38" s="8" t="n">
        <f aca="false">IF(MAX($BE$2:$BE$921)=MIN($BE$2:$BE$921),50,ROUND((BE38-MIN($BE$2:$BE$921))/(MAX($BE$2:$BE$921)-MIN($BE$2:$BE$921))*100,2))</f>
        <v>68.36</v>
      </c>
      <c r="AV38" s="8" t="n">
        <f aca="false">IF(MAX($AD$2:$AD$921)=MIN($AD$2:$AD$921),50,ROUND((AD38-MIN($AD$2:$AD$921))/(MAX($AD$2:$AD$921)-MIN($AD$2:$AD$921))*100,2))</f>
        <v>52.7</v>
      </c>
      <c r="AW38" s="8" t="n">
        <f aca="false">IF(MAX($AN$2:$AN$921)=MIN($AN$2:$AN$921),50,ROUND((AN38-MIN($AN$2:$AN$921))/(MAX($AN$2:$AN$921)-MIN($AN$2:$AN$921))*100,2))</f>
        <v>93.75</v>
      </c>
      <c r="AX38" s="8" t="n">
        <f aca="false">AQ38*100</f>
        <v>100</v>
      </c>
      <c r="AY38" s="8" t="n">
        <f aca="false">AR38*100</f>
        <v>100</v>
      </c>
      <c r="AZ38" s="8" t="n">
        <f aca="false">IFERROR(ROUND(AS38*Assumptions!$I$6+AW38*Assumptions!$I$7+AT38*Assumptions!$I$8+AU38*Assumptions!$I$9+AV38*Assumptions!$I$10+AX38*Assumptions!$I$11+AY38*Assumptions!$I$12,2),"")</f>
        <v>80.38</v>
      </c>
      <c r="BA38" s="0" t="str">
        <f aca="false">IF(AZ38="","",IF(AZ38&lt;=Assumptions!$I$18,"Below Expectation",IF(AZ38&lt;=Assumptions!$I$19,"Developing",IF(AZ38&lt;=Assumptions!$I$20,"Meets Expectation",IF(AZ38&lt;=Assumptions!$I$21,"Exceeds","Star Performer")))))</f>
        <v>Exceeds</v>
      </c>
      <c r="BB38" s="0" t="n">
        <f aca="false">IF(AZ38="",0,IF(AZ38&gt;=Assumptions!$I$26,1,0))</f>
        <v>1</v>
      </c>
      <c r="BC38" s="9" t="n">
        <f aca="false">IF(AL38="",2,AL38+2)</f>
        <v>3</v>
      </c>
      <c r="BD38" s="10" t="n">
        <f aca="false">IF(AM38="",ROUND(AVERAGE($AM$2:$AM$921),3),AM38)</f>
        <v>0.548</v>
      </c>
      <c r="BE38" s="9" t="n">
        <f aca="false">1-BD38</f>
        <v>0.452</v>
      </c>
    </row>
    <row r="39" customFormat="false" ht="14.25" hidden="false" customHeight="false" outlineLevel="0" collapsed="false">
      <c r="A39" s="4" t="n">
        <v>450</v>
      </c>
      <c r="B39" s="5" t="n">
        <v>55013243</v>
      </c>
      <c r="C39" s="5" t="s">
        <v>106</v>
      </c>
      <c r="D39" s="5" t="s">
        <v>355</v>
      </c>
      <c r="E39" s="5" t="s">
        <v>108</v>
      </c>
      <c r="F39" s="5" t="s">
        <v>356</v>
      </c>
      <c r="G39" s="5" t="s">
        <v>357</v>
      </c>
      <c r="H39" s="5" t="s">
        <v>358</v>
      </c>
      <c r="I39" s="5" t="s">
        <v>63</v>
      </c>
      <c r="J39" s="5" t="s">
        <v>112</v>
      </c>
      <c r="K39" s="5" t="s">
        <v>65</v>
      </c>
      <c r="L39" s="6" t="n">
        <v>42311</v>
      </c>
      <c r="M39" s="5" t="s">
        <v>359</v>
      </c>
      <c r="N39" s="6" t="n">
        <v>34305</v>
      </c>
      <c r="O39" s="5" t="s">
        <v>332</v>
      </c>
      <c r="P39" s="5" t="s">
        <v>333</v>
      </c>
      <c r="Q39" s="5" t="s">
        <v>360</v>
      </c>
      <c r="R39" s="5" t="s">
        <v>115</v>
      </c>
      <c r="S39" s="5" t="s">
        <v>360</v>
      </c>
      <c r="T39" s="6"/>
      <c r="U39" s="6" t="n">
        <v>45992</v>
      </c>
      <c r="V39" s="5" t="s">
        <v>83</v>
      </c>
      <c r="W39" s="5" t="s">
        <v>83</v>
      </c>
      <c r="X39" s="5" t="s">
        <v>83</v>
      </c>
      <c r="Y39" s="5" t="s">
        <v>83</v>
      </c>
      <c r="Z39" s="5" t="s">
        <v>83</v>
      </c>
      <c r="AA39" s="5" t="s">
        <v>361</v>
      </c>
      <c r="AB39" s="0" t="n">
        <f aca="false">IFERROR(VALUE(R39),0)</f>
        <v>0</v>
      </c>
      <c r="AC39" s="0" t="n">
        <f aca="false">IFERROR(VALUE(M39),"")</f>
        <v>32.6</v>
      </c>
      <c r="AD39" s="0" t="n">
        <f aca="false">IFERROR(VALUE(Q39),"")</f>
        <v>10.7</v>
      </c>
      <c r="AE39" s="0" t="n">
        <f aca="false">IFERROR(VALUE(S39),"")</f>
        <v>10.7</v>
      </c>
      <c r="AF39" s="0" t="n">
        <f aca="false">IF(V39="","",VLOOKUP(V39,Assumptions!$B$6:$C$9,2,FALSE()))</f>
        <v>4</v>
      </c>
      <c r="AG39" s="0" t="n">
        <f aca="false">IF(W39="","",VLOOKUP(W39,Assumptions!$B$6:$C$9,2,FALSE()))</f>
        <v>4</v>
      </c>
      <c r="AH39" s="0" t="n">
        <f aca="false">IF(X39="","",VLOOKUP(X39,Assumptions!$B$6:$C$9,2,FALSE()))</f>
        <v>4</v>
      </c>
      <c r="AI39" s="0" t="n">
        <f aca="false">IF(Y39="","",VLOOKUP(Y39,Assumptions!$B$6:$C$9,2,FALSE()))</f>
        <v>4</v>
      </c>
      <c r="AJ39" s="0" t="n">
        <f aca="false">IF(Z39="","",VLOOKUP(Z39,Assumptions!$B$6:$C$9,2,FALSE()))</f>
        <v>4</v>
      </c>
      <c r="AK39" s="7" t="n">
        <f aca="false">IFERROR(ROUND(AVERAGE(AF39:AJ39),3),"")</f>
        <v>4</v>
      </c>
      <c r="AL39" s="7" t="n">
        <f aca="false">IF(OR(AF39="",AJ39=""),"",AJ39-AF39)</f>
        <v>0</v>
      </c>
      <c r="AM39" s="7" t="n">
        <f aca="false">IF(COUNT(AF39:AJ39)&gt;=2,ROUND(_xlfn.STDEV.S(AF39:AJ39),3),"")</f>
        <v>0</v>
      </c>
      <c r="AN39" s="7" t="n">
        <f aca="false">ROUND((IF(AF39="",0,AF39)*Assumptions!$F$15)+(IF(AG39="",0,AG39)*Assumptions!$F$16)+(IF(AH39="",0,AH39)*Assumptions!$F$17)+(IF(AI39="",0,AI39)*Assumptions!$F$18)+(IF(AJ39="",0,AJ39)*Assumptions!$F$19),3)</f>
        <v>4</v>
      </c>
      <c r="AO39" s="0" t="str">
        <f aca="false">IF(AC39&lt;=20,"",IF(AC39&lt;=Assumptions!$F$6,"20-30",IF(AC39&lt;=Assumptions!$F$7,"30-40",IF(AC39&lt;=Assumptions!$F$8,"40-50",IF(AC39&lt;=Assumptions!$F$9,"50-60",IF(AC39&lt;=Assumptions!$F$10,"60+",""))))))</f>
        <v>30-40</v>
      </c>
      <c r="AP39" s="0" t="str">
        <f aca="false">IFERROR(VLOOKUP(O39,Assumptions!$B$14:$C$26,2,FALSE()),"Other")</f>
        <v>Manager</v>
      </c>
      <c r="AQ39" s="0" t="n">
        <f aca="false">IF(T39="",0,1)</f>
        <v>0</v>
      </c>
      <c r="AR39" s="0" t="n">
        <f aca="false">IF(U39="",0,1)</f>
        <v>1</v>
      </c>
      <c r="AS39" s="8" t="n">
        <f aca="false">IF(AK39="","",IF(MAX($AK$2:$AK$921)=MIN($AK$2:$AK$921),50,ROUND((AK39-MIN($AK$2:$AK$921))/(MAX($AK$2:$AK$921)-MIN($AK$2:$AK$921))*100,2)))</f>
        <v>100</v>
      </c>
      <c r="AT39" s="8" t="n">
        <f aca="false">IF(MAX($BC$2:$BC$921)=MIN($BC$2:$BC$921),50,ROUND((BC39-MIN($BC$2:$BC$921))/(MAX($BC$2:$BC$921)-MIN($BC$2:$BC$921))*100,2))</f>
        <v>50</v>
      </c>
      <c r="AU39" s="8" t="n">
        <f aca="false">IF(MAX($BE$2:$BE$921)=MIN($BE$2:$BE$921),50,ROUND((BE39-MIN($BE$2:$BE$921))/(MAX($BE$2:$BE$921)-MIN($BE$2:$BE$921))*100,2))</f>
        <v>100</v>
      </c>
      <c r="AV39" s="8" t="n">
        <f aca="false">IF(MAX($AD$2:$AD$921)=MIN($AD$2:$AD$921),50,ROUND((AD39-MIN($AD$2:$AD$921))/(MAX($AD$2:$AD$921)-MIN($AD$2:$AD$921))*100,2))</f>
        <v>28.78</v>
      </c>
      <c r="AW39" s="8" t="n">
        <f aca="false">IF(MAX($AN$2:$AN$921)=MIN($AN$2:$AN$921),50,ROUND((AN39-MIN($AN$2:$AN$921))/(MAX($AN$2:$AN$921)-MIN($AN$2:$AN$921))*100,2))</f>
        <v>100</v>
      </c>
      <c r="AX39" s="8" t="n">
        <f aca="false">AQ39*100</f>
        <v>0</v>
      </c>
      <c r="AY39" s="8" t="n">
        <f aca="false">AR39*100</f>
        <v>100</v>
      </c>
      <c r="AZ39" s="8" t="n">
        <f aca="false">IFERROR(ROUND(AS39*Assumptions!$I$6+AW39*Assumptions!$I$7+AT39*Assumptions!$I$8+AU39*Assumptions!$I$9+AV39*Assumptions!$I$10+AX39*Assumptions!$I$11+AY39*Assumptions!$I$12,2),"")</f>
        <v>80.38</v>
      </c>
      <c r="BA39" s="0" t="str">
        <f aca="false">IF(AZ39="","",IF(AZ39&lt;=Assumptions!$I$18,"Below Expectation",IF(AZ39&lt;=Assumptions!$I$19,"Developing",IF(AZ39&lt;=Assumptions!$I$20,"Meets Expectation",IF(AZ39&lt;=Assumptions!$I$21,"Exceeds","Star Performer")))))</f>
        <v>Exceeds</v>
      </c>
      <c r="BB39" s="0" t="n">
        <f aca="false">IF(AZ39="",0,IF(AZ39&gt;=Assumptions!$I$26,1,0))</f>
        <v>1</v>
      </c>
      <c r="BC39" s="9" t="n">
        <f aca="false">IF(AL39="",2,AL39+2)</f>
        <v>2</v>
      </c>
      <c r="BD39" s="10" t="n">
        <f aca="false">IF(AM39="",ROUND(AVERAGE($AM$2:$AM$921),3),AM39)</f>
        <v>0</v>
      </c>
      <c r="BE39" s="9" t="n">
        <f aca="false">1-BD39</f>
        <v>1</v>
      </c>
    </row>
    <row r="40" customFormat="false" ht="14.25" hidden="false" customHeight="false" outlineLevel="0" collapsed="false">
      <c r="A40" s="4" t="n">
        <v>451</v>
      </c>
      <c r="B40" s="5" t="n">
        <v>55014690</v>
      </c>
      <c r="C40" s="5" t="s">
        <v>106</v>
      </c>
      <c r="D40" s="5" t="s">
        <v>362</v>
      </c>
      <c r="E40" s="5" t="s">
        <v>108</v>
      </c>
      <c r="F40" s="5" t="s">
        <v>356</v>
      </c>
      <c r="G40" s="5" t="s">
        <v>363</v>
      </c>
      <c r="H40" s="5" t="s">
        <v>364</v>
      </c>
      <c r="I40" s="5" t="s">
        <v>63</v>
      </c>
      <c r="J40" s="5" t="s">
        <v>112</v>
      </c>
      <c r="K40" s="5" t="s">
        <v>65</v>
      </c>
      <c r="L40" s="6" t="n">
        <v>42352</v>
      </c>
      <c r="M40" s="5" t="s">
        <v>331</v>
      </c>
      <c r="N40" s="6" t="n">
        <v>32754</v>
      </c>
      <c r="O40" s="5" t="s">
        <v>365</v>
      </c>
      <c r="P40" s="5" t="s">
        <v>365</v>
      </c>
      <c r="Q40" s="5" t="s">
        <v>324</v>
      </c>
      <c r="R40" s="5" t="s">
        <v>366</v>
      </c>
      <c r="S40" s="5" t="s">
        <v>367</v>
      </c>
      <c r="T40" s="6"/>
      <c r="U40" s="6" t="n">
        <v>45992</v>
      </c>
      <c r="V40" s="5" t="s">
        <v>83</v>
      </c>
      <c r="W40" s="5" t="s">
        <v>83</v>
      </c>
      <c r="X40" s="5" t="s">
        <v>83</v>
      </c>
      <c r="Y40" s="5" t="s">
        <v>83</v>
      </c>
      <c r="Z40" s="5" t="s">
        <v>83</v>
      </c>
      <c r="AA40" s="5" t="s">
        <v>368</v>
      </c>
      <c r="AB40" s="0" t="n">
        <f aca="false">IFERROR(VALUE(R40),0)</f>
        <v>1.1</v>
      </c>
      <c r="AC40" s="0" t="n">
        <f aca="false">IFERROR(VALUE(M40),"")</f>
        <v>36.9</v>
      </c>
      <c r="AD40" s="0" t="n">
        <f aca="false">IFERROR(VALUE(Q40),"")</f>
        <v>10.5</v>
      </c>
      <c r="AE40" s="0" t="n">
        <f aca="false">IFERROR(VALUE(S40),"")</f>
        <v>11.6</v>
      </c>
      <c r="AF40" s="0" t="n">
        <f aca="false">IF(V40="","",VLOOKUP(V40,Assumptions!$B$6:$C$9,2,FALSE()))</f>
        <v>4</v>
      </c>
      <c r="AG40" s="0" t="n">
        <f aca="false">IF(W40="","",VLOOKUP(W40,Assumptions!$B$6:$C$9,2,FALSE()))</f>
        <v>4</v>
      </c>
      <c r="AH40" s="0" t="n">
        <f aca="false">IF(X40="","",VLOOKUP(X40,Assumptions!$B$6:$C$9,2,FALSE()))</f>
        <v>4</v>
      </c>
      <c r="AI40" s="0" t="n">
        <f aca="false">IF(Y40="","",VLOOKUP(Y40,Assumptions!$B$6:$C$9,2,FALSE()))</f>
        <v>4</v>
      </c>
      <c r="AJ40" s="0" t="n">
        <f aca="false">IF(Z40="","",VLOOKUP(Z40,Assumptions!$B$6:$C$9,2,FALSE()))</f>
        <v>4</v>
      </c>
      <c r="AK40" s="7" t="n">
        <f aca="false">IFERROR(ROUND(AVERAGE(AF40:AJ40),3),"")</f>
        <v>4</v>
      </c>
      <c r="AL40" s="7" t="n">
        <f aca="false">IF(OR(AF40="",AJ40=""),"",AJ40-AF40)</f>
        <v>0</v>
      </c>
      <c r="AM40" s="7" t="n">
        <f aca="false">IF(COUNT(AF40:AJ40)&gt;=2,ROUND(_xlfn.STDEV.S(AF40:AJ40),3),"")</f>
        <v>0</v>
      </c>
      <c r="AN40" s="7" t="n">
        <f aca="false">ROUND((IF(AF40="",0,AF40)*Assumptions!$F$15)+(IF(AG40="",0,AG40)*Assumptions!$F$16)+(IF(AH40="",0,AH40)*Assumptions!$F$17)+(IF(AI40="",0,AI40)*Assumptions!$F$18)+(IF(AJ40="",0,AJ40)*Assumptions!$F$19),3)</f>
        <v>4</v>
      </c>
      <c r="AO40" s="0" t="str">
        <f aca="false">IF(AC40&lt;=20,"",IF(AC40&lt;=Assumptions!$F$6,"20-30",IF(AC40&lt;=Assumptions!$F$7,"30-40",IF(AC40&lt;=Assumptions!$F$8,"40-50",IF(AC40&lt;=Assumptions!$F$9,"50-60",IF(AC40&lt;=Assumptions!$F$10,"60+",""))))))</f>
        <v>30-40</v>
      </c>
      <c r="AP40" s="0" t="str">
        <f aca="false">IFERROR(VLOOKUP(O40,Assumptions!$B$14:$C$26,2,FALSE()),"Other")</f>
        <v>Manager</v>
      </c>
      <c r="AQ40" s="0" t="n">
        <f aca="false">IF(T40="",0,1)</f>
        <v>0</v>
      </c>
      <c r="AR40" s="0" t="n">
        <f aca="false">IF(U40="",0,1)</f>
        <v>1</v>
      </c>
      <c r="AS40" s="8" t="n">
        <f aca="false">IF(AK40="","",IF(MAX($AK$2:$AK$921)=MIN($AK$2:$AK$921),50,ROUND((AK40-MIN($AK$2:$AK$921))/(MAX($AK$2:$AK$921)-MIN($AK$2:$AK$921))*100,2)))</f>
        <v>100</v>
      </c>
      <c r="AT40" s="8" t="n">
        <f aca="false">IF(MAX($BC$2:$BC$921)=MIN($BC$2:$BC$921),50,ROUND((BC40-MIN($BC$2:$BC$921))/(MAX($BC$2:$BC$921)-MIN($BC$2:$BC$921))*100,2))</f>
        <v>50</v>
      </c>
      <c r="AU40" s="8" t="n">
        <f aca="false">IF(MAX($BE$2:$BE$921)=MIN($BE$2:$BE$921),50,ROUND((BE40-MIN($BE$2:$BE$921))/(MAX($BE$2:$BE$921)-MIN($BE$2:$BE$921))*100,2))</f>
        <v>100</v>
      </c>
      <c r="AV40" s="8" t="n">
        <f aca="false">IF(MAX($AD$2:$AD$921)=MIN($AD$2:$AD$921),50,ROUND((AD40-MIN($AD$2:$AD$921))/(MAX($AD$2:$AD$921)-MIN($AD$2:$AD$921))*100,2))</f>
        <v>28.24</v>
      </c>
      <c r="AW40" s="8" t="n">
        <f aca="false">IF(MAX($AN$2:$AN$921)=MIN($AN$2:$AN$921),50,ROUND((AN40-MIN($AN$2:$AN$921))/(MAX($AN$2:$AN$921)-MIN($AN$2:$AN$921))*100,2))</f>
        <v>100</v>
      </c>
      <c r="AX40" s="8" t="n">
        <f aca="false">AQ40*100</f>
        <v>0</v>
      </c>
      <c r="AY40" s="8" t="n">
        <f aca="false">AR40*100</f>
        <v>100</v>
      </c>
      <c r="AZ40" s="8" t="n">
        <f aca="false">IFERROR(ROUND(AS40*Assumptions!$I$6+AW40*Assumptions!$I$7+AT40*Assumptions!$I$8+AU40*Assumptions!$I$9+AV40*Assumptions!$I$10+AX40*Assumptions!$I$11+AY40*Assumptions!$I$12,2),"")</f>
        <v>80.32</v>
      </c>
      <c r="BA40" s="0" t="str">
        <f aca="false">IF(AZ40="","",IF(AZ40&lt;=Assumptions!$I$18,"Below Expectation",IF(AZ40&lt;=Assumptions!$I$19,"Developing",IF(AZ40&lt;=Assumptions!$I$20,"Meets Expectation",IF(AZ40&lt;=Assumptions!$I$21,"Exceeds","Star Performer")))))</f>
        <v>Exceeds</v>
      </c>
      <c r="BB40" s="0" t="n">
        <f aca="false">IF(AZ40="",0,IF(AZ40&gt;=Assumptions!$I$26,1,0))</f>
        <v>1</v>
      </c>
      <c r="BC40" s="9" t="n">
        <f aca="false">IF(AL40="",2,AL40+2)</f>
        <v>2</v>
      </c>
      <c r="BD40" s="10" t="n">
        <f aca="false">IF(AM40="",ROUND(AVERAGE($AM$2:$AM$921),3),AM40)</f>
        <v>0</v>
      </c>
      <c r="BE40" s="9" t="n">
        <f aca="false">1-BD40</f>
        <v>1</v>
      </c>
    </row>
    <row r="41" customFormat="false" ht="14.25" hidden="true" customHeight="false" outlineLevel="0" collapsed="false">
      <c r="A41" s="4" t="n">
        <v>172</v>
      </c>
      <c r="B41" s="5" t="n">
        <v>10053263</v>
      </c>
      <c r="C41" s="5" t="s">
        <v>85</v>
      </c>
      <c r="D41" s="5" t="s">
        <v>369</v>
      </c>
      <c r="E41" s="5" t="s">
        <v>185</v>
      </c>
      <c r="F41" s="5" t="s">
        <v>370</v>
      </c>
      <c r="G41" s="5" t="s">
        <v>371</v>
      </c>
      <c r="H41" s="5" t="s">
        <v>370</v>
      </c>
      <c r="I41" s="5" t="s">
        <v>63</v>
      </c>
      <c r="J41" s="5" t="s">
        <v>76</v>
      </c>
      <c r="K41" s="5" t="s">
        <v>65</v>
      </c>
      <c r="L41" s="6" t="n">
        <v>42436</v>
      </c>
      <c r="M41" s="5" t="s">
        <v>372</v>
      </c>
      <c r="N41" s="6" t="n">
        <v>29251</v>
      </c>
      <c r="O41" s="5" t="s">
        <v>162</v>
      </c>
      <c r="P41" s="5" t="s">
        <v>162</v>
      </c>
      <c r="Q41" s="5" t="s">
        <v>373</v>
      </c>
      <c r="R41" s="5" t="s">
        <v>374</v>
      </c>
      <c r="S41" s="5" t="s">
        <v>375</v>
      </c>
      <c r="T41" s="6"/>
      <c r="U41" s="6" t="n">
        <v>46113</v>
      </c>
      <c r="V41" s="5" t="s">
        <v>83</v>
      </c>
      <c r="W41" s="5" t="s">
        <v>83</v>
      </c>
      <c r="X41" s="5" t="s">
        <v>83</v>
      </c>
      <c r="Y41" s="5" t="s">
        <v>83</v>
      </c>
      <c r="Z41" s="5" t="s">
        <v>83</v>
      </c>
      <c r="AA41" s="5" t="s">
        <v>376</v>
      </c>
      <c r="AB41" s="0" t="n">
        <f aca="false">IFERROR(VALUE(R41),0)</f>
        <v>12.4</v>
      </c>
      <c r="AC41" s="0" t="n">
        <f aca="false">IFERROR(VALUE(M41),"")</f>
        <v>46.4</v>
      </c>
      <c r="AD41" s="0" t="n">
        <f aca="false">IFERROR(VALUE(Q41),"")</f>
        <v>10.3</v>
      </c>
      <c r="AE41" s="0" t="n">
        <f aca="false">IFERROR(VALUE(S41),"")</f>
        <v>22.7</v>
      </c>
      <c r="AF41" s="0" t="n">
        <f aca="false">IF(V41="","",VLOOKUP(V41,Assumptions!$B$6:$C$9,2,FALSE()))</f>
        <v>4</v>
      </c>
      <c r="AG41" s="0" t="n">
        <f aca="false">IF(W41="","",VLOOKUP(W41,Assumptions!$B$6:$C$9,2,FALSE()))</f>
        <v>4</v>
      </c>
      <c r="AH41" s="0" t="n">
        <f aca="false">IF(X41="","",VLOOKUP(X41,Assumptions!$B$6:$C$9,2,FALSE()))</f>
        <v>4</v>
      </c>
      <c r="AI41" s="0" t="n">
        <f aca="false">IF(Y41="","",VLOOKUP(Y41,Assumptions!$B$6:$C$9,2,FALSE()))</f>
        <v>4</v>
      </c>
      <c r="AJ41" s="0" t="n">
        <f aca="false">IF(Z41="","",VLOOKUP(Z41,Assumptions!$B$6:$C$9,2,FALSE()))</f>
        <v>4</v>
      </c>
      <c r="AK41" s="7" t="n">
        <f aca="false">IFERROR(ROUND(AVERAGE(AF41:AJ41),3),"")</f>
        <v>4</v>
      </c>
      <c r="AL41" s="7" t="n">
        <f aca="false">IF(OR(AF41="",AJ41=""),"",AJ41-AF41)</f>
        <v>0</v>
      </c>
      <c r="AM41" s="7" t="n">
        <f aca="false">IF(COUNT(AF41:AJ41)&gt;=2,ROUND(_xlfn.STDEV.S(AF41:AJ41),3),"")</f>
        <v>0</v>
      </c>
      <c r="AN41" s="7" t="n">
        <f aca="false">ROUND((IF(AF41="",0,AF41)*Assumptions!$F$15)+(IF(AG41="",0,AG41)*Assumptions!$F$16)+(IF(AH41="",0,AH41)*Assumptions!$F$17)+(IF(AI41="",0,AI41)*Assumptions!$F$18)+(IF(AJ41="",0,AJ41)*Assumptions!$F$19),3)</f>
        <v>4</v>
      </c>
      <c r="AO41" s="0" t="str">
        <f aca="false">IF(AC41&lt;=20,"",IF(AC41&lt;=Assumptions!$F$6,"20-30",IF(AC41&lt;=Assumptions!$F$7,"30-40",IF(AC41&lt;=Assumptions!$F$8,"40-50",IF(AC41&lt;=Assumptions!$F$9,"50-60",IF(AC41&lt;=Assumptions!$F$10,"60+",""))))))</f>
        <v>40-50</v>
      </c>
      <c r="AP41" s="0" t="str">
        <f aca="false">IFERROR(VLOOKUP(O41,Assumptions!$B$14:$C$26,2,FALSE()),"Other")</f>
        <v>Manager</v>
      </c>
      <c r="AQ41" s="0" t="n">
        <f aca="false">IF(T41="",0,1)</f>
        <v>0</v>
      </c>
      <c r="AR41" s="0" t="n">
        <f aca="false">IF(U41="",0,1)</f>
        <v>1</v>
      </c>
      <c r="AS41" s="8" t="n">
        <f aca="false">IF(AK41="","",IF(MAX($AK$2:$AK$921)=MIN($AK$2:$AK$921),50,ROUND((AK41-MIN($AK$2:$AK$921))/(MAX($AK$2:$AK$921)-MIN($AK$2:$AK$921))*100,2)))</f>
        <v>100</v>
      </c>
      <c r="AT41" s="8" t="n">
        <f aca="false">IF(MAX($BC$2:$BC$921)=MIN($BC$2:$BC$921),50,ROUND((BC41-MIN($BC$2:$BC$921))/(MAX($BC$2:$BC$921)-MIN($BC$2:$BC$921))*100,2))</f>
        <v>50</v>
      </c>
      <c r="AU41" s="8" t="n">
        <f aca="false">IF(MAX($BE$2:$BE$921)=MIN($BE$2:$BE$921),50,ROUND((BE41-MIN($BE$2:$BE$921))/(MAX($BE$2:$BE$921)-MIN($BE$2:$BE$921))*100,2))</f>
        <v>100</v>
      </c>
      <c r="AV41" s="8" t="n">
        <f aca="false">IF(MAX($AD$2:$AD$921)=MIN($AD$2:$AD$921),50,ROUND((AD41-MIN($AD$2:$AD$921))/(MAX($AD$2:$AD$921)-MIN($AD$2:$AD$921))*100,2))</f>
        <v>27.7</v>
      </c>
      <c r="AW41" s="8" t="n">
        <f aca="false">IF(MAX($AN$2:$AN$921)=MIN($AN$2:$AN$921),50,ROUND((AN41-MIN($AN$2:$AN$921))/(MAX($AN$2:$AN$921)-MIN($AN$2:$AN$921))*100,2))</f>
        <v>100</v>
      </c>
      <c r="AX41" s="8" t="n">
        <f aca="false">AQ41*100</f>
        <v>0</v>
      </c>
      <c r="AY41" s="8" t="n">
        <f aca="false">AR41*100</f>
        <v>100</v>
      </c>
      <c r="AZ41" s="8" t="n">
        <f aca="false">IFERROR(ROUND(AS41*Assumptions!$I$6+AW41*Assumptions!$I$7+AT41*Assumptions!$I$8+AU41*Assumptions!$I$9+AV41*Assumptions!$I$10+AX41*Assumptions!$I$11+AY41*Assumptions!$I$12,2),"")</f>
        <v>80.27</v>
      </c>
      <c r="BA41" s="0" t="str">
        <f aca="false">IF(AZ41="","",IF(AZ41&lt;=Assumptions!$I$18,"Below Expectation",IF(AZ41&lt;=Assumptions!$I$19,"Developing",IF(AZ41&lt;=Assumptions!$I$20,"Meets Expectation",IF(AZ41&lt;=Assumptions!$I$21,"Exceeds","Star Performer")))))</f>
        <v>Exceeds</v>
      </c>
      <c r="BB41" s="0" t="n">
        <f aca="false">IF(AZ41="",0,IF(AZ41&gt;=Assumptions!$I$26,1,0))</f>
        <v>1</v>
      </c>
      <c r="BC41" s="9" t="n">
        <f aca="false">IF(AL41="",2,AL41+2)</f>
        <v>2</v>
      </c>
      <c r="BD41" s="10" t="n">
        <f aca="false">IF(AM41="",ROUND(AVERAGE($AM$2:$AM$921),3),AM41)</f>
        <v>0</v>
      </c>
      <c r="BE41" s="9" t="n">
        <f aca="false">1-BD41</f>
        <v>1</v>
      </c>
    </row>
    <row r="42" customFormat="false" ht="14.25" hidden="false" customHeight="false" outlineLevel="0" collapsed="false">
      <c r="A42" s="4" t="n">
        <v>174</v>
      </c>
      <c r="B42" s="5" t="n">
        <v>10053516</v>
      </c>
      <c r="C42" s="5" t="s">
        <v>106</v>
      </c>
      <c r="D42" s="5" t="s">
        <v>377</v>
      </c>
      <c r="E42" s="5" t="s">
        <v>108</v>
      </c>
      <c r="F42" s="5" t="s">
        <v>378</v>
      </c>
      <c r="G42" s="5" t="s">
        <v>379</v>
      </c>
      <c r="H42" s="5" t="s">
        <v>380</v>
      </c>
      <c r="I42" s="5" t="s">
        <v>63</v>
      </c>
      <c r="J42" s="5" t="s">
        <v>112</v>
      </c>
      <c r="K42" s="5" t="s">
        <v>65</v>
      </c>
      <c r="L42" s="6" t="n">
        <v>42464</v>
      </c>
      <c r="M42" s="5" t="s">
        <v>381</v>
      </c>
      <c r="N42" s="6" t="n">
        <v>30551</v>
      </c>
      <c r="O42" s="5" t="s">
        <v>262</v>
      </c>
      <c r="P42" s="5" t="s">
        <v>263</v>
      </c>
      <c r="Q42" s="5" t="s">
        <v>318</v>
      </c>
      <c r="R42" s="5" t="s">
        <v>382</v>
      </c>
      <c r="S42" s="5" t="s">
        <v>383</v>
      </c>
      <c r="T42" s="6"/>
      <c r="U42" s="6" t="n">
        <v>45992</v>
      </c>
      <c r="V42" s="5" t="s">
        <v>83</v>
      </c>
      <c r="W42" s="5" t="s">
        <v>83</v>
      </c>
      <c r="X42" s="5" t="s">
        <v>83</v>
      </c>
      <c r="Y42" s="5" t="s">
        <v>83</v>
      </c>
      <c r="Z42" s="5" t="s">
        <v>83</v>
      </c>
      <c r="AA42" s="5" t="s">
        <v>384</v>
      </c>
      <c r="AB42" s="0" t="n">
        <f aca="false">IFERROR(VALUE(R42),0)</f>
        <v>5.4</v>
      </c>
      <c r="AC42" s="0" t="n">
        <f aca="false">IFERROR(VALUE(M42),"")</f>
        <v>42.9</v>
      </c>
      <c r="AD42" s="0" t="n">
        <f aca="false">IFERROR(VALUE(Q42),"")</f>
        <v>10.2</v>
      </c>
      <c r="AE42" s="0" t="n">
        <f aca="false">IFERROR(VALUE(S42),"")</f>
        <v>15.6</v>
      </c>
      <c r="AF42" s="0" t="n">
        <f aca="false">IF(V42="","",VLOOKUP(V42,Assumptions!$B$6:$C$9,2,FALSE()))</f>
        <v>4</v>
      </c>
      <c r="AG42" s="0" t="n">
        <f aca="false">IF(W42="","",VLOOKUP(W42,Assumptions!$B$6:$C$9,2,FALSE()))</f>
        <v>4</v>
      </c>
      <c r="AH42" s="0" t="n">
        <f aca="false">IF(X42="","",VLOOKUP(X42,Assumptions!$B$6:$C$9,2,FALSE()))</f>
        <v>4</v>
      </c>
      <c r="AI42" s="0" t="n">
        <f aca="false">IF(Y42="","",VLOOKUP(Y42,Assumptions!$B$6:$C$9,2,FALSE()))</f>
        <v>4</v>
      </c>
      <c r="AJ42" s="0" t="n">
        <f aca="false">IF(Z42="","",VLOOKUP(Z42,Assumptions!$B$6:$C$9,2,FALSE()))</f>
        <v>4</v>
      </c>
      <c r="AK42" s="7" t="n">
        <f aca="false">IFERROR(ROUND(AVERAGE(AF42:AJ42),3),"")</f>
        <v>4</v>
      </c>
      <c r="AL42" s="7" t="n">
        <f aca="false">IF(OR(AF42="",AJ42=""),"",AJ42-AF42)</f>
        <v>0</v>
      </c>
      <c r="AM42" s="7" t="n">
        <f aca="false">IF(COUNT(AF42:AJ42)&gt;=2,ROUND(_xlfn.STDEV.S(AF42:AJ42),3),"")</f>
        <v>0</v>
      </c>
      <c r="AN42" s="7" t="n">
        <f aca="false">ROUND((IF(AF42="",0,AF42)*Assumptions!$F$15)+(IF(AG42="",0,AG42)*Assumptions!$F$16)+(IF(AH42="",0,AH42)*Assumptions!$F$17)+(IF(AI42="",0,AI42)*Assumptions!$F$18)+(IF(AJ42="",0,AJ42)*Assumptions!$F$19),3)</f>
        <v>4</v>
      </c>
      <c r="AO42" s="0" t="str">
        <f aca="false">IF(AC42&lt;=20,"",IF(AC42&lt;=Assumptions!$F$6,"20-30",IF(AC42&lt;=Assumptions!$F$7,"30-40",IF(AC42&lt;=Assumptions!$F$8,"40-50",IF(AC42&lt;=Assumptions!$F$9,"50-60",IF(AC42&lt;=Assumptions!$F$10,"60+",""))))))</f>
        <v>40-50</v>
      </c>
      <c r="AP42" s="0" t="str">
        <f aca="false">IFERROR(VLOOKUP(O42,Assumptions!$B$14:$C$26,2,FALSE()),"Other")</f>
        <v>Manager</v>
      </c>
      <c r="AQ42" s="0" t="n">
        <f aca="false">IF(T42="",0,1)</f>
        <v>0</v>
      </c>
      <c r="AR42" s="0" t="n">
        <f aca="false">IF(U42="",0,1)</f>
        <v>1</v>
      </c>
      <c r="AS42" s="8" t="n">
        <f aca="false">IF(AK42="","",IF(MAX($AK$2:$AK$921)=MIN($AK$2:$AK$921),50,ROUND((AK42-MIN($AK$2:$AK$921))/(MAX($AK$2:$AK$921)-MIN($AK$2:$AK$921))*100,2)))</f>
        <v>100</v>
      </c>
      <c r="AT42" s="8" t="n">
        <f aca="false">IF(MAX($BC$2:$BC$921)=MIN($BC$2:$BC$921),50,ROUND((BC42-MIN($BC$2:$BC$921))/(MAX($BC$2:$BC$921)-MIN($BC$2:$BC$921))*100,2))</f>
        <v>50</v>
      </c>
      <c r="AU42" s="8" t="n">
        <f aca="false">IF(MAX($BE$2:$BE$921)=MIN($BE$2:$BE$921),50,ROUND((BE42-MIN($BE$2:$BE$921))/(MAX($BE$2:$BE$921)-MIN($BE$2:$BE$921))*100,2))</f>
        <v>100</v>
      </c>
      <c r="AV42" s="8" t="n">
        <f aca="false">IF(MAX($AD$2:$AD$921)=MIN($AD$2:$AD$921),50,ROUND((AD42-MIN($AD$2:$AD$921))/(MAX($AD$2:$AD$921)-MIN($AD$2:$AD$921))*100,2))</f>
        <v>27.43</v>
      </c>
      <c r="AW42" s="8" t="n">
        <f aca="false">IF(MAX($AN$2:$AN$921)=MIN($AN$2:$AN$921),50,ROUND((AN42-MIN($AN$2:$AN$921))/(MAX($AN$2:$AN$921)-MIN($AN$2:$AN$921))*100,2))</f>
        <v>100</v>
      </c>
      <c r="AX42" s="8" t="n">
        <f aca="false">AQ42*100</f>
        <v>0</v>
      </c>
      <c r="AY42" s="8" t="n">
        <f aca="false">AR42*100</f>
        <v>100</v>
      </c>
      <c r="AZ42" s="8" t="n">
        <f aca="false">IFERROR(ROUND(AS42*Assumptions!$I$6+AW42*Assumptions!$I$7+AT42*Assumptions!$I$8+AU42*Assumptions!$I$9+AV42*Assumptions!$I$10+AX42*Assumptions!$I$11+AY42*Assumptions!$I$12,2),"")</f>
        <v>80.24</v>
      </c>
      <c r="BA42" s="0" t="str">
        <f aca="false">IF(AZ42="","",IF(AZ42&lt;=Assumptions!$I$18,"Below Expectation",IF(AZ42&lt;=Assumptions!$I$19,"Developing",IF(AZ42&lt;=Assumptions!$I$20,"Meets Expectation",IF(AZ42&lt;=Assumptions!$I$21,"Exceeds","Star Performer")))))</f>
        <v>Exceeds</v>
      </c>
      <c r="BB42" s="0" t="n">
        <f aca="false">IF(AZ42="",0,IF(AZ42&gt;=Assumptions!$I$26,1,0))</f>
        <v>1</v>
      </c>
      <c r="BC42" s="9" t="n">
        <f aca="false">IF(AL42="",2,AL42+2)</f>
        <v>2</v>
      </c>
      <c r="BD42" s="10" t="n">
        <f aca="false">IF(AM42="",ROUND(AVERAGE($AM$2:$AM$921),3),AM42)</f>
        <v>0</v>
      </c>
      <c r="BE42" s="9" t="n">
        <f aca="false">1-BD42</f>
        <v>1</v>
      </c>
    </row>
    <row r="43" customFormat="false" ht="14.25" hidden="true" customHeight="false" outlineLevel="0" collapsed="false">
      <c r="A43" s="4" t="n">
        <v>162</v>
      </c>
      <c r="B43" s="5" t="n">
        <v>10050887</v>
      </c>
      <c r="C43" s="5" t="s">
        <v>57</v>
      </c>
      <c r="D43" s="5" t="s">
        <v>385</v>
      </c>
      <c r="E43" s="5" t="s">
        <v>386</v>
      </c>
      <c r="F43" s="5" t="s">
        <v>387</v>
      </c>
      <c r="G43" s="5" t="s">
        <v>388</v>
      </c>
      <c r="H43" s="5" t="s">
        <v>387</v>
      </c>
      <c r="I43" s="5" t="s">
        <v>63</v>
      </c>
      <c r="J43" s="5" t="s">
        <v>100</v>
      </c>
      <c r="K43" s="5" t="s">
        <v>389</v>
      </c>
      <c r="L43" s="6" t="n">
        <v>42205</v>
      </c>
      <c r="M43" s="5" t="s">
        <v>390</v>
      </c>
      <c r="N43" s="6" t="n">
        <v>31779</v>
      </c>
      <c r="O43" s="5" t="s">
        <v>262</v>
      </c>
      <c r="P43" s="5" t="s">
        <v>263</v>
      </c>
      <c r="Q43" s="5" t="s">
        <v>391</v>
      </c>
      <c r="R43" s="5" t="s">
        <v>392</v>
      </c>
      <c r="S43" s="5" t="s">
        <v>393</v>
      </c>
      <c r="T43" s="6"/>
      <c r="U43" s="6" t="n">
        <v>45748</v>
      </c>
      <c r="V43" s="5" t="s">
        <v>83</v>
      </c>
      <c r="W43" s="5" t="s">
        <v>83</v>
      </c>
      <c r="X43" s="5" t="s">
        <v>83</v>
      </c>
      <c r="Y43" s="5" t="s">
        <v>83</v>
      </c>
      <c r="Z43" s="5" t="s">
        <v>83</v>
      </c>
      <c r="AA43" s="5" t="s">
        <v>394</v>
      </c>
      <c r="AB43" s="0" t="n">
        <f aca="false">IFERROR(VALUE(R43),0)</f>
        <v>7.8</v>
      </c>
      <c r="AC43" s="0" t="n">
        <f aca="false">IFERROR(VALUE(M43),"")</f>
        <v>39.5</v>
      </c>
      <c r="AD43" s="0" t="n">
        <f aca="false">IFERROR(VALUE(Q43),"")</f>
        <v>10.1</v>
      </c>
      <c r="AE43" s="0" t="n">
        <f aca="false">IFERROR(VALUE(S43),"")</f>
        <v>18.6</v>
      </c>
      <c r="AF43" s="0" t="n">
        <f aca="false">IF(V43="","",VLOOKUP(V43,Assumptions!$B$6:$C$9,2,FALSE()))</f>
        <v>4</v>
      </c>
      <c r="AG43" s="0" t="n">
        <f aca="false">IF(W43="","",VLOOKUP(W43,Assumptions!$B$6:$C$9,2,FALSE()))</f>
        <v>4</v>
      </c>
      <c r="AH43" s="0" t="n">
        <f aca="false">IF(X43="","",VLOOKUP(X43,Assumptions!$B$6:$C$9,2,FALSE()))</f>
        <v>4</v>
      </c>
      <c r="AI43" s="0" t="n">
        <f aca="false">IF(Y43="","",VLOOKUP(Y43,Assumptions!$B$6:$C$9,2,FALSE()))</f>
        <v>4</v>
      </c>
      <c r="AJ43" s="0" t="n">
        <f aca="false">IF(Z43="","",VLOOKUP(Z43,Assumptions!$B$6:$C$9,2,FALSE()))</f>
        <v>4</v>
      </c>
      <c r="AK43" s="7" t="n">
        <f aca="false">IFERROR(ROUND(AVERAGE(AF43:AJ43),3),"")</f>
        <v>4</v>
      </c>
      <c r="AL43" s="7" t="n">
        <f aca="false">IF(OR(AF43="",AJ43=""),"",AJ43-AF43)</f>
        <v>0</v>
      </c>
      <c r="AM43" s="7" t="n">
        <f aca="false">IF(COUNT(AF43:AJ43)&gt;=2,ROUND(_xlfn.STDEV.S(AF43:AJ43),3),"")</f>
        <v>0</v>
      </c>
      <c r="AN43" s="7" t="n">
        <f aca="false">ROUND((IF(AF43="",0,AF43)*Assumptions!$F$15)+(IF(AG43="",0,AG43)*Assumptions!$F$16)+(IF(AH43="",0,AH43)*Assumptions!$F$17)+(IF(AI43="",0,AI43)*Assumptions!$F$18)+(IF(AJ43="",0,AJ43)*Assumptions!$F$19),3)</f>
        <v>4</v>
      </c>
      <c r="AO43" s="0" t="str">
        <f aca="false">IF(AC43&lt;=20,"",IF(AC43&lt;=Assumptions!$F$6,"20-30",IF(AC43&lt;=Assumptions!$F$7,"30-40",IF(AC43&lt;=Assumptions!$F$8,"40-50",IF(AC43&lt;=Assumptions!$F$9,"50-60",IF(AC43&lt;=Assumptions!$F$10,"60+",""))))))</f>
        <v>30-40</v>
      </c>
      <c r="AP43" s="0" t="str">
        <f aca="false">IFERROR(VLOOKUP(O43,Assumptions!$B$14:$C$26,2,FALSE()),"Other")</f>
        <v>Manager</v>
      </c>
      <c r="AQ43" s="0" t="n">
        <f aca="false">IF(T43="",0,1)</f>
        <v>0</v>
      </c>
      <c r="AR43" s="0" t="n">
        <f aca="false">IF(U43="",0,1)</f>
        <v>1</v>
      </c>
      <c r="AS43" s="8" t="n">
        <f aca="false">IF(AK43="","",IF(MAX($AK$2:$AK$921)=MIN($AK$2:$AK$921),50,ROUND((AK43-MIN($AK$2:$AK$921))/(MAX($AK$2:$AK$921)-MIN($AK$2:$AK$921))*100,2)))</f>
        <v>100</v>
      </c>
      <c r="AT43" s="8" t="n">
        <f aca="false">IF(MAX($BC$2:$BC$921)=MIN($BC$2:$BC$921),50,ROUND((BC43-MIN($BC$2:$BC$921))/(MAX($BC$2:$BC$921)-MIN($BC$2:$BC$921))*100,2))</f>
        <v>50</v>
      </c>
      <c r="AU43" s="8" t="n">
        <f aca="false">IF(MAX($BE$2:$BE$921)=MIN($BE$2:$BE$921),50,ROUND((BE43-MIN($BE$2:$BE$921))/(MAX($BE$2:$BE$921)-MIN($BE$2:$BE$921))*100,2))</f>
        <v>100</v>
      </c>
      <c r="AV43" s="8" t="n">
        <f aca="false">IF(MAX($AD$2:$AD$921)=MIN($AD$2:$AD$921),50,ROUND((AD43-MIN($AD$2:$AD$921))/(MAX($AD$2:$AD$921)-MIN($AD$2:$AD$921))*100,2))</f>
        <v>27.15</v>
      </c>
      <c r="AW43" s="8" t="n">
        <f aca="false">IF(MAX($AN$2:$AN$921)=MIN($AN$2:$AN$921),50,ROUND((AN43-MIN($AN$2:$AN$921))/(MAX($AN$2:$AN$921)-MIN($AN$2:$AN$921))*100,2))</f>
        <v>100</v>
      </c>
      <c r="AX43" s="8" t="n">
        <f aca="false">AQ43*100</f>
        <v>0</v>
      </c>
      <c r="AY43" s="8" t="n">
        <f aca="false">AR43*100</f>
        <v>100</v>
      </c>
      <c r="AZ43" s="8" t="n">
        <f aca="false">IFERROR(ROUND(AS43*Assumptions!$I$6+AW43*Assumptions!$I$7+AT43*Assumptions!$I$8+AU43*Assumptions!$I$9+AV43*Assumptions!$I$10+AX43*Assumptions!$I$11+AY43*Assumptions!$I$12,2),"")</f>
        <v>80.22</v>
      </c>
      <c r="BA43" s="0" t="str">
        <f aca="false">IF(AZ43="","",IF(AZ43&lt;=Assumptions!$I$18,"Below Expectation",IF(AZ43&lt;=Assumptions!$I$19,"Developing",IF(AZ43&lt;=Assumptions!$I$20,"Meets Expectation",IF(AZ43&lt;=Assumptions!$I$21,"Exceeds","Star Performer")))))</f>
        <v>Exceeds</v>
      </c>
      <c r="BB43" s="0" t="n">
        <f aca="false">IF(AZ43="",0,IF(AZ43&gt;=Assumptions!$I$26,1,0))</f>
        <v>1</v>
      </c>
      <c r="BC43" s="9" t="n">
        <f aca="false">IF(AL43="",2,AL43+2)</f>
        <v>2</v>
      </c>
      <c r="BD43" s="10" t="n">
        <f aca="false">IF(AM43="",ROUND(AVERAGE($AM$2:$AM$921),3),AM43)</f>
        <v>0</v>
      </c>
      <c r="BE43" s="9" t="n">
        <f aca="false">1-BD43</f>
        <v>1</v>
      </c>
    </row>
    <row r="44" customFormat="false" ht="14.25" hidden="true" customHeight="false" outlineLevel="0" collapsed="false">
      <c r="A44" s="4" t="n">
        <v>63</v>
      </c>
      <c r="B44" s="5" t="n">
        <v>10019853</v>
      </c>
      <c r="C44" s="5" t="s">
        <v>106</v>
      </c>
      <c r="D44" s="5" t="s">
        <v>395</v>
      </c>
      <c r="E44" s="5" t="s">
        <v>305</v>
      </c>
      <c r="F44" s="5" t="s">
        <v>396</v>
      </c>
      <c r="G44" s="5" t="s">
        <v>371</v>
      </c>
      <c r="H44" s="5" t="s">
        <v>370</v>
      </c>
      <c r="I44" s="5" t="s">
        <v>63</v>
      </c>
      <c r="J44" s="5" t="s">
        <v>112</v>
      </c>
      <c r="K44" s="5" t="s">
        <v>65</v>
      </c>
      <c r="L44" s="6" t="n">
        <v>38250</v>
      </c>
      <c r="M44" s="5" t="s">
        <v>397</v>
      </c>
      <c r="N44" s="6" t="n">
        <v>27913</v>
      </c>
      <c r="O44" s="5" t="s">
        <v>122</v>
      </c>
      <c r="P44" s="5" t="s">
        <v>398</v>
      </c>
      <c r="Q44" s="5" t="s">
        <v>155</v>
      </c>
      <c r="R44" s="5" t="s">
        <v>399</v>
      </c>
      <c r="S44" s="5" t="s">
        <v>104</v>
      </c>
      <c r="T44" s="6"/>
      <c r="U44" s="6" t="n">
        <v>44287</v>
      </c>
      <c r="V44" s="5" t="s">
        <v>141</v>
      </c>
      <c r="W44" s="5" t="s">
        <v>83</v>
      </c>
      <c r="X44" s="5" t="s">
        <v>83</v>
      </c>
      <c r="Y44" s="5" t="s">
        <v>83</v>
      </c>
      <c r="Z44" s="5" t="s">
        <v>83</v>
      </c>
      <c r="AA44" s="5" t="s">
        <v>400</v>
      </c>
      <c r="AB44" s="0" t="n">
        <f aca="false">IFERROR(VALUE(R44),0)</f>
        <v>10.1</v>
      </c>
      <c r="AC44" s="0" t="n">
        <f aca="false">IFERROR(VALUE(M44),"")</f>
        <v>50</v>
      </c>
      <c r="AD44" s="0" t="n">
        <f aca="false">IFERROR(VALUE(Q44),"")</f>
        <v>21.8</v>
      </c>
      <c r="AE44" s="0" t="n">
        <f aca="false">IFERROR(VALUE(S44),"")</f>
        <v>31.9</v>
      </c>
      <c r="AF44" s="0" t="n">
        <f aca="false">IF(V44="","",VLOOKUP(V44,Assumptions!$B$6:$C$9,2,FALSE()))</f>
        <v>3</v>
      </c>
      <c r="AG44" s="0" t="n">
        <f aca="false">IF(W44="","",VLOOKUP(W44,Assumptions!$B$6:$C$9,2,FALSE()))</f>
        <v>4</v>
      </c>
      <c r="AH44" s="0" t="n">
        <f aca="false">IF(X44="","",VLOOKUP(X44,Assumptions!$B$6:$C$9,2,FALSE()))</f>
        <v>4</v>
      </c>
      <c r="AI44" s="0" t="n">
        <f aca="false">IF(Y44="","",VLOOKUP(Y44,Assumptions!$B$6:$C$9,2,FALSE()))</f>
        <v>4</v>
      </c>
      <c r="AJ44" s="0" t="n">
        <f aca="false">IF(Z44="","",VLOOKUP(Z44,Assumptions!$B$6:$C$9,2,FALSE()))</f>
        <v>4</v>
      </c>
      <c r="AK44" s="7" t="n">
        <f aca="false">IFERROR(ROUND(AVERAGE(AF44:AJ44),3),"")</f>
        <v>3.8</v>
      </c>
      <c r="AL44" s="7" t="n">
        <f aca="false">IF(OR(AF44="",AJ44=""),"",AJ44-AF44)</f>
        <v>1</v>
      </c>
      <c r="AM44" s="7" t="n">
        <f aca="false">IF(COUNT(AF44:AJ44)&gt;=2,ROUND(_xlfn.STDEV.S(AF44:AJ44),3),"")</f>
        <v>0.447</v>
      </c>
      <c r="AN44" s="7" t="n">
        <f aca="false">ROUND((IF(AF44="",0,AF44)*Assumptions!$F$15)+(IF(AG44="",0,AG44)*Assumptions!$F$16)+(IF(AH44="",0,AH44)*Assumptions!$F$17)+(IF(AI44="",0,AI44)*Assumptions!$F$18)+(IF(AJ44="",0,AJ44)*Assumptions!$F$19),3)</f>
        <v>3.9</v>
      </c>
      <c r="AO44" s="0" t="str">
        <f aca="false">IF(AC44&lt;=20,"",IF(AC44&lt;=Assumptions!$F$6,"20-30",IF(AC44&lt;=Assumptions!$F$7,"30-40",IF(AC44&lt;=Assumptions!$F$8,"40-50",IF(AC44&lt;=Assumptions!$F$9,"50-60",IF(AC44&lt;=Assumptions!$F$10,"60+",""))))))</f>
        <v>40-50</v>
      </c>
      <c r="AP44" s="0" t="str">
        <f aca="false">IFERROR(VLOOKUP(O44,Assumptions!$B$14:$C$26,2,FALSE()),"Other")</f>
        <v>Leadership</v>
      </c>
      <c r="AQ44" s="0" t="n">
        <f aca="false">IF(T44="",0,1)</f>
        <v>0</v>
      </c>
      <c r="AR44" s="0" t="n">
        <f aca="false">IF(U44="",0,1)</f>
        <v>1</v>
      </c>
      <c r="AS44" s="8" t="n">
        <f aca="false">IF(AK44="","",IF(MAX($AK$2:$AK$921)=MIN($AK$2:$AK$921),50,ROUND((AK44-MIN($AK$2:$AK$921))/(MAX($AK$2:$AK$921)-MIN($AK$2:$AK$921))*100,2)))</f>
        <v>91.43</v>
      </c>
      <c r="AT44" s="8" t="n">
        <f aca="false">IF(MAX($BC$2:$BC$921)=MIN($BC$2:$BC$921),50,ROUND((BC44-MIN($BC$2:$BC$921))/(MAX($BC$2:$BC$921)-MIN($BC$2:$BC$921))*100,2))</f>
        <v>75</v>
      </c>
      <c r="AU44" s="8" t="n">
        <f aca="false">IF(MAX($BE$2:$BE$921)=MIN($BE$2:$BE$921),50,ROUND((BE44-MIN($BE$2:$BE$921))/(MAX($BE$2:$BE$921)-MIN($BE$2:$BE$921))*100,2))</f>
        <v>74.19</v>
      </c>
      <c r="AV44" s="8" t="n">
        <f aca="false">IF(MAX($AD$2:$AD$921)=MIN($AD$2:$AD$921),50,ROUND((AD44-MIN($AD$2:$AD$921))/(MAX($AD$2:$AD$921)-MIN($AD$2:$AD$921))*100,2))</f>
        <v>58.96</v>
      </c>
      <c r="AW44" s="8" t="n">
        <f aca="false">IF(MAX($AN$2:$AN$921)=MIN($AN$2:$AN$921),50,ROUND((AN44-MIN($AN$2:$AN$921))/(MAX($AN$2:$AN$921)-MIN($AN$2:$AN$921))*100,2))</f>
        <v>97.5</v>
      </c>
      <c r="AX44" s="8" t="n">
        <f aca="false">AQ44*100</f>
        <v>0</v>
      </c>
      <c r="AY44" s="8" t="n">
        <f aca="false">AR44*100</f>
        <v>100</v>
      </c>
      <c r="AZ44" s="8" t="n">
        <f aca="false">IFERROR(ROUND(AS44*Assumptions!$I$6+AW44*Assumptions!$I$7+AT44*Assumptions!$I$8+AU44*Assumptions!$I$9+AV44*Assumptions!$I$10+AX44*Assumptions!$I$11+AY44*Assumptions!$I$12,2),"")</f>
        <v>80.2</v>
      </c>
      <c r="BA44" s="0" t="str">
        <f aca="false">IF(AZ44="","",IF(AZ44&lt;=Assumptions!$I$18,"Below Expectation",IF(AZ44&lt;=Assumptions!$I$19,"Developing",IF(AZ44&lt;=Assumptions!$I$20,"Meets Expectation",IF(AZ44&lt;=Assumptions!$I$21,"Exceeds","Star Performer")))))</f>
        <v>Exceeds</v>
      </c>
      <c r="BB44" s="0" t="n">
        <f aca="false">IF(AZ44="",0,IF(AZ44&gt;=Assumptions!$I$26,1,0))</f>
        <v>1</v>
      </c>
      <c r="BC44" s="9" t="n">
        <f aca="false">IF(AL44="",2,AL44+2)</f>
        <v>3</v>
      </c>
      <c r="BD44" s="10" t="n">
        <f aca="false">IF(AM44="",ROUND(AVERAGE($AM$2:$AM$921),3),AM44)</f>
        <v>0.447</v>
      </c>
      <c r="BE44" s="9" t="n">
        <f aca="false">1-BD44</f>
        <v>0.553</v>
      </c>
    </row>
    <row r="45" customFormat="false" ht="14.25" hidden="true" customHeight="false" outlineLevel="0" collapsed="false">
      <c r="A45" s="4" t="n">
        <v>181</v>
      </c>
      <c r="B45" s="5" t="n">
        <v>10053990</v>
      </c>
      <c r="C45" s="5" t="s">
        <v>85</v>
      </c>
      <c r="D45" s="5" t="s">
        <v>401</v>
      </c>
      <c r="E45" s="5" t="s">
        <v>137</v>
      </c>
      <c r="F45" s="5" t="s">
        <v>258</v>
      </c>
      <c r="G45" s="5" t="s">
        <v>259</v>
      </c>
      <c r="H45" s="5" t="s">
        <v>260</v>
      </c>
      <c r="I45" s="5" t="s">
        <v>63</v>
      </c>
      <c r="J45" s="5" t="s">
        <v>76</v>
      </c>
      <c r="K45" s="5" t="s">
        <v>309</v>
      </c>
      <c r="L45" s="6" t="n">
        <v>42513</v>
      </c>
      <c r="M45" s="5" t="s">
        <v>402</v>
      </c>
      <c r="N45" s="6" t="n">
        <v>31834</v>
      </c>
      <c r="O45" s="5" t="s">
        <v>162</v>
      </c>
      <c r="P45" s="5" t="s">
        <v>162</v>
      </c>
      <c r="Q45" s="5" t="s">
        <v>403</v>
      </c>
      <c r="R45" s="5" t="s">
        <v>404</v>
      </c>
      <c r="S45" s="5" t="s">
        <v>286</v>
      </c>
      <c r="T45" s="6"/>
      <c r="U45" s="6" t="n">
        <v>46113</v>
      </c>
      <c r="V45" s="5" t="s">
        <v>83</v>
      </c>
      <c r="W45" s="5" t="s">
        <v>83</v>
      </c>
      <c r="X45" s="5" t="s">
        <v>83</v>
      </c>
      <c r="Y45" s="5" t="s">
        <v>83</v>
      </c>
      <c r="Z45" s="5" t="s">
        <v>83</v>
      </c>
      <c r="AA45" s="5" t="s">
        <v>405</v>
      </c>
      <c r="AB45" s="0" t="n">
        <f aca="false">IFERROR(VALUE(R45),0)</f>
        <v>5.9</v>
      </c>
      <c r="AC45" s="0" t="n">
        <f aca="false">IFERROR(VALUE(M45),"")</f>
        <v>39.3</v>
      </c>
      <c r="AD45" s="0" t="n">
        <f aca="false">IFERROR(VALUE(Q45),"")</f>
        <v>10</v>
      </c>
      <c r="AE45" s="0" t="n">
        <f aca="false">IFERROR(VALUE(S45),"")</f>
        <v>15.9</v>
      </c>
      <c r="AF45" s="0" t="n">
        <f aca="false">IF(V45="","",VLOOKUP(V45,Assumptions!$B$6:$C$9,2,FALSE()))</f>
        <v>4</v>
      </c>
      <c r="AG45" s="0" t="n">
        <f aca="false">IF(W45="","",VLOOKUP(W45,Assumptions!$B$6:$C$9,2,FALSE()))</f>
        <v>4</v>
      </c>
      <c r="AH45" s="0" t="n">
        <f aca="false">IF(X45="","",VLOOKUP(X45,Assumptions!$B$6:$C$9,2,FALSE()))</f>
        <v>4</v>
      </c>
      <c r="AI45" s="0" t="n">
        <f aca="false">IF(Y45="","",VLOOKUP(Y45,Assumptions!$B$6:$C$9,2,FALSE()))</f>
        <v>4</v>
      </c>
      <c r="AJ45" s="0" t="n">
        <f aca="false">IF(Z45="","",VLOOKUP(Z45,Assumptions!$B$6:$C$9,2,FALSE()))</f>
        <v>4</v>
      </c>
      <c r="AK45" s="7" t="n">
        <f aca="false">IFERROR(ROUND(AVERAGE(AF45:AJ45),3),"")</f>
        <v>4</v>
      </c>
      <c r="AL45" s="7" t="n">
        <f aca="false">IF(OR(AF45="",AJ45=""),"",AJ45-AF45)</f>
        <v>0</v>
      </c>
      <c r="AM45" s="7" t="n">
        <f aca="false">IF(COUNT(AF45:AJ45)&gt;=2,ROUND(_xlfn.STDEV.S(AF45:AJ45),3),"")</f>
        <v>0</v>
      </c>
      <c r="AN45" s="7" t="n">
        <f aca="false">ROUND((IF(AF45="",0,AF45)*Assumptions!$F$15)+(IF(AG45="",0,AG45)*Assumptions!$F$16)+(IF(AH45="",0,AH45)*Assumptions!$F$17)+(IF(AI45="",0,AI45)*Assumptions!$F$18)+(IF(AJ45="",0,AJ45)*Assumptions!$F$19),3)</f>
        <v>4</v>
      </c>
      <c r="AO45" s="0" t="str">
        <f aca="false">IF(AC45&lt;=20,"",IF(AC45&lt;=Assumptions!$F$6,"20-30",IF(AC45&lt;=Assumptions!$F$7,"30-40",IF(AC45&lt;=Assumptions!$F$8,"40-50",IF(AC45&lt;=Assumptions!$F$9,"50-60",IF(AC45&lt;=Assumptions!$F$10,"60+",""))))))</f>
        <v>30-40</v>
      </c>
      <c r="AP45" s="0" t="str">
        <f aca="false">IFERROR(VLOOKUP(O45,Assumptions!$B$14:$C$26,2,FALSE()),"Other")</f>
        <v>Manager</v>
      </c>
      <c r="AQ45" s="0" t="n">
        <f aca="false">IF(T45="",0,1)</f>
        <v>0</v>
      </c>
      <c r="AR45" s="0" t="n">
        <f aca="false">IF(U45="",0,1)</f>
        <v>1</v>
      </c>
      <c r="AS45" s="8" t="n">
        <f aca="false">IF(AK45="","",IF(MAX($AK$2:$AK$921)=MIN($AK$2:$AK$921),50,ROUND((AK45-MIN($AK$2:$AK$921))/(MAX($AK$2:$AK$921)-MIN($AK$2:$AK$921))*100,2)))</f>
        <v>100</v>
      </c>
      <c r="AT45" s="8" t="n">
        <f aca="false">IF(MAX($BC$2:$BC$921)=MIN($BC$2:$BC$921),50,ROUND((BC45-MIN($BC$2:$BC$921))/(MAX($BC$2:$BC$921)-MIN($BC$2:$BC$921))*100,2))</f>
        <v>50</v>
      </c>
      <c r="AU45" s="8" t="n">
        <f aca="false">IF(MAX($BE$2:$BE$921)=MIN($BE$2:$BE$921),50,ROUND((BE45-MIN($BE$2:$BE$921))/(MAX($BE$2:$BE$921)-MIN($BE$2:$BE$921))*100,2))</f>
        <v>100</v>
      </c>
      <c r="AV45" s="8" t="n">
        <f aca="false">IF(MAX($AD$2:$AD$921)=MIN($AD$2:$AD$921),50,ROUND((AD45-MIN($AD$2:$AD$921))/(MAX($AD$2:$AD$921)-MIN($AD$2:$AD$921))*100,2))</f>
        <v>26.88</v>
      </c>
      <c r="AW45" s="8" t="n">
        <f aca="false">IF(MAX($AN$2:$AN$921)=MIN($AN$2:$AN$921),50,ROUND((AN45-MIN($AN$2:$AN$921))/(MAX($AN$2:$AN$921)-MIN($AN$2:$AN$921))*100,2))</f>
        <v>100</v>
      </c>
      <c r="AX45" s="8" t="n">
        <f aca="false">AQ45*100</f>
        <v>0</v>
      </c>
      <c r="AY45" s="8" t="n">
        <f aca="false">AR45*100</f>
        <v>100</v>
      </c>
      <c r="AZ45" s="8" t="n">
        <f aca="false">IFERROR(ROUND(AS45*Assumptions!$I$6+AW45*Assumptions!$I$7+AT45*Assumptions!$I$8+AU45*Assumptions!$I$9+AV45*Assumptions!$I$10+AX45*Assumptions!$I$11+AY45*Assumptions!$I$12,2),"")</f>
        <v>80.19</v>
      </c>
      <c r="BA45" s="0" t="str">
        <f aca="false">IF(AZ45="","",IF(AZ45&lt;=Assumptions!$I$18,"Below Expectation",IF(AZ45&lt;=Assumptions!$I$19,"Developing",IF(AZ45&lt;=Assumptions!$I$20,"Meets Expectation",IF(AZ45&lt;=Assumptions!$I$21,"Exceeds","Star Performer")))))</f>
        <v>Exceeds</v>
      </c>
      <c r="BB45" s="0" t="n">
        <f aca="false">IF(AZ45="",0,IF(AZ45&gt;=Assumptions!$I$26,1,0))</f>
        <v>1</v>
      </c>
      <c r="BC45" s="9" t="n">
        <f aca="false">IF(AL45="",2,AL45+2)</f>
        <v>2</v>
      </c>
      <c r="BD45" s="10" t="n">
        <f aca="false">IF(AM45="",ROUND(AVERAGE($AM$2:$AM$921),3),AM45)</f>
        <v>0</v>
      </c>
      <c r="BE45" s="9" t="n">
        <f aca="false">1-BD45</f>
        <v>1</v>
      </c>
    </row>
    <row r="46" customFormat="false" ht="14.25" hidden="false" customHeight="false" outlineLevel="0" collapsed="false">
      <c r="A46" s="4" t="n">
        <v>82</v>
      </c>
      <c r="B46" s="5" t="n">
        <v>10025259</v>
      </c>
      <c r="C46" s="5" t="s">
        <v>106</v>
      </c>
      <c r="D46" s="5" t="s">
        <v>406</v>
      </c>
      <c r="E46" s="5" t="s">
        <v>305</v>
      </c>
      <c r="F46" s="5" t="s">
        <v>407</v>
      </c>
      <c r="G46" s="5" t="s">
        <v>408</v>
      </c>
      <c r="H46" s="5" t="s">
        <v>409</v>
      </c>
      <c r="I46" s="5" t="s">
        <v>63</v>
      </c>
      <c r="J46" s="5" t="s">
        <v>112</v>
      </c>
      <c r="K46" s="5" t="s">
        <v>65</v>
      </c>
      <c r="L46" s="6" t="n">
        <v>39391</v>
      </c>
      <c r="M46" s="5" t="s">
        <v>410</v>
      </c>
      <c r="N46" s="6" t="n">
        <v>30305</v>
      </c>
      <c r="O46" s="5" t="s">
        <v>162</v>
      </c>
      <c r="P46" s="5" t="s">
        <v>162</v>
      </c>
      <c r="Q46" s="5" t="s">
        <v>411</v>
      </c>
      <c r="R46" s="5" t="s">
        <v>412</v>
      </c>
      <c r="S46" s="5" t="s">
        <v>413</v>
      </c>
      <c r="T46" s="6" t="n">
        <v>42095</v>
      </c>
      <c r="U46" s="6" t="n">
        <v>45992</v>
      </c>
      <c r="V46" s="5" t="s">
        <v>141</v>
      </c>
      <c r="W46" s="5" t="s">
        <v>141</v>
      </c>
      <c r="X46" s="5" t="s">
        <v>83</v>
      </c>
      <c r="Y46" s="5" t="s">
        <v>83</v>
      </c>
      <c r="Z46" s="5" t="s">
        <v>83</v>
      </c>
      <c r="AA46" s="5" t="s">
        <v>414</v>
      </c>
      <c r="AB46" s="0" t="n">
        <f aca="false">IFERROR(VALUE(R46),0)</f>
        <v>2.6</v>
      </c>
      <c r="AC46" s="0" t="n">
        <f aca="false">IFERROR(VALUE(M46),"")</f>
        <v>43.5</v>
      </c>
      <c r="AD46" s="0" t="n">
        <f aca="false">IFERROR(VALUE(Q46),"")</f>
        <v>18.7</v>
      </c>
      <c r="AE46" s="0" t="n">
        <f aca="false">IFERROR(VALUE(S46),"")</f>
        <v>21.1</v>
      </c>
      <c r="AF46" s="0" t="n">
        <f aca="false">IF(V46="","",VLOOKUP(V46,Assumptions!$B$6:$C$9,2,FALSE()))</f>
        <v>3</v>
      </c>
      <c r="AG46" s="0" t="n">
        <f aca="false">IF(W46="","",VLOOKUP(W46,Assumptions!$B$6:$C$9,2,FALSE()))</f>
        <v>3</v>
      </c>
      <c r="AH46" s="0" t="n">
        <f aca="false">IF(X46="","",VLOOKUP(X46,Assumptions!$B$6:$C$9,2,FALSE()))</f>
        <v>4</v>
      </c>
      <c r="AI46" s="0" t="n">
        <f aca="false">IF(Y46="","",VLOOKUP(Y46,Assumptions!$B$6:$C$9,2,FALSE()))</f>
        <v>4</v>
      </c>
      <c r="AJ46" s="0" t="n">
        <f aca="false">IF(Z46="","",VLOOKUP(Z46,Assumptions!$B$6:$C$9,2,FALSE()))</f>
        <v>4</v>
      </c>
      <c r="AK46" s="7" t="n">
        <f aca="false">IFERROR(ROUND(AVERAGE(AF46:AJ46),3),"")</f>
        <v>3.6</v>
      </c>
      <c r="AL46" s="7" t="n">
        <f aca="false">IF(OR(AF46="",AJ46=""),"",AJ46-AF46)</f>
        <v>1</v>
      </c>
      <c r="AM46" s="7" t="n">
        <f aca="false">IF(COUNT(AF46:AJ46)&gt;=2,ROUND(_xlfn.STDEV.S(AF46:AJ46),3),"")</f>
        <v>0.548</v>
      </c>
      <c r="AN46" s="7" t="n">
        <f aca="false">ROUND((IF(AF46="",0,AF46)*Assumptions!$F$15)+(IF(AG46="",0,AG46)*Assumptions!$F$16)+(IF(AH46="",0,AH46)*Assumptions!$F$17)+(IF(AI46="",0,AI46)*Assumptions!$F$18)+(IF(AJ46="",0,AJ46)*Assumptions!$F$19),3)</f>
        <v>3.75</v>
      </c>
      <c r="AO46" s="0" t="str">
        <f aca="false">IF(AC46&lt;=20,"",IF(AC46&lt;=Assumptions!$F$6,"20-30",IF(AC46&lt;=Assumptions!$F$7,"30-40",IF(AC46&lt;=Assumptions!$F$8,"40-50",IF(AC46&lt;=Assumptions!$F$9,"50-60",IF(AC46&lt;=Assumptions!$F$10,"60+",""))))))</f>
        <v>40-50</v>
      </c>
      <c r="AP46" s="0" t="str">
        <f aca="false">IFERROR(VLOOKUP(O46,Assumptions!$B$14:$C$26,2,FALSE()),"Other")</f>
        <v>Manager</v>
      </c>
      <c r="AQ46" s="0" t="n">
        <f aca="false">IF(T46="",0,1)</f>
        <v>1</v>
      </c>
      <c r="AR46" s="0" t="n">
        <f aca="false">IF(U46="",0,1)</f>
        <v>1</v>
      </c>
      <c r="AS46" s="8" t="n">
        <f aca="false">IF(AK46="","",IF(MAX($AK$2:$AK$921)=MIN($AK$2:$AK$921),50,ROUND((AK46-MIN($AK$2:$AK$921))/(MAX($AK$2:$AK$921)-MIN($AK$2:$AK$921))*100,2)))</f>
        <v>82.85</v>
      </c>
      <c r="AT46" s="8" t="n">
        <f aca="false">IF(MAX($BC$2:$BC$921)=MIN($BC$2:$BC$921),50,ROUND((BC46-MIN($BC$2:$BC$921))/(MAX($BC$2:$BC$921)-MIN($BC$2:$BC$921))*100,2))</f>
        <v>75</v>
      </c>
      <c r="AU46" s="8" t="n">
        <f aca="false">IF(MAX($BE$2:$BE$921)=MIN($BE$2:$BE$921),50,ROUND((BE46-MIN($BE$2:$BE$921))/(MAX($BE$2:$BE$921)-MIN($BE$2:$BE$921))*100,2))</f>
        <v>68.36</v>
      </c>
      <c r="AV46" s="8" t="n">
        <f aca="false">IF(MAX($AD$2:$AD$921)=MIN($AD$2:$AD$921),50,ROUND((AD46-MIN($AD$2:$AD$921))/(MAX($AD$2:$AD$921)-MIN($AD$2:$AD$921))*100,2))</f>
        <v>50.53</v>
      </c>
      <c r="AW46" s="8" t="n">
        <f aca="false">IF(MAX($AN$2:$AN$921)=MIN($AN$2:$AN$921),50,ROUND((AN46-MIN($AN$2:$AN$921))/(MAX($AN$2:$AN$921)-MIN($AN$2:$AN$921))*100,2))</f>
        <v>93.75</v>
      </c>
      <c r="AX46" s="8" t="n">
        <f aca="false">AQ46*100</f>
        <v>100</v>
      </c>
      <c r="AY46" s="8" t="n">
        <f aca="false">AR46*100</f>
        <v>100</v>
      </c>
      <c r="AZ46" s="8" t="n">
        <f aca="false">IFERROR(ROUND(AS46*Assumptions!$I$6+AW46*Assumptions!$I$7+AT46*Assumptions!$I$8+AU46*Assumptions!$I$9+AV46*Assumptions!$I$10+AX46*Assumptions!$I$11+AY46*Assumptions!$I$12,2),"")</f>
        <v>80.16</v>
      </c>
      <c r="BA46" s="0" t="str">
        <f aca="false">IF(AZ46="","",IF(AZ46&lt;=Assumptions!$I$18,"Below Expectation",IF(AZ46&lt;=Assumptions!$I$19,"Developing",IF(AZ46&lt;=Assumptions!$I$20,"Meets Expectation",IF(AZ46&lt;=Assumptions!$I$21,"Exceeds","Star Performer")))))</f>
        <v>Exceeds</v>
      </c>
      <c r="BB46" s="0" t="n">
        <f aca="false">IF(AZ46="",0,IF(AZ46&gt;=Assumptions!$I$26,1,0))</f>
        <v>1</v>
      </c>
      <c r="BC46" s="9" t="n">
        <f aca="false">IF(AL46="",2,AL46+2)</f>
        <v>3</v>
      </c>
      <c r="BD46" s="10" t="n">
        <f aca="false">IF(AM46="",ROUND(AVERAGE($AM$2:$AM$921),3),AM46)</f>
        <v>0.548</v>
      </c>
      <c r="BE46" s="9" t="n">
        <f aca="false">1-BD46</f>
        <v>0.452</v>
      </c>
    </row>
    <row r="47" customFormat="false" ht="14.25" hidden="true" customHeight="false" outlineLevel="0" collapsed="false">
      <c r="A47" s="4" t="n">
        <v>454</v>
      </c>
      <c r="B47" s="5" t="n">
        <v>55021146</v>
      </c>
      <c r="C47" s="5" t="s">
        <v>106</v>
      </c>
      <c r="D47" s="5" t="s">
        <v>415</v>
      </c>
      <c r="E47" s="5" t="s">
        <v>108</v>
      </c>
      <c r="F47" s="5" t="s">
        <v>416</v>
      </c>
      <c r="G47" s="5" t="s">
        <v>160</v>
      </c>
      <c r="H47" s="5" t="s">
        <v>159</v>
      </c>
      <c r="I47" s="5" t="s">
        <v>63</v>
      </c>
      <c r="J47" s="5" t="s">
        <v>112</v>
      </c>
      <c r="K47" s="5" t="s">
        <v>65</v>
      </c>
      <c r="L47" s="6" t="n">
        <v>42649</v>
      </c>
      <c r="M47" s="5" t="s">
        <v>417</v>
      </c>
      <c r="N47" s="6" t="n">
        <v>32024</v>
      </c>
      <c r="O47" s="5" t="s">
        <v>122</v>
      </c>
      <c r="P47" s="5" t="s">
        <v>123</v>
      </c>
      <c r="Q47" s="5" t="s">
        <v>418</v>
      </c>
      <c r="R47" s="5" t="s">
        <v>404</v>
      </c>
      <c r="S47" s="5" t="s">
        <v>419</v>
      </c>
      <c r="T47" s="6"/>
      <c r="U47" s="6" t="n">
        <v>45992</v>
      </c>
      <c r="V47" s="5" t="s">
        <v>83</v>
      </c>
      <c r="W47" s="5" t="s">
        <v>83</v>
      </c>
      <c r="X47" s="5" t="s">
        <v>83</v>
      </c>
      <c r="Y47" s="5" t="s">
        <v>83</v>
      </c>
      <c r="Z47" s="5" t="s">
        <v>83</v>
      </c>
      <c r="AA47" s="5" t="s">
        <v>420</v>
      </c>
      <c r="AB47" s="0" t="n">
        <f aca="false">IFERROR(VALUE(R47),0)</f>
        <v>5.9</v>
      </c>
      <c r="AC47" s="0" t="n">
        <f aca="false">IFERROR(VALUE(M47),"")</f>
        <v>38.9</v>
      </c>
      <c r="AD47" s="0" t="n">
        <f aca="false">IFERROR(VALUE(Q47),"")</f>
        <v>9.8</v>
      </c>
      <c r="AE47" s="0" t="n">
        <f aca="false">IFERROR(VALUE(S47),"")</f>
        <v>15.5</v>
      </c>
      <c r="AF47" s="0" t="n">
        <f aca="false">IF(V47="","",VLOOKUP(V47,Assumptions!$B$6:$C$9,2,FALSE()))</f>
        <v>4</v>
      </c>
      <c r="AG47" s="0" t="n">
        <f aca="false">IF(W47="","",VLOOKUP(W47,Assumptions!$B$6:$C$9,2,FALSE()))</f>
        <v>4</v>
      </c>
      <c r="AH47" s="0" t="n">
        <f aca="false">IF(X47="","",VLOOKUP(X47,Assumptions!$B$6:$C$9,2,FALSE()))</f>
        <v>4</v>
      </c>
      <c r="AI47" s="0" t="n">
        <f aca="false">IF(Y47="","",VLOOKUP(Y47,Assumptions!$B$6:$C$9,2,FALSE()))</f>
        <v>4</v>
      </c>
      <c r="AJ47" s="0" t="n">
        <f aca="false">IF(Z47="","",VLOOKUP(Z47,Assumptions!$B$6:$C$9,2,FALSE()))</f>
        <v>4</v>
      </c>
      <c r="AK47" s="7" t="n">
        <f aca="false">IFERROR(ROUND(AVERAGE(AF47:AJ47),3),"")</f>
        <v>4</v>
      </c>
      <c r="AL47" s="7" t="n">
        <f aca="false">IF(OR(AF47="",AJ47=""),"",AJ47-AF47)</f>
        <v>0</v>
      </c>
      <c r="AM47" s="7" t="n">
        <f aca="false">IF(COUNT(AF47:AJ47)&gt;=2,ROUND(_xlfn.STDEV.S(AF47:AJ47),3),"")</f>
        <v>0</v>
      </c>
      <c r="AN47" s="7" t="n">
        <f aca="false">ROUND((IF(AF47="",0,AF47)*Assumptions!$F$15)+(IF(AG47="",0,AG47)*Assumptions!$F$16)+(IF(AH47="",0,AH47)*Assumptions!$F$17)+(IF(AI47="",0,AI47)*Assumptions!$F$18)+(IF(AJ47="",0,AJ47)*Assumptions!$F$19),3)</f>
        <v>4</v>
      </c>
      <c r="AO47" s="0" t="str">
        <f aca="false">IF(AC47&lt;=20,"",IF(AC47&lt;=Assumptions!$F$6,"20-30",IF(AC47&lt;=Assumptions!$F$7,"30-40",IF(AC47&lt;=Assumptions!$F$8,"40-50",IF(AC47&lt;=Assumptions!$F$9,"50-60",IF(AC47&lt;=Assumptions!$F$10,"60+",""))))))</f>
        <v>30-40</v>
      </c>
      <c r="AP47" s="0" t="str">
        <f aca="false">IFERROR(VLOOKUP(O47,Assumptions!$B$14:$C$26,2,FALSE()),"Other")</f>
        <v>Leadership</v>
      </c>
      <c r="AQ47" s="0" t="n">
        <f aca="false">IF(T47="",0,1)</f>
        <v>0</v>
      </c>
      <c r="AR47" s="0" t="n">
        <f aca="false">IF(U47="",0,1)</f>
        <v>1</v>
      </c>
      <c r="AS47" s="8" t="n">
        <f aca="false">IF(AK47="","",IF(MAX($AK$2:$AK$921)=MIN($AK$2:$AK$921),50,ROUND((AK47-MIN($AK$2:$AK$921))/(MAX($AK$2:$AK$921)-MIN($AK$2:$AK$921))*100,2)))</f>
        <v>100</v>
      </c>
      <c r="AT47" s="8" t="n">
        <f aca="false">IF(MAX($BC$2:$BC$921)=MIN($BC$2:$BC$921),50,ROUND((BC47-MIN($BC$2:$BC$921))/(MAX($BC$2:$BC$921)-MIN($BC$2:$BC$921))*100,2))</f>
        <v>50</v>
      </c>
      <c r="AU47" s="8" t="n">
        <f aca="false">IF(MAX($BE$2:$BE$921)=MIN($BE$2:$BE$921),50,ROUND((BE47-MIN($BE$2:$BE$921))/(MAX($BE$2:$BE$921)-MIN($BE$2:$BE$921))*100,2))</f>
        <v>100</v>
      </c>
      <c r="AV47" s="8" t="n">
        <f aca="false">IF(MAX($AD$2:$AD$921)=MIN($AD$2:$AD$921),50,ROUND((AD47-MIN($AD$2:$AD$921))/(MAX($AD$2:$AD$921)-MIN($AD$2:$AD$921))*100,2))</f>
        <v>26.34</v>
      </c>
      <c r="AW47" s="8" t="n">
        <f aca="false">IF(MAX($AN$2:$AN$921)=MIN($AN$2:$AN$921),50,ROUND((AN47-MIN($AN$2:$AN$921))/(MAX($AN$2:$AN$921)-MIN($AN$2:$AN$921))*100,2))</f>
        <v>100</v>
      </c>
      <c r="AX47" s="8" t="n">
        <f aca="false">AQ47*100</f>
        <v>0</v>
      </c>
      <c r="AY47" s="8" t="n">
        <f aca="false">AR47*100</f>
        <v>100</v>
      </c>
      <c r="AZ47" s="8" t="n">
        <f aca="false">IFERROR(ROUND(AS47*Assumptions!$I$6+AW47*Assumptions!$I$7+AT47*Assumptions!$I$8+AU47*Assumptions!$I$9+AV47*Assumptions!$I$10+AX47*Assumptions!$I$11+AY47*Assumptions!$I$12,2),"")</f>
        <v>80.13</v>
      </c>
      <c r="BA47" s="0" t="str">
        <f aca="false">IF(AZ47="","",IF(AZ47&lt;=Assumptions!$I$18,"Below Expectation",IF(AZ47&lt;=Assumptions!$I$19,"Developing",IF(AZ47&lt;=Assumptions!$I$20,"Meets Expectation",IF(AZ47&lt;=Assumptions!$I$21,"Exceeds","Star Performer")))))</f>
        <v>Exceeds</v>
      </c>
      <c r="BB47" s="0" t="n">
        <f aca="false">IF(AZ47="",0,IF(AZ47&gt;=Assumptions!$I$26,1,0))</f>
        <v>1</v>
      </c>
      <c r="BC47" s="9" t="n">
        <f aca="false">IF(AL47="",2,AL47+2)</f>
        <v>2</v>
      </c>
      <c r="BD47" s="10" t="n">
        <f aca="false">IF(AM47="",ROUND(AVERAGE($AM$2:$AM$921),3),AM47)</f>
        <v>0</v>
      </c>
      <c r="BE47" s="9" t="n">
        <f aca="false">1-BD47</f>
        <v>1</v>
      </c>
    </row>
    <row r="48" customFormat="false" ht="14.25" hidden="true" customHeight="false" outlineLevel="0" collapsed="false">
      <c r="A48" s="4" t="n">
        <v>213</v>
      </c>
      <c r="B48" s="5" t="n">
        <v>10056531</v>
      </c>
      <c r="C48" s="5" t="s">
        <v>149</v>
      </c>
      <c r="D48" s="5" t="s">
        <v>421</v>
      </c>
      <c r="E48" s="5" t="s">
        <v>151</v>
      </c>
      <c r="F48" s="5" t="s">
        <v>422</v>
      </c>
      <c r="G48" s="5" t="s">
        <v>423</v>
      </c>
      <c r="H48" s="5" t="s">
        <v>424</v>
      </c>
      <c r="I48" s="5" t="s">
        <v>63</v>
      </c>
      <c r="J48" s="5" t="s">
        <v>100</v>
      </c>
      <c r="K48" s="5" t="s">
        <v>65</v>
      </c>
      <c r="L48" s="6" t="n">
        <v>42737</v>
      </c>
      <c r="M48" s="5" t="s">
        <v>402</v>
      </c>
      <c r="N48" s="6" t="n">
        <v>31833</v>
      </c>
      <c r="O48" s="5" t="s">
        <v>262</v>
      </c>
      <c r="P48" s="5" t="s">
        <v>263</v>
      </c>
      <c r="Q48" s="5" t="s">
        <v>425</v>
      </c>
      <c r="R48" s="5" t="s">
        <v>426</v>
      </c>
      <c r="S48" s="5" t="s">
        <v>194</v>
      </c>
      <c r="T48" s="6"/>
      <c r="U48" s="6" t="n">
        <v>45748</v>
      </c>
      <c r="V48" s="5" t="s">
        <v>83</v>
      </c>
      <c r="W48" s="5" t="s">
        <v>83</v>
      </c>
      <c r="X48" s="5" t="s">
        <v>83</v>
      </c>
      <c r="Y48" s="5" t="s">
        <v>83</v>
      </c>
      <c r="Z48" s="5" t="s">
        <v>83</v>
      </c>
      <c r="AA48" s="5" t="s">
        <v>427</v>
      </c>
      <c r="AB48" s="0" t="n">
        <f aca="false">IFERROR(VALUE(R48),0)</f>
        <v>6.9</v>
      </c>
      <c r="AC48" s="0" t="n">
        <f aca="false">IFERROR(VALUE(M48),"")</f>
        <v>39.3</v>
      </c>
      <c r="AD48" s="0" t="n">
        <f aca="false">IFERROR(VALUE(Q48),"")</f>
        <v>9.5</v>
      </c>
      <c r="AE48" s="0" t="n">
        <f aca="false">IFERROR(VALUE(S48),"")</f>
        <v>16.2</v>
      </c>
      <c r="AF48" s="0" t="n">
        <f aca="false">IF(V48="","",VLOOKUP(V48,Assumptions!$B$6:$C$9,2,FALSE()))</f>
        <v>4</v>
      </c>
      <c r="AG48" s="0" t="n">
        <f aca="false">IF(W48="","",VLOOKUP(W48,Assumptions!$B$6:$C$9,2,FALSE()))</f>
        <v>4</v>
      </c>
      <c r="AH48" s="0" t="n">
        <f aca="false">IF(X48="","",VLOOKUP(X48,Assumptions!$B$6:$C$9,2,FALSE()))</f>
        <v>4</v>
      </c>
      <c r="AI48" s="0" t="n">
        <f aca="false">IF(Y48="","",VLOOKUP(Y48,Assumptions!$B$6:$C$9,2,FALSE()))</f>
        <v>4</v>
      </c>
      <c r="AJ48" s="0" t="n">
        <f aca="false">IF(Z48="","",VLOOKUP(Z48,Assumptions!$B$6:$C$9,2,FALSE()))</f>
        <v>4</v>
      </c>
      <c r="AK48" s="7" t="n">
        <f aca="false">IFERROR(ROUND(AVERAGE(AF48:AJ48),3),"")</f>
        <v>4</v>
      </c>
      <c r="AL48" s="7" t="n">
        <f aca="false">IF(OR(AF48="",AJ48=""),"",AJ48-AF48)</f>
        <v>0</v>
      </c>
      <c r="AM48" s="7" t="n">
        <f aca="false">IF(COUNT(AF48:AJ48)&gt;=2,ROUND(_xlfn.STDEV.S(AF48:AJ48),3),"")</f>
        <v>0</v>
      </c>
      <c r="AN48" s="7" t="n">
        <f aca="false">ROUND((IF(AF48="",0,AF48)*Assumptions!$F$15)+(IF(AG48="",0,AG48)*Assumptions!$F$16)+(IF(AH48="",0,AH48)*Assumptions!$F$17)+(IF(AI48="",0,AI48)*Assumptions!$F$18)+(IF(AJ48="",0,AJ48)*Assumptions!$F$19),3)</f>
        <v>4</v>
      </c>
      <c r="AO48" s="0" t="str">
        <f aca="false">IF(AC48&lt;=20,"",IF(AC48&lt;=Assumptions!$F$6,"20-30",IF(AC48&lt;=Assumptions!$F$7,"30-40",IF(AC48&lt;=Assumptions!$F$8,"40-50",IF(AC48&lt;=Assumptions!$F$9,"50-60",IF(AC48&lt;=Assumptions!$F$10,"60+",""))))))</f>
        <v>30-40</v>
      </c>
      <c r="AP48" s="0" t="str">
        <f aca="false">IFERROR(VLOOKUP(O48,Assumptions!$B$14:$C$26,2,FALSE()),"Other")</f>
        <v>Manager</v>
      </c>
      <c r="AQ48" s="0" t="n">
        <f aca="false">IF(T48="",0,1)</f>
        <v>0</v>
      </c>
      <c r="AR48" s="0" t="n">
        <f aca="false">IF(U48="",0,1)</f>
        <v>1</v>
      </c>
      <c r="AS48" s="8" t="n">
        <f aca="false">IF(AK48="","",IF(MAX($AK$2:$AK$921)=MIN($AK$2:$AK$921),50,ROUND((AK48-MIN($AK$2:$AK$921))/(MAX($AK$2:$AK$921)-MIN($AK$2:$AK$921))*100,2)))</f>
        <v>100</v>
      </c>
      <c r="AT48" s="8" t="n">
        <f aca="false">IF(MAX($BC$2:$BC$921)=MIN($BC$2:$BC$921),50,ROUND((BC48-MIN($BC$2:$BC$921))/(MAX($BC$2:$BC$921)-MIN($BC$2:$BC$921))*100,2))</f>
        <v>50</v>
      </c>
      <c r="AU48" s="8" t="n">
        <f aca="false">IF(MAX($BE$2:$BE$921)=MIN($BE$2:$BE$921),50,ROUND((BE48-MIN($BE$2:$BE$921))/(MAX($BE$2:$BE$921)-MIN($BE$2:$BE$921))*100,2))</f>
        <v>100</v>
      </c>
      <c r="AV48" s="8" t="n">
        <f aca="false">IF(MAX($AD$2:$AD$921)=MIN($AD$2:$AD$921),50,ROUND((AD48-MIN($AD$2:$AD$921))/(MAX($AD$2:$AD$921)-MIN($AD$2:$AD$921))*100,2))</f>
        <v>25.52</v>
      </c>
      <c r="AW48" s="8" t="n">
        <f aca="false">IF(MAX($AN$2:$AN$921)=MIN($AN$2:$AN$921),50,ROUND((AN48-MIN($AN$2:$AN$921))/(MAX($AN$2:$AN$921)-MIN($AN$2:$AN$921))*100,2))</f>
        <v>100</v>
      </c>
      <c r="AX48" s="8" t="n">
        <f aca="false">AQ48*100</f>
        <v>0</v>
      </c>
      <c r="AY48" s="8" t="n">
        <f aca="false">AR48*100</f>
        <v>100</v>
      </c>
      <c r="AZ48" s="8" t="n">
        <f aca="false">IFERROR(ROUND(AS48*Assumptions!$I$6+AW48*Assumptions!$I$7+AT48*Assumptions!$I$8+AU48*Assumptions!$I$9+AV48*Assumptions!$I$10+AX48*Assumptions!$I$11+AY48*Assumptions!$I$12,2),"")</f>
        <v>80.05</v>
      </c>
      <c r="BA48" s="0" t="str">
        <f aca="false">IF(AZ48="","",IF(AZ48&lt;=Assumptions!$I$18,"Below Expectation",IF(AZ48&lt;=Assumptions!$I$19,"Developing",IF(AZ48&lt;=Assumptions!$I$20,"Meets Expectation",IF(AZ48&lt;=Assumptions!$I$21,"Exceeds","Star Performer")))))</f>
        <v>Exceeds</v>
      </c>
      <c r="BB48" s="0" t="n">
        <f aca="false">IF(AZ48="",0,IF(AZ48&gt;=Assumptions!$I$26,1,0))</f>
        <v>1</v>
      </c>
      <c r="BC48" s="9" t="n">
        <f aca="false">IF(AL48="",2,AL48+2)</f>
        <v>2</v>
      </c>
      <c r="BD48" s="10" t="n">
        <f aca="false">IF(AM48="",ROUND(AVERAGE($AM$2:$AM$921),3),AM48)</f>
        <v>0</v>
      </c>
      <c r="BE48" s="9" t="n">
        <f aca="false">1-BD48</f>
        <v>1</v>
      </c>
    </row>
    <row r="49" customFormat="false" ht="14.25" hidden="false" customHeight="false" outlineLevel="0" collapsed="false">
      <c r="A49" s="4" t="n">
        <v>455</v>
      </c>
      <c r="B49" s="5" t="n">
        <v>55022522</v>
      </c>
      <c r="C49" s="5" t="s">
        <v>106</v>
      </c>
      <c r="D49" s="5" t="s">
        <v>428</v>
      </c>
      <c r="E49" s="5" t="s">
        <v>108</v>
      </c>
      <c r="F49" s="5" t="s">
        <v>429</v>
      </c>
      <c r="G49" s="5" t="s">
        <v>430</v>
      </c>
      <c r="H49" s="5" t="s">
        <v>431</v>
      </c>
      <c r="I49" s="5" t="s">
        <v>63</v>
      </c>
      <c r="J49" s="5" t="s">
        <v>112</v>
      </c>
      <c r="K49" s="5" t="s">
        <v>65</v>
      </c>
      <c r="L49" s="6" t="n">
        <v>42745</v>
      </c>
      <c r="M49" s="5" t="s">
        <v>432</v>
      </c>
      <c r="N49" s="6" t="n">
        <v>32526</v>
      </c>
      <c r="O49" s="5" t="s">
        <v>332</v>
      </c>
      <c r="P49" s="5" t="s">
        <v>333</v>
      </c>
      <c r="Q49" s="5" t="s">
        <v>70</v>
      </c>
      <c r="R49" s="5" t="s">
        <v>433</v>
      </c>
      <c r="S49" s="5" t="s">
        <v>374</v>
      </c>
      <c r="T49" s="6"/>
      <c r="U49" s="6" t="n">
        <v>45992</v>
      </c>
      <c r="V49" s="5" t="s">
        <v>83</v>
      </c>
      <c r="W49" s="5" t="s">
        <v>83</v>
      </c>
      <c r="X49" s="5" t="s">
        <v>83</v>
      </c>
      <c r="Y49" s="5" t="s">
        <v>83</v>
      </c>
      <c r="Z49" s="5" t="s">
        <v>83</v>
      </c>
      <c r="AA49" s="5" t="s">
        <v>434</v>
      </c>
      <c r="AB49" s="0" t="n">
        <f aca="false">IFERROR(VALUE(R49),0)</f>
        <v>3</v>
      </c>
      <c r="AC49" s="0" t="n">
        <f aca="false">IFERROR(VALUE(M49),"")</f>
        <v>37.4</v>
      </c>
      <c r="AD49" s="0" t="n">
        <f aca="false">IFERROR(VALUE(Q49),"")</f>
        <v>9.4</v>
      </c>
      <c r="AE49" s="0" t="n">
        <f aca="false">IFERROR(VALUE(S49),"")</f>
        <v>12.4</v>
      </c>
      <c r="AF49" s="0" t="n">
        <f aca="false">IF(V49="","",VLOOKUP(V49,Assumptions!$B$6:$C$9,2,FALSE()))</f>
        <v>4</v>
      </c>
      <c r="AG49" s="0" t="n">
        <f aca="false">IF(W49="","",VLOOKUP(W49,Assumptions!$B$6:$C$9,2,FALSE()))</f>
        <v>4</v>
      </c>
      <c r="AH49" s="0" t="n">
        <f aca="false">IF(X49="","",VLOOKUP(X49,Assumptions!$B$6:$C$9,2,FALSE()))</f>
        <v>4</v>
      </c>
      <c r="AI49" s="0" t="n">
        <f aca="false">IF(Y49="","",VLOOKUP(Y49,Assumptions!$B$6:$C$9,2,FALSE()))</f>
        <v>4</v>
      </c>
      <c r="AJ49" s="0" t="n">
        <f aca="false">IF(Z49="","",VLOOKUP(Z49,Assumptions!$B$6:$C$9,2,FALSE()))</f>
        <v>4</v>
      </c>
      <c r="AK49" s="7" t="n">
        <f aca="false">IFERROR(ROUND(AVERAGE(AF49:AJ49),3),"")</f>
        <v>4</v>
      </c>
      <c r="AL49" s="7" t="n">
        <f aca="false">IF(OR(AF49="",AJ49=""),"",AJ49-AF49)</f>
        <v>0</v>
      </c>
      <c r="AM49" s="7" t="n">
        <f aca="false">IF(COUNT(AF49:AJ49)&gt;=2,ROUND(_xlfn.STDEV.S(AF49:AJ49),3),"")</f>
        <v>0</v>
      </c>
      <c r="AN49" s="7" t="n">
        <f aca="false">ROUND((IF(AF49="",0,AF49)*Assumptions!$F$15)+(IF(AG49="",0,AG49)*Assumptions!$F$16)+(IF(AH49="",0,AH49)*Assumptions!$F$17)+(IF(AI49="",0,AI49)*Assumptions!$F$18)+(IF(AJ49="",0,AJ49)*Assumptions!$F$19),3)</f>
        <v>4</v>
      </c>
      <c r="AO49" s="0" t="str">
        <f aca="false">IF(AC49&lt;=20,"",IF(AC49&lt;=Assumptions!$F$6,"20-30",IF(AC49&lt;=Assumptions!$F$7,"30-40",IF(AC49&lt;=Assumptions!$F$8,"40-50",IF(AC49&lt;=Assumptions!$F$9,"50-60",IF(AC49&lt;=Assumptions!$F$10,"60+",""))))))</f>
        <v>30-40</v>
      </c>
      <c r="AP49" s="0" t="str">
        <f aca="false">IFERROR(VLOOKUP(O49,Assumptions!$B$14:$C$26,2,FALSE()),"Other")</f>
        <v>Manager</v>
      </c>
      <c r="AQ49" s="0" t="n">
        <f aca="false">IF(T49="",0,1)</f>
        <v>0</v>
      </c>
      <c r="AR49" s="0" t="n">
        <f aca="false">IF(U49="",0,1)</f>
        <v>1</v>
      </c>
      <c r="AS49" s="8" t="n">
        <f aca="false">IF(AK49="","",IF(MAX($AK$2:$AK$921)=MIN($AK$2:$AK$921),50,ROUND((AK49-MIN($AK$2:$AK$921))/(MAX($AK$2:$AK$921)-MIN($AK$2:$AK$921))*100,2)))</f>
        <v>100</v>
      </c>
      <c r="AT49" s="8" t="n">
        <f aca="false">IF(MAX($BC$2:$BC$921)=MIN($BC$2:$BC$921),50,ROUND((BC49-MIN($BC$2:$BC$921))/(MAX($BC$2:$BC$921)-MIN($BC$2:$BC$921))*100,2))</f>
        <v>50</v>
      </c>
      <c r="AU49" s="8" t="n">
        <f aca="false">IF(MAX($BE$2:$BE$921)=MIN($BE$2:$BE$921),50,ROUND((BE49-MIN($BE$2:$BE$921))/(MAX($BE$2:$BE$921)-MIN($BE$2:$BE$921))*100,2))</f>
        <v>100</v>
      </c>
      <c r="AV49" s="8" t="n">
        <f aca="false">IF(MAX($AD$2:$AD$921)=MIN($AD$2:$AD$921),50,ROUND((AD49-MIN($AD$2:$AD$921))/(MAX($AD$2:$AD$921)-MIN($AD$2:$AD$921))*100,2))</f>
        <v>25.25</v>
      </c>
      <c r="AW49" s="8" t="n">
        <f aca="false">IF(MAX($AN$2:$AN$921)=MIN($AN$2:$AN$921),50,ROUND((AN49-MIN($AN$2:$AN$921))/(MAX($AN$2:$AN$921)-MIN($AN$2:$AN$921))*100,2))</f>
        <v>100</v>
      </c>
      <c r="AX49" s="8" t="n">
        <f aca="false">AQ49*100</f>
        <v>0</v>
      </c>
      <c r="AY49" s="8" t="n">
        <f aca="false">AR49*100</f>
        <v>100</v>
      </c>
      <c r="AZ49" s="8" t="n">
        <f aca="false">IFERROR(ROUND(AS49*Assumptions!$I$6+AW49*Assumptions!$I$7+AT49*Assumptions!$I$8+AU49*Assumptions!$I$9+AV49*Assumptions!$I$10+AX49*Assumptions!$I$11+AY49*Assumptions!$I$12,2),"")</f>
        <v>80.03</v>
      </c>
      <c r="BA49" s="0" t="str">
        <f aca="false">IF(AZ49="","",IF(AZ49&lt;=Assumptions!$I$18,"Below Expectation",IF(AZ49&lt;=Assumptions!$I$19,"Developing",IF(AZ49&lt;=Assumptions!$I$20,"Meets Expectation",IF(AZ49&lt;=Assumptions!$I$21,"Exceeds","Star Performer")))))</f>
        <v>Exceeds</v>
      </c>
      <c r="BB49" s="0" t="n">
        <f aca="false">IF(AZ49="",0,IF(AZ49&gt;=Assumptions!$I$26,1,0))</f>
        <v>1</v>
      </c>
      <c r="BC49" s="9" t="n">
        <f aca="false">IF(AL49="",2,AL49+2)</f>
        <v>2</v>
      </c>
      <c r="BD49" s="10" t="n">
        <f aca="false">IF(AM49="",ROUND(AVERAGE($AM$2:$AM$921),3),AM49)</f>
        <v>0</v>
      </c>
      <c r="BE49" s="9" t="n">
        <f aca="false">1-BD49</f>
        <v>1</v>
      </c>
    </row>
    <row r="50" customFormat="false" ht="14.25" hidden="true" customHeight="false" outlineLevel="0" collapsed="false">
      <c r="A50" s="4" t="n">
        <v>71</v>
      </c>
      <c r="B50" s="5" t="n">
        <v>10021302</v>
      </c>
      <c r="C50" s="5" t="s">
        <v>57</v>
      </c>
      <c r="D50" s="5" t="s">
        <v>435</v>
      </c>
      <c r="E50" s="5" t="s">
        <v>275</v>
      </c>
      <c r="F50" s="5" t="s">
        <v>436</v>
      </c>
      <c r="G50" s="5" t="s">
        <v>437</v>
      </c>
      <c r="H50" s="5" t="s">
        <v>438</v>
      </c>
      <c r="I50" s="5" t="s">
        <v>63</v>
      </c>
      <c r="J50" s="5" t="s">
        <v>100</v>
      </c>
      <c r="K50" s="5" t="s">
        <v>65</v>
      </c>
      <c r="L50" s="6" t="n">
        <v>39188</v>
      </c>
      <c r="M50" s="5" t="s">
        <v>121</v>
      </c>
      <c r="N50" s="6" t="n">
        <v>28765</v>
      </c>
      <c r="O50" s="5" t="s">
        <v>122</v>
      </c>
      <c r="P50" s="5" t="s">
        <v>123</v>
      </c>
      <c r="Q50" s="5" t="s">
        <v>171</v>
      </c>
      <c r="R50" s="5" t="s">
        <v>439</v>
      </c>
      <c r="S50" s="5" t="s">
        <v>440</v>
      </c>
      <c r="T50" s="6" t="n">
        <v>43405</v>
      </c>
      <c r="U50" s="6" t="n">
        <v>45017</v>
      </c>
      <c r="V50" s="5" t="s">
        <v>83</v>
      </c>
      <c r="W50" s="5" t="s">
        <v>83</v>
      </c>
      <c r="X50" s="5" t="s">
        <v>83</v>
      </c>
      <c r="Y50" s="5" t="s">
        <v>141</v>
      </c>
      <c r="Z50" s="5" t="s">
        <v>83</v>
      </c>
      <c r="AA50" s="5" t="s">
        <v>441</v>
      </c>
      <c r="AB50" s="0" t="n">
        <f aca="false">IFERROR(VALUE(R50),0)</f>
        <v>7.1</v>
      </c>
      <c r="AC50" s="0" t="n">
        <f aca="false">IFERROR(VALUE(M50),"")</f>
        <v>47.8</v>
      </c>
      <c r="AD50" s="0" t="n">
        <f aca="false">IFERROR(VALUE(Q50),"")</f>
        <v>19.1</v>
      </c>
      <c r="AE50" s="0" t="n">
        <f aca="false">IFERROR(VALUE(S50),"")</f>
        <v>26.2</v>
      </c>
      <c r="AF50" s="0" t="n">
        <f aca="false">IF(V50="","",VLOOKUP(V50,Assumptions!$B$6:$C$9,2,FALSE()))</f>
        <v>4</v>
      </c>
      <c r="AG50" s="0" t="n">
        <f aca="false">IF(W50="","",VLOOKUP(W50,Assumptions!$B$6:$C$9,2,FALSE()))</f>
        <v>4</v>
      </c>
      <c r="AH50" s="0" t="n">
        <f aca="false">IF(X50="","",VLOOKUP(X50,Assumptions!$B$6:$C$9,2,FALSE()))</f>
        <v>4</v>
      </c>
      <c r="AI50" s="0" t="n">
        <f aca="false">IF(Y50="","",VLOOKUP(Y50,Assumptions!$B$6:$C$9,2,FALSE()))</f>
        <v>3</v>
      </c>
      <c r="AJ50" s="0" t="n">
        <f aca="false">IF(Z50="","",VLOOKUP(Z50,Assumptions!$B$6:$C$9,2,FALSE()))</f>
        <v>4</v>
      </c>
      <c r="AK50" s="7" t="n">
        <f aca="false">IFERROR(ROUND(AVERAGE(AF50:AJ50),3),"")</f>
        <v>3.8</v>
      </c>
      <c r="AL50" s="7" t="n">
        <f aca="false">IF(OR(AF50="",AJ50=""),"",AJ50-AF50)</f>
        <v>0</v>
      </c>
      <c r="AM50" s="7" t="n">
        <f aca="false">IF(COUNT(AF50:AJ50)&gt;=2,ROUND(_xlfn.STDEV.S(AF50:AJ50),3),"")</f>
        <v>0.447</v>
      </c>
      <c r="AN50" s="7" t="n">
        <f aca="false">ROUND((IF(AF50="",0,AF50)*Assumptions!$F$15)+(IF(AG50="",0,AG50)*Assumptions!$F$16)+(IF(AH50="",0,AH50)*Assumptions!$F$17)+(IF(AI50="",0,AI50)*Assumptions!$F$18)+(IF(AJ50="",0,AJ50)*Assumptions!$F$19),3)</f>
        <v>3.75</v>
      </c>
      <c r="AO50" s="0" t="str">
        <f aca="false">IF(AC50&lt;=20,"",IF(AC50&lt;=Assumptions!$F$6,"20-30",IF(AC50&lt;=Assumptions!$F$7,"30-40",IF(AC50&lt;=Assumptions!$F$8,"40-50",IF(AC50&lt;=Assumptions!$F$9,"50-60",IF(AC50&lt;=Assumptions!$F$10,"60+",""))))))</f>
        <v>40-50</v>
      </c>
      <c r="AP50" s="0" t="str">
        <f aca="false">IFERROR(VLOOKUP(O50,Assumptions!$B$14:$C$26,2,FALSE()),"Other")</f>
        <v>Leadership</v>
      </c>
      <c r="AQ50" s="0" t="n">
        <f aca="false">IF(T50="",0,1)</f>
        <v>1</v>
      </c>
      <c r="AR50" s="0" t="n">
        <f aca="false">IF(U50="",0,1)</f>
        <v>1</v>
      </c>
      <c r="AS50" s="8" t="n">
        <f aca="false">IF(AK50="","",IF(MAX($AK$2:$AK$921)=MIN($AK$2:$AK$921),50,ROUND((AK50-MIN($AK$2:$AK$921))/(MAX($AK$2:$AK$921)-MIN($AK$2:$AK$921))*100,2)))</f>
        <v>91.43</v>
      </c>
      <c r="AT50" s="8" t="n">
        <f aca="false">IF(MAX($BC$2:$BC$921)=MIN($BC$2:$BC$921),50,ROUND((BC50-MIN($BC$2:$BC$921))/(MAX($BC$2:$BC$921)-MIN($BC$2:$BC$921))*100,2))</f>
        <v>50</v>
      </c>
      <c r="AU50" s="8" t="n">
        <f aca="false">IF(MAX($BE$2:$BE$921)=MIN($BE$2:$BE$921),50,ROUND((BE50-MIN($BE$2:$BE$921))/(MAX($BE$2:$BE$921)-MIN($BE$2:$BE$921))*100,2))</f>
        <v>74.19</v>
      </c>
      <c r="AV50" s="8" t="n">
        <f aca="false">IF(MAX($AD$2:$AD$921)=MIN($AD$2:$AD$921),50,ROUND((AD50-MIN($AD$2:$AD$921))/(MAX($AD$2:$AD$921)-MIN($AD$2:$AD$921))*100,2))</f>
        <v>51.62</v>
      </c>
      <c r="AW50" s="8" t="n">
        <f aca="false">IF(MAX($AN$2:$AN$921)=MIN($AN$2:$AN$921),50,ROUND((AN50-MIN($AN$2:$AN$921))/(MAX($AN$2:$AN$921)-MIN($AN$2:$AN$921))*100,2))</f>
        <v>93.75</v>
      </c>
      <c r="AX50" s="8" t="n">
        <f aca="false">AQ50*100</f>
        <v>100</v>
      </c>
      <c r="AY50" s="8" t="n">
        <f aca="false">AR50*100</f>
        <v>100</v>
      </c>
      <c r="AZ50" s="8" t="n">
        <f aca="false">IFERROR(ROUND(AS50*Assumptions!$I$6+AW50*Assumptions!$I$7+AT50*Assumptions!$I$8+AU50*Assumptions!$I$9+AV50*Assumptions!$I$10+AX50*Assumptions!$I$11+AY50*Assumptions!$I$12,2),"")</f>
        <v>79.97</v>
      </c>
      <c r="BA50" s="0" t="str">
        <f aca="false">IF(AZ50="","",IF(AZ50&lt;=Assumptions!$I$18,"Below Expectation",IF(AZ50&lt;=Assumptions!$I$19,"Developing",IF(AZ50&lt;=Assumptions!$I$20,"Meets Expectation",IF(AZ50&lt;=Assumptions!$I$21,"Exceeds","Star Performer")))))</f>
        <v>Exceeds</v>
      </c>
      <c r="BB50" s="0" t="n">
        <f aca="false">IF(AZ50="",0,IF(AZ50&gt;=Assumptions!$I$26,1,0))</f>
        <v>1</v>
      </c>
      <c r="BC50" s="9" t="n">
        <f aca="false">IF(AL50="",2,AL50+2)</f>
        <v>2</v>
      </c>
      <c r="BD50" s="10" t="n">
        <f aca="false">IF(AM50="",ROUND(AVERAGE($AM$2:$AM$921),3),AM50)</f>
        <v>0.447</v>
      </c>
      <c r="BE50" s="9" t="n">
        <f aca="false">1-BD50</f>
        <v>0.553</v>
      </c>
    </row>
    <row r="51" customFormat="false" ht="14.25" hidden="true" customHeight="false" outlineLevel="0" collapsed="false">
      <c r="A51" s="4" t="n">
        <v>224</v>
      </c>
      <c r="B51" s="5" t="n">
        <v>10058269</v>
      </c>
      <c r="C51" s="5" t="s">
        <v>57</v>
      </c>
      <c r="D51" s="5" t="s">
        <v>442</v>
      </c>
      <c r="E51" s="5" t="s">
        <v>229</v>
      </c>
      <c r="F51" s="5" t="s">
        <v>387</v>
      </c>
      <c r="G51" s="5" t="s">
        <v>388</v>
      </c>
      <c r="H51" s="5" t="s">
        <v>387</v>
      </c>
      <c r="I51" s="5" t="s">
        <v>63</v>
      </c>
      <c r="J51" s="5" t="s">
        <v>100</v>
      </c>
      <c r="K51" s="5" t="s">
        <v>65</v>
      </c>
      <c r="L51" s="6" t="n">
        <v>42857</v>
      </c>
      <c r="M51" s="5" t="s">
        <v>443</v>
      </c>
      <c r="N51" s="6" t="n">
        <v>32855</v>
      </c>
      <c r="O51" s="5" t="s">
        <v>332</v>
      </c>
      <c r="P51" s="5" t="s">
        <v>333</v>
      </c>
      <c r="Q51" s="5" t="s">
        <v>444</v>
      </c>
      <c r="R51" s="5" t="s">
        <v>445</v>
      </c>
      <c r="S51" s="5" t="s">
        <v>446</v>
      </c>
      <c r="T51" s="6"/>
      <c r="U51" s="6" t="n">
        <v>44652</v>
      </c>
      <c r="V51" s="5" t="s">
        <v>83</v>
      </c>
      <c r="W51" s="5" t="s">
        <v>83</v>
      </c>
      <c r="X51" s="5" t="s">
        <v>83</v>
      </c>
      <c r="Y51" s="5" t="s">
        <v>83</v>
      </c>
      <c r="Z51" s="5" t="s">
        <v>83</v>
      </c>
      <c r="AA51" s="5" t="s">
        <v>447</v>
      </c>
      <c r="AB51" s="0" t="n">
        <f aca="false">IFERROR(VALUE(R51),0)</f>
        <v>3.8</v>
      </c>
      <c r="AC51" s="0" t="n">
        <f aca="false">IFERROR(VALUE(M51),"")</f>
        <v>36.5</v>
      </c>
      <c r="AD51" s="0" t="n">
        <f aca="false">IFERROR(VALUE(Q51),"")</f>
        <v>9.1</v>
      </c>
      <c r="AE51" s="0" t="n">
        <f aca="false">IFERROR(VALUE(S51),"")</f>
        <v>12.9</v>
      </c>
      <c r="AF51" s="0" t="n">
        <f aca="false">IF(V51="","",VLOOKUP(V51,Assumptions!$B$6:$C$9,2,FALSE()))</f>
        <v>4</v>
      </c>
      <c r="AG51" s="0" t="n">
        <f aca="false">IF(W51="","",VLOOKUP(W51,Assumptions!$B$6:$C$9,2,FALSE()))</f>
        <v>4</v>
      </c>
      <c r="AH51" s="0" t="n">
        <f aca="false">IF(X51="","",VLOOKUP(X51,Assumptions!$B$6:$C$9,2,FALSE()))</f>
        <v>4</v>
      </c>
      <c r="AI51" s="0" t="n">
        <f aca="false">IF(Y51="","",VLOOKUP(Y51,Assumptions!$B$6:$C$9,2,FALSE()))</f>
        <v>4</v>
      </c>
      <c r="AJ51" s="0" t="n">
        <f aca="false">IF(Z51="","",VLOOKUP(Z51,Assumptions!$B$6:$C$9,2,FALSE()))</f>
        <v>4</v>
      </c>
      <c r="AK51" s="7" t="n">
        <f aca="false">IFERROR(ROUND(AVERAGE(AF51:AJ51),3),"")</f>
        <v>4</v>
      </c>
      <c r="AL51" s="7" t="n">
        <f aca="false">IF(OR(AF51="",AJ51=""),"",AJ51-AF51)</f>
        <v>0</v>
      </c>
      <c r="AM51" s="7" t="n">
        <f aca="false">IF(COUNT(AF51:AJ51)&gt;=2,ROUND(_xlfn.STDEV.S(AF51:AJ51),3),"")</f>
        <v>0</v>
      </c>
      <c r="AN51" s="7" t="n">
        <f aca="false">ROUND((IF(AF51="",0,AF51)*Assumptions!$F$15)+(IF(AG51="",0,AG51)*Assumptions!$F$16)+(IF(AH51="",0,AH51)*Assumptions!$F$17)+(IF(AI51="",0,AI51)*Assumptions!$F$18)+(IF(AJ51="",0,AJ51)*Assumptions!$F$19),3)</f>
        <v>4</v>
      </c>
      <c r="AO51" s="0" t="str">
        <f aca="false">IF(AC51&lt;=20,"",IF(AC51&lt;=Assumptions!$F$6,"20-30",IF(AC51&lt;=Assumptions!$F$7,"30-40",IF(AC51&lt;=Assumptions!$F$8,"40-50",IF(AC51&lt;=Assumptions!$F$9,"50-60",IF(AC51&lt;=Assumptions!$F$10,"60+",""))))))</f>
        <v>30-40</v>
      </c>
      <c r="AP51" s="0" t="str">
        <f aca="false">IFERROR(VLOOKUP(O51,Assumptions!$B$14:$C$26,2,FALSE()),"Other")</f>
        <v>Manager</v>
      </c>
      <c r="AQ51" s="0" t="n">
        <f aca="false">IF(T51="",0,1)</f>
        <v>0</v>
      </c>
      <c r="AR51" s="0" t="n">
        <f aca="false">IF(U51="",0,1)</f>
        <v>1</v>
      </c>
      <c r="AS51" s="8" t="n">
        <f aca="false">IF(AK51="","",IF(MAX($AK$2:$AK$921)=MIN($AK$2:$AK$921),50,ROUND((AK51-MIN($AK$2:$AK$921))/(MAX($AK$2:$AK$921)-MIN($AK$2:$AK$921))*100,2)))</f>
        <v>100</v>
      </c>
      <c r="AT51" s="8" t="n">
        <f aca="false">IF(MAX($BC$2:$BC$921)=MIN($BC$2:$BC$921),50,ROUND((BC51-MIN($BC$2:$BC$921))/(MAX($BC$2:$BC$921)-MIN($BC$2:$BC$921))*100,2))</f>
        <v>50</v>
      </c>
      <c r="AU51" s="8" t="n">
        <f aca="false">IF(MAX($BE$2:$BE$921)=MIN($BE$2:$BE$921),50,ROUND((BE51-MIN($BE$2:$BE$921))/(MAX($BE$2:$BE$921)-MIN($BE$2:$BE$921))*100,2))</f>
        <v>100</v>
      </c>
      <c r="AV51" s="8" t="n">
        <f aca="false">IF(MAX($AD$2:$AD$921)=MIN($AD$2:$AD$921),50,ROUND((AD51-MIN($AD$2:$AD$921))/(MAX($AD$2:$AD$921)-MIN($AD$2:$AD$921))*100,2))</f>
        <v>24.44</v>
      </c>
      <c r="AW51" s="8" t="n">
        <f aca="false">IF(MAX($AN$2:$AN$921)=MIN($AN$2:$AN$921),50,ROUND((AN51-MIN($AN$2:$AN$921))/(MAX($AN$2:$AN$921)-MIN($AN$2:$AN$921))*100,2))</f>
        <v>100</v>
      </c>
      <c r="AX51" s="8" t="n">
        <f aca="false">AQ51*100</f>
        <v>0</v>
      </c>
      <c r="AY51" s="8" t="n">
        <f aca="false">AR51*100</f>
        <v>100</v>
      </c>
      <c r="AZ51" s="8" t="n">
        <f aca="false">IFERROR(ROUND(AS51*Assumptions!$I$6+AW51*Assumptions!$I$7+AT51*Assumptions!$I$8+AU51*Assumptions!$I$9+AV51*Assumptions!$I$10+AX51*Assumptions!$I$11+AY51*Assumptions!$I$12,2),"")</f>
        <v>79.94</v>
      </c>
      <c r="BA51" s="0" t="str">
        <f aca="false">IF(AZ51="","",IF(AZ51&lt;=Assumptions!$I$18,"Below Expectation",IF(AZ51&lt;=Assumptions!$I$19,"Developing",IF(AZ51&lt;=Assumptions!$I$20,"Meets Expectation",IF(AZ51&lt;=Assumptions!$I$21,"Exceeds","Star Performer")))))</f>
        <v>Exceeds</v>
      </c>
      <c r="BB51" s="0" t="n">
        <f aca="false">IF(AZ51="",0,IF(AZ51&gt;=Assumptions!$I$26,1,0))</f>
        <v>1</v>
      </c>
      <c r="BC51" s="9" t="n">
        <f aca="false">IF(AL51="",2,AL51+2)</f>
        <v>2</v>
      </c>
      <c r="BD51" s="10" t="n">
        <f aca="false">IF(AM51="",ROUND(AVERAGE($AM$2:$AM$921),3),AM51)</f>
        <v>0</v>
      </c>
      <c r="BE51" s="9" t="n">
        <f aca="false">1-BD51</f>
        <v>1</v>
      </c>
    </row>
    <row r="52" customFormat="false" ht="14.25" hidden="true" customHeight="false" outlineLevel="0" collapsed="false">
      <c r="A52" s="4" t="n">
        <v>225</v>
      </c>
      <c r="B52" s="5" t="n">
        <v>10058435</v>
      </c>
      <c r="C52" s="5" t="s">
        <v>149</v>
      </c>
      <c r="D52" s="5" t="s">
        <v>448</v>
      </c>
      <c r="E52" s="5" t="s">
        <v>449</v>
      </c>
      <c r="F52" s="5" t="s">
        <v>245</v>
      </c>
      <c r="G52" s="5" t="s">
        <v>246</v>
      </c>
      <c r="H52" s="5" t="s">
        <v>245</v>
      </c>
      <c r="I52" s="5" t="s">
        <v>63</v>
      </c>
      <c r="J52" s="5" t="s">
        <v>100</v>
      </c>
      <c r="K52" s="5" t="s">
        <v>65</v>
      </c>
      <c r="L52" s="6" t="n">
        <v>42870</v>
      </c>
      <c r="M52" s="5" t="s">
        <v>450</v>
      </c>
      <c r="N52" s="6" t="n">
        <v>31178</v>
      </c>
      <c r="O52" s="5" t="s">
        <v>162</v>
      </c>
      <c r="P52" s="5" t="s">
        <v>162</v>
      </c>
      <c r="Q52" s="5" t="s">
        <v>451</v>
      </c>
      <c r="R52" s="5" t="s">
        <v>452</v>
      </c>
      <c r="S52" s="5" t="s">
        <v>453</v>
      </c>
      <c r="T52" s="6"/>
      <c r="U52" s="6" t="n">
        <v>45748</v>
      </c>
      <c r="V52" s="5" t="s">
        <v>83</v>
      </c>
      <c r="W52" s="5" t="s">
        <v>83</v>
      </c>
      <c r="X52" s="5" t="s">
        <v>83</v>
      </c>
      <c r="Y52" s="5" t="s">
        <v>83</v>
      </c>
      <c r="Z52" s="5" t="s">
        <v>83</v>
      </c>
      <c r="AA52" s="5" t="s">
        <v>454</v>
      </c>
      <c r="AB52" s="0" t="n">
        <f aca="false">IFERROR(VALUE(R52),0)</f>
        <v>8.6</v>
      </c>
      <c r="AC52" s="0" t="n">
        <f aca="false">IFERROR(VALUE(M52),"")</f>
        <v>41</v>
      </c>
      <c r="AD52" s="0" t="n">
        <f aca="false">IFERROR(VALUE(Q52),"")</f>
        <v>9</v>
      </c>
      <c r="AE52" s="0" t="n">
        <f aca="false">IFERROR(VALUE(S52),"")</f>
        <v>17.6</v>
      </c>
      <c r="AF52" s="0" t="n">
        <f aca="false">IF(V52="","",VLOOKUP(V52,Assumptions!$B$6:$C$9,2,FALSE()))</f>
        <v>4</v>
      </c>
      <c r="AG52" s="0" t="n">
        <f aca="false">IF(W52="","",VLOOKUP(W52,Assumptions!$B$6:$C$9,2,FALSE()))</f>
        <v>4</v>
      </c>
      <c r="AH52" s="0" t="n">
        <f aca="false">IF(X52="","",VLOOKUP(X52,Assumptions!$B$6:$C$9,2,FALSE()))</f>
        <v>4</v>
      </c>
      <c r="AI52" s="0" t="n">
        <f aca="false">IF(Y52="","",VLOOKUP(Y52,Assumptions!$B$6:$C$9,2,FALSE()))</f>
        <v>4</v>
      </c>
      <c r="AJ52" s="0" t="n">
        <f aca="false">IF(Z52="","",VLOOKUP(Z52,Assumptions!$B$6:$C$9,2,FALSE()))</f>
        <v>4</v>
      </c>
      <c r="AK52" s="7" t="n">
        <f aca="false">IFERROR(ROUND(AVERAGE(AF52:AJ52),3),"")</f>
        <v>4</v>
      </c>
      <c r="AL52" s="7" t="n">
        <f aca="false">IF(OR(AF52="",AJ52=""),"",AJ52-AF52)</f>
        <v>0</v>
      </c>
      <c r="AM52" s="7" t="n">
        <f aca="false">IF(COUNT(AF52:AJ52)&gt;=2,ROUND(_xlfn.STDEV.S(AF52:AJ52),3),"")</f>
        <v>0</v>
      </c>
      <c r="AN52" s="7" t="n">
        <f aca="false">ROUND((IF(AF52="",0,AF52)*Assumptions!$F$15)+(IF(AG52="",0,AG52)*Assumptions!$F$16)+(IF(AH52="",0,AH52)*Assumptions!$F$17)+(IF(AI52="",0,AI52)*Assumptions!$F$18)+(IF(AJ52="",0,AJ52)*Assumptions!$F$19),3)</f>
        <v>4</v>
      </c>
      <c r="AO52" s="0" t="str">
        <f aca="false">IF(AC52&lt;=20,"",IF(AC52&lt;=Assumptions!$F$6,"20-30",IF(AC52&lt;=Assumptions!$F$7,"30-40",IF(AC52&lt;=Assumptions!$F$8,"40-50",IF(AC52&lt;=Assumptions!$F$9,"50-60",IF(AC52&lt;=Assumptions!$F$10,"60+",""))))))</f>
        <v>40-50</v>
      </c>
      <c r="AP52" s="0" t="str">
        <f aca="false">IFERROR(VLOOKUP(O52,Assumptions!$B$14:$C$26,2,FALSE()),"Other")</f>
        <v>Manager</v>
      </c>
      <c r="AQ52" s="0" t="n">
        <f aca="false">IF(T52="",0,1)</f>
        <v>0</v>
      </c>
      <c r="AR52" s="0" t="n">
        <f aca="false">IF(U52="",0,1)</f>
        <v>1</v>
      </c>
      <c r="AS52" s="8" t="n">
        <f aca="false">IF(AK52="","",IF(MAX($AK$2:$AK$921)=MIN($AK$2:$AK$921),50,ROUND((AK52-MIN($AK$2:$AK$921))/(MAX($AK$2:$AK$921)-MIN($AK$2:$AK$921))*100,2)))</f>
        <v>100</v>
      </c>
      <c r="AT52" s="8" t="n">
        <f aca="false">IF(MAX($BC$2:$BC$921)=MIN($BC$2:$BC$921),50,ROUND((BC52-MIN($BC$2:$BC$921))/(MAX($BC$2:$BC$921)-MIN($BC$2:$BC$921))*100,2))</f>
        <v>50</v>
      </c>
      <c r="AU52" s="8" t="n">
        <f aca="false">IF(MAX($BE$2:$BE$921)=MIN($BE$2:$BE$921),50,ROUND((BE52-MIN($BE$2:$BE$921))/(MAX($BE$2:$BE$921)-MIN($BE$2:$BE$921))*100,2))</f>
        <v>100</v>
      </c>
      <c r="AV52" s="8" t="n">
        <f aca="false">IF(MAX($AD$2:$AD$921)=MIN($AD$2:$AD$921),50,ROUND((AD52-MIN($AD$2:$AD$921))/(MAX($AD$2:$AD$921)-MIN($AD$2:$AD$921))*100,2))</f>
        <v>24.16</v>
      </c>
      <c r="AW52" s="8" t="n">
        <f aca="false">IF(MAX($AN$2:$AN$921)=MIN($AN$2:$AN$921),50,ROUND((AN52-MIN($AN$2:$AN$921))/(MAX($AN$2:$AN$921)-MIN($AN$2:$AN$921))*100,2))</f>
        <v>100</v>
      </c>
      <c r="AX52" s="8" t="n">
        <f aca="false">AQ52*100</f>
        <v>0</v>
      </c>
      <c r="AY52" s="8" t="n">
        <f aca="false">AR52*100</f>
        <v>100</v>
      </c>
      <c r="AZ52" s="8" t="n">
        <f aca="false">IFERROR(ROUND(AS52*Assumptions!$I$6+AW52*Assumptions!$I$7+AT52*Assumptions!$I$8+AU52*Assumptions!$I$9+AV52*Assumptions!$I$10+AX52*Assumptions!$I$11+AY52*Assumptions!$I$12,2),"")</f>
        <v>79.92</v>
      </c>
      <c r="BA52" s="0" t="str">
        <f aca="false">IF(AZ52="","",IF(AZ52&lt;=Assumptions!$I$18,"Below Expectation",IF(AZ52&lt;=Assumptions!$I$19,"Developing",IF(AZ52&lt;=Assumptions!$I$20,"Meets Expectation",IF(AZ52&lt;=Assumptions!$I$21,"Exceeds","Star Performer")))))</f>
        <v>Exceeds</v>
      </c>
      <c r="BB52" s="0" t="n">
        <f aca="false">IF(AZ52="",0,IF(AZ52&gt;=Assumptions!$I$26,1,0))</f>
        <v>1</v>
      </c>
      <c r="BC52" s="9" t="n">
        <f aca="false">IF(AL52="",2,AL52+2)</f>
        <v>2</v>
      </c>
      <c r="BD52" s="10" t="n">
        <f aca="false">IF(AM52="",ROUND(AVERAGE($AM$2:$AM$921),3),AM52)</f>
        <v>0</v>
      </c>
      <c r="BE52" s="9" t="n">
        <f aca="false">1-BD52</f>
        <v>1</v>
      </c>
    </row>
    <row r="53" customFormat="false" ht="14.25" hidden="true" customHeight="false" outlineLevel="0" collapsed="false">
      <c r="A53" s="4" t="n">
        <v>239</v>
      </c>
      <c r="B53" s="5" t="n">
        <v>10060439</v>
      </c>
      <c r="C53" s="5" t="s">
        <v>57</v>
      </c>
      <c r="D53" s="5" t="s">
        <v>455</v>
      </c>
      <c r="E53" s="5" t="s">
        <v>456</v>
      </c>
      <c r="F53" s="5" t="s">
        <v>387</v>
      </c>
      <c r="G53" s="5" t="s">
        <v>388</v>
      </c>
      <c r="H53" s="5" t="s">
        <v>387</v>
      </c>
      <c r="I53" s="5" t="s">
        <v>63</v>
      </c>
      <c r="J53" s="5" t="s">
        <v>100</v>
      </c>
      <c r="K53" s="5" t="s">
        <v>65</v>
      </c>
      <c r="L53" s="6" t="n">
        <v>43003</v>
      </c>
      <c r="M53" s="5" t="s">
        <v>457</v>
      </c>
      <c r="N53" s="6" t="n">
        <v>32280</v>
      </c>
      <c r="O53" s="5" t="s">
        <v>332</v>
      </c>
      <c r="P53" s="5" t="s">
        <v>333</v>
      </c>
      <c r="Q53" s="5" t="s">
        <v>458</v>
      </c>
      <c r="R53" s="5" t="s">
        <v>459</v>
      </c>
      <c r="S53" s="5" t="s">
        <v>460</v>
      </c>
      <c r="T53" s="6"/>
      <c r="U53" s="6" t="n">
        <v>44652</v>
      </c>
      <c r="V53" s="5" t="s">
        <v>83</v>
      </c>
      <c r="W53" s="5" t="s">
        <v>83</v>
      </c>
      <c r="X53" s="5" t="s">
        <v>83</v>
      </c>
      <c r="Y53" s="5" t="s">
        <v>83</v>
      </c>
      <c r="Z53" s="5" t="s">
        <v>83</v>
      </c>
      <c r="AA53" s="5" t="s">
        <v>461</v>
      </c>
      <c r="AB53" s="0" t="n">
        <f aca="false">IFERROR(VALUE(R53),0)</f>
        <v>7</v>
      </c>
      <c r="AC53" s="0" t="n">
        <f aca="false">IFERROR(VALUE(M53),"")</f>
        <v>38</v>
      </c>
      <c r="AD53" s="0" t="n">
        <f aca="false">IFERROR(VALUE(Q53),"")</f>
        <v>8.8</v>
      </c>
      <c r="AE53" s="0" t="n">
        <f aca="false">IFERROR(VALUE(S53),"")</f>
        <v>15.8</v>
      </c>
      <c r="AF53" s="0" t="n">
        <f aca="false">IF(V53="","",VLOOKUP(V53,Assumptions!$B$6:$C$9,2,FALSE()))</f>
        <v>4</v>
      </c>
      <c r="AG53" s="0" t="n">
        <f aca="false">IF(W53="","",VLOOKUP(W53,Assumptions!$B$6:$C$9,2,FALSE()))</f>
        <v>4</v>
      </c>
      <c r="AH53" s="0" t="n">
        <f aca="false">IF(X53="","",VLOOKUP(X53,Assumptions!$B$6:$C$9,2,FALSE()))</f>
        <v>4</v>
      </c>
      <c r="AI53" s="0" t="n">
        <f aca="false">IF(Y53="","",VLOOKUP(Y53,Assumptions!$B$6:$C$9,2,FALSE()))</f>
        <v>4</v>
      </c>
      <c r="AJ53" s="0" t="n">
        <f aca="false">IF(Z53="","",VLOOKUP(Z53,Assumptions!$B$6:$C$9,2,FALSE()))</f>
        <v>4</v>
      </c>
      <c r="AK53" s="7" t="n">
        <f aca="false">IFERROR(ROUND(AVERAGE(AF53:AJ53),3),"")</f>
        <v>4</v>
      </c>
      <c r="AL53" s="7" t="n">
        <f aca="false">IF(OR(AF53="",AJ53=""),"",AJ53-AF53)</f>
        <v>0</v>
      </c>
      <c r="AM53" s="7" t="n">
        <f aca="false">IF(COUNT(AF53:AJ53)&gt;=2,ROUND(_xlfn.STDEV.S(AF53:AJ53),3),"")</f>
        <v>0</v>
      </c>
      <c r="AN53" s="7" t="n">
        <f aca="false">ROUND((IF(AF53="",0,AF53)*Assumptions!$F$15)+(IF(AG53="",0,AG53)*Assumptions!$F$16)+(IF(AH53="",0,AH53)*Assumptions!$F$17)+(IF(AI53="",0,AI53)*Assumptions!$F$18)+(IF(AJ53="",0,AJ53)*Assumptions!$F$19),3)</f>
        <v>4</v>
      </c>
      <c r="AO53" s="0" t="str">
        <f aca="false">IF(AC53&lt;=20,"",IF(AC53&lt;=Assumptions!$F$6,"20-30",IF(AC53&lt;=Assumptions!$F$7,"30-40",IF(AC53&lt;=Assumptions!$F$8,"40-50",IF(AC53&lt;=Assumptions!$F$9,"50-60",IF(AC53&lt;=Assumptions!$F$10,"60+",""))))))</f>
        <v>30-40</v>
      </c>
      <c r="AP53" s="0" t="str">
        <f aca="false">IFERROR(VLOOKUP(O53,Assumptions!$B$14:$C$26,2,FALSE()),"Other")</f>
        <v>Manager</v>
      </c>
      <c r="AQ53" s="0" t="n">
        <f aca="false">IF(T53="",0,1)</f>
        <v>0</v>
      </c>
      <c r="AR53" s="0" t="n">
        <f aca="false">IF(U53="",0,1)</f>
        <v>1</v>
      </c>
      <c r="AS53" s="8" t="n">
        <f aca="false">IF(AK53="","",IF(MAX($AK$2:$AK$921)=MIN($AK$2:$AK$921),50,ROUND((AK53-MIN($AK$2:$AK$921))/(MAX($AK$2:$AK$921)-MIN($AK$2:$AK$921))*100,2)))</f>
        <v>100</v>
      </c>
      <c r="AT53" s="8" t="n">
        <f aca="false">IF(MAX($BC$2:$BC$921)=MIN($BC$2:$BC$921),50,ROUND((BC53-MIN($BC$2:$BC$921))/(MAX($BC$2:$BC$921)-MIN($BC$2:$BC$921))*100,2))</f>
        <v>50</v>
      </c>
      <c r="AU53" s="8" t="n">
        <f aca="false">IF(MAX($BE$2:$BE$921)=MIN($BE$2:$BE$921),50,ROUND((BE53-MIN($BE$2:$BE$921))/(MAX($BE$2:$BE$921)-MIN($BE$2:$BE$921))*100,2))</f>
        <v>100</v>
      </c>
      <c r="AV53" s="8" t="n">
        <f aca="false">IF(MAX($AD$2:$AD$921)=MIN($AD$2:$AD$921),50,ROUND((AD53-MIN($AD$2:$AD$921))/(MAX($AD$2:$AD$921)-MIN($AD$2:$AD$921))*100,2))</f>
        <v>23.62</v>
      </c>
      <c r="AW53" s="8" t="n">
        <f aca="false">IF(MAX($AN$2:$AN$921)=MIN($AN$2:$AN$921),50,ROUND((AN53-MIN($AN$2:$AN$921))/(MAX($AN$2:$AN$921)-MIN($AN$2:$AN$921))*100,2))</f>
        <v>100</v>
      </c>
      <c r="AX53" s="8" t="n">
        <f aca="false">AQ53*100</f>
        <v>0</v>
      </c>
      <c r="AY53" s="8" t="n">
        <f aca="false">AR53*100</f>
        <v>100</v>
      </c>
      <c r="AZ53" s="8" t="n">
        <f aca="false">IFERROR(ROUND(AS53*Assumptions!$I$6+AW53*Assumptions!$I$7+AT53*Assumptions!$I$8+AU53*Assumptions!$I$9+AV53*Assumptions!$I$10+AX53*Assumptions!$I$11+AY53*Assumptions!$I$12,2),"")</f>
        <v>79.86</v>
      </c>
      <c r="BA53" s="0" t="str">
        <f aca="false">IF(AZ53="","",IF(AZ53&lt;=Assumptions!$I$18,"Below Expectation",IF(AZ53&lt;=Assumptions!$I$19,"Developing",IF(AZ53&lt;=Assumptions!$I$20,"Meets Expectation",IF(AZ53&lt;=Assumptions!$I$21,"Exceeds","Star Performer")))))</f>
        <v>Exceeds</v>
      </c>
      <c r="BB53" s="0" t="n">
        <f aca="false">IF(AZ53="",0,IF(AZ53&gt;=Assumptions!$I$26,1,0))</f>
        <v>1</v>
      </c>
      <c r="BC53" s="9" t="n">
        <f aca="false">IF(AL53="",2,AL53+2)</f>
        <v>2</v>
      </c>
      <c r="BD53" s="10" t="n">
        <f aca="false">IF(AM53="",ROUND(AVERAGE($AM$2:$AM$921),3),AM53)</f>
        <v>0</v>
      </c>
      <c r="BE53" s="9" t="n">
        <f aca="false">1-BD53</f>
        <v>1</v>
      </c>
    </row>
    <row r="54" customFormat="false" ht="14.25" hidden="false" customHeight="false" outlineLevel="0" collapsed="false">
      <c r="A54" s="4" t="n">
        <v>457</v>
      </c>
      <c r="B54" s="5" t="n">
        <v>55027743</v>
      </c>
      <c r="C54" s="5" t="s">
        <v>106</v>
      </c>
      <c r="D54" s="5" t="s">
        <v>462</v>
      </c>
      <c r="E54" s="5" t="s">
        <v>108</v>
      </c>
      <c r="F54" s="5" t="s">
        <v>463</v>
      </c>
      <c r="G54" s="5" t="s">
        <v>464</v>
      </c>
      <c r="H54" s="5" t="s">
        <v>465</v>
      </c>
      <c r="I54" s="5" t="s">
        <v>63</v>
      </c>
      <c r="J54" s="5" t="s">
        <v>112</v>
      </c>
      <c r="K54" s="5" t="s">
        <v>65</v>
      </c>
      <c r="L54" s="6" t="n">
        <v>43139</v>
      </c>
      <c r="M54" s="5" t="s">
        <v>466</v>
      </c>
      <c r="N54" s="6" t="n">
        <v>33987</v>
      </c>
      <c r="O54" s="5" t="s">
        <v>365</v>
      </c>
      <c r="P54" s="5" t="s">
        <v>365</v>
      </c>
      <c r="Q54" s="5" t="s">
        <v>467</v>
      </c>
      <c r="R54" s="5" t="s">
        <v>468</v>
      </c>
      <c r="S54" s="5" t="s">
        <v>341</v>
      </c>
      <c r="T54" s="6"/>
      <c r="U54" s="6" t="n">
        <v>45689</v>
      </c>
      <c r="V54" s="5" t="s">
        <v>83</v>
      </c>
      <c r="W54" s="5" t="s">
        <v>83</v>
      </c>
      <c r="X54" s="5" t="s">
        <v>83</v>
      </c>
      <c r="Y54" s="5" t="s">
        <v>83</v>
      </c>
      <c r="Z54" s="5" t="s">
        <v>83</v>
      </c>
      <c r="AA54" s="5" t="s">
        <v>469</v>
      </c>
      <c r="AB54" s="0" t="n">
        <f aca="false">IFERROR(VALUE(R54),0)</f>
        <v>3.6</v>
      </c>
      <c r="AC54" s="0" t="n">
        <f aca="false">IFERROR(VALUE(M54),"")</f>
        <v>33.4</v>
      </c>
      <c r="AD54" s="0" t="n">
        <f aca="false">IFERROR(VALUE(Q54),"")</f>
        <v>8.4</v>
      </c>
      <c r="AE54" s="0" t="n">
        <f aca="false">IFERROR(VALUE(S54),"")</f>
        <v>11.1</v>
      </c>
      <c r="AF54" s="0" t="n">
        <f aca="false">IF(V54="","",VLOOKUP(V54,Assumptions!$B$6:$C$9,2,FALSE()))</f>
        <v>4</v>
      </c>
      <c r="AG54" s="0" t="n">
        <f aca="false">IF(W54="","",VLOOKUP(W54,Assumptions!$B$6:$C$9,2,FALSE()))</f>
        <v>4</v>
      </c>
      <c r="AH54" s="0" t="n">
        <f aca="false">IF(X54="","",VLOOKUP(X54,Assumptions!$B$6:$C$9,2,FALSE()))</f>
        <v>4</v>
      </c>
      <c r="AI54" s="0" t="n">
        <f aca="false">IF(Y54="","",VLOOKUP(Y54,Assumptions!$B$6:$C$9,2,FALSE()))</f>
        <v>4</v>
      </c>
      <c r="AJ54" s="0" t="n">
        <f aca="false">IF(Z54="","",VLOOKUP(Z54,Assumptions!$B$6:$C$9,2,FALSE()))</f>
        <v>4</v>
      </c>
      <c r="AK54" s="7" t="n">
        <f aca="false">IFERROR(ROUND(AVERAGE(AF54:AJ54),3),"")</f>
        <v>4</v>
      </c>
      <c r="AL54" s="7" t="n">
        <f aca="false">IF(OR(AF54="",AJ54=""),"",AJ54-AF54)</f>
        <v>0</v>
      </c>
      <c r="AM54" s="7" t="n">
        <f aca="false">IF(COUNT(AF54:AJ54)&gt;=2,ROUND(_xlfn.STDEV.S(AF54:AJ54),3),"")</f>
        <v>0</v>
      </c>
      <c r="AN54" s="7" t="n">
        <f aca="false">ROUND((IF(AF54="",0,AF54)*Assumptions!$F$15)+(IF(AG54="",0,AG54)*Assumptions!$F$16)+(IF(AH54="",0,AH54)*Assumptions!$F$17)+(IF(AI54="",0,AI54)*Assumptions!$F$18)+(IF(AJ54="",0,AJ54)*Assumptions!$F$19),3)</f>
        <v>4</v>
      </c>
      <c r="AO54" s="0" t="str">
        <f aca="false">IF(AC54&lt;=20,"",IF(AC54&lt;=Assumptions!$F$6,"20-30",IF(AC54&lt;=Assumptions!$F$7,"30-40",IF(AC54&lt;=Assumptions!$F$8,"40-50",IF(AC54&lt;=Assumptions!$F$9,"50-60",IF(AC54&lt;=Assumptions!$F$10,"60+",""))))))</f>
        <v>30-40</v>
      </c>
      <c r="AP54" s="0" t="str">
        <f aca="false">IFERROR(VLOOKUP(O54,Assumptions!$B$14:$C$26,2,FALSE()),"Other")</f>
        <v>Manager</v>
      </c>
      <c r="AQ54" s="0" t="n">
        <f aca="false">IF(T54="",0,1)</f>
        <v>0</v>
      </c>
      <c r="AR54" s="0" t="n">
        <f aca="false">IF(U54="",0,1)</f>
        <v>1</v>
      </c>
      <c r="AS54" s="8" t="n">
        <f aca="false">IF(AK54="","",IF(MAX($AK$2:$AK$921)=MIN($AK$2:$AK$921),50,ROUND((AK54-MIN($AK$2:$AK$921))/(MAX($AK$2:$AK$921)-MIN($AK$2:$AK$921))*100,2)))</f>
        <v>100</v>
      </c>
      <c r="AT54" s="8" t="n">
        <f aca="false">IF(MAX($BC$2:$BC$921)=MIN($BC$2:$BC$921),50,ROUND((BC54-MIN($BC$2:$BC$921))/(MAX($BC$2:$BC$921)-MIN($BC$2:$BC$921))*100,2))</f>
        <v>50</v>
      </c>
      <c r="AU54" s="8" t="n">
        <f aca="false">IF(MAX($BE$2:$BE$921)=MIN($BE$2:$BE$921),50,ROUND((BE54-MIN($BE$2:$BE$921))/(MAX($BE$2:$BE$921)-MIN($BE$2:$BE$921))*100,2))</f>
        <v>100</v>
      </c>
      <c r="AV54" s="8" t="n">
        <f aca="false">IF(MAX($AD$2:$AD$921)=MIN($AD$2:$AD$921),50,ROUND((AD54-MIN($AD$2:$AD$921))/(MAX($AD$2:$AD$921)-MIN($AD$2:$AD$921))*100,2))</f>
        <v>22.53</v>
      </c>
      <c r="AW54" s="8" t="n">
        <f aca="false">IF(MAX($AN$2:$AN$921)=MIN($AN$2:$AN$921),50,ROUND((AN54-MIN($AN$2:$AN$921))/(MAX($AN$2:$AN$921)-MIN($AN$2:$AN$921))*100,2))</f>
        <v>100</v>
      </c>
      <c r="AX54" s="8" t="n">
        <f aca="false">AQ54*100</f>
        <v>0</v>
      </c>
      <c r="AY54" s="8" t="n">
        <f aca="false">AR54*100</f>
        <v>100</v>
      </c>
      <c r="AZ54" s="8" t="n">
        <f aca="false">IFERROR(ROUND(AS54*Assumptions!$I$6+AW54*Assumptions!$I$7+AT54*Assumptions!$I$8+AU54*Assumptions!$I$9+AV54*Assumptions!$I$10+AX54*Assumptions!$I$11+AY54*Assumptions!$I$12,2),"")</f>
        <v>79.75</v>
      </c>
      <c r="BA54" s="0" t="str">
        <f aca="false">IF(AZ54="","",IF(AZ54&lt;=Assumptions!$I$18,"Below Expectation",IF(AZ54&lt;=Assumptions!$I$19,"Developing",IF(AZ54&lt;=Assumptions!$I$20,"Meets Expectation",IF(AZ54&lt;=Assumptions!$I$21,"Exceeds","Star Performer")))))</f>
        <v>Exceeds</v>
      </c>
      <c r="BB54" s="0" t="n">
        <f aca="false">IF(AZ54="",0,IF(AZ54&gt;=Assumptions!$I$26,1,0))</f>
        <v>1</v>
      </c>
      <c r="BC54" s="9" t="n">
        <f aca="false">IF(AL54="",2,AL54+2)</f>
        <v>2</v>
      </c>
      <c r="BD54" s="10" t="n">
        <f aca="false">IF(AM54="",ROUND(AVERAGE($AM$2:$AM$921),3),AM54)</f>
        <v>0</v>
      </c>
      <c r="BE54" s="9" t="n">
        <f aca="false">1-BD54</f>
        <v>1</v>
      </c>
    </row>
    <row r="55" customFormat="false" ht="14.25" hidden="true" customHeight="false" outlineLevel="0" collapsed="false">
      <c r="A55" s="4" t="n">
        <v>97</v>
      </c>
      <c r="B55" s="5" t="n">
        <v>10027040</v>
      </c>
      <c r="C55" s="5" t="s">
        <v>57</v>
      </c>
      <c r="D55" s="5" t="s">
        <v>470</v>
      </c>
      <c r="E55" s="5" t="s">
        <v>275</v>
      </c>
      <c r="F55" s="5" t="s">
        <v>436</v>
      </c>
      <c r="G55" s="5" t="s">
        <v>437</v>
      </c>
      <c r="H55" s="5" t="s">
        <v>438</v>
      </c>
      <c r="I55" s="5" t="s">
        <v>63</v>
      </c>
      <c r="J55" s="5" t="s">
        <v>100</v>
      </c>
      <c r="K55" s="5" t="s">
        <v>65</v>
      </c>
      <c r="L55" s="6" t="n">
        <v>39554</v>
      </c>
      <c r="M55" s="5" t="s">
        <v>193</v>
      </c>
      <c r="N55" s="6" t="n">
        <v>30510</v>
      </c>
      <c r="O55" s="5" t="s">
        <v>122</v>
      </c>
      <c r="P55" s="5" t="s">
        <v>123</v>
      </c>
      <c r="Q55" s="5" t="s">
        <v>471</v>
      </c>
      <c r="R55" s="5" t="s">
        <v>472</v>
      </c>
      <c r="S55" s="5" t="s">
        <v>323</v>
      </c>
      <c r="T55" s="6" t="n">
        <v>43405</v>
      </c>
      <c r="U55" s="6" t="n">
        <v>45017</v>
      </c>
      <c r="V55" s="5" t="s">
        <v>83</v>
      </c>
      <c r="W55" s="5" t="s">
        <v>83</v>
      </c>
      <c r="X55" s="5" t="s">
        <v>83</v>
      </c>
      <c r="Y55" s="5" t="s">
        <v>141</v>
      </c>
      <c r="Z55" s="5" t="s">
        <v>83</v>
      </c>
      <c r="AA55" s="5" t="s">
        <v>473</v>
      </c>
      <c r="AB55" s="0" t="n">
        <f aca="false">IFERROR(VALUE(R55),0)</f>
        <v>1.4</v>
      </c>
      <c r="AC55" s="0" t="n">
        <f aca="false">IFERROR(VALUE(M55),"")</f>
        <v>42.1</v>
      </c>
      <c r="AD55" s="0" t="n">
        <f aca="false">IFERROR(VALUE(Q55),"")</f>
        <v>18.1</v>
      </c>
      <c r="AE55" s="0" t="n">
        <f aca="false">IFERROR(VALUE(S55),"")</f>
        <v>19.5</v>
      </c>
      <c r="AF55" s="0" t="n">
        <f aca="false">IF(V55="","",VLOOKUP(V55,Assumptions!$B$6:$C$9,2,FALSE()))</f>
        <v>4</v>
      </c>
      <c r="AG55" s="0" t="n">
        <f aca="false">IF(W55="","",VLOOKUP(W55,Assumptions!$B$6:$C$9,2,FALSE()))</f>
        <v>4</v>
      </c>
      <c r="AH55" s="0" t="n">
        <f aca="false">IF(X55="","",VLOOKUP(X55,Assumptions!$B$6:$C$9,2,FALSE()))</f>
        <v>4</v>
      </c>
      <c r="AI55" s="0" t="n">
        <f aca="false">IF(Y55="","",VLOOKUP(Y55,Assumptions!$B$6:$C$9,2,FALSE()))</f>
        <v>3</v>
      </c>
      <c r="AJ55" s="0" t="n">
        <f aca="false">IF(Z55="","",VLOOKUP(Z55,Assumptions!$B$6:$C$9,2,FALSE()))</f>
        <v>4</v>
      </c>
      <c r="AK55" s="7" t="n">
        <f aca="false">IFERROR(ROUND(AVERAGE(AF55:AJ55),3),"")</f>
        <v>3.8</v>
      </c>
      <c r="AL55" s="7" t="n">
        <f aca="false">IF(OR(AF55="",AJ55=""),"",AJ55-AF55)</f>
        <v>0</v>
      </c>
      <c r="AM55" s="7" t="n">
        <f aca="false">IF(COUNT(AF55:AJ55)&gt;=2,ROUND(_xlfn.STDEV.S(AF55:AJ55),3),"")</f>
        <v>0.447</v>
      </c>
      <c r="AN55" s="7" t="n">
        <f aca="false">ROUND((IF(AF55="",0,AF55)*Assumptions!$F$15)+(IF(AG55="",0,AG55)*Assumptions!$F$16)+(IF(AH55="",0,AH55)*Assumptions!$F$17)+(IF(AI55="",0,AI55)*Assumptions!$F$18)+(IF(AJ55="",0,AJ55)*Assumptions!$F$19),3)</f>
        <v>3.75</v>
      </c>
      <c r="AO55" s="0" t="str">
        <f aca="false">IF(AC55&lt;=20,"",IF(AC55&lt;=Assumptions!$F$6,"20-30",IF(AC55&lt;=Assumptions!$F$7,"30-40",IF(AC55&lt;=Assumptions!$F$8,"40-50",IF(AC55&lt;=Assumptions!$F$9,"50-60",IF(AC55&lt;=Assumptions!$F$10,"60+",""))))))</f>
        <v>40-50</v>
      </c>
      <c r="AP55" s="0" t="str">
        <f aca="false">IFERROR(VLOOKUP(O55,Assumptions!$B$14:$C$26,2,FALSE()),"Other")</f>
        <v>Leadership</v>
      </c>
      <c r="AQ55" s="0" t="n">
        <f aca="false">IF(T55="",0,1)</f>
        <v>1</v>
      </c>
      <c r="AR55" s="0" t="n">
        <f aca="false">IF(U55="",0,1)</f>
        <v>1</v>
      </c>
      <c r="AS55" s="8" t="n">
        <f aca="false">IF(AK55="","",IF(MAX($AK$2:$AK$921)=MIN($AK$2:$AK$921),50,ROUND((AK55-MIN($AK$2:$AK$921))/(MAX($AK$2:$AK$921)-MIN($AK$2:$AK$921))*100,2)))</f>
        <v>91.43</v>
      </c>
      <c r="AT55" s="8" t="n">
        <f aca="false">IF(MAX($BC$2:$BC$921)=MIN($BC$2:$BC$921),50,ROUND((BC55-MIN($BC$2:$BC$921))/(MAX($BC$2:$BC$921)-MIN($BC$2:$BC$921))*100,2))</f>
        <v>50</v>
      </c>
      <c r="AU55" s="8" t="n">
        <f aca="false">IF(MAX($BE$2:$BE$921)=MIN($BE$2:$BE$921),50,ROUND((BE55-MIN($BE$2:$BE$921))/(MAX($BE$2:$BE$921)-MIN($BE$2:$BE$921))*100,2))</f>
        <v>74.19</v>
      </c>
      <c r="AV55" s="8" t="n">
        <f aca="false">IF(MAX($AD$2:$AD$921)=MIN($AD$2:$AD$921),50,ROUND((AD55-MIN($AD$2:$AD$921))/(MAX($AD$2:$AD$921)-MIN($AD$2:$AD$921))*100,2))</f>
        <v>48.9</v>
      </c>
      <c r="AW55" s="8" t="n">
        <f aca="false">IF(MAX($AN$2:$AN$921)=MIN($AN$2:$AN$921),50,ROUND((AN55-MIN($AN$2:$AN$921))/(MAX($AN$2:$AN$921)-MIN($AN$2:$AN$921))*100,2))</f>
        <v>93.75</v>
      </c>
      <c r="AX55" s="8" t="n">
        <f aca="false">AQ55*100</f>
        <v>100</v>
      </c>
      <c r="AY55" s="8" t="n">
        <f aca="false">AR55*100</f>
        <v>100</v>
      </c>
      <c r="AZ55" s="8" t="n">
        <f aca="false">IFERROR(ROUND(AS55*Assumptions!$I$6+AW55*Assumptions!$I$7+AT55*Assumptions!$I$8+AU55*Assumptions!$I$9+AV55*Assumptions!$I$10+AX55*Assumptions!$I$11+AY55*Assumptions!$I$12,2),"")</f>
        <v>79.7</v>
      </c>
      <c r="BA55" s="0" t="str">
        <f aca="false">IF(AZ55="","",IF(AZ55&lt;=Assumptions!$I$18,"Below Expectation",IF(AZ55&lt;=Assumptions!$I$19,"Developing",IF(AZ55&lt;=Assumptions!$I$20,"Meets Expectation",IF(AZ55&lt;=Assumptions!$I$21,"Exceeds","Star Performer")))))</f>
        <v>Exceeds</v>
      </c>
      <c r="BB55" s="0" t="n">
        <f aca="false">IF(AZ55="",0,IF(AZ55&gt;=Assumptions!$I$26,1,0))</f>
        <v>1</v>
      </c>
      <c r="BC55" s="9" t="n">
        <f aca="false">IF(AL55="",2,AL55+2)</f>
        <v>2</v>
      </c>
      <c r="BD55" s="10" t="n">
        <f aca="false">IF(AM55="",ROUND(AVERAGE($AM$2:$AM$921),3),AM55)</f>
        <v>0.447</v>
      </c>
      <c r="BE55" s="9" t="n">
        <f aca="false">1-BD55</f>
        <v>0.553</v>
      </c>
    </row>
    <row r="56" customFormat="false" ht="14.25" hidden="false" customHeight="false" outlineLevel="0" collapsed="false">
      <c r="A56" s="4" t="n">
        <v>386</v>
      </c>
      <c r="B56" s="5" t="n">
        <v>50007755</v>
      </c>
      <c r="C56" s="5" t="s">
        <v>106</v>
      </c>
      <c r="D56" s="5" t="s">
        <v>474</v>
      </c>
      <c r="E56" s="5" t="s">
        <v>108</v>
      </c>
      <c r="F56" s="5" t="s">
        <v>429</v>
      </c>
      <c r="G56" s="5" t="s">
        <v>430</v>
      </c>
      <c r="H56" s="5" t="s">
        <v>431</v>
      </c>
      <c r="I56" s="5" t="s">
        <v>63</v>
      </c>
      <c r="J56" s="5" t="s">
        <v>112</v>
      </c>
      <c r="K56" s="5" t="s">
        <v>65</v>
      </c>
      <c r="L56" s="6" t="n">
        <v>40416</v>
      </c>
      <c r="M56" s="5" t="s">
        <v>475</v>
      </c>
      <c r="N56" s="6" t="n">
        <v>32253</v>
      </c>
      <c r="O56" s="5" t="s">
        <v>332</v>
      </c>
      <c r="P56" s="5" t="s">
        <v>333</v>
      </c>
      <c r="Q56" s="5" t="s">
        <v>286</v>
      </c>
      <c r="R56" s="5" t="s">
        <v>115</v>
      </c>
      <c r="S56" s="5" t="s">
        <v>286</v>
      </c>
      <c r="T56" s="6" t="n">
        <v>42461</v>
      </c>
      <c r="U56" s="6" t="n">
        <v>45992</v>
      </c>
      <c r="V56" s="5" t="s">
        <v>141</v>
      </c>
      <c r="W56" s="5" t="s">
        <v>141</v>
      </c>
      <c r="X56" s="5" t="s">
        <v>83</v>
      </c>
      <c r="Y56" s="5" t="s">
        <v>83</v>
      </c>
      <c r="Z56" s="5" t="s">
        <v>83</v>
      </c>
      <c r="AA56" s="5" t="s">
        <v>476</v>
      </c>
      <c r="AB56" s="0" t="n">
        <f aca="false">IFERROR(VALUE(R56),0)</f>
        <v>0</v>
      </c>
      <c r="AC56" s="0" t="n">
        <f aca="false">IFERROR(VALUE(M56),"")</f>
        <v>38.1</v>
      </c>
      <c r="AD56" s="0" t="n">
        <f aca="false">IFERROR(VALUE(Q56),"")</f>
        <v>15.9</v>
      </c>
      <c r="AE56" s="0" t="n">
        <f aca="false">IFERROR(VALUE(S56),"")</f>
        <v>15.9</v>
      </c>
      <c r="AF56" s="0" t="n">
        <f aca="false">IF(V56="","",VLOOKUP(V56,Assumptions!$B$6:$C$9,2,FALSE()))</f>
        <v>3</v>
      </c>
      <c r="AG56" s="0" t="n">
        <f aca="false">IF(W56="","",VLOOKUP(W56,Assumptions!$B$6:$C$9,2,FALSE()))</f>
        <v>3</v>
      </c>
      <c r="AH56" s="0" t="n">
        <f aca="false">IF(X56="","",VLOOKUP(X56,Assumptions!$B$6:$C$9,2,FALSE()))</f>
        <v>4</v>
      </c>
      <c r="AI56" s="0" t="n">
        <f aca="false">IF(Y56="","",VLOOKUP(Y56,Assumptions!$B$6:$C$9,2,FALSE()))</f>
        <v>4</v>
      </c>
      <c r="AJ56" s="0" t="n">
        <f aca="false">IF(Z56="","",VLOOKUP(Z56,Assumptions!$B$6:$C$9,2,FALSE()))</f>
        <v>4</v>
      </c>
      <c r="AK56" s="7" t="n">
        <f aca="false">IFERROR(ROUND(AVERAGE(AF56:AJ56),3),"")</f>
        <v>3.6</v>
      </c>
      <c r="AL56" s="7" t="n">
        <f aca="false">IF(OR(AF56="",AJ56=""),"",AJ56-AF56)</f>
        <v>1</v>
      </c>
      <c r="AM56" s="7" t="n">
        <f aca="false">IF(COUNT(AF56:AJ56)&gt;=2,ROUND(_xlfn.STDEV.S(AF56:AJ56),3),"")</f>
        <v>0.548</v>
      </c>
      <c r="AN56" s="7" t="n">
        <f aca="false">ROUND((IF(AF56="",0,AF56)*Assumptions!$F$15)+(IF(AG56="",0,AG56)*Assumptions!$F$16)+(IF(AH56="",0,AH56)*Assumptions!$F$17)+(IF(AI56="",0,AI56)*Assumptions!$F$18)+(IF(AJ56="",0,AJ56)*Assumptions!$F$19),3)</f>
        <v>3.75</v>
      </c>
      <c r="AO56" s="0" t="str">
        <f aca="false">IF(AC56&lt;=20,"",IF(AC56&lt;=Assumptions!$F$6,"20-30",IF(AC56&lt;=Assumptions!$F$7,"30-40",IF(AC56&lt;=Assumptions!$F$8,"40-50",IF(AC56&lt;=Assumptions!$F$9,"50-60",IF(AC56&lt;=Assumptions!$F$10,"60+",""))))))</f>
        <v>30-40</v>
      </c>
      <c r="AP56" s="0" t="str">
        <f aca="false">IFERROR(VLOOKUP(O56,Assumptions!$B$14:$C$26,2,FALSE()),"Other")</f>
        <v>Manager</v>
      </c>
      <c r="AQ56" s="0" t="n">
        <f aca="false">IF(T56="",0,1)</f>
        <v>1</v>
      </c>
      <c r="AR56" s="0" t="n">
        <f aca="false">IF(U56="",0,1)</f>
        <v>1</v>
      </c>
      <c r="AS56" s="8" t="n">
        <f aca="false">IF(AK56="","",IF(MAX($AK$2:$AK$921)=MIN($AK$2:$AK$921),50,ROUND((AK56-MIN($AK$2:$AK$921))/(MAX($AK$2:$AK$921)-MIN($AK$2:$AK$921))*100,2)))</f>
        <v>82.85</v>
      </c>
      <c r="AT56" s="8" t="n">
        <f aca="false">IF(MAX($BC$2:$BC$921)=MIN($BC$2:$BC$921),50,ROUND((BC56-MIN($BC$2:$BC$921))/(MAX($BC$2:$BC$921)-MIN($BC$2:$BC$921))*100,2))</f>
        <v>75</v>
      </c>
      <c r="AU56" s="8" t="n">
        <f aca="false">IF(MAX($BE$2:$BE$921)=MIN($BE$2:$BE$921),50,ROUND((BE56-MIN($BE$2:$BE$921))/(MAX($BE$2:$BE$921)-MIN($BE$2:$BE$921))*100,2))</f>
        <v>68.36</v>
      </c>
      <c r="AV56" s="8" t="n">
        <f aca="false">IF(MAX($AD$2:$AD$921)=MIN($AD$2:$AD$921),50,ROUND((AD56-MIN($AD$2:$AD$921))/(MAX($AD$2:$AD$921)-MIN($AD$2:$AD$921))*100,2))</f>
        <v>42.92</v>
      </c>
      <c r="AW56" s="8" t="n">
        <f aca="false">IF(MAX($AN$2:$AN$921)=MIN($AN$2:$AN$921),50,ROUND((AN56-MIN($AN$2:$AN$921))/(MAX($AN$2:$AN$921)-MIN($AN$2:$AN$921))*100,2))</f>
        <v>93.75</v>
      </c>
      <c r="AX56" s="8" t="n">
        <f aca="false">AQ56*100</f>
        <v>100</v>
      </c>
      <c r="AY56" s="8" t="n">
        <f aca="false">AR56*100</f>
        <v>100</v>
      </c>
      <c r="AZ56" s="8" t="n">
        <f aca="false">IFERROR(ROUND(AS56*Assumptions!$I$6+AW56*Assumptions!$I$7+AT56*Assumptions!$I$8+AU56*Assumptions!$I$9+AV56*Assumptions!$I$10+AX56*Assumptions!$I$11+AY56*Assumptions!$I$12,2),"")</f>
        <v>79.4</v>
      </c>
      <c r="BA56" s="0" t="str">
        <f aca="false">IF(AZ56="","",IF(AZ56&lt;=Assumptions!$I$18,"Below Expectation",IF(AZ56&lt;=Assumptions!$I$19,"Developing",IF(AZ56&lt;=Assumptions!$I$20,"Meets Expectation",IF(AZ56&lt;=Assumptions!$I$21,"Exceeds","Star Performer")))))</f>
        <v>Exceeds</v>
      </c>
      <c r="BB56" s="0" t="n">
        <f aca="false">IF(AZ56="",0,IF(AZ56&gt;=Assumptions!$I$26,1,0))</f>
        <v>1</v>
      </c>
      <c r="BC56" s="9" t="n">
        <f aca="false">IF(AL56="",2,AL56+2)</f>
        <v>3</v>
      </c>
      <c r="BD56" s="10" t="n">
        <f aca="false">IF(AM56="",ROUND(AVERAGE($AM$2:$AM$921),3),AM56)</f>
        <v>0.548</v>
      </c>
      <c r="BE56" s="9" t="n">
        <f aca="false">1-BD56</f>
        <v>0.452</v>
      </c>
    </row>
    <row r="57" customFormat="false" ht="14.25" hidden="true" customHeight="false" outlineLevel="0" collapsed="false">
      <c r="A57" s="4" t="n">
        <v>27</v>
      </c>
      <c r="B57" s="5" t="n">
        <v>1156001</v>
      </c>
      <c r="C57" s="5" t="s">
        <v>73</v>
      </c>
      <c r="D57" s="5" t="s">
        <v>477</v>
      </c>
      <c r="E57" s="5" t="s">
        <v>73</v>
      </c>
      <c r="F57" s="5" t="s">
        <v>478</v>
      </c>
      <c r="G57" s="5" t="s">
        <v>61</v>
      </c>
      <c r="H57" s="5" t="s">
        <v>62</v>
      </c>
      <c r="I57" s="5" t="s">
        <v>63</v>
      </c>
      <c r="J57" s="5" t="s">
        <v>76</v>
      </c>
      <c r="K57" s="5" t="s">
        <v>65</v>
      </c>
      <c r="L57" s="6" t="n">
        <v>35562</v>
      </c>
      <c r="M57" s="5" t="s">
        <v>479</v>
      </c>
      <c r="N57" s="6" t="n">
        <v>24619</v>
      </c>
      <c r="O57" s="5" t="s">
        <v>78</v>
      </c>
      <c r="P57" s="5" t="s">
        <v>79</v>
      </c>
      <c r="Q57" s="5" t="s">
        <v>480</v>
      </c>
      <c r="R57" s="5" t="s">
        <v>248</v>
      </c>
      <c r="S57" s="5" t="s">
        <v>82</v>
      </c>
      <c r="T57" s="6" t="n">
        <v>39173</v>
      </c>
      <c r="U57" s="6" t="n">
        <v>44440</v>
      </c>
      <c r="V57" s="5" t="s">
        <v>141</v>
      </c>
      <c r="W57" s="5" t="s">
        <v>141</v>
      </c>
      <c r="X57" s="5" t="s">
        <v>141</v>
      </c>
      <c r="Y57" s="5" t="s">
        <v>83</v>
      </c>
      <c r="Z57" s="5" t="s">
        <v>83</v>
      </c>
      <c r="AA57" s="5" t="s">
        <v>481</v>
      </c>
      <c r="AB57" s="0" t="n">
        <f aca="false">IFERROR(VALUE(R57),0)</f>
        <v>5</v>
      </c>
      <c r="AC57" s="0" t="n">
        <f aca="false">IFERROR(VALUE(M57),"")</f>
        <v>59</v>
      </c>
      <c r="AD57" s="0" t="n">
        <f aca="false">IFERROR(VALUE(Q57),"")</f>
        <v>29</v>
      </c>
      <c r="AE57" s="0" t="n">
        <f aca="false">IFERROR(VALUE(S57),"")</f>
        <v>34</v>
      </c>
      <c r="AF57" s="0" t="n">
        <f aca="false">IF(V57="","",VLOOKUP(V57,Assumptions!$B$6:$C$9,2,FALSE()))</f>
        <v>3</v>
      </c>
      <c r="AG57" s="0" t="n">
        <f aca="false">IF(W57="","",VLOOKUP(W57,Assumptions!$B$6:$C$9,2,FALSE()))</f>
        <v>3</v>
      </c>
      <c r="AH57" s="0" t="n">
        <f aca="false">IF(X57="","",VLOOKUP(X57,Assumptions!$B$6:$C$9,2,FALSE()))</f>
        <v>3</v>
      </c>
      <c r="AI57" s="0" t="n">
        <f aca="false">IF(Y57="","",VLOOKUP(Y57,Assumptions!$B$6:$C$9,2,FALSE()))</f>
        <v>4</v>
      </c>
      <c r="AJ57" s="0" t="n">
        <f aca="false">IF(Z57="","",VLOOKUP(Z57,Assumptions!$B$6:$C$9,2,FALSE()))</f>
        <v>4</v>
      </c>
      <c r="AK57" s="7" t="n">
        <f aca="false">IFERROR(ROUND(AVERAGE(AF57:AJ57),3),"")</f>
        <v>3.4</v>
      </c>
      <c r="AL57" s="7" t="n">
        <f aca="false">IF(OR(AF57="",AJ57=""),"",AJ57-AF57)</f>
        <v>1</v>
      </c>
      <c r="AM57" s="7" t="n">
        <f aca="false">IF(COUNT(AF57:AJ57)&gt;=2,ROUND(_xlfn.STDEV.S(AF57:AJ57),3),"")</f>
        <v>0.548</v>
      </c>
      <c r="AN57" s="7" t="n">
        <f aca="false">ROUND((IF(AF57="",0,AF57)*Assumptions!$F$15)+(IF(AG57="",0,AG57)*Assumptions!$F$16)+(IF(AH57="",0,AH57)*Assumptions!$F$17)+(IF(AI57="",0,AI57)*Assumptions!$F$18)+(IF(AJ57="",0,AJ57)*Assumptions!$F$19),3)</f>
        <v>3.55</v>
      </c>
      <c r="AO57" s="0" t="str">
        <f aca="false">IF(AC57&lt;=20,"",IF(AC57&lt;=Assumptions!$F$6,"20-30",IF(AC57&lt;=Assumptions!$F$7,"30-40",IF(AC57&lt;=Assumptions!$F$8,"40-50",IF(AC57&lt;=Assumptions!$F$9,"50-60",IF(AC57&lt;=Assumptions!$F$10,"60+",""))))))</f>
        <v>50-60</v>
      </c>
      <c r="AP57" s="0" t="str">
        <f aca="false">IFERROR(VLOOKUP(O57,Assumptions!$B$14:$C$26,2,FALSE()),"Other")</f>
        <v>Leadership</v>
      </c>
      <c r="AQ57" s="0" t="n">
        <f aca="false">IF(T57="",0,1)</f>
        <v>1</v>
      </c>
      <c r="AR57" s="0" t="n">
        <f aca="false">IF(U57="",0,1)</f>
        <v>1</v>
      </c>
      <c r="AS57" s="8" t="n">
        <f aca="false">IF(AK57="","",IF(MAX($AK$2:$AK$921)=MIN($AK$2:$AK$921),50,ROUND((AK57-MIN($AK$2:$AK$921))/(MAX($AK$2:$AK$921)-MIN($AK$2:$AK$921))*100,2)))</f>
        <v>74.28</v>
      </c>
      <c r="AT57" s="8" t="n">
        <f aca="false">IF(MAX($BC$2:$BC$921)=MIN($BC$2:$BC$921),50,ROUND((BC57-MIN($BC$2:$BC$921))/(MAX($BC$2:$BC$921)-MIN($BC$2:$BC$921))*100,2))</f>
        <v>75</v>
      </c>
      <c r="AU57" s="8" t="n">
        <f aca="false">IF(MAX($BE$2:$BE$921)=MIN($BE$2:$BE$921),50,ROUND((BE57-MIN($BE$2:$BE$921))/(MAX($BE$2:$BE$921)-MIN($BE$2:$BE$921))*100,2))</f>
        <v>68.36</v>
      </c>
      <c r="AV57" s="8" t="n">
        <f aca="false">IF(MAX($AD$2:$AD$921)=MIN($AD$2:$AD$921),50,ROUND((AD57-MIN($AD$2:$AD$921))/(MAX($AD$2:$AD$921)-MIN($AD$2:$AD$921))*100,2))</f>
        <v>78.53</v>
      </c>
      <c r="AW57" s="8" t="n">
        <f aca="false">IF(MAX($AN$2:$AN$921)=MIN($AN$2:$AN$921),50,ROUND((AN57-MIN($AN$2:$AN$921))/(MAX($AN$2:$AN$921)-MIN($AN$2:$AN$921))*100,2))</f>
        <v>88.75</v>
      </c>
      <c r="AX57" s="8" t="n">
        <f aca="false">AQ57*100</f>
        <v>100</v>
      </c>
      <c r="AY57" s="8" t="n">
        <f aca="false">AR57*100</f>
        <v>100</v>
      </c>
      <c r="AZ57" s="8" t="n">
        <f aca="false">IFERROR(ROUND(AS57*Assumptions!$I$6+AW57*Assumptions!$I$7+AT57*Assumptions!$I$8+AU57*Assumptions!$I$9+AV57*Assumptions!$I$10+AX57*Assumptions!$I$11+AY57*Assumptions!$I$12,2),"")</f>
        <v>79.39</v>
      </c>
      <c r="BA57" s="0" t="str">
        <f aca="false">IF(AZ57="","",IF(AZ57&lt;=Assumptions!$I$18,"Below Expectation",IF(AZ57&lt;=Assumptions!$I$19,"Developing",IF(AZ57&lt;=Assumptions!$I$20,"Meets Expectation",IF(AZ57&lt;=Assumptions!$I$21,"Exceeds","Star Performer")))))</f>
        <v>Exceeds</v>
      </c>
      <c r="BB57" s="0" t="n">
        <f aca="false">IF(AZ57="",0,IF(AZ57&gt;=Assumptions!$I$26,1,0))</f>
        <v>1</v>
      </c>
      <c r="BC57" s="9" t="n">
        <f aca="false">IF(AL57="",2,AL57+2)</f>
        <v>3</v>
      </c>
      <c r="BD57" s="10" t="n">
        <f aca="false">IF(AM57="",ROUND(AVERAGE($AM$2:$AM$921),3),AM57)</f>
        <v>0.548</v>
      </c>
      <c r="BE57" s="9" t="n">
        <f aca="false">1-BD57</f>
        <v>0.452</v>
      </c>
    </row>
    <row r="58" customFormat="false" ht="14.25" hidden="true" customHeight="false" outlineLevel="0" collapsed="false">
      <c r="A58" s="4" t="n">
        <v>299</v>
      </c>
      <c r="B58" s="5" t="n">
        <v>10071324</v>
      </c>
      <c r="C58" s="5" t="s">
        <v>85</v>
      </c>
      <c r="D58" s="5" t="s">
        <v>482</v>
      </c>
      <c r="E58" s="5" t="s">
        <v>185</v>
      </c>
      <c r="F58" s="5" t="s">
        <v>483</v>
      </c>
      <c r="G58" s="5" t="s">
        <v>484</v>
      </c>
      <c r="H58" s="5" t="s">
        <v>483</v>
      </c>
      <c r="I58" s="5" t="s">
        <v>63</v>
      </c>
      <c r="J58" s="5" t="s">
        <v>76</v>
      </c>
      <c r="K58" s="5" t="s">
        <v>65</v>
      </c>
      <c r="L58" s="6" t="n">
        <v>43815</v>
      </c>
      <c r="M58" s="5" t="s">
        <v>485</v>
      </c>
      <c r="N58" s="6" t="n">
        <v>33081</v>
      </c>
      <c r="O58" s="5" t="s">
        <v>332</v>
      </c>
      <c r="P58" s="5" t="s">
        <v>333</v>
      </c>
      <c r="Q58" s="5" t="s">
        <v>486</v>
      </c>
      <c r="R58" s="5" t="s">
        <v>487</v>
      </c>
      <c r="S58" s="5" t="s">
        <v>446</v>
      </c>
      <c r="T58" s="6"/>
      <c r="U58" s="6" t="n">
        <v>46113</v>
      </c>
      <c r="V58" s="5" t="s">
        <v>83</v>
      </c>
      <c r="W58" s="5" t="s">
        <v>83</v>
      </c>
      <c r="X58" s="5" t="s">
        <v>83</v>
      </c>
      <c r="Y58" s="5" t="s">
        <v>83</v>
      </c>
      <c r="Z58" s="5" t="s">
        <v>83</v>
      </c>
      <c r="AA58" s="5" t="s">
        <v>488</v>
      </c>
      <c r="AB58" s="0" t="n">
        <f aca="false">IFERROR(VALUE(R58),0)</f>
        <v>6.4</v>
      </c>
      <c r="AC58" s="0" t="n">
        <f aca="false">IFERROR(VALUE(M58),"")</f>
        <v>35.1</v>
      </c>
      <c r="AD58" s="0" t="n">
        <f aca="false">IFERROR(VALUE(Q58),"")</f>
        <v>6.5</v>
      </c>
      <c r="AE58" s="0" t="n">
        <f aca="false">IFERROR(VALUE(S58),"")</f>
        <v>12.9</v>
      </c>
      <c r="AF58" s="0" t="n">
        <f aca="false">IF(V58="","",VLOOKUP(V58,Assumptions!$B$6:$C$9,2,FALSE()))</f>
        <v>4</v>
      </c>
      <c r="AG58" s="0" t="n">
        <f aca="false">IF(W58="","",VLOOKUP(W58,Assumptions!$B$6:$C$9,2,FALSE()))</f>
        <v>4</v>
      </c>
      <c r="AH58" s="0" t="n">
        <f aca="false">IF(X58="","",VLOOKUP(X58,Assumptions!$B$6:$C$9,2,FALSE()))</f>
        <v>4</v>
      </c>
      <c r="AI58" s="0" t="n">
        <f aca="false">IF(Y58="","",VLOOKUP(Y58,Assumptions!$B$6:$C$9,2,FALSE()))</f>
        <v>4</v>
      </c>
      <c r="AJ58" s="0" t="n">
        <f aca="false">IF(Z58="","",VLOOKUP(Z58,Assumptions!$B$6:$C$9,2,FALSE()))</f>
        <v>4</v>
      </c>
      <c r="AK58" s="7" t="n">
        <f aca="false">IFERROR(ROUND(AVERAGE(AF58:AJ58),3),"")</f>
        <v>4</v>
      </c>
      <c r="AL58" s="7" t="n">
        <f aca="false">IF(OR(AF58="",AJ58=""),"",AJ58-AF58)</f>
        <v>0</v>
      </c>
      <c r="AM58" s="7" t="n">
        <f aca="false">IF(COUNT(AF58:AJ58)&gt;=2,ROUND(_xlfn.STDEV.S(AF58:AJ58),3),"")</f>
        <v>0</v>
      </c>
      <c r="AN58" s="7" t="n">
        <f aca="false">ROUND((IF(AF58="",0,AF58)*Assumptions!$F$15)+(IF(AG58="",0,AG58)*Assumptions!$F$16)+(IF(AH58="",0,AH58)*Assumptions!$F$17)+(IF(AI58="",0,AI58)*Assumptions!$F$18)+(IF(AJ58="",0,AJ58)*Assumptions!$F$19),3)</f>
        <v>4</v>
      </c>
      <c r="AO58" s="0" t="str">
        <f aca="false">IF(AC58&lt;=20,"",IF(AC58&lt;=Assumptions!$F$6,"20-30",IF(AC58&lt;=Assumptions!$F$7,"30-40",IF(AC58&lt;=Assumptions!$F$8,"40-50",IF(AC58&lt;=Assumptions!$F$9,"50-60",IF(AC58&lt;=Assumptions!$F$10,"60+",""))))))</f>
        <v>30-40</v>
      </c>
      <c r="AP58" s="0" t="str">
        <f aca="false">IFERROR(VLOOKUP(O58,Assumptions!$B$14:$C$26,2,FALSE()),"Other")</f>
        <v>Manager</v>
      </c>
      <c r="AQ58" s="0" t="n">
        <f aca="false">IF(T58="",0,1)</f>
        <v>0</v>
      </c>
      <c r="AR58" s="0" t="n">
        <f aca="false">IF(U58="",0,1)</f>
        <v>1</v>
      </c>
      <c r="AS58" s="8" t="n">
        <f aca="false">IF(AK58="","",IF(MAX($AK$2:$AK$921)=MIN($AK$2:$AK$921),50,ROUND((AK58-MIN($AK$2:$AK$921))/(MAX($AK$2:$AK$921)-MIN($AK$2:$AK$921))*100,2)))</f>
        <v>100</v>
      </c>
      <c r="AT58" s="8" t="n">
        <f aca="false">IF(MAX($BC$2:$BC$921)=MIN($BC$2:$BC$921),50,ROUND((BC58-MIN($BC$2:$BC$921))/(MAX($BC$2:$BC$921)-MIN($BC$2:$BC$921))*100,2))</f>
        <v>50</v>
      </c>
      <c r="AU58" s="8" t="n">
        <f aca="false">IF(MAX($BE$2:$BE$921)=MIN($BE$2:$BE$921),50,ROUND((BE58-MIN($BE$2:$BE$921))/(MAX($BE$2:$BE$921)-MIN($BE$2:$BE$921))*100,2))</f>
        <v>100</v>
      </c>
      <c r="AV58" s="8" t="n">
        <f aca="false">IF(MAX($AD$2:$AD$921)=MIN($AD$2:$AD$921),50,ROUND((AD58-MIN($AD$2:$AD$921))/(MAX($AD$2:$AD$921)-MIN($AD$2:$AD$921))*100,2))</f>
        <v>17.37</v>
      </c>
      <c r="AW58" s="8" t="n">
        <f aca="false">IF(MAX($AN$2:$AN$921)=MIN($AN$2:$AN$921),50,ROUND((AN58-MIN($AN$2:$AN$921))/(MAX($AN$2:$AN$921)-MIN($AN$2:$AN$921))*100,2))</f>
        <v>100</v>
      </c>
      <c r="AX58" s="8" t="n">
        <f aca="false">AQ58*100</f>
        <v>0</v>
      </c>
      <c r="AY58" s="8" t="n">
        <f aca="false">AR58*100</f>
        <v>100</v>
      </c>
      <c r="AZ58" s="8" t="n">
        <f aca="false">IFERROR(ROUND(AS58*Assumptions!$I$6+AW58*Assumptions!$I$7+AT58*Assumptions!$I$8+AU58*Assumptions!$I$9+AV58*Assumptions!$I$10+AX58*Assumptions!$I$11+AY58*Assumptions!$I$12,2),"")</f>
        <v>79.24</v>
      </c>
      <c r="BA58" s="0" t="str">
        <f aca="false">IF(AZ58="","",IF(AZ58&lt;=Assumptions!$I$18,"Below Expectation",IF(AZ58&lt;=Assumptions!$I$19,"Developing",IF(AZ58&lt;=Assumptions!$I$20,"Meets Expectation",IF(AZ58&lt;=Assumptions!$I$21,"Exceeds","Star Performer")))))</f>
        <v>Exceeds</v>
      </c>
      <c r="BB58" s="0" t="n">
        <f aca="false">IF(AZ58="",0,IF(AZ58&gt;=Assumptions!$I$26,1,0))</f>
        <v>1</v>
      </c>
      <c r="BC58" s="9" t="n">
        <f aca="false">IF(AL58="",2,AL58+2)</f>
        <v>2</v>
      </c>
      <c r="BD58" s="10" t="n">
        <f aca="false">IF(AM58="",ROUND(AVERAGE($AM$2:$AM$921),3),AM58)</f>
        <v>0</v>
      </c>
      <c r="BE58" s="9" t="n">
        <f aca="false">1-BD58</f>
        <v>1</v>
      </c>
    </row>
    <row r="59" customFormat="false" ht="14.25" hidden="true" customHeight="false" outlineLevel="0" collapsed="false">
      <c r="A59" s="4" t="n">
        <v>98</v>
      </c>
      <c r="B59" s="5" t="n">
        <v>10027048</v>
      </c>
      <c r="C59" s="5" t="s">
        <v>57</v>
      </c>
      <c r="D59" s="5" t="s">
        <v>489</v>
      </c>
      <c r="E59" s="5" t="s">
        <v>299</v>
      </c>
      <c r="F59" s="5" t="s">
        <v>387</v>
      </c>
      <c r="G59" s="5" t="s">
        <v>388</v>
      </c>
      <c r="H59" s="5" t="s">
        <v>387</v>
      </c>
      <c r="I59" s="5" t="s">
        <v>63</v>
      </c>
      <c r="J59" s="5" t="s">
        <v>100</v>
      </c>
      <c r="K59" s="5" t="s">
        <v>65</v>
      </c>
      <c r="L59" s="6" t="n">
        <v>39560</v>
      </c>
      <c r="M59" s="5" t="s">
        <v>490</v>
      </c>
      <c r="N59" s="6" t="n">
        <v>28866</v>
      </c>
      <c r="O59" s="5" t="s">
        <v>262</v>
      </c>
      <c r="P59" s="5" t="s">
        <v>263</v>
      </c>
      <c r="Q59" s="5" t="s">
        <v>471</v>
      </c>
      <c r="R59" s="5" t="s">
        <v>491</v>
      </c>
      <c r="S59" s="5" t="s">
        <v>492</v>
      </c>
      <c r="T59" s="6"/>
      <c r="U59" s="6" t="n">
        <v>45748</v>
      </c>
      <c r="V59" s="5" t="s">
        <v>141</v>
      </c>
      <c r="W59" s="5" t="s">
        <v>83</v>
      </c>
      <c r="X59" s="5" t="s">
        <v>83</v>
      </c>
      <c r="Y59" s="5" t="s">
        <v>83</v>
      </c>
      <c r="Z59" s="5" t="s">
        <v>83</v>
      </c>
      <c r="AA59" s="5" t="s">
        <v>493</v>
      </c>
      <c r="AB59" s="0" t="n">
        <f aca="false">IFERROR(VALUE(R59),0)</f>
        <v>4.7</v>
      </c>
      <c r="AC59" s="0" t="n">
        <f aca="false">IFERROR(VALUE(M59),"")</f>
        <v>47.4</v>
      </c>
      <c r="AD59" s="0" t="n">
        <f aca="false">IFERROR(VALUE(Q59),"")</f>
        <v>18.1</v>
      </c>
      <c r="AE59" s="0" t="n">
        <f aca="false">IFERROR(VALUE(S59),"")</f>
        <v>22.8</v>
      </c>
      <c r="AF59" s="0" t="n">
        <f aca="false">IF(V59="","",VLOOKUP(V59,Assumptions!$B$6:$C$9,2,FALSE()))</f>
        <v>3</v>
      </c>
      <c r="AG59" s="0" t="n">
        <f aca="false">IF(W59="","",VLOOKUP(W59,Assumptions!$B$6:$C$9,2,FALSE()))</f>
        <v>4</v>
      </c>
      <c r="AH59" s="0" t="n">
        <f aca="false">IF(X59="","",VLOOKUP(X59,Assumptions!$B$6:$C$9,2,FALSE()))</f>
        <v>4</v>
      </c>
      <c r="AI59" s="0" t="n">
        <f aca="false">IF(Y59="","",VLOOKUP(Y59,Assumptions!$B$6:$C$9,2,FALSE()))</f>
        <v>4</v>
      </c>
      <c r="AJ59" s="0" t="n">
        <f aca="false">IF(Z59="","",VLOOKUP(Z59,Assumptions!$B$6:$C$9,2,FALSE()))</f>
        <v>4</v>
      </c>
      <c r="AK59" s="7" t="n">
        <f aca="false">IFERROR(ROUND(AVERAGE(AF59:AJ59),3),"")</f>
        <v>3.8</v>
      </c>
      <c r="AL59" s="7" t="n">
        <f aca="false">IF(OR(AF59="",AJ59=""),"",AJ59-AF59)</f>
        <v>1</v>
      </c>
      <c r="AM59" s="7" t="n">
        <f aca="false">IF(COUNT(AF59:AJ59)&gt;=2,ROUND(_xlfn.STDEV.S(AF59:AJ59),3),"")</f>
        <v>0.447</v>
      </c>
      <c r="AN59" s="7" t="n">
        <f aca="false">ROUND((IF(AF59="",0,AF59)*Assumptions!$F$15)+(IF(AG59="",0,AG59)*Assumptions!$F$16)+(IF(AH59="",0,AH59)*Assumptions!$F$17)+(IF(AI59="",0,AI59)*Assumptions!$F$18)+(IF(AJ59="",0,AJ59)*Assumptions!$F$19),3)</f>
        <v>3.9</v>
      </c>
      <c r="AO59" s="0" t="str">
        <f aca="false">IF(AC59&lt;=20,"",IF(AC59&lt;=Assumptions!$F$6,"20-30",IF(AC59&lt;=Assumptions!$F$7,"30-40",IF(AC59&lt;=Assumptions!$F$8,"40-50",IF(AC59&lt;=Assumptions!$F$9,"50-60",IF(AC59&lt;=Assumptions!$F$10,"60+",""))))))</f>
        <v>40-50</v>
      </c>
      <c r="AP59" s="0" t="str">
        <f aca="false">IFERROR(VLOOKUP(O59,Assumptions!$B$14:$C$26,2,FALSE()),"Other")</f>
        <v>Manager</v>
      </c>
      <c r="AQ59" s="0" t="n">
        <f aca="false">IF(T59="",0,1)</f>
        <v>0</v>
      </c>
      <c r="AR59" s="0" t="n">
        <f aca="false">IF(U59="",0,1)</f>
        <v>1</v>
      </c>
      <c r="AS59" s="8" t="n">
        <f aca="false">IF(AK59="","",IF(MAX($AK$2:$AK$921)=MIN($AK$2:$AK$921),50,ROUND((AK59-MIN($AK$2:$AK$921))/(MAX($AK$2:$AK$921)-MIN($AK$2:$AK$921))*100,2)))</f>
        <v>91.43</v>
      </c>
      <c r="AT59" s="8" t="n">
        <f aca="false">IF(MAX($BC$2:$BC$921)=MIN($BC$2:$BC$921),50,ROUND((BC59-MIN($BC$2:$BC$921))/(MAX($BC$2:$BC$921)-MIN($BC$2:$BC$921))*100,2))</f>
        <v>75</v>
      </c>
      <c r="AU59" s="8" t="n">
        <f aca="false">IF(MAX($BE$2:$BE$921)=MIN($BE$2:$BE$921),50,ROUND((BE59-MIN($BE$2:$BE$921))/(MAX($BE$2:$BE$921)-MIN($BE$2:$BE$921))*100,2))</f>
        <v>74.19</v>
      </c>
      <c r="AV59" s="8" t="n">
        <f aca="false">IF(MAX($AD$2:$AD$921)=MIN($AD$2:$AD$921),50,ROUND((AD59-MIN($AD$2:$AD$921))/(MAX($AD$2:$AD$921)-MIN($AD$2:$AD$921))*100,2))</f>
        <v>48.9</v>
      </c>
      <c r="AW59" s="8" t="n">
        <f aca="false">IF(MAX($AN$2:$AN$921)=MIN($AN$2:$AN$921),50,ROUND((AN59-MIN($AN$2:$AN$921))/(MAX($AN$2:$AN$921)-MIN($AN$2:$AN$921))*100,2))</f>
        <v>97.5</v>
      </c>
      <c r="AX59" s="8" t="n">
        <f aca="false">AQ59*100</f>
        <v>0</v>
      </c>
      <c r="AY59" s="8" t="n">
        <f aca="false">AR59*100</f>
        <v>100</v>
      </c>
      <c r="AZ59" s="8" t="n">
        <f aca="false">IFERROR(ROUND(AS59*Assumptions!$I$6+AW59*Assumptions!$I$7+AT59*Assumptions!$I$8+AU59*Assumptions!$I$9+AV59*Assumptions!$I$10+AX59*Assumptions!$I$11+AY59*Assumptions!$I$12,2),"")</f>
        <v>79.2</v>
      </c>
      <c r="BA59" s="0" t="str">
        <f aca="false">IF(AZ59="","",IF(AZ59&lt;=Assumptions!$I$18,"Below Expectation",IF(AZ59&lt;=Assumptions!$I$19,"Developing",IF(AZ59&lt;=Assumptions!$I$20,"Meets Expectation",IF(AZ59&lt;=Assumptions!$I$21,"Exceeds","Star Performer")))))</f>
        <v>Exceeds</v>
      </c>
      <c r="BB59" s="0" t="n">
        <f aca="false">IF(AZ59="",0,IF(AZ59&gt;=Assumptions!$I$26,1,0))</f>
        <v>1</v>
      </c>
      <c r="BC59" s="9" t="n">
        <f aca="false">IF(AL59="",2,AL59+2)</f>
        <v>3</v>
      </c>
      <c r="BD59" s="10" t="n">
        <f aca="false">IF(AM59="",ROUND(AVERAGE($AM$2:$AM$921),3),AM59)</f>
        <v>0.447</v>
      </c>
      <c r="BE59" s="9" t="n">
        <f aca="false">1-BD59</f>
        <v>0.553</v>
      </c>
    </row>
    <row r="60" customFormat="false" ht="14.25" hidden="false" customHeight="false" outlineLevel="0" collapsed="false">
      <c r="A60" s="4" t="n">
        <v>307</v>
      </c>
      <c r="B60" s="5" t="n">
        <v>10072030</v>
      </c>
      <c r="C60" s="5" t="s">
        <v>106</v>
      </c>
      <c r="D60" s="5" t="s">
        <v>377</v>
      </c>
      <c r="E60" s="5" t="s">
        <v>108</v>
      </c>
      <c r="F60" s="5" t="s">
        <v>463</v>
      </c>
      <c r="G60" s="5" t="s">
        <v>484</v>
      </c>
      <c r="H60" s="5" t="s">
        <v>483</v>
      </c>
      <c r="I60" s="5" t="s">
        <v>63</v>
      </c>
      <c r="J60" s="5" t="s">
        <v>112</v>
      </c>
      <c r="K60" s="5" t="s">
        <v>65</v>
      </c>
      <c r="L60" s="6" t="n">
        <v>43885</v>
      </c>
      <c r="M60" s="5" t="s">
        <v>494</v>
      </c>
      <c r="N60" s="6" t="n">
        <v>34534</v>
      </c>
      <c r="O60" s="5" t="s">
        <v>332</v>
      </c>
      <c r="P60" s="5" t="s">
        <v>333</v>
      </c>
      <c r="Q60" s="5" t="s">
        <v>495</v>
      </c>
      <c r="R60" s="5" t="s">
        <v>496</v>
      </c>
      <c r="S60" s="5" t="s">
        <v>497</v>
      </c>
      <c r="T60" s="6"/>
      <c r="U60" s="6" t="n">
        <v>45870</v>
      </c>
      <c r="V60" s="5" t="s">
        <v>83</v>
      </c>
      <c r="W60" s="5" t="s">
        <v>83</v>
      </c>
      <c r="X60" s="5" t="s">
        <v>83</v>
      </c>
      <c r="Y60" s="5" t="s">
        <v>83</v>
      </c>
      <c r="Z60" s="5" t="s">
        <v>83</v>
      </c>
      <c r="AA60" s="5" t="s">
        <v>498</v>
      </c>
      <c r="AB60" s="0" t="n">
        <f aca="false">IFERROR(VALUE(R60),0)</f>
        <v>4.8</v>
      </c>
      <c r="AC60" s="0" t="n">
        <f aca="false">IFERROR(VALUE(M60),"")</f>
        <v>31.1</v>
      </c>
      <c r="AD60" s="0" t="n">
        <f aca="false">IFERROR(VALUE(Q60),"")</f>
        <v>6.3</v>
      </c>
      <c r="AE60" s="0" t="n">
        <f aca="false">IFERROR(VALUE(S60),"")</f>
        <v>10.11</v>
      </c>
      <c r="AF60" s="0" t="n">
        <f aca="false">IF(V60="","",VLOOKUP(V60,Assumptions!$B$6:$C$9,2,FALSE()))</f>
        <v>4</v>
      </c>
      <c r="AG60" s="0" t="n">
        <f aca="false">IF(W60="","",VLOOKUP(W60,Assumptions!$B$6:$C$9,2,FALSE()))</f>
        <v>4</v>
      </c>
      <c r="AH60" s="0" t="n">
        <f aca="false">IF(X60="","",VLOOKUP(X60,Assumptions!$B$6:$C$9,2,FALSE()))</f>
        <v>4</v>
      </c>
      <c r="AI60" s="0" t="n">
        <f aca="false">IF(Y60="","",VLOOKUP(Y60,Assumptions!$B$6:$C$9,2,FALSE()))</f>
        <v>4</v>
      </c>
      <c r="AJ60" s="0" t="n">
        <f aca="false">IF(Z60="","",VLOOKUP(Z60,Assumptions!$B$6:$C$9,2,FALSE()))</f>
        <v>4</v>
      </c>
      <c r="AK60" s="7" t="n">
        <f aca="false">IFERROR(ROUND(AVERAGE(AF60:AJ60),3),"")</f>
        <v>4</v>
      </c>
      <c r="AL60" s="7" t="n">
        <f aca="false">IF(OR(AF60="",AJ60=""),"",AJ60-AF60)</f>
        <v>0</v>
      </c>
      <c r="AM60" s="7" t="n">
        <f aca="false">IF(COUNT(AF60:AJ60)&gt;=2,ROUND(_xlfn.STDEV.S(AF60:AJ60),3),"")</f>
        <v>0</v>
      </c>
      <c r="AN60" s="7" t="n">
        <f aca="false">ROUND((IF(AF60="",0,AF60)*Assumptions!$F$15)+(IF(AG60="",0,AG60)*Assumptions!$F$16)+(IF(AH60="",0,AH60)*Assumptions!$F$17)+(IF(AI60="",0,AI60)*Assumptions!$F$18)+(IF(AJ60="",0,AJ60)*Assumptions!$F$19),3)</f>
        <v>4</v>
      </c>
      <c r="AO60" s="0" t="str">
        <f aca="false">IF(AC60&lt;=20,"",IF(AC60&lt;=Assumptions!$F$6,"20-30",IF(AC60&lt;=Assumptions!$F$7,"30-40",IF(AC60&lt;=Assumptions!$F$8,"40-50",IF(AC60&lt;=Assumptions!$F$9,"50-60",IF(AC60&lt;=Assumptions!$F$10,"60+",""))))))</f>
        <v>30-40</v>
      </c>
      <c r="AP60" s="0" t="str">
        <f aca="false">IFERROR(VLOOKUP(O60,Assumptions!$B$14:$C$26,2,FALSE()),"Other")</f>
        <v>Manager</v>
      </c>
      <c r="AQ60" s="0" t="n">
        <f aca="false">IF(T60="",0,1)</f>
        <v>0</v>
      </c>
      <c r="AR60" s="0" t="n">
        <f aca="false">IF(U60="",0,1)</f>
        <v>1</v>
      </c>
      <c r="AS60" s="8" t="n">
        <f aca="false">IF(AK60="","",IF(MAX($AK$2:$AK$921)=MIN($AK$2:$AK$921),50,ROUND((AK60-MIN($AK$2:$AK$921))/(MAX($AK$2:$AK$921)-MIN($AK$2:$AK$921))*100,2)))</f>
        <v>100</v>
      </c>
      <c r="AT60" s="8" t="n">
        <f aca="false">IF(MAX($BC$2:$BC$921)=MIN($BC$2:$BC$921),50,ROUND((BC60-MIN($BC$2:$BC$921))/(MAX($BC$2:$BC$921)-MIN($BC$2:$BC$921))*100,2))</f>
        <v>50</v>
      </c>
      <c r="AU60" s="8" t="n">
        <f aca="false">IF(MAX($BE$2:$BE$921)=MIN($BE$2:$BE$921),50,ROUND((BE60-MIN($BE$2:$BE$921))/(MAX($BE$2:$BE$921)-MIN($BE$2:$BE$921))*100,2))</f>
        <v>100</v>
      </c>
      <c r="AV60" s="8" t="n">
        <f aca="false">IF(MAX($AD$2:$AD$921)=MIN($AD$2:$AD$921),50,ROUND((AD60-MIN($AD$2:$AD$921))/(MAX($AD$2:$AD$921)-MIN($AD$2:$AD$921))*100,2))</f>
        <v>16.83</v>
      </c>
      <c r="AW60" s="8" t="n">
        <f aca="false">IF(MAX($AN$2:$AN$921)=MIN($AN$2:$AN$921),50,ROUND((AN60-MIN($AN$2:$AN$921))/(MAX($AN$2:$AN$921)-MIN($AN$2:$AN$921))*100,2))</f>
        <v>100</v>
      </c>
      <c r="AX60" s="8" t="n">
        <f aca="false">AQ60*100</f>
        <v>0</v>
      </c>
      <c r="AY60" s="8" t="n">
        <f aca="false">AR60*100</f>
        <v>100</v>
      </c>
      <c r="AZ60" s="8" t="n">
        <f aca="false">IFERROR(ROUND(AS60*Assumptions!$I$6+AW60*Assumptions!$I$7+AT60*Assumptions!$I$8+AU60*Assumptions!$I$9+AV60*Assumptions!$I$10+AX60*Assumptions!$I$11+AY60*Assumptions!$I$12,2),"")</f>
        <v>79.18</v>
      </c>
      <c r="BA60" s="0" t="str">
        <f aca="false">IF(AZ60="","",IF(AZ60&lt;=Assumptions!$I$18,"Below Expectation",IF(AZ60&lt;=Assumptions!$I$19,"Developing",IF(AZ60&lt;=Assumptions!$I$20,"Meets Expectation",IF(AZ60&lt;=Assumptions!$I$21,"Exceeds","Star Performer")))))</f>
        <v>Exceeds</v>
      </c>
      <c r="BB60" s="0" t="n">
        <f aca="false">IF(AZ60="",0,IF(AZ60&gt;=Assumptions!$I$26,1,0))</f>
        <v>1</v>
      </c>
      <c r="BC60" s="9" t="n">
        <f aca="false">IF(AL60="",2,AL60+2)</f>
        <v>2</v>
      </c>
      <c r="BD60" s="10" t="n">
        <f aca="false">IF(AM60="",ROUND(AVERAGE($AM$2:$AM$921),3),AM60)</f>
        <v>0</v>
      </c>
      <c r="BE60" s="9" t="n">
        <f aca="false">1-BD60</f>
        <v>1</v>
      </c>
    </row>
    <row r="61" customFormat="false" ht="14.25" hidden="true" customHeight="false" outlineLevel="0" collapsed="false">
      <c r="A61" s="4" t="n">
        <v>390</v>
      </c>
      <c r="B61" s="5" t="n">
        <v>50007773</v>
      </c>
      <c r="C61" s="5" t="s">
        <v>57</v>
      </c>
      <c r="D61" s="5" t="s">
        <v>499</v>
      </c>
      <c r="E61" s="5" t="s">
        <v>500</v>
      </c>
      <c r="F61" s="5" t="s">
        <v>209</v>
      </c>
      <c r="G61" s="5" t="s">
        <v>210</v>
      </c>
      <c r="H61" s="5" t="s">
        <v>209</v>
      </c>
      <c r="I61" s="5" t="s">
        <v>63</v>
      </c>
      <c r="J61" s="5" t="s">
        <v>100</v>
      </c>
      <c r="K61" s="5" t="s">
        <v>65</v>
      </c>
      <c r="L61" s="6" t="n">
        <v>40422</v>
      </c>
      <c r="M61" s="5" t="s">
        <v>501</v>
      </c>
      <c r="N61" s="6" t="n">
        <v>28504</v>
      </c>
      <c r="O61" s="5" t="s">
        <v>262</v>
      </c>
      <c r="P61" s="5" t="s">
        <v>263</v>
      </c>
      <c r="Q61" s="5" t="s">
        <v>286</v>
      </c>
      <c r="R61" s="5" t="s">
        <v>502</v>
      </c>
      <c r="S61" s="5" t="s">
        <v>182</v>
      </c>
      <c r="T61" s="6" t="n">
        <v>43451</v>
      </c>
      <c r="U61" s="6" t="n">
        <v>44652</v>
      </c>
      <c r="V61" s="5" t="s">
        <v>141</v>
      </c>
      <c r="W61" s="5" t="s">
        <v>83</v>
      </c>
      <c r="X61" s="5" t="s">
        <v>141</v>
      </c>
      <c r="Y61" s="5" t="s">
        <v>83</v>
      </c>
      <c r="Z61" s="5" t="s">
        <v>83</v>
      </c>
      <c r="AA61" s="5" t="s">
        <v>503</v>
      </c>
      <c r="AB61" s="0" t="n">
        <f aca="false">IFERROR(VALUE(R61),0)</f>
        <v>11.1</v>
      </c>
      <c r="AC61" s="0" t="n">
        <f aca="false">IFERROR(VALUE(M61),"")</f>
        <v>48.4</v>
      </c>
      <c r="AD61" s="0" t="n">
        <f aca="false">IFERROR(VALUE(Q61),"")</f>
        <v>15.9</v>
      </c>
      <c r="AE61" s="0" t="n">
        <f aca="false">IFERROR(VALUE(S61),"")</f>
        <v>26.1</v>
      </c>
      <c r="AF61" s="0" t="n">
        <f aca="false">IF(V61="","",VLOOKUP(V61,Assumptions!$B$6:$C$9,2,FALSE()))</f>
        <v>3</v>
      </c>
      <c r="AG61" s="0" t="n">
        <f aca="false">IF(W61="","",VLOOKUP(W61,Assumptions!$B$6:$C$9,2,FALSE()))</f>
        <v>4</v>
      </c>
      <c r="AH61" s="0" t="n">
        <f aca="false">IF(X61="","",VLOOKUP(X61,Assumptions!$B$6:$C$9,2,FALSE()))</f>
        <v>3</v>
      </c>
      <c r="AI61" s="0" t="n">
        <f aca="false">IF(Y61="","",VLOOKUP(Y61,Assumptions!$B$6:$C$9,2,FALSE()))</f>
        <v>4</v>
      </c>
      <c r="AJ61" s="0" t="n">
        <f aca="false">IF(Z61="","",VLOOKUP(Z61,Assumptions!$B$6:$C$9,2,FALSE()))</f>
        <v>4</v>
      </c>
      <c r="AK61" s="7" t="n">
        <f aca="false">IFERROR(ROUND(AVERAGE(AF61:AJ61),3),"")</f>
        <v>3.6</v>
      </c>
      <c r="AL61" s="7" t="n">
        <f aca="false">IF(OR(AF61="",AJ61=""),"",AJ61-AF61)</f>
        <v>1</v>
      </c>
      <c r="AM61" s="7" t="n">
        <f aca="false">IF(COUNT(AF61:AJ61)&gt;=2,ROUND(_xlfn.STDEV.S(AF61:AJ61),3),"")</f>
        <v>0.548</v>
      </c>
      <c r="AN61" s="7" t="n">
        <f aca="false">ROUND((IF(AF61="",0,AF61)*Assumptions!$F$15)+(IF(AG61="",0,AG61)*Assumptions!$F$16)+(IF(AH61="",0,AH61)*Assumptions!$F$17)+(IF(AI61="",0,AI61)*Assumptions!$F$18)+(IF(AJ61="",0,AJ61)*Assumptions!$F$19),3)</f>
        <v>3.7</v>
      </c>
      <c r="AO61" s="0" t="str">
        <f aca="false">IF(AC61&lt;=20,"",IF(AC61&lt;=Assumptions!$F$6,"20-30",IF(AC61&lt;=Assumptions!$F$7,"30-40",IF(AC61&lt;=Assumptions!$F$8,"40-50",IF(AC61&lt;=Assumptions!$F$9,"50-60",IF(AC61&lt;=Assumptions!$F$10,"60+",""))))))</f>
        <v>40-50</v>
      </c>
      <c r="AP61" s="0" t="str">
        <f aca="false">IFERROR(VLOOKUP(O61,Assumptions!$B$14:$C$26,2,FALSE()),"Other")</f>
        <v>Manager</v>
      </c>
      <c r="AQ61" s="0" t="n">
        <f aca="false">IF(T61="",0,1)</f>
        <v>1</v>
      </c>
      <c r="AR61" s="0" t="n">
        <f aca="false">IF(U61="",0,1)</f>
        <v>1</v>
      </c>
      <c r="AS61" s="8" t="n">
        <f aca="false">IF(AK61="","",IF(MAX($AK$2:$AK$921)=MIN($AK$2:$AK$921),50,ROUND((AK61-MIN($AK$2:$AK$921))/(MAX($AK$2:$AK$921)-MIN($AK$2:$AK$921))*100,2)))</f>
        <v>82.85</v>
      </c>
      <c r="AT61" s="8" t="n">
        <f aca="false">IF(MAX($BC$2:$BC$921)=MIN($BC$2:$BC$921),50,ROUND((BC61-MIN($BC$2:$BC$921))/(MAX($BC$2:$BC$921)-MIN($BC$2:$BC$921))*100,2))</f>
        <v>75</v>
      </c>
      <c r="AU61" s="8" t="n">
        <f aca="false">IF(MAX($BE$2:$BE$921)=MIN($BE$2:$BE$921),50,ROUND((BE61-MIN($BE$2:$BE$921))/(MAX($BE$2:$BE$921)-MIN($BE$2:$BE$921))*100,2))</f>
        <v>68.36</v>
      </c>
      <c r="AV61" s="8" t="n">
        <f aca="false">IF(MAX($AD$2:$AD$921)=MIN($AD$2:$AD$921),50,ROUND((AD61-MIN($AD$2:$AD$921))/(MAX($AD$2:$AD$921)-MIN($AD$2:$AD$921))*100,2))</f>
        <v>42.92</v>
      </c>
      <c r="AW61" s="8" t="n">
        <f aca="false">IF(MAX($AN$2:$AN$921)=MIN($AN$2:$AN$921),50,ROUND((AN61-MIN($AN$2:$AN$921))/(MAX($AN$2:$AN$921)-MIN($AN$2:$AN$921))*100,2))</f>
        <v>92.5</v>
      </c>
      <c r="AX61" s="8" t="n">
        <f aca="false">AQ61*100</f>
        <v>100</v>
      </c>
      <c r="AY61" s="8" t="n">
        <f aca="false">AR61*100</f>
        <v>100</v>
      </c>
      <c r="AZ61" s="8" t="n">
        <f aca="false">IFERROR(ROUND(AS61*Assumptions!$I$6+AW61*Assumptions!$I$7+AT61*Assumptions!$I$8+AU61*Assumptions!$I$9+AV61*Assumptions!$I$10+AX61*Assumptions!$I$11+AY61*Assumptions!$I$12,2),"")</f>
        <v>79.15</v>
      </c>
      <c r="BA61" s="0" t="str">
        <f aca="false">IF(AZ61="","",IF(AZ61&lt;=Assumptions!$I$18,"Below Expectation",IF(AZ61&lt;=Assumptions!$I$19,"Developing",IF(AZ61&lt;=Assumptions!$I$20,"Meets Expectation",IF(AZ61&lt;=Assumptions!$I$21,"Exceeds","Star Performer")))))</f>
        <v>Exceeds</v>
      </c>
      <c r="BB61" s="0" t="n">
        <f aca="false">IF(AZ61="",0,IF(AZ61&gt;=Assumptions!$I$26,1,0))</f>
        <v>1</v>
      </c>
      <c r="BC61" s="9" t="n">
        <f aca="false">IF(AL61="",2,AL61+2)</f>
        <v>3</v>
      </c>
      <c r="BD61" s="10" t="n">
        <f aca="false">IF(AM61="",ROUND(AVERAGE($AM$2:$AM$921),3),AM61)</f>
        <v>0.548</v>
      </c>
      <c r="BE61" s="9" t="n">
        <f aca="false">1-BD61</f>
        <v>0.452</v>
      </c>
    </row>
    <row r="62" customFormat="false" ht="14.25" hidden="false" customHeight="false" outlineLevel="0" collapsed="false">
      <c r="A62" s="4" t="n">
        <v>319</v>
      </c>
      <c r="B62" s="5" t="n">
        <v>10072499</v>
      </c>
      <c r="C62" s="5" t="s">
        <v>106</v>
      </c>
      <c r="D62" s="5" t="s">
        <v>504</v>
      </c>
      <c r="E62" s="5" t="s">
        <v>108</v>
      </c>
      <c r="F62" s="5" t="s">
        <v>463</v>
      </c>
      <c r="G62" s="5" t="s">
        <v>484</v>
      </c>
      <c r="H62" s="5" t="s">
        <v>483</v>
      </c>
      <c r="I62" s="5" t="s">
        <v>63</v>
      </c>
      <c r="J62" s="5" t="s">
        <v>112</v>
      </c>
      <c r="K62" s="5" t="s">
        <v>65</v>
      </c>
      <c r="L62" s="6" t="n">
        <v>43955</v>
      </c>
      <c r="M62" s="5" t="s">
        <v>505</v>
      </c>
      <c r="N62" s="6" t="n">
        <v>34649</v>
      </c>
      <c r="O62" s="5" t="s">
        <v>332</v>
      </c>
      <c r="P62" s="5" t="s">
        <v>333</v>
      </c>
      <c r="Q62" s="5" t="s">
        <v>506</v>
      </c>
      <c r="R62" s="5" t="s">
        <v>287</v>
      </c>
      <c r="S62" s="5" t="s">
        <v>399</v>
      </c>
      <c r="T62" s="6"/>
      <c r="U62" s="6" t="n">
        <v>45992</v>
      </c>
      <c r="V62" s="5" t="s">
        <v>83</v>
      </c>
      <c r="W62" s="5" t="s">
        <v>83</v>
      </c>
      <c r="X62" s="5" t="s">
        <v>83</v>
      </c>
      <c r="Y62" s="5" t="s">
        <v>83</v>
      </c>
      <c r="Z62" s="5" t="s">
        <v>83</v>
      </c>
      <c r="AA62" s="5" t="s">
        <v>507</v>
      </c>
      <c r="AB62" s="0" t="n">
        <f aca="false">IFERROR(VALUE(R62),0)</f>
        <v>4</v>
      </c>
      <c r="AC62" s="0" t="n">
        <f aca="false">IFERROR(VALUE(M62),"")</f>
        <v>31.6</v>
      </c>
      <c r="AD62" s="0" t="n">
        <f aca="false">IFERROR(VALUE(Q62),"")</f>
        <v>6.1</v>
      </c>
      <c r="AE62" s="0" t="n">
        <f aca="false">IFERROR(VALUE(S62),"")</f>
        <v>10.1</v>
      </c>
      <c r="AF62" s="0" t="n">
        <f aca="false">IF(V62="","",VLOOKUP(V62,Assumptions!$B$6:$C$9,2,FALSE()))</f>
        <v>4</v>
      </c>
      <c r="AG62" s="0" t="n">
        <f aca="false">IF(W62="","",VLOOKUP(W62,Assumptions!$B$6:$C$9,2,FALSE()))</f>
        <v>4</v>
      </c>
      <c r="AH62" s="0" t="n">
        <f aca="false">IF(X62="","",VLOOKUP(X62,Assumptions!$B$6:$C$9,2,FALSE()))</f>
        <v>4</v>
      </c>
      <c r="AI62" s="0" t="n">
        <f aca="false">IF(Y62="","",VLOOKUP(Y62,Assumptions!$B$6:$C$9,2,FALSE()))</f>
        <v>4</v>
      </c>
      <c r="AJ62" s="0" t="n">
        <f aca="false">IF(Z62="","",VLOOKUP(Z62,Assumptions!$B$6:$C$9,2,FALSE()))</f>
        <v>4</v>
      </c>
      <c r="AK62" s="7" t="n">
        <f aca="false">IFERROR(ROUND(AVERAGE(AF62:AJ62),3),"")</f>
        <v>4</v>
      </c>
      <c r="AL62" s="7" t="n">
        <f aca="false">IF(OR(AF62="",AJ62=""),"",AJ62-AF62)</f>
        <v>0</v>
      </c>
      <c r="AM62" s="7" t="n">
        <f aca="false">IF(COUNT(AF62:AJ62)&gt;=2,ROUND(_xlfn.STDEV.S(AF62:AJ62),3),"")</f>
        <v>0</v>
      </c>
      <c r="AN62" s="7" t="n">
        <f aca="false">ROUND((IF(AF62="",0,AF62)*Assumptions!$F$15)+(IF(AG62="",0,AG62)*Assumptions!$F$16)+(IF(AH62="",0,AH62)*Assumptions!$F$17)+(IF(AI62="",0,AI62)*Assumptions!$F$18)+(IF(AJ62="",0,AJ62)*Assumptions!$F$19),3)</f>
        <v>4</v>
      </c>
      <c r="AO62" s="0" t="str">
        <f aca="false">IF(AC62&lt;=20,"",IF(AC62&lt;=Assumptions!$F$6,"20-30",IF(AC62&lt;=Assumptions!$F$7,"30-40",IF(AC62&lt;=Assumptions!$F$8,"40-50",IF(AC62&lt;=Assumptions!$F$9,"50-60",IF(AC62&lt;=Assumptions!$F$10,"60+",""))))))</f>
        <v>30-40</v>
      </c>
      <c r="AP62" s="0" t="str">
        <f aca="false">IFERROR(VLOOKUP(O62,Assumptions!$B$14:$C$26,2,FALSE()),"Other")</f>
        <v>Manager</v>
      </c>
      <c r="AQ62" s="0" t="n">
        <f aca="false">IF(T62="",0,1)</f>
        <v>0</v>
      </c>
      <c r="AR62" s="0" t="n">
        <f aca="false">IF(U62="",0,1)</f>
        <v>1</v>
      </c>
      <c r="AS62" s="8" t="n">
        <f aca="false">IF(AK62="","",IF(MAX($AK$2:$AK$921)=MIN($AK$2:$AK$921),50,ROUND((AK62-MIN($AK$2:$AK$921))/(MAX($AK$2:$AK$921)-MIN($AK$2:$AK$921))*100,2)))</f>
        <v>100</v>
      </c>
      <c r="AT62" s="8" t="n">
        <f aca="false">IF(MAX($BC$2:$BC$921)=MIN($BC$2:$BC$921),50,ROUND((BC62-MIN($BC$2:$BC$921))/(MAX($BC$2:$BC$921)-MIN($BC$2:$BC$921))*100,2))</f>
        <v>50</v>
      </c>
      <c r="AU62" s="8" t="n">
        <f aca="false">IF(MAX($BE$2:$BE$921)=MIN($BE$2:$BE$921),50,ROUND((BE62-MIN($BE$2:$BE$921))/(MAX($BE$2:$BE$921)-MIN($BE$2:$BE$921))*100,2))</f>
        <v>100</v>
      </c>
      <c r="AV62" s="8" t="n">
        <f aca="false">IF(MAX($AD$2:$AD$921)=MIN($AD$2:$AD$921),50,ROUND((AD62-MIN($AD$2:$AD$921))/(MAX($AD$2:$AD$921)-MIN($AD$2:$AD$921))*100,2))</f>
        <v>16.28</v>
      </c>
      <c r="AW62" s="8" t="n">
        <f aca="false">IF(MAX($AN$2:$AN$921)=MIN($AN$2:$AN$921),50,ROUND((AN62-MIN($AN$2:$AN$921))/(MAX($AN$2:$AN$921)-MIN($AN$2:$AN$921))*100,2))</f>
        <v>100</v>
      </c>
      <c r="AX62" s="8" t="n">
        <f aca="false">AQ62*100</f>
        <v>0</v>
      </c>
      <c r="AY62" s="8" t="n">
        <f aca="false">AR62*100</f>
        <v>100</v>
      </c>
      <c r="AZ62" s="8" t="n">
        <f aca="false">IFERROR(ROUND(AS62*Assumptions!$I$6+AW62*Assumptions!$I$7+AT62*Assumptions!$I$8+AU62*Assumptions!$I$9+AV62*Assumptions!$I$10+AX62*Assumptions!$I$11+AY62*Assumptions!$I$12,2),"")</f>
        <v>79.13</v>
      </c>
      <c r="BA62" s="0" t="str">
        <f aca="false">IF(AZ62="","",IF(AZ62&lt;=Assumptions!$I$18,"Below Expectation",IF(AZ62&lt;=Assumptions!$I$19,"Developing",IF(AZ62&lt;=Assumptions!$I$20,"Meets Expectation",IF(AZ62&lt;=Assumptions!$I$21,"Exceeds","Star Performer")))))</f>
        <v>Exceeds</v>
      </c>
      <c r="BB62" s="0" t="n">
        <f aca="false">IF(AZ62="",0,IF(AZ62&gt;=Assumptions!$I$26,1,0))</f>
        <v>1</v>
      </c>
      <c r="BC62" s="9" t="n">
        <f aca="false">IF(AL62="",2,AL62+2)</f>
        <v>2</v>
      </c>
      <c r="BD62" s="10" t="n">
        <f aca="false">IF(AM62="",ROUND(AVERAGE($AM$2:$AM$921),3),AM62)</f>
        <v>0</v>
      </c>
      <c r="BE62" s="9" t="n">
        <f aca="false">1-BD62</f>
        <v>1</v>
      </c>
    </row>
    <row r="63" customFormat="false" ht="14.25" hidden="true" customHeight="false" outlineLevel="0" collapsed="false">
      <c r="A63" s="4" t="n">
        <v>108</v>
      </c>
      <c r="B63" s="5" t="n">
        <v>10033558</v>
      </c>
      <c r="C63" s="5" t="s">
        <v>85</v>
      </c>
      <c r="D63" s="5" t="s">
        <v>508</v>
      </c>
      <c r="E63" s="5" t="s">
        <v>291</v>
      </c>
      <c r="F63" s="5" t="s">
        <v>267</v>
      </c>
      <c r="G63" s="5" t="s">
        <v>268</v>
      </c>
      <c r="H63" s="5" t="s">
        <v>267</v>
      </c>
      <c r="I63" s="5" t="s">
        <v>63</v>
      </c>
      <c r="J63" s="5" t="s">
        <v>76</v>
      </c>
      <c r="K63" s="5" t="s">
        <v>65</v>
      </c>
      <c r="L63" s="6" t="n">
        <v>41064</v>
      </c>
      <c r="M63" s="5" t="s">
        <v>509</v>
      </c>
      <c r="N63" s="6" t="n">
        <v>31872</v>
      </c>
      <c r="O63" s="5" t="s">
        <v>162</v>
      </c>
      <c r="P63" s="5" t="s">
        <v>162</v>
      </c>
      <c r="Q63" s="5" t="s">
        <v>510</v>
      </c>
      <c r="R63" s="5" t="s">
        <v>204</v>
      </c>
      <c r="S63" s="5" t="s">
        <v>511</v>
      </c>
      <c r="T63" s="6" t="n">
        <v>42979</v>
      </c>
      <c r="U63" s="6" t="n">
        <v>46113</v>
      </c>
      <c r="V63" s="5" t="s">
        <v>83</v>
      </c>
      <c r="W63" s="5" t="s">
        <v>141</v>
      </c>
      <c r="X63" s="5" t="s">
        <v>83</v>
      </c>
      <c r="Y63" s="5" t="s">
        <v>83</v>
      </c>
      <c r="Z63" s="5" t="s">
        <v>83</v>
      </c>
      <c r="AA63" s="5" t="s">
        <v>512</v>
      </c>
      <c r="AB63" s="0" t="n">
        <f aca="false">IFERROR(VALUE(R63),0)</f>
        <v>1.11</v>
      </c>
      <c r="AC63" s="0" t="n">
        <f aca="false">IFERROR(VALUE(M63),"")</f>
        <v>39.2</v>
      </c>
      <c r="AD63" s="0" t="n">
        <f aca="false">IFERROR(VALUE(Q63),"")</f>
        <v>14</v>
      </c>
      <c r="AE63" s="0" t="n">
        <f aca="false">IFERROR(VALUE(S63),"")</f>
        <v>15.11</v>
      </c>
      <c r="AF63" s="0" t="n">
        <f aca="false">IF(V63="","",VLOOKUP(V63,Assumptions!$B$6:$C$9,2,FALSE()))</f>
        <v>4</v>
      </c>
      <c r="AG63" s="0" t="n">
        <f aca="false">IF(W63="","",VLOOKUP(W63,Assumptions!$B$6:$C$9,2,FALSE()))</f>
        <v>3</v>
      </c>
      <c r="AH63" s="0" t="n">
        <f aca="false">IF(X63="","",VLOOKUP(X63,Assumptions!$B$6:$C$9,2,FALSE()))</f>
        <v>4</v>
      </c>
      <c r="AI63" s="0" t="n">
        <f aca="false">IF(Y63="","",VLOOKUP(Y63,Assumptions!$B$6:$C$9,2,FALSE()))</f>
        <v>4</v>
      </c>
      <c r="AJ63" s="0" t="n">
        <f aca="false">IF(Z63="","",VLOOKUP(Z63,Assumptions!$B$6:$C$9,2,FALSE()))</f>
        <v>4</v>
      </c>
      <c r="AK63" s="7" t="n">
        <f aca="false">IFERROR(ROUND(AVERAGE(AF63:AJ63),3),"")</f>
        <v>3.8</v>
      </c>
      <c r="AL63" s="7" t="n">
        <f aca="false">IF(OR(AF63="",AJ63=""),"",AJ63-AF63)</f>
        <v>0</v>
      </c>
      <c r="AM63" s="7" t="n">
        <f aca="false">IF(COUNT(AF63:AJ63)&gt;=2,ROUND(_xlfn.STDEV.S(AF63:AJ63),3),"")</f>
        <v>0.447</v>
      </c>
      <c r="AN63" s="7" t="n">
        <f aca="false">ROUND((IF(AF63="",0,AF63)*Assumptions!$F$15)+(IF(AG63="",0,AG63)*Assumptions!$F$16)+(IF(AH63="",0,AH63)*Assumptions!$F$17)+(IF(AI63="",0,AI63)*Assumptions!$F$18)+(IF(AJ63="",0,AJ63)*Assumptions!$F$19),3)</f>
        <v>3.85</v>
      </c>
      <c r="AO63" s="0" t="str">
        <f aca="false">IF(AC63&lt;=20,"",IF(AC63&lt;=Assumptions!$F$6,"20-30",IF(AC63&lt;=Assumptions!$F$7,"30-40",IF(AC63&lt;=Assumptions!$F$8,"40-50",IF(AC63&lt;=Assumptions!$F$9,"50-60",IF(AC63&lt;=Assumptions!$F$10,"60+",""))))))</f>
        <v>30-40</v>
      </c>
      <c r="AP63" s="0" t="str">
        <f aca="false">IFERROR(VLOOKUP(O63,Assumptions!$B$14:$C$26,2,FALSE()),"Other")</f>
        <v>Manager</v>
      </c>
      <c r="AQ63" s="0" t="n">
        <f aca="false">IF(T63="",0,1)</f>
        <v>1</v>
      </c>
      <c r="AR63" s="0" t="n">
        <f aca="false">IF(U63="",0,1)</f>
        <v>1</v>
      </c>
      <c r="AS63" s="8" t="n">
        <f aca="false">IF(AK63="","",IF(MAX($AK$2:$AK$921)=MIN($AK$2:$AK$921),50,ROUND((AK63-MIN($AK$2:$AK$921))/(MAX($AK$2:$AK$921)-MIN($AK$2:$AK$921))*100,2)))</f>
        <v>91.43</v>
      </c>
      <c r="AT63" s="8" t="n">
        <f aca="false">IF(MAX($BC$2:$BC$921)=MIN($BC$2:$BC$921),50,ROUND((BC63-MIN($BC$2:$BC$921))/(MAX($BC$2:$BC$921)-MIN($BC$2:$BC$921))*100,2))</f>
        <v>50</v>
      </c>
      <c r="AU63" s="8" t="n">
        <f aca="false">IF(MAX($BE$2:$BE$921)=MIN($BE$2:$BE$921),50,ROUND((BE63-MIN($BE$2:$BE$921))/(MAX($BE$2:$BE$921)-MIN($BE$2:$BE$921))*100,2))</f>
        <v>74.19</v>
      </c>
      <c r="AV63" s="8" t="n">
        <f aca="false">IF(MAX($AD$2:$AD$921)=MIN($AD$2:$AD$921),50,ROUND((AD63-MIN($AD$2:$AD$921))/(MAX($AD$2:$AD$921)-MIN($AD$2:$AD$921))*100,2))</f>
        <v>37.75</v>
      </c>
      <c r="AW63" s="8" t="n">
        <f aca="false">IF(MAX($AN$2:$AN$921)=MIN($AN$2:$AN$921),50,ROUND((AN63-MIN($AN$2:$AN$921))/(MAX($AN$2:$AN$921)-MIN($AN$2:$AN$921))*100,2))</f>
        <v>96.25</v>
      </c>
      <c r="AX63" s="8" t="n">
        <f aca="false">AQ63*100</f>
        <v>100</v>
      </c>
      <c r="AY63" s="8" t="n">
        <f aca="false">AR63*100</f>
        <v>100</v>
      </c>
      <c r="AZ63" s="8" t="n">
        <f aca="false">IFERROR(ROUND(AS63*Assumptions!$I$6+AW63*Assumptions!$I$7+AT63*Assumptions!$I$8+AU63*Assumptions!$I$9+AV63*Assumptions!$I$10+AX63*Assumptions!$I$11+AY63*Assumptions!$I$12,2),"")</f>
        <v>79.08</v>
      </c>
      <c r="BA63" s="0" t="str">
        <f aca="false">IF(AZ63="","",IF(AZ63&lt;=Assumptions!$I$18,"Below Expectation",IF(AZ63&lt;=Assumptions!$I$19,"Developing",IF(AZ63&lt;=Assumptions!$I$20,"Meets Expectation",IF(AZ63&lt;=Assumptions!$I$21,"Exceeds","Star Performer")))))</f>
        <v>Exceeds</v>
      </c>
      <c r="BB63" s="0" t="n">
        <f aca="false">IF(AZ63="",0,IF(AZ63&gt;=Assumptions!$I$26,1,0))</f>
        <v>1</v>
      </c>
      <c r="BC63" s="9" t="n">
        <f aca="false">IF(AL63="",2,AL63+2)</f>
        <v>2</v>
      </c>
      <c r="BD63" s="10" t="n">
        <f aca="false">IF(AM63="",ROUND(AVERAGE($AM$2:$AM$921),3),AM63)</f>
        <v>0.447</v>
      </c>
      <c r="BE63" s="9" t="n">
        <f aca="false">1-BD63</f>
        <v>0.553</v>
      </c>
    </row>
    <row r="64" customFormat="false" ht="14.25" hidden="true" customHeight="false" outlineLevel="0" collapsed="false">
      <c r="A64" s="4" t="n">
        <v>372</v>
      </c>
      <c r="B64" s="5" t="n">
        <v>37102306</v>
      </c>
      <c r="C64" s="5" t="s">
        <v>57</v>
      </c>
      <c r="D64" s="5" t="s">
        <v>513</v>
      </c>
      <c r="E64" s="5" t="s">
        <v>514</v>
      </c>
      <c r="F64" s="5" t="s">
        <v>387</v>
      </c>
      <c r="G64" s="5" t="s">
        <v>388</v>
      </c>
      <c r="H64" s="5" t="s">
        <v>387</v>
      </c>
      <c r="I64" s="5" t="s">
        <v>63</v>
      </c>
      <c r="J64" s="5" t="s">
        <v>100</v>
      </c>
      <c r="K64" s="5" t="s">
        <v>65</v>
      </c>
      <c r="L64" s="6" t="n">
        <v>40616</v>
      </c>
      <c r="M64" s="5" t="s">
        <v>515</v>
      </c>
      <c r="N64" s="6" t="n">
        <v>28952</v>
      </c>
      <c r="O64" s="5" t="s">
        <v>262</v>
      </c>
      <c r="P64" s="5" t="s">
        <v>263</v>
      </c>
      <c r="Q64" s="5" t="s">
        <v>516</v>
      </c>
      <c r="R64" s="5" t="s">
        <v>248</v>
      </c>
      <c r="S64" s="5" t="s">
        <v>517</v>
      </c>
      <c r="T64" s="6"/>
      <c r="U64" s="6" t="n">
        <v>45748</v>
      </c>
      <c r="V64" s="5" t="s">
        <v>141</v>
      </c>
      <c r="W64" s="5" t="s">
        <v>83</v>
      </c>
      <c r="X64" s="5" t="s">
        <v>83</v>
      </c>
      <c r="Y64" s="5" t="s">
        <v>83</v>
      </c>
      <c r="Z64" s="5" t="s">
        <v>83</v>
      </c>
      <c r="AA64" s="5" t="s">
        <v>518</v>
      </c>
      <c r="AB64" s="0" t="n">
        <f aca="false">IFERROR(VALUE(R64),0)</f>
        <v>5</v>
      </c>
      <c r="AC64" s="0" t="n">
        <f aca="false">IFERROR(VALUE(M64),"")</f>
        <v>47.2</v>
      </c>
      <c r="AD64" s="0" t="n">
        <f aca="false">IFERROR(VALUE(Q64),"")</f>
        <v>15.2</v>
      </c>
      <c r="AE64" s="0" t="n">
        <f aca="false">IFERROR(VALUE(S64),"")</f>
        <v>20.2</v>
      </c>
      <c r="AF64" s="0" t="n">
        <f aca="false">IF(V64="","",VLOOKUP(V64,Assumptions!$B$6:$C$9,2,FALSE()))</f>
        <v>3</v>
      </c>
      <c r="AG64" s="0" t="n">
        <f aca="false">IF(W64="","",VLOOKUP(W64,Assumptions!$B$6:$C$9,2,FALSE()))</f>
        <v>4</v>
      </c>
      <c r="AH64" s="0" t="n">
        <f aca="false">IF(X64="","",VLOOKUP(X64,Assumptions!$B$6:$C$9,2,FALSE()))</f>
        <v>4</v>
      </c>
      <c r="AI64" s="0" t="n">
        <f aca="false">IF(Y64="","",VLOOKUP(Y64,Assumptions!$B$6:$C$9,2,FALSE()))</f>
        <v>4</v>
      </c>
      <c r="AJ64" s="0" t="n">
        <f aca="false">IF(Z64="","",VLOOKUP(Z64,Assumptions!$B$6:$C$9,2,FALSE()))</f>
        <v>4</v>
      </c>
      <c r="AK64" s="7" t="n">
        <f aca="false">IFERROR(ROUND(AVERAGE(AF64:AJ64),3),"")</f>
        <v>3.8</v>
      </c>
      <c r="AL64" s="7" t="n">
        <f aca="false">IF(OR(AF64="",AJ64=""),"",AJ64-AF64)</f>
        <v>1</v>
      </c>
      <c r="AM64" s="7" t="n">
        <f aca="false">IF(COUNT(AF64:AJ64)&gt;=2,ROUND(_xlfn.STDEV.S(AF64:AJ64),3),"")</f>
        <v>0.447</v>
      </c>
      <c r="AN64" s="7" t="n">
        <f aca="false">ROUND((IF(AF64="",0,AF64)*Assumptions!$F$15)+(IF(AG64="",0,AG64)*Assumptions!$F$16)+(IF(AH64="",0,AH64)*Assumptions!$F$17)+(IF(AI64="",0,AI64)*Assumptions!$F$18)+(IF(AJ64="",0,AJ64)*Assumptions!$F$19),3)</f>
        <v>3.9</v>
      </c>
      <c r="AO64" s="0" t="str">
        <f aca="false">IF(AC64&lt;=20,"",IF(AC64&lt;=Assumptions!$F$6,"20-30",IF(AC64&lt;=Assumptions!$F$7,"30-40",IF(AC64&lt;=Assumptions!$F$8,"40-50",IF(AC64&lt;=Assumptions!$F$9,"50-60",IF(AC64&lt;=Assumptions!$F$10,"60+",""))))))</f>
        <v>40-50</v>
      </c>
      <c r="AP64" s="0" t="str">
        <f aca="false">IFERROR(VLOOKUP(O64,Assumptions!$B$14:$C$26,2,FALSE()),"Other")</f>
        <v>Manager</v>
      </c>
      <c r="AQ64" s="0" t="n">
        <f aca="false">IF(T64="",0,1)</f>
        <v>0</v>
      </c>
      <c r="AR64" s="0" t="n">
        <f aca="false">IF(U64="",0,1)</f>
        <v>1</v>
      </c>
      <c r="AS64" s="8" t="n">
        <f aca="false">IF(AK64="","",IF(MAX($AK$2:$AK$921)=MIN($AK$2:$AK$921),50,ROUND((AK64-MIN($AK$2:$AK$921))/(MAX($AK$2:$AK$921)-MIN($AK$2:$AK$921))*100,2)))</f>
        <v>91.43</v>
      </c>
      <c r="AT64" s="8" t="n">
        <f aca="false">IF(MAX($BC$2:$BC$921)=MIN($BC$2:$BC$921),50,ROUND((BC64-MIN($BC$2:$BC$921))/(MAX($BC$2:$BC$921)-MIN($BC$2:$BC$921))*100,2))</f>
        <v>75</v>
      </c>
      <c r="AU64" s="8" t="n">
        <f aca="false">IF(MAX($BE$2:$BE$921)=MIN($BE$2:$BE$921),50,ROUND((BE64-MIN($BE$2:$BE$921))/(MAX($BE$2:$BE$921)-MIN($BE$2:$BE$921))*100,2))</f>
        <v>74.19</v>
      </c>
      <c r="AV64" s="8" t="n">
        <f aca="false">IF(MAX($AD$2:$AD$921)=MIN($AD$2:$AD$921),50,ROUND((AD64-MIN($AD$2:$AD$921))/(MAX($AD$2:$AD$921)-MIN($AD$2:$AD$921))*100,2))</f>
        <v>41.02</v>
      </c>
      <c r="AW64" s="8" t="n">
        <f aca="false">IF(MAX($AN$2:$AN$921)=MIN($AN$2:$AN$921),50,ROUND((AN64-MIN($AN$2:$AN$921))/(MAX($AN$2:$AN$921)-MIN($AN$2:$AN$921))*100,2))</f>
        <v>97.5</v>
      </c>
      <c r="AX64" s="8" t="n">
        <f aca="false">AQ64*100</f>
        <v>0</v>
      </c>
      <c r="AY64" s="8" t="n">
        <f aca="false">AR64*100</f>
        <v>100</v>
      </c>
      <c r="AZ64" s="8" t="n">
        <f aca="false">IFERROR(ROUND(AS64*Assumptions!$I$6+AW64*Assumptions!$I$7+AT64*Assumptions!$I$8+AU64*Assumptions!$I$9+AV64*Assumptions!$I$10+AX64*Assumptions!$I$11+AY64*Assumptions!$I$12,2),"")</f>
        <v>78.41</v>
      </c>
      <c r="BA64" s="0" t="str">
        <f aca="false">IF(AZ64="","",IF(AZ64&lt;=Assumptions!$I$18,"Below Expectation",IF(AZ64&lt;=Assumptions!$I$19,"Developing",IF(AZ64&lt;=Assumptions!$I$20,"Meets Expectation",IF(AZ64&lt;=Assumptions!$I$21,"Exceeds","Star Performer")))))</f>
        <v>Exceeds</v>
      </c>
      <c r="BB64" s="0" t="n">
        <f aca="false">IF(AZ64="",0,IF(AZ64&gt;=Assumptions!$I$26,1,0))</f>
        <v>1</v>
      </c>
      <c r="BC64" s="9" t="n">
        <f aca="false">IF(AL64="",2,AL64+2)</f>
        <v>3</v>
      </c>
      <c r="BD64" s="10" t="n">
        <f aca="false">IF(AM64="",ROUND(AVERAGE($AM$2:$AM$921),3),AM64)</f>
        <v>0.447</v>
      </c>
      <c r="BE64" s="9" t="n">
        <f aca="false">1-BD64</f>
        <v>0.553</v>
      </c>
    </row>
    <row r="65" customFormat="false" ht="14.25" hidden="true" customHeight="false" outlineLevel="0" collapsed="false">
      <c r="A65" s="4" t="n">
        <v>65</v>
      </c>
      <c r="B65" s="5" t="n">
        <v>10019884</v>
      </c>
      <c r="C65" s="5" t="s">
        <v>57</v>
      </c>
      <c r="D65" s="5" t="s">
        <v>519</v>
      </c>
      <c r="E65" s="5" t="s">
        <v>520</v>
      </c>
      <c r="F65" s="5" t="s">
        <v>209</v>
      </c>
      <c r="G65" s="5" t="s">
        <v>210</v>
      </c>
      <c r="H65" s="5" t="s">
        <v>209</v>
      </c>
      <c r="I65" s="5" t="s">
        <v>63</v>
      </c>
      <c r="J65" s="5" t="s">
        <v>100</v>
      </c>
      <c r="K65" s="5" t="s">
        <v>65</v>
      </c>
      <c r="L65" s="6" t="n">
        <v>37627</v>
      </c>
      <c r="M65" s="5" t="s">
        <v>521</v>
      </c>
      <c r="N65" s="6" t="n">
        <v>27554</v>
      </c>
      <c r="O65" s="5" t="s">
        <v>262</v>
      </c>
      <c r="P65" s="5" t="s">
        <v>263</v>
      </c>
      <c r="Q65" s="5" t="s">
        <v>522</v>
      </c>
      <c r="R65" s="5" t="s">
        <v>523</v>
      </c>
      <c r="S65" s="5" t="s">
        <v>524</v>
      </c>
      <c r="T65" s="6" t="n">
        <v>40269</v>
      </c>
      <c r="U65" s="6" t="n">
        <v>44470</v>
      </c>
      <c r="V65" s="5" t="s">
        <v>141</v>
      </c>
      <c r="W65" s="5" t="s">
        <v>141</v>
      </c>
      <c r="X65" s="5" t="s">
        <v>141</v>
      </c>
      <c r="Y65" s="5" t="s">
        <v>83</v>
      </c>
      <c r="Z65" s="5" t="s">
        <v>83</v>
      </c>
      <c r="AA65" s="5" t="s">
        <v>525</v>
      </c>
      <c r="AB65" s="0" t="n">
        <f aca="false">IFERROR(VALUE(R65),0)</f>
        <v>4.1</v>
      </c>
      <c r="AC65" s="0" t="n">
        <f aca="false">IFERROR(VALUE(M65),"")</f>
        <v>50.11</v>
      </c>
      <c r="AD65" s="0" t="n">
        <f aca="false">IFERROR(VALUE(Q65),"")</f>
        <v>23.5</v>
      </c>
      <c r="AE65" s="0" t="n">
        <f aca="false">IFERROR(VALUE(S65),"")</f>
        <v>28.3</v>
      </c>
      <c r="AF65" s="0" t="n">
        <f aca="false">IF(V65="","",VLOOKUP(V65,Assumptions!$B$6:$C$9,2,FALSE()))</f>
        <v>3</v>
      </c>
      <c r="AG65" s="0" t="n">
        <f aca="false">IF(W65="","",VLOOKUP(W65,Assumptions!$B$6:$C$9,2,FALSE()))</f>
        <v>3</v>
      </c>
      <c r="AH65" s="0" t="n">
        <f aca="false">IF(X65="","",VLOOKUP(X65,Assumptions!$B$6:$C$9,2,FALSE()))</f>
        <v>3</v>
      </c>
      <c r="AI65" s="0" t="n">
        <f aca="false">IF(Y65="","",VLOOKUP(Y65,Assumptions!$B$6:$C$9,2,FALSE()))</f>
        <v>4</v>
      </c>
      <c r="AJ65" s="0" t="n">
        <f aca="false">IF(Z65="","",VLOOKUP(Z65,Assumptions!$B$6:$C$9,2,FALSE()))</f>
        <v>4</v>
      </c>
      <c r="AK65" s="7" t="n">
        <f aca="false">IFERROR(ROUND(AVERAGE(AF65:AJ65),3),"")</f>
        <v>3.4</v>
      </c>
      <c r="AL65" s="7" t="n">
        <f aca="false">IF(OR(AF65="",AJ65=""),"",AJ65-AF65)</f>
        <v>1</v>
      </c>
      <c r="AM65" s="7" t="n">
        <f aca="false">IF(COUNT(AF65:AJ65)&gt;=2,ROUND(_xlfn.STDEV.S(AF65:AJ65),3),"")</f>
        <v>0.548</v>
      </c>
      <c r="AN65" s="7" t="n">
        <f aca="false">ROUND((IF(AF65="",0,AF65)*Assumptions!$F$15)+(IF(AG65="",0,AG65)*Assumptions!$F$16)+(IF(AH65="",0,AH65)*Assumptions!$F$17)+(IF(AI65="",0,AI65)*Assumptions!$F$18)+(IF(AJ65="",0,AJ65)*Assumptions!$F$19),3)</f>
        <v>3.55</v>
      </c>
      <c r="AO65" s="0" t="str">
        <f aca="false">IF(AC65&lt;=20,"",IF(AC65&lt;=Assumptions!$F$6,"20-30",IF(AC65&lt;=Assumptions!$F$7,"30-40",IF(AC65&lt;=Assumptions!$F$8,"40-50",IF(AC65&lt;=Assumptions!$F$9,"50-60",IF(AC65&lt;=Assumptions!$F$10,"60+",""))))))</f>
        <v>50-60</v>
      </c>
      <c r="AP65" s="0" t="str">
        <f aca="false">IFERROR(VLOOKUP(O65,Assumptions!$B$14:$C$26,2,FALSE()),"Other")</f>
        <v>Manager</v>
      </c>
      <c r="AQ65" s="0" t="n">
        <f aca="false">IF(T65="",0,1)</f>
        <v>1</v>
      </c>
      <c r="AR65" s="0" t="n">
        <f aca="false">IF(U65="",0,1)</f>
        <v>1</v>
      </c>
      <c r="AS65" s="8" t="n">
        <f aca="false">IF(AK65="","",IF(MAX($AK$2:$AK$921)=MIN($AK$2:$AK$921),50,ROUND((AK65-MIN($AK$2:$AK$921))/(MAX($AK$2:$AK$921)-MIN($AK$2:$AK$921))*100,2)))</f>
        <v>74.28</v>
      </c>
      <c r="AT65" s="8" t="n">
        <f aca="false">IF(MAX($BC$2:$BC$921)=MIN($BC$2:$BC$921),50,ROUND((BC65-MIN($BC$2:$BC$921))/(MAX($BC$2:$BC$921)-MIN($BC$2:$BC$921))*100,2))</f>
        <v>75</v>
      </c>
      <c r="AU65" s="8" t="n">
        <f aca="false">IF(MAX($BE$2:$BE$921)=MIN($BE$2:$BE$921),50,ROUND((BE65-MIN($BE$2:$BE$921))/(MAX($BE$2:$BE$921)-MIN($BE$2:$BE$921))*100,2))</f>
        <v>68.36</v>
      </c>
      <c r="AV65" s="8" t="n">
        <f aca="false">IF(MAX($AD$2:$AD$921)=MIN($AD$2:$AD$921),50,ROUND((AD65-MIN($AD$2:$AD$921))/(MAX($AD$2:$AD$921)-MIN($AD$2:$AD$921))*100,2))</f>
        <v>63.58</v>
      </c>
      <c r="AW65" s="8" t="n">
        <f aca="false">IF(MAX($AN$2:$AN$921)=MIN($AN$2:$AN$921),50,ROUND((AN65-MIN($AN$2:$AN$921))/(MAX($AN$2:$AN$921)-MIN($AN$2:$AN$921))*100,2))</f>
        <v>88.75</v>
      </c>
      <c r="AX65" s="8" t="n">
        <f aca="false">AQ65*100</f>
        <v>100</v>
      </c>
      <c r="AY65" s="8" t="n">
        <f aca="false">AR65*100</f>
        <v>100</v>
      </c>
      <c r="AZ65" s="8" t="n">
        <f aca="false">IFERROR(ROUND(AS65*Assumptions!$I$6+AW65*Assumptions!$I$7+AT65*Assumptions!$I$8+AU65*Assumptions!$I$9+AV65*Assumptions!$I$10+AX65*Assumptions!$I$11+AY65*Assumptions!$I$12,2),"")</f>
        <v>77.9</v>
      </c>
      <c r="BA65" s="0" t="str">
        <f aca="false">IF(AZ65="","",IF(AZ65&lt;=Assumptions!$I$18,"Below Expectation",IF(AZ65&lt;=Assumptions!$I$19,"Developing",IF(AZ65&lt;=Assumptions!$I$20,"Meets Expectation",IF(AZ65&lt;=Assumptions!$I$21,"Exceeds","Star Performer")))))</f>
        <v>Exceeds</v>
      </c>
      <c r="BB65" s="0" t="n">
        <f aca="false">IF(AZ65="",0,IF(AZ65&gt;=Assumptions!$I$26,1,0))</f>
        <v>1</v>
      </c>
      <c r="BC65" s="9" t="n">
        <f aca="false">IF(AL65="",2,AL65+2)</f>
        <v>3</v>
      </c>
      <c r="BD65" s="10" t="n">
        <f aca="false">IF(AM65="",ROUND(AVERAGE($AM$2:$AM$921),3),AM65)</f>
        <v>0.548</v>
      </c>
      <c r="BE65" s="9" t="n">
        <f aca="false">1-BD65</f>
        <v>0.452</v>
      </c>
    </row>
    <row r="66" customFormat="false" ht="14.25" hidden="true" customHeight="false" outlineLevel="0" collapsed="false">
      <c r="A66" s="4" t="n">
        <v>36</v>
      </c>
      <c r="B66" s="5" t="n">
        <v>3036301</v>
      </c>
      <c r="C66" s="5" t="s">
        <v>526</v>
      </c>
      <c r="D66" s="5" t="s">
        <v>527</v>
      </c>
      <c r="E66" s="5" t="s">
        <v>528</v>
      </c>
      <c r="F66" s="5" t="s">
        <v>292</v>
      </c>
      <c r="G66" s="5" t="s">
        <v>293</v>
      </c>
      <c r="H66" s="5" t="s">
        <v>292</v>
      </c>
      <c r="I66" s="5" t="s">
        <v>63</v>
      </c>
      <c r="J66" s="5" t="s">
        <v>100</v>
      </c>
      <c r="K66" s="5" t="s">
        <v>65</v>
      </c>
      <c r="L66" s="6" t="n">
        <v>37167</v>
      </c>
      <c r="M66" s="5" t="s">
        <v>529</v>
      </c>
      <c r="N66" s="6" t="n">
        <v>29483</v>
      </c>
      <c r="O66" s="5" t="s">
        <v>122</v>
      </c>
      <c r="P66" s="5" t="s">
        <v>123</v>
      </c>
      <c r="Q66" s="5" t="s">
        <v>530</v>
      </c>
      <c r="R66" s="5" t="s">
        <v>531</v>
      </c>
      <c r="S66" s="5" t="s">
        <v>532</v>
      </c>
      <c r="T66" s="6" t="n">
        <v>41365</v>
      </c>
      <c r="U66" s="6" t="n">
        <v>43191</v>
      </c>
      <c r="V66" s="5" t="s">
        <v>83</v>
      </c>
      <c r="W66" s="5" t="s">
        <v>83</v>
      </c>
      <c r="X66" s="5" t="s">
        <v>83</v>
      </c>
      <c r="Y66" s="5" t="s">
        <v>83</v>
      </c>
      <c r="Z66" s="5" t="s">
        <v>141</v>
      </c>
      <c r="AA66" s="5" t="s">
        <v>533</v>
      </c>
      <c r="AB66" s="0" t="n">
        <f aca="false">IFERROR(VALUE(R66),0)</f>
        <v>0.2</v>
      </c>
      <c r="AC66" s="0" t="n">
        <f aca="false">IFERROR(VALUE(M66),"")</f>
        <v>45.8</v>
      </c>
      <c r="AD66" s="0" t="n">
        <f aca="false">IFERROR(VALUE(Q66),"")</f>
        <v>24.8</v>
      </c>
      <c r="AE66" s="0" t="n">
        <f aca="false">IFERROR(VALUE(S66),"")</f>
        <v>24.1</v>
      </c>
      <c r="AF66" s="0" t="n">
        <f aca="false">IF(V66="","",VLOOKUP(V66,Assumptions!$B$6:$C$9,2,FALSE()))</f>
        <v>4</v>
      </c>
      <c r="AG66" s="0" t="n">
        <f aca="false">IF(W66="","",VLOOKUP(W66,Assumptions!$B$6:$C$9,2,FALSE()))</f>
        <v>4</v>
      </c>
      <c r="AH66" s="0" t="n">
        <f aca="false">IF(X66="","",VLOOKUP(X66,Assumptions!$B$6:$C$9,2,FALSE()))</f>
        <v>4</v>
      </c>
      <c r="AI66" s="0" t="n">
        <f aca="false">IF(Y66="","",VLOOKUP(Y66,Assumptions!$B$6:$C$9,2,FALSE()))</f>
        <v>4</v>
      </c>
      <c r="AJ66" s="0" t="n">
        <f aca="false">IF(Z66="","",VLOOKUP(Z66,Assumptions!$B$6:$C$9,2,FALSE()))</f>
        <v>3</v>
      </c>
      <c r="AK66" s="7" t="n">
        <f aca="false">IFERROR(ROUND(AVERAGE(AF66:AJ66),3),"")</f>
        <v>3.8</v>
      </c>
      <c r="AL66" s="7" t="n">
        <f aca="false">IF(OR(AF66="",AJ66=""),"",AJ66-AF66)</f>
        <v>-1</v>
      </c>
      <c r="AM66" s="7" t="n">
        <f aca="false">IF(COUNT(AF66:AJ66)&gt;=2,ROUND(_xlfn.STDEV.S(AF66:AJ66),3),"")</f>
        <v>0.447</v>
      </c>
      <c r="AN66" s="7" t="n">
        <f aca="false">ROUND((IF(AF66="",0,AF66)*Assumptions!$F$15)+(IF(AG66="",0,AG66)*Assumptions!$F$16)+(IF(AH66="",0,AH66)*Assumptions!$F$17)+(IF(AI66="",0,AI66)*Assumptions!$F$18)+(IF(AJ66="",0,AJ66)*Assumptions!$F$19),3)</f>
        <v>3.7</v>
      </c>
      <c r="AO66" s="0" t="str">
        <f aca="false">IF(AC66&lt;=20,"",IF(AC66&lt;=Assumptions!$F$6,"20-30",IF(AC66&lt;=Assumptions!$F$7,"30-40",IF(AC66&lt;=Assumptions!$F$8,"40-50",IF(AC66&lt;=Assumptions!$F$9,"50-60",IF(AC66&lt;=Assumptions!$F$10,"60+",""))))))</f>
        <v>40-50</v>
      </c>
      <c r="AP66" s="0" t="str">
        <f aca="false">IFERROR(VLOOKUP(O66,Assumptions!$B$14:$C$26,2,FALSE()),"Other")</f>
        <v>Leadership</v>
      </c>
      <c r="AQ66" s="0" t="n">
        <f aca="false">IF(T66="",0,1)</f>
        <v>1</v>
      </c>
      <c r="AR66" s="0" t="n">
        <f aca="false">IF(U66="",0,1)</f>
        <v>1</v>
      </c>
      <c r="AS66" s="8" t="n">
        <f aca="false">IF(AK66="","",IF(MAX($AK$2:$AK$921)=MIN($AK$2:$AK$921),50,ROUND((AK66-MIN($AK$2:$AK$921))/(MAX($AK$2:$AK$921)-MIN($AK$2:$AK$921))*100,2)))</f>
        <v>91.43</v>
      </c>
      <c r="AT66" s="8" t="n">
        <f aca="false">IF(MAX($BC$2:$BC$921)=MIN($BC$2:$BC$921),50,ROUND((BC66-MIN($BC$2:$BC$921))/(MAX($BC$2:$BC$921)-MIN($BC$2:$BC$921))*100,2))</f>
        <v>25</v>
      </c>
      <c r="AU66" s="8" t="n">
        <f aca="false">IF(MAX($BE$2:$BE$921)=MIN($BE$2:$BE$921),50,ROUND((BE66-MIN($BE$2:$BE$921))/(MAX($BE$2:$BE$921)-MIN($BE$2:$BE$921))*100,2))</f>
        <v>74.19</v>
      </c>
      <c r="AV66" s="8" t="n">
        <f aca="false">IF(MAX($AD$2:$AD$921)=MIN($AD$2:$AD$921),50,ROUND((AD66-MIN($AD$2:$AD$921))/(MAX($AD$2:$AD$921)-MIN($AD$2:$AD$921))*100,2))</f>
        <v>67.11</v>
      </c>
      <c r="AW66" s="8" t="n">
        <f aca="false">IF(MAX($AN$2:$AN$921)=MIN($AN$2:$AN$921),50,ROUND((AN66-MIN($AN$2:$AN$921))/(MAX($AN$2:$AN$921)-MIN($AN$2:$AN$921))*100,2))</f>
        <v>92.5</v>
      </c>
      <c r="AX66" s="8" t="n">
        <f aca="false">AQ66*100</f>
        <v>100</v>
      </c>
      <c r="AY66" s="8" t="n">
        <f aca="false">AR66*100</f>
        <v>100</v>
      </c>
      <c r="AZ66" s="8" t="n">
        <f aca="false">IFERROR(ROUND(AS66*Assumptions!$I$6+AW66*Assumptions!$I$7+AT66*Assumptions!$I$8+AU66*Assumptions!$I$9+AV66*Assumptions!$I$10+AX66*Assumptions!$I$11+AY66*Assumptions!$I$12,2),"")</f>
        <v>77.52</v>
      </c>
      <c r="BA66" s="0" t="str">
        <f aca="false">IF(AZ66="","",IF(AZ66&lt;=Assumptions!$I$18,"Below Expectation",IF(AZ66&lt;=Assumptions!$I$19,"Developing",IF(AZ66&lt;=Assumptions!$I$20,"Meets Expectation",IF(AZ66&lt;=Assumptions!$I$21,"Exceeds","Star Performer")))))</f>
        <v>Exceeds</v>
      </c>
      <c r="BB66" s="0" t="n">
        <f aca="false">IF(AZ66="",0,IF(AZ66&gt;=Assumptions!$I$26,1,0))</f>
        <v>1</v>
      </c>
      <c r="BC66" s="9" t="n">
        <f aca="false">IF(AL66="",2,AL66+2)</f>
        <v>1</v>
      </c>
      <c r="BD66" s="10" t="n">
        <f aca="false">IF(AM66="",ROUND(AVERAGE($AM$2:$AM$921),3),AM66)</f>
        <v>0.447</v>
      </c>
      <c r="BE66" s="9" t="n">
        <f aca="false">1-BD66</f>
        <v>0.553</v>
      </c>
    </row>
    <row r="67" customFormat="false" ht="14.25" hidden="true" customHeight="false" outlineLevel="0" collapsed="false">
      <c r="A67" s="4" t="n">
        <v>11</v>
      </c>
      <c r="B67" s="5" t="n">
        <v>35414</v>
      </c>
      <c r="C67" s="5" t="s">
        <v>57</v>
      </c>
      <c r="D67" s="5" t="s">
        <v>534</v>
      </c>
      <c r="E67" s="5" t="s">
        <v>456</v>
      </c>
      <c r="F67" s="5" t="s">
        <v>436</v>
      </c>
      <c r="G67" s="5" t="s">
        <v>437</v>
      </c>
      <c r="H67" s="5" t="s">
        <v>438</v>
      </c>
      <c r="I67" s="5" t="s">
        <v>63</v>
      </c>
      <c r="J67" s="5" t="s">
        <v>100</v>
      </c>
      <c r="K67" s="5" t="s">
        <v>65</v>
      </c>
      <c r="L67" s="6" t="n">
        <v>36572</v>
      </c>
      <c r="M67" s="5" t="s">
        <v>535</v>
      </c>
      <c r="N67" s="6" t="n">
        <v>25888</v>
      </c>
      <c r="O67" s="5" t="s">
        <v>122</v>
      </c>
      <c r="P67" s="5" t="s">
        <v>123</v>
      </c>
      <c r="Q67" s="5" t="s">
        <v>536</v>
      </c>
      <c r="R67" s="5" t="s">
        <v>115</v>
      </c>
      <c r="S67" s="5" t="s">
        <v>536</v>
      </c>
      <c r="T67" s="6" t="n">
        <v>42917</v>
      </c>
      <c r="U67" s="6"/>
      <c r="V67" s="5" t="s">
        <v>83</v>
      </c>
      <c r="W67" s="5" t="s">
        <v>141</v>
      </c>
      <c r="X67" s="5" t="s">
        <v>83</v>
      </c>
      <c r="Y67" s="5" t="s">
        <v>83</v>
      </c>
      <c r="Z67" s="5" t="s">
        <v>83</v>
      </c>
      <c r="AA67" s="5" t="s">
        <v>537</v>
      </c>
      <c r="AB67" s="0" t="n">
        <f aca="false">IFERROR(VALUE(R67),0)</f>
        <v>0</v>
      </c>
      <c r="AC67" s="0" t="n">
        <f aca="false">IFERROR(VALUE(M67),"")</f>
        <v>55.6</v>
      </c>
      <c r="AD67" s="0" t="n">
        <f aca="false">IFERROR(VALUE(Q67),"")</f>
        <v>26.3</v>
      </c>
      <c r="AE67" s="0" t="n">
        <f aca="false">IFERROR(VALUE(S67),"")</f>
        <v>26.3</v>
      </c>
      <c r="AF67" s="0" t="n">
        <f aca="false">IF(V67="","",VLOOKUP(V67,Assumptions!$B$6:$C$9,2,FALSE()))</f>
        <v>4</v>
      </c>
      <c r="AG67" s="0" t="n">
        <f aca="false">IF(W67="","",VLOOKUP(W67,Assumptions!$B$6:$C$9,2,FALSE()))</f>
        <v>3</v>
      </c>
      <c r="AH67" s="0" t="n">
        <f aca="false">IF(X67="","",VLOOKUP(X67,Assumptions!$B$6:$C$9,2,FALSE()))</f>
        <v>4</v>
      </c>
      <c r="AI67" s="0" t="n">
        <f aca="false">IF(Y67="","",VLOOKUP(Y67,Assumptions!$B$6:$C$9,2,FALSE()))</f>
        <v>4</v>
      </c>
      <c r="AJ67" s="0" t="n">
        <f aca="false">IF(Z67="","",VLOOKUP(Z67,Assumptions!$B$6:$C$9,2,FALSE()))</f>
        <v>4</v>
      </c>
      <c r="AK67" s="7" t="n">
        <f aca="false">IFERROR(ROUND(AVERAGE(AF67:AJ67),3),"")</f>
        <v>3.8</v>
      </c>
      <c r="AL67" s="7" t="n">
        <f aca="false">IF(OR(AF67="",AJ67=""),"",AJ67-AF67)</f>
        <v>0</v>
      </c>
      <c r="AM67" s="7" t="n">
        <f aca="false">IF(COUNT(AF67:AJ67)&gt;=2,ROUND(_xlfn.STDEV.S(AF67:AJ67),3),"")</f>
        <v>0.447</v>
      </c>
      <c r="AN67" s="7" t="n">
        <f aca="false">ROUND((IF(AF67="",0,AF67)*Assumptions!$F$15)+(IF(AG67="",0,AG67)*Assumptions!$F$16)+(IF(AH67="",0,AH67)*Assumptions!$F$17)+(IF(AI67="",0,AI67)*Assumptions!$F$18)+(IF(AJ67="",0,AJ67)*Assumptions!$F$19),3)</f>
        <v>3.85</v>
      </c>
      <c r="AO67" s="0" t="str">
        <f aca="false">IF(AC67&lt;=20,"",IF(AC67&lt;=Assumptions!$F$6,"20-30",IF(AC67&lt;=Assumptions!$F$7,"30-40",IF(AC67&lt;=Assumptions!$F$8,"40-50",IF(AC67&lt;=Assumptions!$F$9,"50-60",IF(AC67&lt;=Assumptions!$F$10,"60+",""))))))</f>
        <v>50-60</v>
      </c>
      <c r="AP67" s="0" t="str">
        <f aca="false">IFERROR(VLOOKUP(O67,Assumptions!$B$14:$C$26,2,FALSE()),"Other")</f>
        <v>Leadership</v>
      </c>
      <c r="AQ67" s="0" t="n">
        <f aca="false">IF(T67="",0,1)</f>
        <v>1</v>
      </c>
      <c r="AR67" s="0" t="n">
        <f aca="false">IF(U67="",0,1)</f>
        <v>0</v>
      </c>
      <c r="AS67" s="8" t="n">
        <f aca="false">IF(AK67="","",IF(MAX($AK$2:$AK$921)=MIN($AK$2:$AK$921),50,ROUND((AK67-MIN($AK$2:$AK$921))/(MAX($AK$2:$AK$921)-MIN($AK$2:$AK$921))*100,2)))</f>
        <v>91.43</v>
      </c>
      <c r="AT67" s="8" t="n">
        <f aca="false">IF(MAX($BC$2:$BC$921)=MIN($BC$2:$BC$921),50,ROUND((BC67-MIN($BC$2:$BC$921))/(MAX($BC$2:$BC$921)-MIN($BC$2:$BC$921))*100,2))</f>
        <v>50</v>
      </c>
      <c r="AU67" s="8" t="n">
        <f aca="false">IF(MAX($BE$2:$BE$921)=MIN($BE$2:$BE$921),50,ROUND((BE67-MIN($BE$2:$BE$921))/(MAX($BE$2:$BE$921)-MIN($BE$2:$BE$921))*100,2))</f>
        <v>74.19</v>
      </c>
      <c r="AV67" s="8" t="n">
        <f aca="false">IF(MAX($AD$2:$AD$921)=MIN($AD$2:$AD$921),50,ROUND((AD67-MIN($AD$2:$AD$921))/(MAX($AD$2:$AD$921)-MIN($AD$2:$AD$921))*100,2))</f>
        <v>71.19</v>
      </c>
      <c r="AW67" s="8" t="n">
        <f aca="false">IF(MAX($AN$2:$AN$921)=MIN($AN$2:$AN$921),50,ROUND((AN67-MIN($AN$2:$AN$921))/(MAX($AN$2:$AN$921)-MIN($AN$2:$AN$921))*100,2))</f>
        <v>96.25</v>
      </c>
      <c r="AX67" s="8" t="n">
        <f aca="false">AQ67*100</f>
        <v>100</v>
      </c>
      <c r="AY67" s="8" t="n">
        <f aca="false">AR67*100</f>
        <v>0</v>
      </c>
      <c r="AZ67" s="8" t="n">
        <f aca="false">IFERROR(ROUND(AS67*Assumptions!$I$6+AW67*Assumptions!$I$7+AT67*Assumptions!$I$8+AU67*Assumptions!$I$9+AV67*Assumptions!$I$10+AX67*Assumptions!$I$11+AY67*Assumptions!$I$12,2),"")</f>
        <v>77.43</v>
      </c>
      <c r="BA67" s="0" t="str">
        <f aca="false">IF(AZ67="","",IF(AZ67&lt;=Assumptions!$I$18,"Below Expectation",IF(AZ67&lt;=Assumptions!$I$19,"Developing",IF(AZ67&lt;=Assumptions!$I$20,"Meets Expectation",IF(AZ67&lt;=Assumptions!$I$21,"Exceeds","Star Performer")))))</f>
        <v>Exceeds</v>
      </c>
      <c r="BB67" s="0" t="n">
        <f aca="false">IF(AZ67="",0,IF(AZ67&gt;=Assumptions!$I$26,1,0))</f>
        <v>1</v>
      </c>
      <c r="BC67" s="9" t="n">
        <f aca="false">IF(AL67="",2,AL67+2)</f>
        <v>2</v>
      </c>
      <c r="BD67" s="10" t="n">
        <f aca="false">IF(AM67="",ROUND(AVERAGE($AM$2:$AM$921),3),AM67)</f>
        <v>0.447</v>
      </c>
      <c r="BE67" s="9" t="n">
        <f aca="false">1-BD67</f>
        <v>0.553</v>
      </c>
    </row>
    <row r="68" customFormat="false" ht="14.25" hidden="true" customHeight="false" outlineLevel="0" collapsed="false">
      <c r="A68" s="4" t="n">
        <v>66</v>
      </c>
      <c r="B68" s="5" t="n">
        <v>10020159</v>
      </c>
      <c r="C68" s="5" t="s">
        <v>57</v>
      </c>
      <c r="D68" s="5" t="s">
        <v>538</v>
      </c>
      <c r="E68" s="5" t="s">
        <v>299</v>
      </c>
      <c r="F68" s="5" t="s">
        <v>97</v>
      </c>
      <c r="G68" s="5" t="s">
        <v>98</v>
      </c>
      <c r="H68" s="5" t="s">
        <v>99</v>
      </c>
      <c r="I68" s="5" t="s">
        <v>63</v>
      </c>
      <c r="J68" s="5" t="s">
        <v>100</v>
      </c>
      <c r="K68" s="5" t="s">
        <v>65</v>
      </c>
      <c r="L68" s="6" t="n">
        <v>37851</v>
      </c>
      <c r="M68" s="5" t="s">
        <v>539</v>
      </c>
      <c r="N68" s="6" t="n">
        <v>27322</v>
      </c>
      <c r="O68" s="5" t="s">
        <v>89</v>
      </c>
      <c r="P68" s="5" t="s">
        <v>90</v>
      </c>
      <c r="Q68" s="5" t="s">
        <v>540</v>
      </c>
      <c r="R68" s="5" t="s">
        <v>541</v>
      </c>
      <c r="S68" s="5" t="s">
        <v>93</v>
      </c>
      <c r="T68" s="6" t="n">
        <v>42917</v>
      </c>
      <c r="U68" s="6" t="n">
        <v>44652</v>
      </c>
      <c r="V68" s="5" t="s">
        <v>83</v>
      </c>
      <c r="W68" s="5" t="s">
        <v>83</v>
      </c>
      <c r="X68" s="5" t="s">
        <v>83</v>
      </c>
      <c r="Y68" s="5" t="s">
        <v>83</v>
      </c>
      <c r="Z68" s="5" t="s">
        <v>141</v>
      </c>
      <c r="AA68" s="5" t="s">
        <v>542</v>
      </c>
      <c r="AB68" s="0" t="n">
        <f aca="false">IFERROR(VALUE(R68),0)</f>
        <v>7.2</v>
      </c>
      <c r="AC68" s="0" t="n">
        <f aca="false">IFERROR(VALUE(M68),"")</f>
        <v>51.7</v>
      </c>
      <c r="AD68" s="0" t="n">
        <f aca="false">IFERROR(VALUE(Q68),"")</f>
        <v>22.9</v>
      </c>
      <c r="AE68" s="0" t="n">
        <f aca="false">IFERROR(VALUE(S68),"")</f>
        <v>29.11</v>
      </c>
      <c r="AF68" s="0" t="n">
        <f aca="false">IF(V68="","",VLOOKUP(V68,Assumptions!$B$6:$C$9,2,FALSE()))</f>
        <v>4</v>
      </c>
      <c r="AG68" s="0" t="n">
        <f aca="false">IF(W68="","",VLOOKUP(W68,Assumptions!$B$6:$C$9,2,FALSE()))</f>
        <v>4</v>
      </c>
      <c r="AH68" s="0" t="n">
        <f aca="false">IF(X68="","",VLOOKUP(X68,Assumptions!$B$6:$C$9,2,FALSE()))</f>
        <v>4</v>
      </c>
      <c r="AI68" s="0" t="n">
        <f aca="false">IF(Y68="","",VLOOKUP(Y68,Assumptions!$B$6:$C$9,2,FALSE()))</f>
        <v>4</v>
      </c>
      <c r="AJ68" s="0" t="n">
        <f aca="false">IF(Z68="","",VLOOKUP(Z68,Assumptions!$B$6:$C$9,2,FALSE()))</f>
        <v>3</v>
      </c>
      <c r="AK68" s="7" t="n">
        <f aca="false">IFERROR(ROUND(AVERAGE(AF68:AJ68),3),"")</f>
        <v>3.8</v>
      </c>
      <c r="AL68" s="7" t="n">
        <f aca="false">IF(OR(AF68="",AJ68=""),"",AJ68-AF68)</f>
        <v>-1</v>
      </c>
      <c r="AM68" s="7" t="n">
        <f aca="false">IF(COUNT(AF68:AJ68)&gt;=2,ROUND(_xlfn.STDEV.S(AF68:AJ68),3),"")</f>
        <v>0.447</v>
      </c>
      <c r="AN68" s="7" t="n">
        <f aca="false">ROUND((IF(AF68="",0,AF68)*Assumptions!$F$15)+(IF(AG68="",0,AG68)*Assumptions!$F$16)+(IF(AH68="",0,AH68)*Assumptions!$F$17)+(IF(AI68="",0,AI68)*Assumptions!$F$18)+(IF(AJ68="",0,AJ68)*Assumptions!$F$19),3)</f>
        <v>3.7</v>
      </c>
      <c r="AO68" s="0" t="str">
        <f aca="false">IF(AC68&lt;=20,"",IF(AC68&lt;=Assumptions!$F$6,"20-30",IF(AC68&lt;=Assumptions!$F$7,"30-40",IF(AC68&lt;=Assumptions!$F$8,"40-50",IF(AC68&lt;=Assumptions!$F$9,"50-60",IF(AC68&lt;=Assumptions!$F$10,"60+",""))))))</f>
        <v>50-60</v>
      </c>
      <c r="AP68" s="0" t="str">
        <f aca="false">IFERROR(VLOOKUP(O68,Assumptions!$B$14:$C$26,2,FALSE()),"Other")</f>
        <v>Leadership</v>
      </c>
      <c r="AQ68" s="0" t="n">
        <f aca="false">IF(T68="",0,1)</f>
        <v>1</v>
      </c>
      <c r="AR68" s="0" t="n">
        <f aca="false">IF(U68="",0,1)</f>
        <v>1</v>
      </c>
      <c r="AS68" s="8" t="n">
        <f aca="false">IF(AK68="","",IF(MAX($AK$2:$AK$921)=MIN($AK$2:$AK$921),50,ROUND((AK68-MIN($AK$2:$AK$921))/(MAX($AK$2:$AK$921)-MIN($AK$2:$AK$921))*100,2)))</f>
        <v>91.43</v>
      </c>
      <c r="AT68" s="8" t="n">
        <f aca="false">IF(MAX($BC$2:$BC$921)=MIN($BC$2:$BC$921),50,ROUND((BC68-MIN($BC$2:$BC$921))/(MAX($BC$2:$BC$921)-MIN($BC$2:$BC$921))*100,2))</f>
        <v>25</v>
      </c>
      <c r="AU68" s="8" t="n">
        <f aca="false">IF(MAX($BE$2:$BE$921)=MIN($BE$2:$BE$921),50,ROUND((BE68-MIN($BE$2:$BE$921))/(MAX($BE$2:$BE$921)-MIN($BE$2:$BE$921))*100,2))</f>
        <v>74.19</v>
      </c>
      <c r="AV68" s="8" t="n">
        <f aca="false">IF(MAX($AD$2:$AD$921)=MIN($AD$2:$AD$921),50,ROUND((AD68-MIN($AD$2:$AD$921))/(MAX($AD$2:$AD$921)-MIN($AD$2:$AD$921))*100,2))</f>
        <v>61.95</v>
      </c>
      <c r="AW68" s="8" t="n">
        <f aca="false">IF(MAX($AN$2:$AN$921)=MIN($AN$2:$AN$921),50,ROUND((AN68-MIN($AN$2:$AN$921))/(MAX($AN$2:$AN$921)-MIN($AN$2:$AN$921))*100,2))</f>
        <v>92.5</v>
      </c>
      <c r="AX68" s="8" t="n">
        <f aca="false">AQ68*100</f>
        <v>100</v>
      </c>
      <c r="AY68" s="8" t="n">
        <f aca="false">AR68*100</f>
        <v>100</v>
      </c>
      <c r="AZ68" s="8" t="n">
        <f aca="false">IFERROR(ROUND(AS68*Assumptions!$I$6+AW68*Assumptions!$I$7+AT68*Assumptions!$I$8+AU68*Assumptions!$I$9+AV68*Assumptions!$I$10+AX68*Assumptions!$I$11+AY68*Assumptions!$I$12,2),"")</f>
        <v>77</v>
      </c>
      <c r="BA68" s="0" t="str">
        <f aca="false">IF(AZ68="","",IF(AZ68&lt;=Assumptions!$I$18,"Below Expectation",IF(AZ68&lt;=Assumptions!$I$19,"Developing",IF(AZ68&lt;=Assumptions!$I$20,"Meets Expectation",IF(AZ68&lt;=Assumptions!$I$21,"Exceeds","Star Performer")))))</f>
        <v>Exceeds</v>
      </c>
      <c r="BB68" s="0" t="n">
        <f aca="false">IF(AZ68="",0,IF(AZ68&gt;=Assumptions!$I$26,1,0))</f>
        <v>1</v>
      </c>
      <c r="BC68" s="9" t="n">
        <f aca="false">IF(AL68="",2,AL68+2)</f>
        <v>1</v>
      </c>
      <c r="BD68" s="10" t="n">
        <f aca="false">IF(AM68="",ROUND(AVERAGE($AM$2:$AM$921),3),AM68)</f>
        <v>0.447</v>
      </c>
      <c r="BE68" s="9" t="n">
        <f aca="false">1-BD68</f>
        <v>0.553</v>
      </c>
    </row>
    <row r="69" customFormat="false" ht="14.25" hidden="true" customHeight="false" outlineLevel="0" collapsed="false">
      <c r="A69" s="4" t="n">
        <v>519</v>
      </c>
      <c r="B69" s="5" t="n">
        <v>55046041</v>
      </c>
      <c r="C69" s="5" t="s">
        <v>149</v>
      </c>
      <c r="D69" s="5" t="s">
        <v>543</v>
      </c>
      <c r="E69" s="5" t="s">
        <v>151</v>
      </c>
      <c r="F69" s="5" t="s">
        <v>422</v>
      </c>
      <c r="G69" s="5" t="s">
        <v>423</v>
      </c>
      <c r="H69" s="5" t="s">
        <v>424</v>
      </c>
      <c r="I69" s="5" t="s">
        <v>63</v>
      </c>
      <c r="J69" s="5" t="s">
        <v>100</v>
      </c>
      <c r="K69" s="5" t="s">
        <v>65</v>
      </c>
      <c r="L69" s="6" t="n">
        <v>44573</v>
      </c>
      <c r="M69" s="5" t="s">
        <v>544</v>
      </c>
      <c r="N69" s="6" t="n">
        <v>32453</v>
      </c>
      <c r="O69" s="5" t="s">
        <v>262</v>
      </c>
      <c r="P69" s="5" t="s">
        <v>263</v>
      </c>
      <c r="Q69" s="5" t="s">
        <v>545</v>
      </c>
      <c r="R69" s="5" t="s">
        <v>546</v>
      </c>
      <c r="S69" s="5" t="s">
        <v>547</v>
      </c>
      <c r="T69" s="6"/>
      <c r="U69" s="6" t="n">
        <v>45627</v>
      </c>
      <c r="V69" s="5"/>
      <c r="W69" s="5" t="s">
        <v>83</v>
      </c>
      <c r="X69" s="5" t="s">
        <v>83</v>
      </c>
      <c r="Y69" s="5" t="s">
        <v>83</v>
      </c>
      <c r="Z69" s="5" t="s">
        <v>83</v>
      </c>
      <c r="AA69" s="5" t="s">
        <v>548</v>
      </c>
      <c r="AB69" s="0" t="n">
        <f aca="false">IFERROR(VALUE(R69),0)</f>
        <v>9.1</v>
      </c>
      <c r="AC69" s="0" t="n">
        <f aca="false">IFERROR(VALUE(M69),"")</f>
        <v>37.7</v>
      </c>
      <c r="AD69" s="0" t="n">
        <f aca="false">IFERROR(VALUE(Q69),"")</f>
        <v>4.4</v>
      </c>
      <c r="AE69" s="0" t="n">
        <f aca="false">IFERROR(VALUE(S69),"")</f>
        <v>14.2</v>
      </c>
      <c r="AF69" s="0" t="str">
        <f aca="false">IF(V69="","",VLOOKUP(V69,Assumptions!$B$6:$C$9,2,FALSE()))</f>
        <v/>
      </c>
      <c r="AG69" s="0" t="n">
        <f aca="false">IF(W69="","",VLOOKUP(W69,Assumptions!$B$6:$C$9,2,FALSE()))</f>
        <v>4</v>
      </c>
      <c r="AH69" s="0" t="n">
        <f aca="false">IF(X69="","",VLOOKUP(X69,Assumptions!$B$6:$C$9,2,FALSE()))</f>
        <v>4</v>
      </c>
      <c r="AI69" s="0" t="n">
        <f aca="false">IF(Y69="","",VLOOKUP(Y69,Assumptions!$B$6:$C$9,2,FALSE()))</f>
        <v>4</v>
      </c>
      <c r="AJ69" s="0" t="n">
        <f aca="false">IF(Z69="","",VLOOKUP(Z69,Assumptions!$B$6:$C$9,2,FALSE()))</f>
        <v>4</v>
      </c>
      <c r="AK69" s="7" t="n">
        <f aca="false">IFERROR(ROUND(AVERAGE(AF69:AJ69),3),"")</f>
        <v>4</v>
      </c>
      <c r="AL69" s="7" t="str">
        <f aca="false">IF(OR(AF69="",AJ69=""),"",AJ69-AF69)</f>
        <v/>
      </c>
      <c r="AM69" s="7" t="n">
        <f aca="false">IF(COUNT(AF69:AJ69)&gt;=2,ROUND(_xlfn.STDEV.S(AF69:AJ69),3),"")</f>
        <v>0</v>
      </c>
      <c r="AN69" s="7" t="n">
        <f aca="false">ROUND((IF(AF69="",0,AF69)*Assumptions!$F$15)+(IF(AG69="",0,AG69)*Assumptions!$F$16)+(IF(AH69="",0,AH69)*Assumptions!$F$17)+(IF(AI69="",0,AI69)*Assumptions!$F$18)+(IF(AJ69="",0,AJ69)*Assumptions!$F$19),3)</f>
        <v>3.6</v>
      </c>
      <c r="AO69" s="0" t="str">
        <f aca="false">IF(AC69&lt;=20,"",IF(AC69&lt;=Assumptions!$F$6,"20-30",IF(AC69&lt;=Assumptions!$F$7,"30-40",IF(AC69&lt;=Assumptions!$F$8,"40-50",IF(AC69&lt;=Assumptions!$F$9,"50-60",IF(AC69&lt;=Assumptions!$F$10,"60+",""))))))</f>
        <v>30-40</v>
      </c>
      <c r="AP69" s="0" t="str">
        <f aca="false">IFERROR(VLOOKUP(O69,Assumptions!$B$14:$C$26,2,FALSE()),"Other")</f>
        <v>Manager</v>
      </c>
      <c r="AQ69" s="0" t="n">
        <f aca="false">IF(T69="",0,1)</f>
        <v>0</v>
      </c>
      <c r="AR69" s="0" t="n">
        <f aca="false">IF(U69="",0,1)</f>
        <v>1</v>
      </c>
      <c r="AS69" s="8" t="n">
        <f aca="false">IF(AK69="","",IF(MAX($AK$2:$AK$921)=MIN($AK$2:$AK$921),50,ROUND((AK69-MIN($AK$2:$AK$921))/(MAX($AK$2:$AK$921)-MIN($AK$2:$AK$921))*100,2)))</f>
        <v>100</v>
      </c>
      <c r="AT69" s="8" t="n">
        <f aca="false">IF(MAX($BC$2:$BC$921)=MIN($BC$2:$BC$921),50,ROUND((BC69-MIN($BC$2:$BC$921))/(MAX($BC$2:$BC$921)-MIN($BC$2:$BC$921))*100,2))</f>
        <v>50</v>
      </c>
      <c r="AU69" s="8" t="n">
        <f aca="false">IF(MAX($BE$2:$BE$921)=MIN($BE$2:$BE$921),50,ROUND((BE69-MIN($BE$2:$BE$921))/(MAX($BE$2:$BE$921)-MIN($BE$2:$BE$921))*100,2))</f>
        <v>100</v>
      </c>
      <c r="AV69" s="8" t="n">
        <f aca="false">IF(MAX($AD$2:$AD$921)=MIN($AD$2:$AD$921),50,ROUND((AD69-MIN($AD$2:$AD$921))/(MAX($AD$2:$AD$921)-MIN($AD$2:$AD$921))*100,2))</f>
        <v>11.66</v>
      </c>
      <c r="AW69" s="8" t="n">
        <f aca="false">IF(MAX($AN$2:$AN$921)=MIN($AN$2:$AN$921),50,ROUND((AN69-MIN($AN$2:$AN$921))/(MAX($AN$2:$AN$921)-MIN($AN$2:$AN$921))*100,2))</f>
        <v>90</v>
      </c>
      <c r="AX69" s="8" t="n">
        <f aca="false">AQ69*100</f>
        <v>0</v>
      </c>
      <c r="AY69" s="8" t="n">
        <f aca="false">AR69*100</f>
        <v>100</v>
      </c>
      <c r="AZ69" s="8" t="n">
        <f aca="false">IFERROR(ROUND(AS69*Assumptions!$I$6+AW69*Assumptions!$I$7+AT69*Assumptions!$I$8+AU69*Assumptions!$I$9+AV69*Assumptions!$I$10+AX69*Assumptions!$I$11+AY69*Assumptions!$I$12,2),"")</f>
        <v>76.67</v>
      </c>
      <c r="BA69" s="0" t="str">
        <f aca="false">IF(AZ69="","",IF(AZ69&lt;=Assumptions!$I$18,"Below Expectation",IF(AZ69&lt;=Assumptions!$I$19,"Developing",IF(AZ69&lt;=Assumptions!$I$20,"Meets Expectation",IF(AZ69&lt;=Assumptions!$I$21,"Exceeds","Star Performer")))))</f>
        <v>Exceeds</v>
      </c>
      <c r="BB69" s="0" t="n">
        <f aca="false">IF(AZ69="",0,IF(AZ69&gt;=Assumptions!$I$26,1,0))</f>
        <v>1</v>
      </c>
      <c r="BC69" s="9" t="n">
        <f aca="false">IF(AL69="",2,AL69+2)</f>
        <v>2</v>
      </c>
      <c r="BD69" s="10" t="n">
        <f aca="false">IF(AM69="",ROUND(AVERAGE($AM$2:$AM$921),3),AM69)</f>
        <v>0</v>
      </c>
      <c r="BE69" s="9" t="n">
        <f aca="false">1-BD69</f>
        <v>1</v>
      </c>
    </row>
    <row r="70" customFormat="false" ht="14.25" hidden="true" customHeight="false" outlineLevel="0" collapsed="false">
      <c r="A70" s="4" t="n">
        <v>374</v>
      </c>
      <c r="B70" s="5" t="n">
        <v>37200073</v>
      </c>
      <c r="C70" s="5" t="s">
        <v>85</v>
      </c>
      <c r="D70" s="5" t="s">
        <v>549</v>
      </c>
      <c r="E70" s="5" t="s">
        <v>185</v>
      </c>
      <c r="F70" s="5" t="s">
        <v>550</v>
      </c>
      <c r="G70" s="5" t="s">
        <v>551</v>
      </c>
      <c r="H70" s="5" t="s">
        <v>552</v>
      </c>
      <c r="I70" s="5" t="s">
        <v>63</v>
      </c>
      <c r="J70" s="5" t="s">
        <v>76</v>
      </c>
      <c r="K70" s="5" t="s">
        <v>65</v>
      </c>
      <c r="L70" s="6" t="n">
        <v>39328</v>
      </c>
      <c r="M70" s="5" t="s">
        <v>553</v>
      </c>
      <c r="N70" s="6" t="n">
        <v>29119</v>
      </c>
      <c r="O70" s="5" t="s">
        <v>122</v>
      </c>
      <c r="P70" s="5" t="s">
        <v>123</v>
      </c>
      <c r="Q70" s="5" t="s">
        <v>196</v>
      </c>
      <c r="R70" s="5" t="s">
        <v>554</v>
      </c>
      <c r="S70" s="5" t="s">
        <v>555</v>
      </c>
      <c r="T70" s="6" t="n">
        <v>43221</v>
      </c>
      <c r="U70" s="6" t="n">
        <v>46113</v>
      </c>
      <c r="V70" s="5" t="s">
        <v>141</v>
      </c>
      <c r="W70" s="5" t="s">
        <v>141</v>
      </c>
      <c r="X70" s="5" t="s">
        <v>141</v>
      </c>
      <c r="Y70" s="5" t="s">
        <v>83</v>
      </c>
      <c r="Z70" s="5" t="s">
        <v>83</v>
      </c>
      <c r="AA70" s="5" t="s">
        <v>556</v>
      </c>
      <c r="AB70" s="0" t="n">
        <f aca="false">IFERROR(VALUE(R70),0)</f>
        <v>4.2</v>
      </c>
      <c r="AC70" s="0" t="n">
        <f aca="false">IFERROR(VALUE(M70),"")</f>
        <v>46.8</v>
      </c>
      <c r="AD70" s="0" t="n">
        <f aca="false">IFERROR(VALUE(Q70),"")</f>
        <v>18.9</v>
      </c>
      <c r="AE70" s="0" t="n">
        <f aca="false">IFERROR(VALUE(S70),"")</f>
        <v>22.11</v>
      </c>
      <c r="AF70" s="0" t="n">
        <f aca="false">IF(V70="","",VLOOKUP(V70,Assumptions!$B$6:$C$9,2,FALSE()))</f>
        <v>3</v>
      </c>
      <c r="AG70" s="0" t="n">
        <f aca="false">IF(W70="","",VLOOKUP(W70,Assumptions!$B$6:$C$9,2,FALSE()))</f>
        <v>3</v>
      </c>
      <c r="AH70" s="0" t="n">
        <f aca="false">IF(X70="","",VLOOKUP(X70,Assumptions!$B$6:$C$9,2,FALSE()))</f>
        <v>3</v>
      </c>
      <c r="AI70" s="0" t="n">
        <f aca="false">IF(Y70="","",VLOOKUP(Y70,Assumptions!$B$6:$C$9,2,FALSE()))</f>
        <v>4</v>
      </c>
      <c r="AJ70" s="0" t="n">
        <f aca="false">IF(Z70="","",VLOOKUP(Z70,Assumptions!$B$6:$C$9,2,FALSE()))</f>
        <v>4</v>
      </c>
      <c r="AK70" s="7" t="n">
        <f aca="false">IFERROR(ROUND(AVERAGE(AF70:AJ70),3),"")</f>
        <v>3.4</v>
      </c>
      <c r="AL70" s="7" t="n">
        <f aca="false">IF(OR(AF70="",AJ70=""),"",AJ70-AF70)</f>
        <v>1</v>
      </c>
      <c r="AM70" s="7" t="n">
        <f aca="false">IF(COUNT(AF70:AJ70)&gt;=2,ROUND(_xlfn.STDEV.S(AF70:AJ70),3),"")</f>
        <v>0.548</v>
      </c>
      <c r="AN70" s="7" t="n">
        <f aca="false">ROUND((IF(AF70="",0,AF70)*Assumptions!$F$15)+(IF(AG70="",0,AG70)*Assumptions!$F$16)+(IF(AH70="",0,AH70)*Assumptions!$F$17)+(IF(AI70="",0,AI70)*Assumptions!$F$18)+(IF(AJ70="",0,AJ70)*Assumptions!$F$19),3)</f>
        <v>3.55</v>
      </c>
      <c r="AO70" s="0" t="str">
        <f aca="false">IF(AC70&lt;=20,"",IF(AC70&lt;=Assumptions!$F$6,"20-30",IF(AC70&lt;=Assumptions!$F$7,"30-40",IF(AC70&lt;=Assumptions!$F$8,"40-50",IF(AC70&lt;=Assumptions!$F$9,"50-60",IF(AC70&lt;=Assumptions!$F$10,"60+",""))))))</f>
        <v>40-50</v>
      </c>
      <c r="AP70" s="0" t="str">
        <f aca="false">IFERROR(VLOOKUP(O70,Assumptions!$B$14:$C$26,2,FALSE()),"Other")</f>
        <v>Leadership</v>
      </c>
      <c r="AQ70" s="0" t="n">
        <f aca="false">IF(T70="",0,1)</f>
        <v>1</v>
      </c>
      <c r="AR70" s="0" t="n">
        <f aca="false">IF(U70="",0,1)</f>
        <v>1</v>
      </c>
      <c r="AS70" s="8" t="n">
        <f aca="false">IF(AK70="","",IF(MAX($AK$2:$AK$921)=MIN($AK$2:$AK$921),50,ROUND((AK70-MIN($AK$2:$AK$921))/(MAX($AK$2:$AK$921)-MIN($AK$2:$AK$921))*100,2)))</f>
        <v>74.28</v>
      </c>
      <c r="AT70" s="8" t="n">
        <f aca="false">IF(MAX($BC$2:$BC$921)=MIN($BC$2:$BC$921),50,ROUND((BC70-MIN($BC$2:$BC$921))/(MAX($BC$2:$BC$921)-MIN($BC$2:$BC$921))*100,2))</f>
        <v>75</v>
      </c>
      <c r="AU70" s="8" t="n">
        <f aca="false">IF(MAX($BE$2:$BE$921)=MIN($BE$2:$BE$921),50,ROUND((BE70-MIN($BE$2:$BE$921))/(MAX($BE$2:$BE$921)-MIN($BE$2:$BE$921))*100,2))</f>
        <v>68.36</v>
      </c>
      <c r="AV70" s="8" t="n">
        <f aca="false">IF(MAX($AD$2:$AD$921)=MIN($AD$2:$AD$921),50,ROUND((AD70-MIN($AD$2:$AD$921))/(MAX($AD$2:$AD$921)-MIN($AD$2:$AD$921))*100,2))</f>
        <v>51.07</v>
      </c>
      <c r="AW70" s="8" t="n">
        <f aca="false">IF(MAX($AN$2:$AN$921)=MIN($AN$2:$AN$921),50,ROUND((AN70-MIN($AN$2:$AN$921))/(MAX($AN$2:$AN$921)-MIN($AN$2:$AN$921))*100,2))</f>
        <v>88.75</v>
      </c>
      <c r="AX70" s="8" t="n">
        <f aca="false">AQ70*100</f>
        <v>100</v>
      </c>
      <c r="AY70" s="8" t="n">
        <f aca="false">AR70*100</f>
        <v>100</v>
      </c>
      <c r="AZ70" s="8" t="n">
        <f aca="false">IFERROR(ROUND(AS70*Assumptions!$I$6+AW70*Assumptions!$I$7+AT70*Assumptions!$I$8+AU70*Assumptions!$I$9+AV70*Assumptions!$I$10+AX70*Assumptions!$I$11+AY70*Assumptions!$I$12,2),"")</f>
        <v>76.65</v>
      </c>
      <c r="BA70" s="0" t="str">
        <f aca="false">IF(AZ70="","",IF(AZ70&lt;=Assumptions!$I$18,"Below Expectation",IF(AZ70&lt;=Assumptions!$I$19,"Developing",IF(AZ70&lt;=Assumptions!$I$20,"Meets Expectation",IF(AZ70&lt;=Assumptions!$I$21,"Exceeds","Star Performer")))))</f>
        <v>Exceeds</v>
      </c>
      <c r="BB70" s="0" t="n">
        <f aca="false">IF(AZ70="",0,IF(AZ70&gt;=Assumptions!$I$26,1,0))</f>
        <v>1</v>
      </c>
      <c r="BC70" s="9" t="n">
        <f aca="false">IF(AL70="",2,AL70+2)</f>
        <v>3</v>
      </c>
      <c r="BD70" s="10" t="n">
        <f aca="false">IF(AM70="",ROUND(AVERAGE($AM$2:$AM$921),3),AM70)</f>
        <v>0.548</v>
      </c>
      <c r="BE70" s="9" t="n">
        <f aca="false">1-BD70</f>
        <v>0.452</v>
      </c>
    </row>
    <row r="71" customFormat="false" ht="14.25" hidden="true" customHeight="false" outlineLevel="0" collapsed="false">
      <c r="A71" s="4" t="n">
        <v>1</v>
      </c>
      <c r="B71" s="5" t="n">
        <v>3629</v>
      </c>
      <c r="C71" s="5" t="s">
        <v>526</v>
      </c>
      <c r="D71" s="5" t="s">
        <v>557</v>
      </c>
      <c r="E71" s="5" t="s">
        <v>558</v>
      </c>
      <c r="F71" s="5" t="s">
        <v>111</v>
      </c>
      <c r="G71" s="5" t="s">
        <v>110</v>
      </c>
      <c r="H71" s="5" t="s">
        <v>111</v>
      </c>
      <c r="I71" s="5" t="s">
        <v>63</v>
      </c>
      <c r="J71" s="5" t="s">
        <v>100</v>
      </c>
      <c r="K71" s="5" t="s">
        <v>65</v>
      </c>
      <c r="L71" s="6" t="n">
        <v>37443</v>
      </c>
      <c r="M71" s="5" t="s">
        <v>559</v>
      </c>
      <c r="N71" s="6" t="n">
        <v>26517</v>
      </c>
      <c r="O71" s="5" t="s">
        <v>89</v>
      </c>
      <c r="P71" s="5" t="s">
        <v>90</v>
      </c>
      <c r="Q71" s="5" t="s">
        <v>353</v>
      </c>
      <c r="R71" s="5" t="s">
        <v>451</v>
      </c>
      <c r="S71" s="5" t="s">
        <v>560</v>
      </c>
      <c r="T71" s="6" t="n">
        <v>42186</v>
      </c>
      <c r="U71" s="6"/>
      <c r="V71" s="5" t="s">
        <v>83</v>
      </c>
      <c r="W71" s="5" t="s">
        <v>141</v>
      </c>
      <c r="X71" s="5" t="s">
        <v>83</v>
      </c>
      <c r="Y71" s="5" t="s">
        <v>83</v>
      </c>
      <c r="Z71" s="5" t="s">
        <v>83</v>
      </c>
      <c r="AA71" s="5" t="s">
        <v>561</v>
      </c>
      <c r="AB71" s="0" t="n">
        <f aca="false">IFERROR(VALUE(R71),0)</f>
        <v>9</v>
      </c>
      <c r="AC71" s="0" t="n">
        <f aca="false">IFERROR(VALUE(M71),"")</f>
        <v>53.1</v>
      </c>
      <c r="AD71" s="0" t="n">
        <f aca="false">IFERROR(VALUE(Q71),"")</f>
        <v>23.11</v>
      </c>
      <c r="AE71" s="0" t="n">
        <f aca="false">IFERROR(VALUE(S71),"")</f>
        <v>32.11</v>
      </c>
      <c r="AF71" s="0" t="n">
        <f aca="false">IF(V71="","",VLOOKUP(V71,Assumptions!$B$6:$C$9,2,FALSE()))</f>
        <v>4</v>
      </c>
      <c r="AG71" s="0" t="n">
        <f aca="false">IF(W71="","",VLOOKUP(W71,Assumptions!$B$6:$C$9,2,FALSE()))</f>
        <v>3</v>
      </c>
      <c r="AH71" s="0" t="n">
        <f aca="false">IF(X71="","",VLOOKUP(X71,Assumptions!$B$6:$C$9,2,FALSE()))</f>
        <v>4</v>
      </c>
      <c r="AI71" s="0" t="n">
        <f aca="false">IF(Y71="","",VLOOKUP(Y71,Assumptions!$B$6:$C$9,2,FALSE()))</f>
        <v>4</v>
      </c>
      <c r="AJ71" s="0" t="n">
        <f aca="false">IF(Z71="","",VLOOKUP(Z71,Assumptions!$B$6:$C$9,2,FALSE()))</f>
        <v>4</v>
      </c>
      <c r="AK71" s="7" t="n">
        <f aca="false">IFERROR(ROUND(AVERAGE(AF71:AJ71),3),"")</f>
        <v>3.8</v>
      </c>
      <c r="AL71" s="7" t="n">
        <f aca="false">IF(OR(AF71="",AJ71=""),"",AJ71-AF71)</f>
        <v>0</v>
      </c>
      <c r="AM71" s="7" t="n">
        <f aca="false">IF(COUNT(AF71:AJ71)&gt;=2,ROUND(_xlfn.STDEV.S(AF71:AJ71),3),"")</f>
        <v>0.447</v>
      </c>
      <c r="AN71" s="7" t="n">
        <f aca="false">ROUND((IF(AF71="",0,AF71)*Assumptions!$F$15)+(IF(AG71="",0,AG71)*Assumptions!$F$16)+(IF(AH71="",0,AH71)*Assumptions!$F$17)+(IF(AI71="",0,AI71)*Assumptions!$F$18)+(IF(AJ71="",0,AJ71)*Assumptions!$F$19),3)</f>
        <v>3.85</v>
      </c>
      <c r="AO71" s="0" t="str">
        <f aca="false">IF(AC71&lt;=20,"",IF(AC71&lt;=Assumptions!$F$6,"20-30",IF(AC71&lt;=Assumptions!$F$7,"30-40",IF(AC71&lt;=Assumptions!$F$8,"40-50",IF(AC71&lt;=Assumptions!$F$9,"50-60",IF(AC71&lt;=Assumptions!$F$10,"60+",""))))))</f>
        <v>50-60</v>
      </c>
      <c r="AP71" s="0" t="str">
        <f aca="false">IFERROR(VLOOKUP(O71,Assumptions!$B$14:$C$26,2,FALSE()),"Other")</f>
        <v>Leadership</v>
      </c>
      <c r="AQ71" s="0" t="n">
        <f aca="false">IF(T71="",0,1)</f>
        <v>1</v>
      </c>
      <c r="AR71" s="0" t="n">
        <f aca="false">IF(U71="",0,1)</f>
        <v>0</v>
      </c>
      <c r="AS71" s="8" t="n">
        <f aca="false">IF(AK71="","",IF(MAX($AK$2:$AK$921)=MIN($AK$2:$AK$921),50,ROUND((AK71-MIN($AK$2:$AK$921))/(MAX($AK$2:$AK$921)-MIN($AK$2:$AK$921))*100,2)))</f>
        <v>91.43</v>
      </c>
      <c r="AT71" s="8" t="n">
        <f aca="false">IF(MAX($BC$2:$BC$921)=MIN($BC$2:$BC$921),50,ROUND((BC71-MIN($BC$2:$BC$921))/(MAX($BC$2:$BC$921)-MIN($BC$2:$BC$921))*100,2))</f>
        <v>50</v>
      </c>
      <c r="AU71" s="8" t="n">
        <f aca="false">IF(MAX($BE$2:$BE$921)=MIN($BE$2:$BE$921),50,ROUND((BE71-MIN($BE$2:$BE$921))/(MAX($BE$2:$BE$921)-MIN($BE$2:$BE$921))*100,2))</f>
        <v>74.19</v>
      </c>
      <c r="AV71" s="8" t="n">
        <f aca="false">IF(MAX($AD$2:$AD$921)=MIN($AD$2:$AD$921),50,ROUND((AD71-MIN($AD$2:$AD$921))/(MAX($AD$2:$AD$921)-MIN($AD$2:$AD$921))*100,2))</f>
        <v>62.52</v>
      </c>
      <c r="AW71" s="8" t="n">
        <f aca="false">IF(MAX($AN$2:$AN$921)=MIN($AN$2:$AN$921),50,ROUND((AN71-MIN($AN$2:$AN$921))/(MAX($AN$2:$AN$921)-MIN($AN$2:$AN$921))*100,2))</f>
        <v>96.25</v>
      </c>
      <c r="AX71" s="8" t="n">
        <f aca="false">AQ71*100</f>
        <v>100</v>
      </c>
      <c r="AY71" s="8" t="n">
        <f aca="false">AR71*100</f>
        <v>0</v>
      </c>
      <c r="AZ71" s="8" t="n">
        <f aca="false">IFERROR(ROUND(AS71*Assumptions!$I$6+AW71*Assumptions!$I$7+AT71*Assumptions!$I$8+AU71*Assumptions!$I$9+AV71*Assumptions!$I$10+AX71*Assumptions!$I$11+AY71*Assumptions!$I$12,2),"")</f>
        <v>76.56</v>
      </c>
      <c r="BA71" s="0" t="str">
        <f aca="false">IF(AZ71="","",IF(AZ71&lt;=Assumptions!$I$18,"Below Expectation",IF(AZ71&lt;=Assumptions!$I$19,"Developing",IF(AZ71&lt;=Assumptions!$I$20,"Meets Expectation",IF(AZ71&lt;=Assumptions!$I$21,"Exceeds","Star Performer")))))</f>
        <v>Exceeds</v>
      </c>
      <c r="BB71" s="0" t="n">
        <f aca="false">IF(AZ71="",0,IF(AZ71&gt;=Assumptions!$I$26,1,0))</f>
        <v>1</v>
      </c>
      <c r="BC71" s="9" t="n">
        <f aca="false">IF(AL71="",2,AL71+2)</f>
        <v>2</v>
      </c>
      <c r="BD71" s="10" t="n">
        <f aca="false">IF(AM71="",ROUND(AVERAGE($AM$2:$AM$921),3),AM71)</f>
        <v>0.447</v>
      </c>
      <c r="BE71" s="9" t="n">
        <f aca="false">1-BD71</f>
        <v>0.553</v>
      </c>
    </row>
    <row r="72" customFormat="false" ht="14.25" hidden="false" customHeight="false" outlineLevel="0" collapsed="false">
      <c r="A72" s="4" t="n">
        <v>459</v>
      </c>
      <c r="B72" s="5" t="n">
        <v>55028978</v>
      </c>
      <c r="C72" s="5" t="s">
        <v>106</v>
      </c>
      <c r="D72" s="5" t="s">
        <v>562</v>
      </c>
      <c r="E72" s="5" t="s">
        <v>305</v>
      </c>
      <c r="F72" s="5" t="s">
        <v>563</v>
      </c>
      <c r="G72" s="5" t="s">
        <v>564</v>
      </c>
      <c r="H72" s="5" t="s">
        <v>565</v>
      </c>
      <c r="I72" s="5" t="s">
        <v>63</v>
      </c>
      <c r="J72" s="5" t="s">
        <v>112</v>
      </c>
      <c r="K72" s="5" t="s">
        <v>65</v>
      </c>
      <c r="L72" s="6" t="n">
        <v>43238</v>
      </c>
      <c r="M72" s="5" t="s">
        <v>566</v>
      </c>
      <c r="N72" s="6" t="n">
        <v>33772</v>
      </c>
      <c r="O72" s="5" t="s">
        <v>365</v>
      </c>
      <c r="P72" s="5" t="s">
        <v>365</v>
      </c>
      <c r="Q72" s="5" t="s">
        <v>567</v>
      </c>
      <c r="R72" s="5" t="s">
        <v>568</v>
      </c>
      <c r="S72" s="5" t="s">
        <v>569</v>
      </c>
      <c r="T72" s="6"/>
      <c r="U72" s="6" t="n">
        <v>45992</v>
      </c>
      <c r="V72" s="5" t="s">
        <v>141</v>
      </c>
      <c r="W72" s="5" t="s">
        <v>83</v>
      </c>
      <c r="X72" s="5" t="s">
        <v>83</v>
      </c>
      <c r="Y72" s="5" t="s">
        <v>83</v>
      </c>
      <c r="Z72" s="5" t="s">
        <v>83</v>
      </c>
      <c r="AA72" s="5" t="s">
        <v>570</v>
      </c>
      <c r="AB72" s="0" t="n">
        <f aca="false">IFERROR(VALUE(R72),0)</f>
        <v>1.3</v>
      </c>
      <c r="AC72" s="0" t="n">
        <f aca="false">IFERROR(VALUE(M72),"")</f>
        <v>33.11</v>
      </c>
      <c r="AD72" s="0" t="n">
        <f aca="false">IFERROR(VALUE(Q72),"")</f>
        <v>8</v>
      </c>
      <c r="AE72" s="0" t="n">
        <f aca="false">IFERROR(VALUE(S72),"")</f>
        <v>9.3</v>
      </c>
      <c r="AF72" s="0" t="n">
        <f aca="false">IF(V72="","",VLOOKUP(V72,Assumptions!$B$6:$C$9,2,FALSE()))</f>
        <v>3</v>
      </c>
      <c r="AG72" s="0" t="n">
        <f aca="false">IF(W72="","",VLOOKUP(W72,Assumptions!$B$6:$C$9,2,FALSE()))</f>
        <v>4</v>
      </c>
      <c r="AH72" s="0" t="n">
        <f aca="false">IF(X72="","",VLOOKUP(X72,Assumptions!$B$6:$C$9,2,FALSE()))</f>
        <v>4</v>
      </c>
      <c r="AI72" s="0" t="n">
        <f aca="false">IF(Y72="","",VLOOKUP(Y72,Assumptions!$B$6:$C$9,2,FALSE()))</f>
        <v>4</v>
      </c>
      <c r="AJ72" s="0" t="n">
        <f aca="false">IF(Z72="","",VLOOKUP(Z72,Assumptions!$B$6:$C$9,2,FALSE()))</f>
        <v>4</v>
      </c>
      <c r="AK72" s="7" t="n">
        <f aca="false">IFERROR(ROUND(AVERAGE(AF72:AJ72),3),"")</f>
        <v>3.8</v>
      </c>
      <c r="AL72" s="7" t="n">
        <f aca="false">IF(OR(AF72="",AJ72=""),"",AJ72-AF72)</f>
        <v>1</v>
      </c>
      <c r="AM72" s="7" t="n">
        <f aca="false">IF(COUNT(AF72:AJ72)&gt;=2,ROUND(_xlfn.STDEV.S(AF72:AJ72),3),"")</f>
        <v>0.447</v>
      </c>
      <c r="AN72" s="7" t="n">
        <f aca="false">ROUND((IF(AF72="",0,AF72)*Assumptions!$F$15)+(IF(AG72="",0,AG72)*Assumptions!$F$16)+(IF(AH72="",0,AH72)*Assumptions!$F$17)+(IF(AI72="",0,AI72)*Assumptions!$F$18)+(IF(AJ72="",0,AJ72)*Assumptions!$F$19),3)</f>
        <v>3.9</v>
      </c>
      <c r="AO72" s="0" t="str">
        <f aca="false">IF(AC72&lt;=20,"",IF(AC72&lt;=Assumptions!$F$6,"20-30",IF(AC72&lt;=Assumptions!$F$7,"30-40",IF(AC72&lt;=Assumptions!$F$8,"40-50",IF(AC72&lt;=Assumptions!$F$9,"50-60",IF(AC72&lt;=Assumptions!$F$10,"60+",""))))))</f>
        <v>30-40</v>
      </c>
      <c r="AP72" s="0" t="str">
        <f aca="false">IFERROR(VLOOKUP(O72,Assumptions!$B$14:$C$26,2,FALSE()),"Other")</f>
        <v>Manager</v>
      </c>
      <c r="AQ72" s="0" t="n">
        <f aca="false">IF(T72="",0,1)</f>
        <v>0</v>
      </c>
      <c r="AR72" s="0" t="n">
        <f aca="false">IF(U72="",0,1)</f>
        <v>1</v>
      </c>
      <c r="AS72" s="8" t="n">
        <f aca="false">IF(AK72="","",IF(MAX($AK$2:$AK$921)=MIN($AK$2:$AK$921),50,ROUND((AK72-MIN($AK$2:$AK$921))/(MAX($AK$2:$AK$921)-MIN($AK$2:$AK$921))*100,2)))</f>
        <v>91.43</v>
      </c>
      <c r="AT72" s="8" t="n">
        <f aca="false">IF(MAX($BC$2:$BC$921)=MIN($BC$2:$BC$921),50,ROUND((BC72-MIN($BC$2:$BC$921))/(MAX($BC$2:$BC$921)-MIN($BC$2:$BC$921))*100,2))</f>
        <v>75</v>
      </c>
      <c r="AU72" s="8" t="n">
        <f aca="false">IF(MAX($BE$2:$BE$921)=MIN($BE$2:$BE$921),50,ROUND((BE72-MIN($BE$2:$BE$921))/(MAX($BE$2:$BE$921)-MIN($BE$2:$BE$921))*100,2))</f>
        <v>74.19</v>
      </c>
      <c r="AV72" s="8" t="n">
        <f aca="false">IF(MAX($AD$2:$AD$921)=MIN($AD$2:$AD$921),50,ROUND((AD72-MIN($AD$2:$AD$921))/(MAX($AD$2:$AD$921)-MIN($AD$2:$AD$921))*100,2))</f>
        <v>21.45</v>
      </c>
      <c r="AW72" s="8" t="n">
        <f aca="false">IF(MAX($AN$2:$AN$921)=MIN($AN$2:$AN$921),50,ROUND((AN72-MIN($AN$2:$AN$921))/(MAX($AN$2:$AN$921)-MIN($AN$2:$AN$921))*100,2))</f>
        <v>97.5</v>
      </c>
      <c r="AX72" s="8" t="n">
        <f aca="false">AQ72*100</f>
        <v>0</v>
      </c>
      <c r="AY72" s="8" t="n">
        <f aca="false">AR72*100</f>
        <v>100</v>
      </c>
      <c r="AZ72" s="8" t="n">
        <f aca="false">IFERROR(ROUND(AS72*Assumptions!$I$6+AW72*Assumptions!$I$7+AT72*Assumptions!$I$8+AU72*Assumptions!$I$9+AV72*Assumptions!$I$10+AX72*Assumptions!$I$11+AY72*Assumptions!$I$12,2),"")</f>
        <v>76.45</v>
      </c>
      <c r="BA72" s="0" t="str">
        <f aca="false">IF(AZ72="","",IF(AZ72&lt;=Assumptions!$I$18,"Below Expectation",IF(AZ72&lt;=Assumptions!$I$19,"Developing",IF(AZ72&lt;=Assumptions!$I$20,"Meets Expectation",IF(AZ72&lt;=Assumptions!$I$21,"Exceeds","Star Performer")))))</f>
        <v>Exceeds</v>
      </c>
      <c r="BB72" s="0" t="n">
        <f aca="false">IF(AZ72="",0,IF(AZ72&gt;=Assumptions!$I$26,1,0))</f>
        <v>1</v>
      </c>
      <c r="BC72" s="9" t="n">
        <f aca="false">IF(AL72="",2,AL72+2)</f>
        <v>3</v>
      </c>
      <c r="BD72" s="10" t="n">
        <f aca="false">IF(AM72="",ROUND(AVERAGE($AM$2:$AM$921),3),AM72)</f>
        <v>0.447</v>
      </c>
      <c r="BE72" s="9" t="n">
        <f aca="false">1-BD72</f>
        <v>0.553</v>
      </c>
    </row>
    <row r="73" customFormat="false" ht="14.25" hidden="true" customHeight="false" outlineLevel="0" collapsed="false">
      <c r="A73" s="4" t="n">
        <v>365</v>
      </c>
      <c r="B73" s="5" t="n">
        <v>37101992</v>
      </c>
      <c r="C73" s="5" t="s">
        <v>85</v>
      </c>
      <c r="D73" s="5" t="s">
        <v>571</v>
      </c>
      <c r="E73" s="5" t="s">
        <v>137</v>
      </c>
      <c r="F73" s="5" t="s">
        <v>267</v>
      </c>
      <c r="G73" s="5" t="s">
        <v>268</v>
      </c>
      <c r="H73" s="5" t="s">
        <v>267</v>
      </c>
      <c r="I73" s="5" t="s">
        <v>63</v>
      </c>
      <c r="J73" s="5" t="s">
        <v>76</v>
      </c>
      <c r="K73" s="5" t="s">
        <v>65</v>
      </c>
      <c r="L73" s="6" t="n">
        <v>39336</v>
      </c>
      <c r="M73" s="5" t="s">
        <v>572</v>
      </c>
      <c r="N73" s="6" t="n">
        <v>28978</v>
      </c>
      <c r="O73" s="5" t="s">
        <v>162</v>
      </c>
      <c r="P73" s="5" t="s">
        <v>162</v>
      </c>
      <c r="Q73" s="5" t="s">
        <v>573</v>
      </c>
      <c r="R73" s="5" t="s">
        <v>439</v>
      </c>
      <c r="S73" s="5" t="s">
        <v>574</v>
      </c>
      <c r="T73" s="6" t="n">
        <v>41000</v>
      </c>
      <c r="U73" s="6" t="n">
        <v>46113</v>
      </c>
      <c r="V73" s="5" t="s">
        <v>141</v>
      </c>
      <c r="W73" s="5" t="s">
        <v>141</v>
      </c>
      <c r="X73" s="5" t="s">
        <v>83</v>
      </c>
      <c r="Y73" s="5" t="s">
        <v>141</v>
      </c>
      <c r="Z73" s="5" t="s">
        <v>83</v>
      </c>
      <c r="AA73" s="5" t="s">
        <v>575</v>
      </c>
      <c r="AB73" s="0" t="n">
        <f aca="false">IFERROR(VALUE(R73),0)</f>
        <v>7.1</v>
      </c>
      <c r="AC73" s="0" t="n">
        <f aca="false">IFERROR(VALUE(M73),"")</f>
        <v>47.1</v>
      </c>
      <c r="AD73" s="0" t="n">
        <f aca="false">IFERROR(VALUE(Q73),"")</f>
        <v>18.8</v>
      </c>
      <c r="AE73" s="0" t="n">
        <f aca="false">IFERROR(VALUE(S73),"")</f>
        <v>25.9</v>
      </c>
      <c r="AF73" s="0" t="n">
        <f aca="false">IF(V73="","",VLOOKUP(V73,Assumptions!$B$6:$C$9,2,FALSE()))</f>
        <v>3</v>
      </c>
      <c r="AG73" s="0" t="n">
        <f aca="false">IF(W73="","",VLOOKUP(W73,Assumptions!$B$6:$C$9,2,FALSE()))</f>
        <v>3</v>
      </c>
      <c r="AH73" s="0" t="n">
        <f aca="false">IF(X73="","",VLOOKUP(X73,Assumptions!$B$6:$C$9,2,FALSE()))</f>
        <v>4</v>
      </c>
      <c r="AI73" s="0" t="n">
        <f aca="false">IF(Y73="","",VLOOKUP(Y73,Assumptions!$B$6:$C$9,2,FALSE()))</f>
        <v>3</v>
      </c>
      <c r="AJ73" s="0" t="n">
        <f aca="false">IF(Z73="","",VLOOKUP(Z73,Assumptions!$B$6:$C$9,2,FALSE()))</f>
        <v>4</v>
      </c>
      <c r="AK73" s="7" t="n">
        <f aca="false">IFERROR(ROUND(AVERAGE(AF73:AJ73),3),"")</f>
        <v>3.4</v>
      </c>
      <c r="AL73" s="7" t="n">
        <f aca="false">IF(OR(AF73="",AJ73=""),"",AJ73-AF73)</f>
        <v>1</v>
      </c>
      <c r="AM73" s="7" t="n">
        <f aca="false">IF(COUNT(AF73:AJ73)&gt;=2,ROUND(_xlfn.STDEV.S(AF73:AJ73),3),"")</f>
        <v>0.548</v>
      </c>
      <c r="AN73" s="7" t="n">
        <f aca="false">ROUND((IF(AF73="",0,AF73)*Assumptions!$F$15)+(IF(AG73="",0,AG73)*Assumptions!$F$16)+(IF(AH73="",0,AH73)*Assumptions!$F$17)+(IF(AI73="",0,AI73)*Assumptions!$F$18)+(IF(AJ73="",0,AJ73)*Assumptions!$F$19),3)</f>
        <v>3.5</v>
      </c>
      <c r="AO73" s="0" t="str">
        <f aca="false">IF(AC73&lt;=20,"",IF(AC73&lt;=Assumptions!$F$6,"20-30",IF(AC73&lt;=Assumptions!$F$7,"30-40",IF(AC73&lt;=Assumptions!$F$8,"40-50",IF(AC73&lt;=Assumptions!$F$9,"50-60",IF(AC73&lt;=Assumptions!$F$10,"60+",""))))))</f>
        <v>40-50</v>
      </c>
      <c r="AP73" s="0" t="str">
        <f aca="false">IFERROR(VLOOKUP(O73,Assumptions!$B$14:$C$26,2,FALSE()),"Other")</f>
        <v>Manager</v>
      </c>
      <c r="AQ73" s="0" t="n">
        <f aca="false">IF(T73="",0,1)</f>
        <v>1</v>
      </c>
      <c r="AR73" s="0" t="n">
        <f aca="false">IF(U73="",0,1)</f>
        <v>1</v>
      </c>
      <c r="AS73" s="8" t="n">
        <f aca="false">IF(AK73="","",IF(MAX($AK$2:$AK$921)=MIN($AK$2:$AK$921),50,ROUND((AK73-MIN($AK$2:$AK$921))/(MAX($AK$2:$AK$921)-MIN($AK$2:$AK$921))*100,2)))</f>
        <v>74.28</v>
      </c>
      <c r="AT73" s="8" t="n">
        <f aca="false">IF(MAX($BC$2:$BC$921)=MIN($BC$2:$BC$921),50,ROUND((BC73-MIN($BC$2:$BC$921))/(MAX($BC$2:$BC$921)-MIN($BC$2:$BC$921))*100,2))</f>
        <v>75</v>
      </c>
      <c r="AU73" s="8" t="n">
        <f aca="false">IF(MAX($BE$2:$BE$921)=MIN($BE$2:$BE$921),50,ROUND((BE73-MIN($BE$2:$BE$921))/(MAX($BE$2:$BE$921)-MIN($BE$2:$BE$921))*100,2))</f>
        <v>68.36</v>
      </c>
      <c r="AV73" s="8" t="n">
        <f aca="false">IF(MAX($AD$2:$AD$921)=MIN($AD$2:$AD$921),50,ROUND((AD73-MIN($AD$2:$AD$921))/(MAX($AD$2:$AD$921)-MIN($AD$2:$AD$921))*100,2))</f>
        <v>50.8</v>
      </c>
      <c r="AW73" s="8" t="n">
        <f aca="false">IF(MAX($AN$2:$AN$921)=MIN($AN$2:$AN$921),50,ROUND((AN73-MIN($AN$2:$AN$921))/(MAX($AN$2:$AN$921)-MIN($AN$2:$AN$921))*100,2))</f>
        <v>87.5</v>
      </c>
      <c r="AX73" s="8" t="n">
        <f aca="false">AQ73*100</f>
        <v>100</v>
      </c>
      <c r="AY73" s="8" t="n">
        <f aca="false">AR73*100</f>
        <v>100</v>
      </c>
      <c r="AZ73" s="8" t="n">
        <f aca="false">IFERROR(ROUND(AS73*Assumptions!$I$6+AW73*Assumptions!$I$7+AT73*Assumptions!$I$8+AU73*Assumptions!$I$9+AV73*Assumptions!$I$10+AX73*Assumptions!$I$11+AY73*Assumptions!$I$12,2),"")</f>
        <v>76.37</v>
      </c>
      <c r="BA73" s="0" t="str">
        <f aca="false">IF(AZ73="","",IF(AZ73&lt;=Assumptions!$I$18,"Below Expectation",IF(AZ73&lt;=Assumptions!$I$19,"Developing",IF(AZ73&lt;=Assumptions!$I$20,"Meets Expectation",IF(AZ73&lt;=Assumptions!$I$21,"Exceeds","Star Performer")))))</f>
        <v>Exceeds</v>
      </c>
      <c r="BB73" s="0" t="n">
        <f aca="false">IF(AZ73="",0,IF(AZ73&gt;=Assumptions!$I$26,1,0))</f>
        <v>1</v>
      </c>
      <c r="BC73" s="9" t="n">
        <f aca="false">IF(AL73="",2,AL73+2)</f>
        <v>3</v>
      </c>
      <c r="BD73" s="10" t="n">
        <f aca="false">IF(AM73="",ROUND(AVERAGE($AM$2:$AM$921),3),AM73)</f>
        <v>0.548</v>
      </c>
      <c r="BE73" s="9" t="n">
        <f aca="false">1-BD73</f>
        <v>0.452</v>
      </c>
    </row>
    <row r="74" customFormat="false" ht="14.25" hidden="true" customHeight="false" outlineLevel="0" collapsed="false">
      <c r="A74" s="4" t="n">
        <v>50</v>
      </c>
      <c r="B74" s="5" t="n">
        <v>10010751</v>
      </c>
      <c r="C74" s="5" t="s">
        <v>85</v>
      </c>
      <c r="D74" s="5" t="s">
        <v>576</v>
      </c>
      <c r="E74" s="5" t="s">
        <v>185</v>
      </c>
      <c r="F74" s="5" t="s">
        <v>178</v>
      </c>
      <c r="G74" s="5" t="s">
        <v>177</v>
      </c>
      <c r="H74" s="5" t="s">
        <v>178</v>
      </c>
      <c r="I74" s="5" t="s">
        <v>63</v>
      </c>
      <c r="J74" s="5" t="s">
        <v>76</v>
      </c>
      <c r="K74" s="5" t="s">
        <v>65</v>
      </c>
      <c r="L74" s="6" t="n">
        <v>38720</v>
      </c>
      <c r="M74" s="5" t="s">
        <v>88</v>
      </c>
      <c r="N74" s="6" t="n">
        <v>26826</v>
      </c>
      <c r="O74" s="5" t="s">
        <v>122</v>
      </c>
      <c r="P74" s="5" t="s">
        <v>123</v>
      </c>
      <c r="Q74" s="5" t="s">
        <v>577</v>
      </c>
      <c r="R74" s="5" t="s">
        <v>231</v>
      </c>
      <c r="S74" s="5" t="s">
        <v>578</v>
      </c>
      <c r="T74" s="6" t="n">
        <v>43009</v>
      </c>
      <c r="U74" s="6" t="n">
        <v>44652</v>
      </c>
      <c r="V74" s="5" t="s">
        <v>83</v>
      </c>
      <c r="W74" s="5" t="s">
        <v>83</v>
      </c>
      <c r="X74" s="5" t="s">
        <v>83</v>
      </c>
      <c r="Y74" s="5" t="s">
        <v>83</v>
      </c>
      <c r="Z74" s="5" t="s">
        <v>141</v>
      </c>
      <c r="AA74" s="5" t="s">
        <v>579</v>
      </c>
      <c r="AB74" s="0" t="n">
        <f aca="false">IFERROR(VALUE(R74),0)</f>
        <v>3.9</v>
      </c>
      <c r="AC74" s="0" t="n">
        <f aca="false">IFERROR(VALUE(M74),"")</f>
        <v>52.11</v>
      </c>
      <c r="AD74" s="0" t="n">
        <f aca="false">IFERROR(VALUE(Q74),"")</f>
        <v>20.5</v>
      </c>
      <c r="AE74" s="0" t="n">
        <f aca="false">IFERROR(VALUE(S74),"")</f>
        <v>24.2</v>
      </c>
      <c r="AF74" s="0" t="n">
        <f aca="false">IF(V74="","",VLOOKUP(V74,Assumptions!$B$6:$C$9,2,FALSE()))</f>
        <v>4</v>
      </c>
      <c r="AG74" s="0" t="n">
        <f aca="false">IF(W74="","",VLOOKUP(W74,Assumptions!$B$6:$C$9,2,FALSE()))</f>
        <v>4</v>
      </c>
      <c r="AH74" s="0" t="n">
        <f aca="false">IF(X74="","",VLOOKUP(X74,Assumptions!$B$6:$C$9,2,FALSE()))</f>
        <v>4</v>
      </c>
      <c r="AI74" s="0" t="n">
        <f aca="false">IF(Y74="","",VLOOKUP(Y74,Assumptions!$B$6:$C$9,2,FALSE()))</f>
        <v>4</v>
      </c>
      <c r="AJ74" s="0" t="n">
        <f aca="false">IF(Z74="","",VLOOKUP(Z74,Assumptions!$B$6:$C$9,2,FALSE()))</f>
        <v>3</v>
      </c>
      <c r="AK74" s="7" t="n">
        <f aca="false">IFERROR(ROUND(AVERAGE(AF74:AJ74),3),"")</f>
        <v>3.8</v>
      </c>
      <c r="AL74" s="7" t="n">
        <f aca="false">IF(OR(AF74="",AJ74=""),"",AJ74-AF74)</f>
        <v>-1</v>
      </c>
      <c r="AM74" s="7" t="n">
        <f aca="false">IF(COUNT(AF74:AJ74)&gt;=2,ROUND(_xlfn.STDEV.S(AF74:AJ74),3),"")</f>
        <v>0.447</v>
      </c>
      <c r="AN74" s="7" t="n">
        <f aca="false">ROUND((IF(AF74="",0,AF74)*Assumptions!$F$15)+(IF(AG74="",0,AG74)*Assumptions!$F$16)+(IF(AH74="",0,AH74)*Assumptions!$F$17)+(IF(AI74="",0,AI74)*Assumptions!$F$18)+(IF(AJ74="",0,AJ74)*Assumptions!$F$19),3)</f>
        <v>3.7</v>
      </c>
      <c r="AO74" s="0" t="str">
        <f aca="false">IF(AC74&lt;=20,"",IF(AC74&lt;=Assumptions!$F$6,"20-30",IF(AC74&lt;=Assumptions!$F$7,"30-40",IF(AC74&lt;=Assumptions!$F$8,"40-50",IF(AC74&lt;=Assumptions!$F$9,"50-60",IF(AC74&lt;=Assumptions!$F$10,"60+",""))))))</f>
        <v>50-60</v>
      </c>
      <c r="AP74" s="0" t="str">
        <f aca="false">IFERROR(VLOOKUP(O74,Assumptions!$B$14:$C$26,2,FALSE()),"Other")</f>
        <v>Leadership</v>
      </c>
      <c r="AQ74" s="0" t="n">
        <f aca="false">IF(T74="",0,1)</f>
        <v>1</v>
      </c>
      <c r="AR74" s="0" t="n">
        <f aca="false">IF(U74="",0,1)</f>
        <v>1</v>
      </c>
      <c r="AS74" s="8" t="n">
        <f aca="false">IF(AK74="","",IF(MAX($AK$2:$AK$921)=MIN($AK$2:$AK$921),50,ROUND((AK74-MIN($AK$2:$AK$921))/(MAX($AK$2:$AK$921)-MIN($AK$2:$AK$921))*100,2)))</f>
        <v>91.43</v>
      </c>
      <c r="AT74" s="8" t="n">
        <f aca="false">IF(MAX($BC$2:$BC$921)=MIN($BC$2:$BC$921),50,ROUND((BC74-MIN($BC$2:$BC$921))/(MAX($BC$2:$BC$921)-MIN($BC$2:$BC$921))*100,2))</f>
        <v>25</v>
      </c>
      <c r="AU74" s="8" t="n">
        <f aca="false">IF(MAX($BE$2:$BE$921)=MIN($BE$2:$BE$921),50,ROUND((BE74-MIN($BE$2:$BE$921))/(MAX($BE$2:$BE$921)-MIN($BE$2:$BE$921))*100,2))</f>
        <v>74.19</v>
      </c>
      <c r="AV74" s="8" t="n">
        <f aca="false">IF(MAX($AD$2:$AD$921)=MIN($AD$2:$AD$921),50,ROUND((AD74-MIN($AD$2:$AD$921))/(MAX($AD$2:$AD$921)-MIN($AD$2:$AD$921))*100,2))</f>
        <v>55.42</v>
      </c>
      <c r="AW74" s="8" t="n">
        <f aca="false">IF(MAX($AN$2:$AN$921)=MIN($AN$2:$AN$921),50,ROUND((AN74-MIN($AN$2:$AN$921))/(MAX($AN$2:$AN$921)-MIN($AN$2:$AN$921))*100,2))</f>
        <v>92.5</v>
      </c>
      <c r="AX74" s="8" t="n">
        <f aca="false">AQ74*100</f>
        <v>100</v>
      </c>
      <c r="AY74" s="8" t="n">
        <f aca="false">AR74*100</f>
        <v>100</v>
      </c>
      <c r="AZ74" s="8" t="n">
        <f aca="false">IFERROR(ROUND(AS74*Assumptions!$I$6+AW74*Assumptions!$I$7+AT74*Assumptions!$I$8+AU74*Assumptions!$I$9+AV74*Assumptions!$I$10+AX74*Assumptions!$I$11+AY74*Assumptions!$I$12,2),"")</f>
        <v>76.35</v>
      </c>
      <c r="BA74" s="0" t="str">
        <f aca="false">IF(AZ74="","",IF(AZ74&lt;=Assumptions!$I$18,"Below Expectation",IF(AZ74&lt;=Assumptions!$I$19,"Developing",IF(AZ74&lt;=Assumptions!$I$20,"Meets Expectation",IF(AZ74&lt;=Assumptions!$I$21,"Exceeds","Star Performer")))))</f>
        <v>Exceeds</v>
      </c>
      <c r="BB74" s="0" t="n">
        <f aca="false">IF(AZ74="",0,IF(AZ74&gt;=Assumptions!$I$26,1,0))</f>
        <v>1</v>
      </c>
      <c r="BC74" s="9" t="n">
        <f aca="false">IF(AL74="",2,AL74+2)</f>
        <v>1</v>
      </c>
      <c r="BD74" s="10" t="n">
        <f aca="false">IF(AM74="",ROUND(AVERAGE($AM$2:$AM$921),3),AM74)</f>
        <v>0.447</v>
      </c>
      <c r="BE74" s="9" t="n">
        <f aca="false">1-BD74</f>
        <v>0.553</v>
      </c>
    </row>
    <row r="75" customFormat="false" ht="14.25" hidden="true" customHeight="false" outlineLevel="0" collapsed="false">
      <c r="A75" s="4" t="n">
        <v>574</v>
      </c>
      <c r="B75" s="5" t="n">
        <v>55052261</v>
      </c>
      <c r="C75" s="5"/>
      <c r="D75" s="5" t="s">
        <v>580</v>
      </c>
      <c r="E75" s="5" t="s">
        <v>257</v>
      </c>
      <c r="F75" s="5" t="s">
        <v>581</v>
      </c>
      <c r="G75" s="5" t="s">
        <v>582</v>
      </c>
      <c r="H75" s="5" t="s">
        <v>583</v>
      </c>
      <c r="I75" s="5" t="s">
        <v>63</v>
      </c>
      <c r="J75" s="5" t="s">
        <v>76</v>
      </c>
      <c r="K75" s="5" t="s">
        <v>309</v>
      </c>
      <c r="L75" s="6" t="n">
        <v>44732</v>
      </c>
      <c r="M75" s="5" t="s">
        <v>584</v>
      </c>
      <c r="N75" s="6" t="n">
        <v>36503</v>
      </c>
      <c r="O75" s="5" t="s">
        <v>585</v>
      </c>
      <c r="P75" s="5" t="s">
        <v>586</v>
      </c>
      <c r="Q75" s="5" t="s">
        <v>345</v>
      </c>
      <c r="R75" s="5" t="s">
        <v>115</v>
      </c>
      <c r="S75" s="5" t="s">
        <v>345</v>
      </c>
      <c r="T75" s="6"/>
      <c r="U75" s="6" t="n">
        <v>45108</v>
      </c>
      <c r="V75" s="5"/>
      <c r="W75" s="5" t="s">
        <v>83</v>
      </c>
      <c r="X75" s="5" t="s">
        <v>83</v>
      </c>
      <c r="Y75" s="5" t="s">
        <v>83</v>
      </c>
      <c r="Z75" s="5" t="s">
        <v>83</v>
      </c>
      <c r="AA75" s="5" t="s">
        <v>587</v>
      </c>
      <c r="AB75" s="0" t="n">
        <f aca="false">IFERROR(VALUE(R75),0)</f>
        <v>0</v>
      </c>
      <c r="AC75" s="0" t="n">
        <f aca="false">IFERROR(VALUE(M75),"")</f>
        <v>26.5</v>
      </c>
      <c r="AD75" s="0" t="n">
        <f aca="false">IFERROR(VALUE(Q75),"")</f>
        <v>3.11</v>
      </c>
      <c r="AE75" s="0" t="n">
        <f aca="false">IFERROR(VALUE(S75),"")</f>
        <v>3.11</v>
      </c>
      <c r="AF75" s="0" t="str">
        <f aca="false">IF(V75="","",VLOOKUP(V75,Assumptions!$B$6:$C$9,2,FALSE()))</f>
        <v/>
      </c>
      <c r="AG75" s="0" t="n">
        <f aca="false">IF(W75="","",VLOOKUP(W75,Assumptions!$B$6:$C$9,2,FALSE()))</f>
        <v>4</v>
      </c>
      <c r="AH75" s="0" t="n">
        <f aca="false">IF(X75="","",VLOOKUP(X75,Assumptions!$B$6:$C$9,2,FALSE()))</f>
        <v>4</v>
      </c>
      <c r="AI75" s="0" t="n">
        <f aca="false">IF(Y75="","",VLOOKUP(Y75,Assumptions!$B$6:$C$9,2,FALSE()))</f>
        <v>4</v>
      </c>
      <c r="AJ75" s="0" t="n">
        <f aca="false">IF(Z75="","",VLOOKUP(Z75,Assumptions!$B$6:$C$9,2,FALSE()))</f>
        <v>4</v>
      </c>
      <c r="AK75" s="7" t="n">
        <f aca="false">IFERROR(ROUND(AVERAGE(AF75:AJ75),3),"")</f>
        <v>4</v>
      </c>
      <c r="AL75" s="7" t="str">
        <f aca="false">IF(OR(AF75="",AJ75=""),"",AJ75-AF75)</f>
        <v/>
      </c>
      <c r="AM75" s="7" t="n">
        <f aca="false">IF(COUNT(AF75:AJ75)&gt;=2,ROUND(_xlfn.STDEV.S(AF75:AJ75),3),"")</f>
        <v>0</v>
      </c>
      <c r="AN75" s="7" t="n">
        <f aca="false">ROUND((IF(AF75="",0,AF75)*Assumptions!$F$15)+(IF(AG75="",0,AG75)*Assumptions!$F$16)+(IF(AH75="",0,AH75)*Assumptions!$F$17)+(IF(AI75="",0,AI75)*Assumptions!$F$18)+(IF(AJ75="",0,AJ75)*Assumptions!$F$19),3)</f>
        <v>3.6</v>
      </c>
      <c r="AO75" s="0" t="str">
        <f aca="false">IF(AC75&lt;=20,"",IF(AC75&lt;=Assumptions!$F$6,"20-30",IF(AC75&lt;=Assumptions!$F$7,"30-40",IF(AC75&lt;=Assumptions!$F$8,"40-50",IF(AC75&lt;=Assumptions!$F$9,"50-60",IF(AC75&lt;=Assumptions!$F$10,"60+",""))))))</f>
        <v>20-30</v>
      </c>
      <c r="AP75" s="0" t="str">
        <f aca="false">IFERROR(VLOOKUP(O75,Assumptions!$B$14:$C$26,2,FALSE()),"Other")</f>
        <v>Manager</v>
      </c>
      <c r="AQ75" s="0" t="n">
        <f aca="false">IF(T75="",0,1)</f>
        <v>0</v>
      </c>
      <c r="AR75" s="0" t="n">
        <f aca="false">IF(U75="",0,1)</f>
        <v>1</v>
      </c>
      <c r="AS75" s="8" t="n">
        <f aca="false">IF(AK75="","",IF(MAX($AK$2:$AK$921)=MIN($AK$2:$AK$921),50,ROUND((AK75-MIN($AK$2:$AK$921))/(MAX($AK$2:$AK$921)-MIN($AK$2:$AK$921))*100,2)))</f>
        <v>100</v>
      </c>
      <c r="AT75" s="8" t="n">
        <f aca="false">IF(MAX($BC$2:$BC$921)=MIN($BC$2:$BC$921),50,ROUND((BC75-MIN($BC$2:$BC$921))/(MAX($BC$2:$BC$921)-MIN($BC$2:$BC$921))*100,2))</f>
        <v>50</v>
      </c>
      <c r="AU75" s="8" t="n">
        <f aca="false">IF(MAX($BE$2:$BE$921)=MIN($BE$2:$BE$921),50,ROUND((BE75-MIN($BE$2:$BE$921))/(MAX($BE$2:$BE$921)-MIN($BE$2:$BE$921))*100,2))</f>
        <v>100</v>
      </c>
      <c r="AV75" s="8" t="n">
        <f aca="false">IF(MAX($AD$2:$AD$921)=MIN($AD$2:$AD$921),50,ROUND((AD75-MIN($AD$2:$AD$921))/(MAX($AD$2:$AD$921)-MIN($AD$2:$AD$921))*100,2))</f>
        <v>8.15</v>
      </c>
      <c r="AW75" s="8" t="n">
        <f aca="false">IF(MAX($AN$2:$AN$921)=MIN($AN$2:$AN$921),50,ROUND((AN75-MIN($AN$2:$AN$921))/(MAX($AN$2:$AN$921)-MIN($AN$2:$AN$921))*100,2))</f>
        <v>90</v>
      </c>
      <c r="AX75" s="8" t="n">
        <f aca="false">AQ75*100</f>
        <v>0</v>
      </c>
      <c r="AY75" s="8" t="n">
        <f aca="false">AR75*100</f>
        <v>100</v>
      </c>
      <c r="AZ75" s="8" t="n">
        <f aca="false">IFERROR(ROUND(AS75*Assumptions!$I$6+AW75*Assumptions!$I$7+AT75*Assumptions!$I$8+AU75*Assumptions!$I$9+AV75*Assumptions!$I$10+AX75*Assumptions!$I$11+AY75*Assumptions!$I$12,2),"")</f>
        <v>76.32</v>
      </c>
      <c r="BA75" s="0" t="str">
        <f aca="false">IF(AZ75="","",IF(AZ75&lt;=Assumptions!$I$18,"Below Expectation",IF(AZ75&lt;=Assumptions!$I$19,"Developing",IF(AZ75&lt;=Assumptions!$I$20,"Meets Expectation",IF(AZ75&lt;=Assumptions!$I$21,"Exceeds","Star Performer")))))</f>
        <v>Exceeds</v>
      </c>
      <c r="BB75" s="0" t="n">
        <f aca="false">IF(AZ75="",0,IF(AZ75&gt;=Assumptions!$I$26,1,0))</f>
        <v>1</v>
      </c>
      <c r="BC75" s="9" t="n">
        <f aca="false">IF(AL75="",2,AL75+2)</f>
        <v>2</v>
      </c>
      <c r="BD75" s="10" t="n">
        <f aca="false">IF(AM75="",ROUND(AVERAGE($AM$2:$AM$921),3),AM75)</f>
        <v>0</v>
      </c>
      <c r="BE75" s="9" t="n">
        <f aca="false">1-BD75</f>
        <v>1</v>
      </c>
    </row>
    <row r="76" customFormat="false" ht="14.25" hidden="false" customHeight="false" outlineLevel="0" collapsed="false">
      <c r="A76" s="4" t="n">
        <v>624</v>
      </c>
      <c r="B76" s="5" t="n">
        <v>55054632</v>
      </c>
      <c r="C76" s="5" t="s">
        <v>106</v>
      </c>
      <c r="D76" s="5" t="s">
        <v>588</v>
      </c>
      <c r="E76" s="5" t="s">
        <v>108</v>
      </c>
      <c r="F76" s="5" t="s">
        <v>463</v>
      </c>
      <c r="G76" s="5" t="s">
        <v>589</v>
      </c>
      <c r="H76" s="5" t="s">
        <v>590</v>
      </c>
      <c r="I76" s="5" t="s">
        <v>63</v>
      </c>
      <c r="J76" s="5" t="s">
        <v>112</v>
      </c>
      <c r="K76" s="5" t="s">
        <v>65</v>
      </c>
      <c r="L76" s="6" t="n">
        <v>44768</v>
      </c>
      <c r="M76" s="5" t="s">
        <v>574</v>
      </c>
      <c r="N76" s="6" t="n">
        <v>36750</v>
      </c>
      <c r="O76" s="5" t="s">
        <v>585</v>
      </c>
      <c r="P76" s="5" t="s">
        <v>586</v>
      </c>
      <c r="Q76" s="5" t="s">
        <v>591</v>
      </c>
      <c r="R76" s="5" t="s">
        <v>115</v>
      </c>
      <c r="S76" s="5" t="s">
        <v>591</v>
      </c>
      <c r="T76" s="6"/>
      <c r="U76" s="6" t="n">
        <v>45992</v>
      </c>
      <c r="V76" s="5"/>
      <c r="W76" s="5" t="s">
        <v>83</v>
      </c>
      <c r="X76" s="5" t="s">
        <v>83</v>
      </c>
      <c r="Y76" s="5" t="s">
        <v>83</v>
      </c>
      <c r="Z76" s="5" t="s">
        <v>83</v>
      </c>
      <c r="AA76" s="5" t="s">
        <v>592</v>
      </c>
      <c r="AB76" s="0" t="n">
        <f aca="false">IFERROR(VALUE(R76),0)</f>
        <v>0</v>
      </c>
      <c r="AC76" s="0" t="n">
        <f aca="false">IFERROR(VALUE(M76),"")</f>
        <v>25.9</v>
      </c>
      <c r="AD76" s="0" t="n">
        <f aca="false">IFERROR(VALUE(Q76),"")</f>
        <v>3.1</v>
      </c>
      <c r="AE76" s="0" t="n">
        <f aca="false">IFERROR(VALUE(S76),"")</f>
        <v>3.1</v>
      </c>
      <c r="AF76" s="0" t="str">
        <f aca="false">IF(V76="","",VLOOKUP(V76,Assumptions!$B$6:$C$9,2,FALSE()))</f>
        <v/>
      </c>
      <c r="AG76" s="0" t="n">
        <f aca="false">IF(W76="","",VLOOKUP(W76,Assumptions!$B$6:$C$9,2,FALSE()))</f>
        <v>4</v>
      </c>
      <c r="AH76" s="0" t="n">
        <f aca="false">IF(X76="","",VLOOKUP(X76,Assumptions!$B$6:$C$9,2,FALSE()))</f>
        <v>4</v>
      </c>
      <c r="AI76" s="0" t="n">
        <f aca="false">IF(Y76="","",VLOOKUP(Y76,Assumptions!$B$6:$C$9,2,FALSE()))</f>
        <v>4</v>
      </c>
      <c r="AJ76" s="0" t="n">
        <f aca="false">IF(Z76="","",VLOOKUP(Z76,Assumptions!$B$6:$C$9,2,FALSE()))</f>
        <v>4</v>
      </c>
      <c r="AK76" s="7" t="n">
        <f aca="false">IFERROR(ROUND(AVERAGE(AF76:AJ76),3),"")</f>
        <v>4</v>
      </c>
      <c r="AL76" s="7" t="str">
        <f aca="false">IF(OR(AF76="",AJ76=""),"",AJ76-AF76)</f>
        <v/>
      </c>
      <c r="AM76" s="7" t="n">
        <f aca="false">IF(COUNT(AF76:AJ76)&gt;=2,ROUND(_xlfn.STDEV.S(AF76:AJ76),3),"")</f>
        <v>0</v>
      </c>
      <c r="AN76" s="7" t="n">
        <f aca="false">ROUND((IF(AF76="",0,AF76)*Assumptions!$F$15)+(IF(AG76="",0,AG76)*Assumptions!$F$16)+(IF(AH76="",0,AH76)*Assumptions!$F$17)+(IF(AI76="",0,AI76)*Assumptions!$F$18)+(IF(AJ76="",0,AJ76)*Assumptions!$F$19),3)</f>
        <v>3.6</v>
      </c>
      <c r="AO76" s="0" t="str">
        <f aca="false">IF(AC76&lt;=20,"",IF(AC76&lt;=Assumptions!$F$6,"20-30",IF(AC76&lt;=Assumptions!$F$7,"30-40",IF(AC76&lt;=Assumptions!$F$8,"40-50",IF(AC76&lt;=Assumptions!$F$9,"50-60",IF(AC76&lt;=Assumptions!$F$10,"60+",""))))))</f>
        <v>20-30</v>
      </c>
      <c r="AP76" s="0" t="str">
        <f aca="false">IFERROR(VLOOKUP(O76,Assumptions!$B$14:$C$26,2,FALSE()),"Other")</f>
        <v>Manager</v>
      </c>
      <c r="AQ76" s="0" t="n">
        <f aca="false">IF(T76="",0,1)</f>
        <v>0</v>
      </c>
      <c r="AR76" s="0" t="n">
        <f aca="false">IF(U76="",0,1)</f>
        <v>1</v>
      </c>
      <c r="AS76" s="8" t="n">
        <f aca="false">IF(AK76="","",IF(MAX($AK$2:$AK$921)=MIN($AK$2:$AK$921),50,ROUND((AK76-MIN($AK$2:$AK$921))/(MAX($AK$2:$AK$921)-MIN($AK$2:$AK$921))*100,2)))</f>
        <v>100</v>
      </c>
      <c r="AT76" s="8" t="n">
        <f aca="false">IF(MAX($BC$2:$BC$921)=MIN($BC$2:$BC$921),50,ROUND((BC76-MIN($BC$2:$BC$921))/(MAX($BC$2:$BC$921)-MIN($BC$2:$BC$921))*100,2))</f>
        <v>50</v>
      </c>
      <c r="AU76" s="8" t="n">
        <f aca="false">IF(MAX($BE$2:$BE$921)=MIN($BE$2:$BE$921),50,ROUND((BE76-MIN($BE$2:$BE$921))/(MAX($BE$2:$BE$921)-MIN($BE$2:$BE$921))*100,2))</f>
        <v>100</v>
      </c>
      <c r="AV76" s="8" t="n">
        <f aca="false">IF(MAX($AD$2:$AD$921)=MIN($AD$2:$AD$921),50,ROUND((AD76-MIN($AD$2:$AD$921))/(MAX($AD$2:$AD$921)-MIN($AD$2:$AD$921))*100,2))</f>
        <v>8.13</v>
      </c>
      <c r="AW76" s="8" t="n">
        <f aca="false">IF(MAX($AN$2:$AN$921)=MIN($AN$2:$AN$921),50,ROUND((AN76-MIN($AN$2:$AN$921))/(MAX($AN$2:$AN$921)-MIN($AN$2:$AN$921))*100,2))</f>
        <v>90</v>
      </c>
      <c r="AX76" s="8" t="n">
        <f aca="false">AQ76*100</f>
        <v>0</v>
      </c>
      <c r="AY76" s="8" t="n">
        <f aca="false">AR76*100</f>
        <v>100</v>
      </c>
      <c r="AZ76" s="8" t="n">
        <f aca="false">IFERROR(ROUND(AS76*Assumptions!$I$6+AW76*Assumptions!$I$7+AT76*Assumptions!$I$8+AU76*Assumptions!$I$9+AV76*Assumptions!$I$10+AX76*Assumptions!$I$11+AY76*Assumptions!$I$12,2),"")</f>
        <v>76.31</v>
      </c>
      <c r="BA76" s="0" t="str">
        <f aca="false">IF(AZ76="","",IF(AZ76&lt;=Assumptions!$I$18,"Below Expectation",IF(AZ76&lt;=Assumptions!$I$19,"Developing",IF(AZ76&lt;=Assumptions!$I$20,"Meets Expectation",IF(AZ76&lt;=Assumptions!$I$21,"Exceeds","Star Performer")))))</f>
        <v>Exceeds</v>
      </c>
      <c r="BB76" s="0" t="n">
        <f aca="false">IF(AZ76="",0,IF(AZ76&gt;=Assumptions!$I$26,1,0))</f>
        <v>1</v>
      </c>
      <c r="BC76" s="9" t="n">
        <f aca="false">IF(AL76="",2,AL76+2)</f>
        <v>2</v>
      </c>
      <c r="BD76" s="10" t="n">
        <f aca="false">IF(AM76="",ROUND(AVERAGE($AM$2:$AM$921),3),AM76)</f>
        <v>0</v>
      </c>
      <c r="BE76" s="9" t="n">
        <f aca="false">1-BD76</f>
        <v>1</v>
      </c>
    </row>
    <row r="77" customFormat="false" ht="14.25" hidden="true" customHeight="false" outlineLevel="0" collapsed="false">
      <c r="A77" s="4" t="n">
        <v>300</v>
      </c>
      <c r="B77" s="5" t="n">
        <v>10071337</v>
      </c>
      <c r="C77" s="5" t="s">
        <v>85</v>
      </c>
      <c r="D77" s="5" t="s">
        <v>593</v>
      </c>
      <c r="E77" s="5" t="s">
        <v>594</v>
      </c>
      <c r="F77" s="5" t="s">
        <v>595</v>
      </c>
      <c r="G77" s="5" t="s">
        <v>596</v>
      </c>
      <c r="H77" s="5" t="s">
        <v>597</v>
      </c>
      <c r="I77" s="5" t="s">
        <v>63</v>
      </c>
      <c r="J77" s="5" t="s">
        <v>76</v>
      </c>
      <c r="K77" s="5" t="s">
        <v>65</v>
      </c>
      <c r="L77" s="6" t="n">
        <v>43817</v>
      </c>
      <c r="M77" s="5" t="s">
        <v>598</v>
      </c>
      <c r="N77" s="6" t="n">
        <v>33537</v>
      </c>
      <c r="O77" s="5" t="s">
        <v>332</v>
      </c>
      <c r="P77" s="5" t="s">
        <v>333</v>
      </c>
      <c r="Q77" s="5" t="s">
        <v>486</v>
      </c>
      <c r="R77" s="5" t="s">
        <v>468</v>
      </c>
      <c r="S77" s="5" t="s">
        <v>599</v>
      </c>
      <c r="T77" s="6"/>
      <c r="U77" s="6" t="n">
        <v>45444</v>
      </c>
      <c r="V77" s="5" t="s">
        <v>141</v>
      </c>
      <c r="W77" s="5" t="s">
        <v>83</v>
      </c>
      <c r="X77" s="5" t="s">
        <v>83</v>
      </c>
      <c r="Y77" s="5" t="s">
        <v>83</v>
      </c>
      <c r="Z77" s="5" t="s">
        <v>83</v>
      </c>
      <c r="AA77" s="5" t="s">
        <v>600</v>
      </c>
      <c r="AB77" s="0" t="n">
        <f aca="false">IFERROR(VALUE(R77),0)</f>
        <v>3.6</v>
      </c>
      <c r="AC77" s="0" t="n">
        <f aca="false">IFERROR(VALUE(M77),"")</f>
        <v>34.7</v>
      </c>
      <c r="AD77" s="0" t="n">
        <f aca="false">IFERROR(VALUE(Q77),"")</f>
        <v>6.5</v>
      </c>
      <c r="AE77" s="0" t="n">
        <f aca="false">IFERROR(VALUE(S77),"")</f>
        <v>9.11</v>
      </c>
      <c r="AF77" s="0" t="n">
        <f aca="false">IF(V77="","",VLOOKUP(V77,Assumptions!$B$6:$C$9,2,FALSE()))</f>
        <v>3</v>
      </c>
      <c r="AG77" s="0" t="n">
        <f aca="false">IF(W77="","",VLOOKUP(W77,Assumptions!$B$6:$C$9,2,FALSE()))</f>
        <v>4</v>
      </c>
      <c r="AH77" s="0" t="n">
        <f aca="false">IF(X77="","",VLOOKUP(X77,Assumptions!$B$6:$C$9,2,FALSE()))</f>
        <v>4</v>
      </c>
      <c r="AI77" s="0" t="n">
        <f aca="false">IF(Y77="","",VLOOKUP(Y77,Assumptions!$B$6:$C$9,2,FALSE()))</f>
        <v>4</v>
      </c>
      <c r="AJ77" s="0" t="n">
        <f aca="false">IF(Z77="","",VLOOKUP(Z77,Assumptions!$B$6:$C$9,2,FALSE()))</f>
        <v>4</v>
      </c>
      <c r="AK77" s="7" t="n">
        <f aca="false">IFERROR(ROUND(AVERAGE(AF77:AJ77),3),"")</f>
        <v>3.8</v>
      </c>
      <c r="AL77" s="7" t="n">
        <f aca="false">IF(OR(AF77="",AJ77=""),"",AJ77-AF77)</f>
        <v>1</v>
      </c>
      <c r="AM77" s="7" t="n">
        <f aca="false">IF(COUNT(AF77:AJ77)&gt;=2,ROUND(_xlfn.STDEV.S(AF77:AJ77),3),"")</f>
        <v>0.447</v>
      </c>
      <c r="AN77" s="7" t="n">
        <f aca="false">ROUND((IF(AF77="",0,AF77)*Assumptions!$F$15)+(IF(AG77="",0,AG77)*Assumptions!$F$16)+(IF(AH77="",0,AH77)*Assumptions!$F$17)+(IF(AI77="",0,AI77)*Assumptions!$F$18)+(IF(AJ77="",0,AJ77)*Assumptions!$F$19),3)</f>
        <v>3.9</v>
      </c>
      <c r="AO77" s="0" t="str">
        <f aca="false">IF(AC77&lt;=20,"",IF(AC77&lt;=Assumptions!$F$6,"20-30",IF(AC77&lt;=Assumptions!$F$7,"30-40",IF(AC77&lt;=Assumptions!$F$8,"40-50",IF(AC77&lt;=Assumptions!$F$9,"50-60",IF(AC77&lt;=Assumptions!$F$10,"60+",""))))))</f>
        <v>30-40</v>
      </c>
      <c r="AP77" s="0" t="str">
        <f aca="false">IFERROR(VLOOKUP(O77,Assumptions!$B$14:$C$26,2,FALSE()),"Other")</f>
        <v>Manager</v>
      </c>
      <c r="AQ77" s="0" t="n">
        <f aca="false">IF(T77="",0,1)</f>
        <v>0</v>
      </c>
      <c r="AR77" s="0" t="n">
        <f aca="false">IF(U77="",0,1)</f>
        <v>1</v>
      </c>
      <c r="AS77" s="8" t="n">
        <f aca="false">IF(AK77="","",IF(MAX($AK$2:$AK$921)=MIN($AK$2:$AK$921),50,ROUND((AK77-MIN($AK$2:$AK$921))/(MAX($AK$2:$AK$921)-MIN($AK$2:$AK$921))*100,2)))</f>
        <v>91.43</v>
      </c>
      <c r="AT77" s="8" t="n">
        <f aca="false">IF(MAX($BC$2:$BC$921)=MIN($BC$2:$BC$921),50,ROUND((BC77-MIN($BC$2:$BC$921))/(MAX($BC$2:$BC$921)-MIN($BC$2:$BC$921))*100,2))</f>
        <v>75</v>
      </c>
      <c r="AU77" s="8" t="n">
        <f aca="false">IF(MAX($BE$2:$BE$921)=MIN($BE$2:$BE$921),50,ROUND((BE77-MIN($BE$2:$BE$921))/(MAX($BE$2:$BE$921)-MIN($BE$2:$BE$921))*100,2))</f>
        <v>74.19</v>
      </c>
      <c r="AV77" s="8" t="n">
        <f aca="false">IF(MAX($AD$2:$AD$921)=MIN($AD$2:$AD$921),50,ROUND((AD77-MIN($AD$2:$AD$921))/(MAX($AD$2:$AD$921)-MIN($AD$2:$AD$921))*100,2))</f>
        <v>17.37</v>
      </c>
      <c r="AW77" s="8" t="n">
        <f aca="false">IF(MAX($AN$2:$AN$921)=MIN($AN$2:$AN$921),50,ROUND((AN77-MIN($AN$2:$AN$921))/(MAX($AN$2:$AN$921)-MIN($AN$2:$AN$921))*100,2))</f>
        <v>97.5</v>
      </c>
      <c r="AX77" s="8" t="n">
        <f aca="false">AQ77*100</f>
        <v>0</v>
      </c>
      <c r="AY77" s="8" t="n">
        <f aca="false">AR77*100</f>
        <v>100</v>
      </c>
      <c r="AZ77" s="8" t="n">
        <f aca="false">IFERROR(ROUND(AS77*Assumptions!$I$6+AW77*Assumptions!$I$7+AT77*Assumptions!$I$8+AU77*Assumptions!$I$9+AV77*Assumptions!$I$10+AX77*Assumptions!$I$11+AY77*Assumptions!$I$12,2),"")</f>
        <v>76.04</v>
      </c>
      <c r="BA77" s="0" t="str">
        <f aca="false">IF(AZ77="","",IF(AZ77&lt;=Assumptions!$I$18,"Below Expectation",IF(AZ77&lt;=Assumptions!$I$19,"Developing",IF(AZ77&lt;=Assumptions!$I$20,"Meets Expectation",IF(AZ77&lt;=Assumptions!$I$21,"Exceeds","Star Performer")))))</f>
        <v>Exceeds</v>
      </c>
      <c r="BB77" s="0" t="n">
        <f aca="false">IF(AZ77="",0,IF(AZ77&gt;=Assumptions!$I$26,1,0))</f>
        <v>1</v>
      </c>
      <c r="BC77" s="9" t="n">
        <f aca="false">IF(AL77="",2,AL77+2)</f>
        <v>3</v>
      </c>
      <c r="BD77" s="10" t="n">
        <f aca="false">IF(AM77="",ROUND(AVERAGE($AM$2:$AM$921),3),AM77)</f>
        <v>0.447</v>
      </c>
      <c r="BE77" s="9" t="n">
        <f aca="false">1-BD77</f>
        <v>0.553</v>
      </c>
    </row>
    <row r="78" customFormat="false" ht="14.25" hidden="true" customHeight="false" outlineLevel="0" collapsed="false">
      <c r="A78" s="4" t="n">
        <v>287</v>
      </c>
      <c r="B78" s="5" t="n">
        <v>10069415</v>
      </c>
      <c r="C78" s="5" t="s">
        <v>85</v>
      </c>
      <c r="D78" s="5" t="s">
        <v>601</v>
      </c>
      <c r="E78" s="5" t="s">
        <v>315</v>
      </c>
      <c r="F78" s="5" t="s">
        <v>602</v>
      </c>
      <c r="G78" s="5" t="s">
        <v>603</v>
      </c>
      <c r="H78" s="5" t="s">
        <v>602</v>
      </c>
      <c r="I78" s="5" t="s">
        <v>63</v>
      </c>
      <c r="J78" s="5" t="s">
        <v>76</v>
      </c>
      <c r="K78" s="5" t="s">
        <v>65</v>
      </c>
      <c r="L78" s="6" t="n">
        <v>43675</v>
      </c>
      <c r="M78" s="5" t="s">
        <v>104</v>
      </c>
      <c r="N78" s="6" t="n">
        <v>34573</v>
      </c>
      <c r="O78" s="5" t="s">
        <v>332</v>
      </c>
      <c r="P78" s="5" t="s">
        <v>333</v>
      </c>
      <c r="Q78" s="5" t="s">
        <v>604</v>
      </c>
      <c r="R78" s="5" t="s">
        <v>115</v>
      </c>
      <c r="S78" s="5" t="s">
        <v>604</v>
      </c>
      <c r="T78" s="6"/>
      <c r="U78" s="6" t="n">
        <v>46113</v>
      </c>
      <c r="V78" s="5" t="s">
        <v>141</v>
      </c>
      <c r="W78" s="5" t="s">
        <v>83</v>
      </c>
      <c r="X78" s="5" t="s">
        <v>83</v>
      </c>
      <c r="Y78" s="5" t="s">
        <v>83</v>
      </c>
      <c r="Z78" s="5" t="s">
        <v>83</v>
      </c>
      <c r="AA78" s="5" t="s">
        <v>605</v>
      </c>
      <c r="AB78" s="0" t="n">
        <f aca="false">IFERROR(VALUE(R78),0)</f>
        <v>0</v>
      </c>
      <c r="AC78" s="0" t="n">
        <f aca="false">IFERROR(VALUE(M78),"")</f>
        <v>31.9</v>
      </c>
      <c r="AD78" s="0" t="n">
        <f aca="false">IFERROR(VALUE(Q78),"")</f>
        <v>6.1</v>
      </c>
      <c r="AE78" s="0" t="n">
        <f aca="false">IFERROR(VALUE(S78),"")</f>
        <v>6.1</v>
      </c>
      <c r="AF78" s="0" t="n">
        <f aca="false">IF(V78="","",VLOOKUP(V78,Assumptions!$B$6:$C$9,2,FALSE()))</f>
        <v>3</v>
      </c>
      <c r="AG78" s="0" t="n">
        <f aca="false">IF(W78="","",VLOOKUP(W78,Assumptions!$B$6:$C$9,2,FALSE()))</f>
        <v>4</v>
      </c>
      <c r="AH78" s="0" t="n">
        <f aca="false">IF(X78="","",VLOOKUP(X78,Assumptions!$B$6:$C$9,2,FALSE()))</f>
        <v>4</v>
      </c>
      <c r="AI78" s="0" t="n">
        <f aca="false">IF(Y78="","",VLOOKUP(Y78,Assumptions!$B$6:$C$9,2,FALSE()))</f>
        <v>4</v>
      </c>
      <c r="AJ78" s="0" t="n">
        <f aca="false">IF(Z78="","",VLOOKUP(Z78,Assumptions!$B$6:$C$9,2,FALSE()))</f>
        <v>4</v>
      </c>
      <c r="AK78" s="7" t="n">
        <f aca="false">IFERROR(ROUND(AVERAGE(AF78:AJ78),3),"")</f>
        <v>3.8</v>
      </c>
      <c r="AL78" s="7" t="n">
        <f aca="false">IF(OR(AF78="",AJ78=""),"",AJ78-AF78)</f>
        <v>1</v>
      </c>
      <c r="AM78" s="7" t="n">
        <f aca="false">IF(COUNT(AF78:AJ78)&gt;=2,ROUND(_xlfn.STDEV.S(AF78:AJ78),3),"")</f>
        <v>0.447</v>
      </c>
      <c r="AN78" s="7" t="n">
        <f aca="false">ROUND((IF(AF78="",0,AF78)*Assumptions!$F$15)+(IF(AG78="",0,AG78)*Assumptions!$F$16)+(IF(AH78="",0,AH78)*Assumptions!$F$17)+(IF(AI78="",0,AI78)*Assumptions!$F$18)+(IF(AJ78="",0,AJ78)*Assumptions!$F$19),3)</f>
        <v>3.9</v>
      </c>
      <c r="AO78" s="0" t="str">
        <f aca="false">IF(AC78&lt;=20,"",IF(AC78&lt;=Assumptions!$F$6,"20-30",IF(AC78&lt;=Assumptions!$F$7,"30-40",IF(AC78&lt;=Assumptions!$F$8,"40-50",IF(AC78&lt;=Assumptions!$F$9,"50-60",IF(AC78&lt;=Assumptions!$F$10,"60+",""))))))</f>
        <v>30-40</v>
      </c>
      <c r="AP78" s="0" t="str">
        <f aca="false">IFERROR(VLOOKUP(O78,Assumptions!$B$14:$C$26,2,FALSE()),"Other")</f>
        <v>Manager</v>
      </c>
      <c r="AQ78" s="0" t="n">
        <f aca="false">IF(T78="",0,1)</f>
        <v>0</v>
      </c>
      <c r="AR78" s="0" t="n">
        <f aca="false">IF(U78="",0,1)</f>
        <v>1</v>
      </c>
      <c r="AS78" s="8" t="n">
        <f aca="false">IF(AK78="","",IF(MAX($AK$2:$AK$921)=MIN($AK$2:$AK$921),50,ROUND((AK78-MIN($AK$2:$AK$921))/(MAX($AK$2:$AK$921)-MIN($AK$2:$AK$921))*100,2)))</f>
        <v>91.43</v>
      </c>
      <c r="AT78" s="8" t="n">
        <f aca="false">IF(MAX($BC$2:$BC$921)=MIN($BC$2:$BC$921),50,ROUND((BC78-MIN($BC$2:$BC$921))/(MAX($BC$2:$BC$921)-MIN($BC$2:$BC$921))*100,2))</f>
        <v>75</v>
      </c>
      <c r="AU78" s="8" t="n">
        <f aca="false">IF(MAX($BE$2:$BE$921)=MIN($BE$2:$BE$921),50,ROUND((BE78-MIN($BE$2:$BE$921))/(MAX($BE$2:$BE$921)-MIN($BE$2:$BE$921))*100,2))</f>
        <v>74.19</v>
      </c>
      <c r="AV78" s="8" t="n">
        <f aca="false">IF(MAX($AD$2:$AD$921)=MIN($AD$2:$AD$921),50,ROUND((AD78-MIN($AD$2:$AD$921))/(MAX($AD$2:$AD$921)-MIN($AD$2:$AD$921))*100,2))</f>
        <v>16.28</v>
      </c>
      <c r="AW78" s="8" t="n">
        <f aca="false">IF(MAX($AN$2:$AN$921)=MIN($AN$2:$AN$921),50,ROUND((AN78-MIN($AN$2:$AN$921))/(MAX($AN$2:$AN$921)-MIN($AN$2:$AN$921))*100,2))</f>
        <v>97.5</v>
      </c>
      <c r="AX78" s="8" t="n">
        <f aca="false">AQ78*100</f>
        <v>0</v>
      </c>
      <c r="AY78" s="8" t="n">
        <f aca="false">AR78*100</f>
        <v>100</v>
      </c>
      <c r="AZ78" s="8" t="n">
        <f aca="false">IFERROR(ROUND(AS78*Assumptions!$I$6+AW78*Assumptions!$I$7+AT78*Assumptions!$I$8+AU78*Assumptions!$I$9+AV78*Assumptions!$I$10+AX78*Assumptions!$I$11+AY78*Assumptions!$I$12,2),"")</f>
        <v>75.94</v>
      </c>
      <c r="BA78" s="0" t="str">
        <f aca="false">IF(AZ78="","",IF(AZ78&lt;=Assumptions!$I$18,"Below Expectation",IF(AZ78&lt;=Assumptions!$I$19,"Developing",IF(AZ78&lt;=Assumptions!$I$20,"Meets Expectation",IF(AZ78&lt;=Assumptions!$I$21,"Exceeds","Star Performer")))))</f>
        <v>Exceeds</v>
      </c>
      <c r="BB78" s="0" t="n">
        <f aca="false">IF(AZ78="",0,IF(AZ78&gt;=Assumptions!$I$26,1,0))</f>
        <v>1</v>
      </c>
      <c r="BC78" s="9" t="n">
        <f aca="false">IF(AL78="",2,AL78+2)</f>
        <v>3</v>
      </c>
      <c r="BD78" s="10" t="n">
        <f aca="false">IF(AM78="",ROUND(AVERAGE($AM$2:$AM$921),3),AM78)</f>
        <v>0.447</v>
      </c>
      <c r="BE78" s="9" t="n">
        <f aca="false">1-BD78</f>
        <v>0.553</v>
      </c>
    </row>
    <row r="79" customFormat="false" ht="14.25" hidden="true" customHeight="false" outlineLevel="0" collapsed="false">
      <c r="A79" s="4" t="n">
        <v>321</v>
      </c>
      <c r="B79" s="5" t="n">
        <v>10072627</v>
      </c>
      <c r="C79" s="5" t="s">
        <v>57</v>
      </c>
      <c r="D79" s="5" t="s">
        <v>606</v>
      </c>
      <c r="E79" s="5" t="s">
        <v>607</v>
      </c>
      <c r="F79" s="5" t="s">
        <v>608</v>
      </c>
      <c r="G79" s="5" t="s">
        <v>609</v>
      </c>
      <c r="H79" s="5" t="s">
        <v>608</v>
      </c>
      <c r="I79" s="5" t="s">
        <v>63</v>
      </c>
      <c r="J79" s="5" t="s">
        <v>100</v>
      </c>
      <c r="K79" s="5" t="s">
        <v>65</v>
      </c>
      <c r="L79" s="6" t="n">
        <v>43983</v>
      </c>
      <c r="M79" s="5" t="s">
        <v>610</v>
      </c>
      <c r="N79" s="6" t="n">
        <v>32823</v>
      </c>
      <c r="O79" s="5" t="s">
        <v>332</v>
      </c>
      <c r="P79" s="5" t="s">
        <v>333</v>
      </c>
      <c r="Q79" s="5" t="s">
        <v>611</v>
      </c>
      <c r="R79" s="5" t="s">
        <v>487</v>
      </c>
      <c r="S79" s="5" t="s">
        <v>374</v>
      </c>
      <c r="T79" s="6"/>
      <c r="U79" s="6" t="n">
        <v>45748</v>
      </c>
      <c r="V79" s="5" t="s">
        <v>141</v>
      </c>
      <c r="W79" s="5" t="s">
        <v>83</v>
      </c>
      <c r="X79" s="5" t="s">
        <v>83</v>
      </c>
      <c r="Y79" s="5" t="s">
        <v>83</v>
      </c>
      <c r="Z79" s="5" t="s">
        <v>83</v>
      </c>
      <c r="AA79" s="5" t="s">
        <v>612</v>
      </c>
      <c r="AB79" s="0" t="n">
        <f aca="false">IFERROR(VALUE(R79),0)</f>
        <v>6.4</v>
      </c>
      <c r="AC79" s="0" t="n">
        <f aca="false">IFERROR(VALUE(M79),"")</f>
        <v>36.6</v>
      </c>
      <c r="AD79" s="0" t="n">
        <f aca="false">IFERROR(VALUE(Q79),"")</f>
        <v>6</v>
      </c>
      <c r="AE79" s="0" t="n">
        <f aca="false">IFERROR(VALUE(S79),"")</f>
        <v>12.4</v>
      </c>
      <c r="AF79" s="0" t="n">
        <f aca="false">IF(V79="","",VLOOKUP(V79,Assumptions!$B$6:$C$9,2,FALSE()))</f>
        <v>3</v>
      </c>
      <c r="AG79" s="0" t="n">
        <f aca="false">IF(W79="","",VLOOKUP(W79,Assumptions!$B$6:$C$9,2,FALSE()))</f>
        <v>4</v>
      </c>
      <c r="AH79" s="0" t="n">
        <f aca="false">IF(X79="","",VLOOKUP(X79,Assumptions!$B$6:$C$9,2,FALSE()))</f>
        <v>4</v>
      </c>
      <c r="AI79" s="0" t="n">
        <f aca="false">IF(Y79="","",VLOOKUP(Y79,Assumptions!$B$6:$C$9,2,FALSE()))</f>
        <v>4</v>
      </c>
      <c r="AJ79" s="0" t="n">
        <f aca="false">IF(Z79="","",VLOOKUP(Z79,Assumptions!$B$6:$C$9,2,FALSE()))</f>
        <v>4</v>
      </c>
      <c r="AK79" s="7" t="n">
        <f aca="false">IFERROR(ROUND(AVERAGE(AF79:AJ79),3),"")</f>
        <v>3.8</v>
      </c>
      <c r="AL79" s="7" t="n">
        <f aca="false">IF(OR(AF79="",AJ79=""),"",AJ79-AF79)</f>
        <v>1</v>
      </c>
      <c r="AM79" s="7" t="n">
        <f aca="false">IF(COUNT(AF79:AJ79)&gt;=2,ROUND(_xlfn.STDEV.S(AF79:AJ79),3),"")</f>
        <v>0.447</v>
      </c>
      <c r="AN79" s="7" t="n">
        <f aca="false">ROUND((IF(AF79="",0,AF79)*Assumptions!$F$15)+(IF(AG79="",0,AG79)*Assumptions!$F$16)+(IF(AH79="",0,AH79)*Assumptions!$F$17)+(IF(AI79="",0,AI79)*Assumptions!$F$18)+(IF(AJ79="",0,AJ79)*Assumptions!$F$19),3)</f>
        <v>3.9</v>
      </c>
      <c r="AO79" s="0" t="str">
        <f aca="false">IF(AC79&lt;=20,"",IF(AC79&lt;=Assumptions!$F$6,"20-30",IF(AC79&lt;=Assumptions!$F$7,"30-40",IF(AC79&lt;=Assumptions!$F$8,"40-50",IF(AC79&lt;=Assumptions!$F$9,"50-60",IF(AC79&lt;=Assumptions!$F$10,"60+",""))))))</f>
        <v>30-40</v>
      </c>
      <c r="AP79" s="0" t="str">
        <f aca="false">IFERROR(VLOOKUP(O79,Assumptions!$B$14:$C$26,2,FALSE()),"Other")</f>
        <v>Manager</v>
      </c>
      <c r="AQ79" s="0" t="n">
        <f aca="false">IF(T79="",0,1)</f>
        <v>0</v>
      </c>
      <c r="AR79" s="0" t="n">
        <f aca="false">IF(U79="",0,1)</f>
        <v>1</v>
      </c>
      <c r="AS79" s="8" t="n">
        <f aca="false">IF(AK79="","",IF(MAX($AK$2:$AK$921)=MIN($AK$2:$AK$921),50,ROUND((AK79-MIN($AK$2:$AK$921))/(MAX($AK$2:$AK$921)-MIN($AK$2:$AK$921))*100,2)))</f>
        <v>91.43</v>
      </c>
      <c r="AT79" s="8" t="n">
        <f aca="false">IF(MAX($BC$2:$BC$921)=MIN($BC$2:$BC$921),50,ROUND((BC79-MIN($BC$2:$BC$921))/(MAX($BC$2:$BC$921)-MIN($BC$2:$BC$921))*100,2))</f>
        <v>75</v>
      </c>
      <c r="AU79" s="8" t="n">
        <f aca="false">IF(MAX($BE$2:$BE$921)=MIN($BE$2:$BE$921),50,ROUND((BE79-MIN($BE$2:$BE$921))/(MAX($BE$2:$BE$921)-MIN($BE$2:$BE$921))*100,2))</f>
        <v>74.19</v>
      </c>
      <c r="AV79" s="8" t="n">
        <f aca="false">IF(MAX($AD$2:$AD$921)=MIN($AD$2:$AD$921),50,ROUND((AD79-MIN($AD$2:$AD$921))/(MAX($AD$2:$AD$921)-MIN($AD$2:$AD$921))*100,2))</f>
        <v>16.01</v>
      </c>
      <c r="AW79" s="8" t="n">
        <f aca="false">IF(MAX($AN$2:$AN$921)=MIN($AN$2:$AN$921),50,ROUND((AN79-MIN($AN$2:$AN$921))/(MAX($AN$2:$AN$921)-MIN($AN$2:$AN$921))*100,2))</f>
        <v>97.5</v>
      </c>
      <c r="AX79" s="8" t="n">
        <f aca="false">AQ79*100</f>
        <v>0</v>
      </c>
      <c r="AY79" s="8" t="n">
        <f aca="false">AR79*100</f>
        <v>100</v>
      </c>
      <c r="AZ79" s="8" t="n">
        <f aca="false">IFERROR(ROUND(AS79*Assumptions!$I$6+AW79*Assumptions!$I$7+AT79*Assumptions!$I$8+AU79*Assumptions!$I$9+AV79*Assumptions!$I$10+AX79*Assumptions!$I$11+AY79*Assumptions!$I$12,2),"")</f>
        <v>75.91</v>
      </c>
      <c r="BA79" s="0" t="str">
        <f aca="false">IF(AZ79="","",IF(AZ79&lt;=Assumptions!$I$18,"Below Expectation",IF(AZ79&lt;=Assumptions!$I$19,"Developing",IF(AZ79&lt;=Assumptions!$I$20,"Meets Expectation",IF(AZ79&lt;=Assumptions!$I$21,"Exceeds","Star Performer")))))</f>
        <v>Exceeds</v>
      </c>
      <c r="BB79" s="0" t="n">
        <f aca="false">IF(AZ79="",0,IF(AZ79&gt;=Assumptions!$I$26,1,0))</f>
        <v>1</v>
      </c>
      <c r="BC79" s="9" t="n">
        <f aca="false">IF(AL79="",2,AL79+2)</f>
        <v>3</v>
      </c>
      <c r="BD79" s="10" t="n">
        <f aca="false">IF(AM79="",ROUND(AVERAGE($AM$2:$AM$921),3),AM79)</f>
        <v>0.447</v>
      </c>
      <c r="BE79" s="9" t="n">
        <f aca="false">1-BD79</f>
        <v>0.553</v>
      </c>
    </row>
    <row r="80" customFormat="false" ht="14.25" hidden="false" customHeight="false" outlineLevel="0" collapsed="false">
      <c r="A80" s="4" t="n">
        <v>465</v>
      </c>
      <c r="B80" s="5" t="n">
        <v>55038040</v>
      </c>
      <c r="C80" s="5" t="s">
        <v>106</v>
      </c>
      <c r="D80" s="5" t="s">
        <v>613</v>
      </c>
      <c r="E80" s="5" t="s">
        <v>108</v>
      </c>
      <c r="F80" s="5" t="s">
        <v>463</v>
      </c>
      <c r="G80" s="5" t="s">
        <v>589</v>
      </c>
      <c r="H80" s="5" t="s">
        <v>590</v>
      </c>
      <c r="I80" s="5" t="s">
        <v>63</v>
      </c>
      <c r="J80" s="5" t="s">
        <v>112</v>
      </c>
      <c r="K80" s="5" t="s">
        <v>65</v>
      </c>
      <c r="L80" s="6" t="n">
        <v>44123</v>
      </c>
      <c r="M80" s="5" t="s">
        <v>614</v>
      </c>
      <c r="N80" s="6" t="n">
        <v>36101</v>
      </c>
      <c r="O80" s="5" t="s">
        <v>585</v>
      </c>
      <c r="P80" s="5" t="s">
        <v>586</v>
      </c>
      <c r="Q80" s="5" t="s">
        <v>615</v>
      </c>
      <c r="R80" s="5" t="s">
        <v>115</v>
      </c>
      <c r="S80" s="5" t="s">
        <v>615</v>
      </c>
      <c r="T80" s="6"/>
      <c r="U80" s="6" t="n">
        <v>45689</v>
      </c>
      <c r="V80" s="5" t="s">
        <v>141</v>
      </c>
      <c r="W80" s="5" t="s">
        <v>83</v>
      </c>
      <c r="X80" s="5" t="s">
        <v>83</v>
      </c>
      <c r="Y80" s="5" t="s">
        <v>83</v>
      </c>
      <c r="Z80" s="5" t="s">
        <v>83</v>
      </c>
      <c r="AA80" s="5" t="s">
        <v>616</v>
      </c>
      <c r="AB80" s="0" t="n">
        <f aca="false">IFERROR(VALUE(R80),0)</f>
        <v>0</v>
      </c>
      <c r="AC80" s="0" t="n">
        <f aca="false">IFERROR(VALUE(M80),"")</f>
        <v>27.7</v>
      </c>
      <c r="AD80" s="0" t="n">
        <f aca="false">IFERROR(VALUE(Q80),"")</f>
        <v>5.7</v>
      </c>
      <c r="AE80" s="0" t="n">
        <f aca="false">IFERROR(VALUE(S80),"")</f>
        <v>5.7</v>
      </c>
      <c r="AF80" s="0" t="n">
        <f aca="false">IF(V80="","",VLOOKUP(V80,Assumptions!$B$6:$C$9,2,FALSE()))</f>
        <v>3</v>
      </c>
      <c r="AG80" s="0" t="n">
        <f aca="false">IF(W80="","",VLOOKUP(W80,Assumptions!$B$6:$C$9,2,FALSE()))</f>
        <v>4</v>
      </c>
      <c r="AH80" s="0" t="n">
        <f aca="false">IF(X80="","",VLOOKUP(X80,Assumptions!$B$6:$C$9,2,FALSE()))</f>
        <v>4</v>
      </c>
      <c r="AI80" s="0" t="n">
        <f aca="false">IF(Y80="","",VLOOKUP(Y80,Assumptions!$B$6:$C$9,2,FALSE()))</f>
        <v>4</v>
      </c>
      <c r="AJ80" s="0" t="n">
        <f aca="false">IF(Z80="","",VLOOKUP(Z80,Assumptions!$B$6:$C$9,2,FALSE()))</f>
        <v>4</v>
      </c>
      <c r="AK80" s="7" t="n">
        <f aca="false">IFERROR(ROUND(AVERAGE(AF80:AJ80),3),"")</f>
        <v>3.8</v>
      </c>
      <c r="AL80" s="7" t="n">
        <f aca="false">IF(OR(AF80="",AJ80=""),"",AJ80-AF80)</f>
        <v>1</v>
      </c>
      <c r="AM80" s="7" t="n">
        <f aca="false">IF(COUNT(AF80:AJ80)&gt;=2,ROUND(_xlfn.STDEV.S(AF80:AJ80),3),"")</f>
        <v>0.447</v>
      </c>
      <c r="AN80" s="7" t="n">
        <f aca="false">ROUND((IF(AF80="",0,AF80)*Assumptions!$F$15)+(IF(AG80="",0,AG80)*Assumptions!$F$16)+(IF(AH80="",0,AH80)*Assumptions!$F$17)+(IF(AI80="",0,AI80)*Assumptions!$F$18)+(IF(AJ80="",0,AJ80)*Assumptions!$F$19),3)</f>
        <v>3.9</v>
      </c>
      <c r="AO80" s="0" t="str">
        <f aca="false">IF(AC80&lt;=20,"",IF(AC80&lt;=Assumptions!$F$6,"20-30",IF(AC80&lt;=Assumptions!$F$7,"30-40",IF(AC80&lt;=Assumptions!$F$8,"40-50",IF(AC80&lt;=Assumptions!$F$9,"50-60",IF(AC80&lt;=Assumptions!$F$10,"60+",""))))))</f>
        <v>20-30</v>
      </c>
      <c r="AP80" s="0" t="str">
        <f aca="false">IFERROR(VLOOKUP(O80,Assumptions!$B$14:$C$26,2,FALSE()),"Other")</f>
        <v>Manager</v>
      </c>
      <c r="AQ80" s="0" t="n">
        <f aca="false">IF(T80="",0,1)</f>
        <v>0</v>
      </c>
      <c r="AR80" s="0" t="n">
        <f aca="false">IF(U80="",0,1)</f>
        <v>1</v>
      </c>
      <c r="AS80" s="8" t="n">
        <f aca="false">IF(AK80="","",IF(MAX($AK$2:$AK$921)=MIN($AK$2:$AK$921),50,ROUND((AK80-MIN($AK$2:$AK$921))/(MAX($AK$2:$AK$921)-MIN($AK$2:$AK$921))*100,2)))</f>
        <v>91.43</v>
      </c>
      <c r="AT80" s="8" t="n">
        <f aca="false">IF(MAX($BC$2:$BC$921)=MIN($BC$2:$BC$921),50,ROUND((BC80-MIN($BC$2:$BC$921))/(MAX($BC$2:$BC$921)-MIN($BC$2:$BC$921))*100,2))</f>
        <v>75</v>
      </c>
      <c r="AU80" s="8" t="n">
        <f aca="false">IF(MAX($BE$2:$BE$921)=MIN($BE$2:$BE$921),50,ROUND((BE80-MIN($BE$2:$BE$921))/(MAX($BE$2:$BE$921)-MIN($BE$2:$BE$921))*100,2))</f>
        <v>74.19</v>
      </c>
      <c r="AV80" s="8" t="n">
        <f aca="false">IF(MAX($AD$2:$AD$921)=MIN($AD$2:$AD$921),50,ROUND((AD80-MIN($AD$2:$AD$921))/(MAX($AD$2:$AD$921)-MIN($AD$2:$AD$921))*100,2))</f>
        <v>15.19</v>
      </c>
      <c r="AW80" s="8" t="n">
        <f aca="false">IF(MAX($AN$2:$AN$921)=MIN($AN$2:$AN$921),50,ROUND((AN80-MIN($AN$2:$AN$921))/(MAX($AN$2:$AN$921)-MIN($AN$2:$AN$921))*100,2))</f>
        <v>97.5</v>
      </c>
      <c r="AX80" s="8" t="n">
        <f aca="false">AQ80*100</f>
        <v>0</v>
      </c>
      <c r="AY80" s="8" t="n">
        <f aca="false">AR80*100</f>
        <v>100</v>
      </c>
      <c r="AZ80" s="8" t="n">
        <f aca="false">IFERROR(ROUND(AS80*Assumptions!$I$6+AW80*Assumptions!$I$7+AT80*Assumptions!$I$8+AU80*Assumptions!$I$9+AV80*Assumptions!$I$10+AX80*Assumptions!$I$11+AY80*Assumptions!$I$12,2),"")</f>
        <v>75.83</v>
      </c>
      <c r="BA80" s="0" t="str">
        <f aca="false">IF(AZ80="","",IF(AZ80&lt;=Assumptions!$I$18,"Below Expectation",IF(AZ80&lt;=Assumptions!$I$19,"Developing",IF(AZ80&lt;=Assumptions!$I$20,"Meets Expectation",IF(AZ80&lt;=Assumptions!$I$21,"Exceeds","Star Performer")))))</f>
        <v>Exceeds</v>
      </c>
      <c r="BB80" s="0" t="n">
        <f aca="false">IF(AZ80="",0,IF(AZ80&gt;=Assumptions!$I$26,1,0))</f>
        <v>1</v>
      </c>
      <c r="BC80" s="9" t="n">
        <f aca="false">IF(AL80="",2,AL80+2)</f>
        <v>3</v>
      </c>
      <c r="BD80" s="10" t="n">
        <f aca="false">IF(AM80="",ROUND(AVERAGE($AM$2:$AM$921),3),AM80)</f>
        <v>0.447</v>
      </c>
      <c r="BE80" s="9" t="n">
        <f aca="false">1-BD80</f>
        <v>0.553</v>
      </c>
    </row>
    <row r="81" customFormat="false" ht="14.25" hidden="true" customHeight="false" outlineLevel="0" collapsed="false">
      <c r="A81" s="4" t="n">
        <v>55</v>
      </c>
      <c r="B81" s="5" t="n">
        <v>10014221</v>
      </c>
      <c r="C81" s="5"/>
      <c r="D81" s="5" t="s">
        <v>617</v>
      </c>
      <c r="E81" s="5" t="s">
        <v>257</v>
      </c>
      <c r="F81" s="5" t="s">
        <v>618</v>
      </c>
      <c r="G81" s="5" t="s">
        <v>619</v>
      </c>
      <c r="H81" s="5" t="s">
        <v>618</v>
      </c>
      <c r="I81" s="5" t="s">
        <v>63</v>
      </c>
      <c r="J81" s="5" t="s">
        <v>76</v>
      </c>
      <c r="K81" s="5" t="s">
        <v>65</v>
      </c>
      <c r="L81" s="6" t="n">
        <v>38878</v>
      </c>
      <c r="M81" s="5" t="s">
        <v>131</v>
      </c>
      <c r="N81" s="6" t="n">
        <v>29184</v>
      </c>
      <c r="O81" s="5" t="s">
        <v>162</v>
      </c>
      <c r="P81" s="5" t="s">
        <v>162</v>
      </c>
      <c r="Q81" s="5" t="s">
        <v>620</v>
      </c>
      <c r="R81" s="5" t="s">
        <v>554</v>
      </c>
      <c r="S81" s="5" t="s">
        <v>621</v>
      </c>
      <c r="T81" s="6" t="n">
        <v>41365</v>
      </c>
      <c r="U81" s="6" t="n">
        <v>44287</v>
      </c>
      <c r="V81" s="5" t="s">
        <v>141</v>
      </c>
      <c r="W81" s="5" t="s">
        <v>83</v>
      </c>
      <c r="X81" s="5" t="s">
        <v>83</v>
      </c>
      <c r="Y81" s="5" t="s">
        <v>83</v>
      </c>
      <c r="Z81" s="5" t="s">
        <v>141</v>
      </c>
      <c r="AA81" s="5" t="s">
        <v>622</v>
      </c>
      <c r="AB81" s="0" t="n">
        <f aca="false">IFERROR(VALUE(R81),0)</f>
        <v>4.2</v>
      </c>
      <c r="AC81" s="0" t="n">
        <f aca="false">IFERROR(VALUE(M81),"")</f>
        <v>46.6</v>
      </c>
      <c r="AD81" s="0" t="n">
        <f aca="false">IFERROR(VALUE(Q81),"")</f>
        <v>19.11</v>
      </c>
      <c r="AE81" s="0" t="n">
        <f aca="false">IFERROR(VALUE(S81),"")</f>
        <v>24.1</v>
      </c>
      <c r="AF81" s="0" t="n">
        <f aca="false">IF(V81="","",VLOOKUP(V81,Assumptions!$B$6:$C$9,2,FALSE()))</f>
        <v>3</v>
      </c>
      <c r="AG81" s="0" t="n">
        <f aca="false">IF(W81="","",VLOOKUP(W81,Assumptions!$B$6:$C$9,2,FALSE()))</f>
        <v>4</v>
      </c>
      <c r="AH81" s="0" t="n">
        <f aca="false">IF(X81="","",VLOOKUP(X81,Assumptions!$B$6:$C$9,2,FALSE()))</f>
        <v>4</v>
      </c>
      <c r="AI81" s="0" t="n">
        <f aca="false">IF(Y81="","",VLOOKUP(Y81,Assumptions!$B$6:$C$9,2,FALSE()))</f>
        <v>4</v>
      </c>
      <c r="AJ81" s="0" t="n">
        <f aca="false">IF(Z81="","",VLOOKUP(Z81,Assumptions!$B$6:$C$9,2,FALSE()))</f>
        <v>3</v>
      </c>
      <c r="AK81" s="7" t="n">
        <f aca="false">IFERROR(ROUND(AVERAGE(AF81:AJ81),3),"")</f>
        <v>3.6</v>
      </c>
      <c r="AL81" s="7" t="n">
        <f aca="false">IF(OR(AF81="",AJ81=""),"",AJ81-AF81)</f>
        <v>0</v>
      </c>
      <c r="AM81" s="7" t="n">
        <f aca="false">IF(COUNT(AF81:AJ81)&gt;=2,ROUND(_xlfn.STDEV.S(AF81:AJ81),3),"")</f>
        <v>0.548</v>
      </c>
      <c r="AN81" s="7" t="n">
        <f aca="false">ROUND((IF(AF81="",0,AF81)*Assumptions!$F$15)+(IF(AG81="",0,AG81)*Assumptions!$F$16)+(IF(AH81="",0,AH81)*Assumptions!$F$17)+(IF(AI81="",0,AI81)*Assumptions!$F$18)+(IF(AJ81="",0,AJ81)*Assumptions!$F$19),3)</f>
        <v>3.6</v>
      </c>
      <c r="AO81" s="0" t="str">
        <f aca="false">IF(AC81&lt;=20,"",IF(AC81&lt;=Assumptions!$F$6,"20-30",IF(AC81&lt;=Assumptions!$F$7,"30-40",IF(AC81&lt;=Assumptions!$F$8,"40-50",IF(AC81&lt;=Assumptions!$F$9,"50-60",IF(AC81&lt;=Assumptions!$F$10,"60+",""))))))</f>
        <v>40-50</v>
      </c>
      <c r="AP81" s="0" t="str">
        <f aca="false">IFERROR(VLOOKUP(O81,Assumptions!$B$14:$C$26,2,FALSE()),"Other")</f>
        <v>Manager</v>
      </c>
      <c r="AQ81" s="0" t="n">
        <f aca="false">IF(T81="",0,1)</f>
        <v>1</v>
      </c>
      <c r="AR81" s="0" t="n">
        <f aca="false">IF(U81="",0,1)</f>
        <v>1</v>
      </c>
      <c r="AS81" s="8" t="n">
        <f aca="false">IF(AK81="","",IF(MAX($AK$2:$AK$921)=MIN($AK$2:$AK$921),50,ROUND((AK81-MIN($AK$2:$AK$921))/(MAX($AK$2:$AK$921)-MIN($AK$2:$AK$921))*100,2)))</f>
        <v>82.85</v>
      </c>
      <c r="AT81" s="8" t="n">
        <f aca="false">IF(MAX($BC$2:$BC$921)=MIN($BC$2:$BC$921),50,ROUND((BC81-MIN($BC$2:$BC$921))/(MAX($BC$2:$BC$921)-MIN($BC$2:$BC$921))*100,2))</f>
        <v>50</v>
      </c>
      <c r="AU81" s="8" t="n">
        <f aca="false">IF(MAX($BE$2:$BE$921)=MIN($BE$2:$BE$921),50,ROUND((BE81-MIN($BE$2:$BE$921))/(MAX($BE$2:$BE$921)-MIN($BE$2:$BE$921))*100,2))</f>
        <v>68.36</v>
      </c>
      <c r="AV81" s="8" t="n">
        <f aca="false">IF(MAX($AD$2:$AD$921)=MIN($AD$2:$AD$921),50,ROUND((AD81-MIN($AD$2:$AD$921))/(MAX($AD$2:$AD$921)-MIN($AD$2:$AD$921))*100,2))</f>
        <v>51.64</v>
      </c>
      <c r="AW81" s="8" t="n">
        <f aca="false">IF(MAX($AN$2:$AN$921)=MIN($AN$2:$AN$921),50,ROUND((AN81-MIN($AN$2:$AN$921))/(MAX($AN$2:$AN$921)-MIN($AN$2:$AN$921))*100,2))</f>
        <v>90</v>
      </c>
      <c r="AX81" s="8" t="n">
        <f aca="false">AQ81*100</f>
        <v>100</v>
      </c>
      <c r="AY81" s="8" t="n">
        <f aca="false">AR81*100</f>
        <v>100</v>
      </c>
      <c r="AZ81" s="8" t="n">
        <f aca="false">IFERROR(ROUND(AS81*Assumptions!$I$6+AW81*Assumptions!$I$7+AT81*Assumptions!$I$8+AU81*Assumptions!$I$9+AV81*Assumptions!$I$10+AX81*Assumptions!$I$11+AY81*Assumptions!$I$12,2),"")</f>
        <v>75.77</v>
      </c>
      <c r="BA81" s="0" t="str">
        <f aca="false">IF(AZ81="","",IF(AZ81&lt;=Assumptions!$I$18,"Below Expectation",IF(AZ81&lt;=Assumptions!$I$19,"Developing",IF(AZ81&lt;=Assumptions!$I$20,"Meets Expectation",IF(AZ81&lt;=Assumptions!$I$21,"Exceeds","Star Performer")))))</f>
        <v>Exceeds</v>
      </c>
      <c r="BB81" s="0" t="n">
        <f aca="false">IF(AZ81="",0,IF(AZ81&gt;=Assumptions!$I$26,1,0))</f>
        <v>1</v>
      </c>
      <c r="BC81" s="9" t="n">
        <f aca="false">IF(AL81="",2,AL81+2)</f>
        <v>2</v>
      </c>
      <c r="BD81" s="10" t="n">
        <f aca="false">IF(AM81="",ROUND(AVERAGE($AM$2:$AM$921),3),AM81)</f>
        <v>0.548</v>
      </c>
      <c r="BE81" s="9" t="n">
        <f aca="false">1-BD81</f>
        <v>0.452</v>
      </c>
    </row>
    <row r="82" customFormat="false" ht="14.25" hidden="true" customHeight="false" outlineLevel="0" collapsed="false">
      <c r="A82" s="4" t="n">
        <v>329</v>
      </c>
      <c r="B82" s="5" t="n">
        <v>19100903</v>
      </c>
      <c r="C82" s="5" t="s">
        <v>85</v>
      </c>
      <c r="D82" s="5" t="s">
        <v>623</v>
      </c>
      <c r="E82" s="5" t="s">
        <v>137</v>
      </c>
      <c r="F82" s="5" t="s">
        <v>178</v>
      </c>
      <c r="G82" s="5" t="s">
        <v>177</v>
      </c>
      <c r="H82" s="5" t="s">
        <v>178</v>
      </c>
      <c r="I82" s="5" t="s">
        <v>63</v>
      </c>
      <c r="J82" s="5" t="s">
        <v>76</v>
      </c>
      <c r="K82" s="5" t="s">
        <v>65</v>
      </c>
      <c r="L82" s="6" t="n">
        <v>33574</v>
      </c>
      <c r="M82" s="5" t="s">
        <v>624</v>
      </c>
      <c r="N82" s="6" t="n">
        <v>26220</v>
      </c>
      <c r="O82" s="5" t="s">
        <v>122</v>
      </c>
      <c r="P82" s="5" t="s">
        <v>123</v>
      </c>
      <c r="Q82" s="5" t="s">
        <v>625</v>
      </c>
      <c r="R82" s="5" t="s">
        <v>115</v>
      </c>
      <c r="S82" s="5" t="s">
        <v>625</v>
      </c>
      <c r="T82" s="6" t="n">
        <v>41000</v>
      </c>
      <c r="U82" s="6" t="n">
        <v>44440</v>
      </c>
      <c r="V82" s="5" t="s">
        <v>83</v>
      </c>
      <c r="W82" s="5" t="s">
        <v>83</v>
      </c>
      <c r="X82" s="5" t="s">
        <v>141</v>
      </c>
      <c r="Y82" s="5" t="s">
        <v>83</v>
      </c>
      <c r="Z82" s="5" t="s">
        <v>141</v>
      </c>
      <c r="AA82" s="5" t="s">
        <v>626</v>
      </c>
      <c r="AB82" s="0" t="n">
        <f aca="false">IFERROR(VALUE(R82),0)</f>
        <v>0</v>
      </c>
      <c r="AC82" s="0" t="n">
        <f aca="false">IFERROR(VALUE(M82),"")</f>
        <v>54.7</v>
      </c>
      <c r="AD82" s="0" t="n">
        <f aca="false">IFERROR(VALUE(Q82),"")</f>
        <v>34.6</v>
      </c>
      <c r="AE82" s="0" t="n">
        <f aca="false">IFERROR(VALUE(S82),"")</f>
        <v>34.6</v>
      </c>
      <c r="AF82" s="0" t="n">
        <f aca="false">IF(V82="","",VLOOKUP(V82,Assumptions!$B$6:$C$9,2,FALSE()))</f>
        <v>4</v>
      </c>
      <c r="AG82" s="0" t="n">
        <f aca="false">IF(W82="","",VLOOKUP(W82,Assumptions!$B$6:$C$9,2,FALSE()))</f>
        <v>4</v>
      </c>
      <c r="AH82" s="0" t="n">
        <f aca="false">IF(X82="","",VLOOKUP(X82,Assumptions!$B$6:$C$9,2,FALSE()))</f>
        <v>3</v>
      </c>
      <c r="AI82" s="0" t="n">
        <f aca="false">IF(Y82="","",VLOOKUP(Y82,Assumptions!$B$6:$C$9,2,FALSE()))</f>
        <v>4</v>
      </c>
      <c r="AJ82" s="0" t="n">
        <f aca="false">IF(Z82="","",VLOOKUP(Z82,Assumptions!$B$6:$C$9,2,FALSE()))</f>
        <v>3</v>
      </c>
      <c r="AK82" s="7" t="n">
        <f aca="false">IFERROR(ROUND(AVERAGE(AF82:AJ82),3),"")</f>
        <v>3.6</v>
      </c>
      <c r="AL82" s="7" t="n">
        <f aca="false">IF(OR(AF82="",AJ82=""),"",AJ82-AF82)</f>
        <v>-1</v>
      </c>
      <c r="AM82" s="7" t="n">
        <f aca="false">IF(COUNT(AF82:AJ82)&gt;=2,ROUND(_xlfn.STDEV.S(AF82:AJ82),3),"")</f>
        <v>0.548</v>
      </c>
      <c r="AN82" s="7" t="n">
        <f aca="false">ROUND((IF(AF82="",0,AF82)*Assumptions!$F$15)+(IF(AG82="",0,AG82)*Assumptions!$F$16)+(IF(AH82="",0,AH82)*Assumptions!$F$17)+(IF(AI82="",0,AI82)*Assumptions!$F$18)+(IF(AJ82="",0,AJ82)*Assumptions!$F$19),3)</f>
        <v>3.5</v>
      </c>
      <c r="AO82" s="0" t="str">
        <f aca="false">IF(AC82&lt;=20,"",IF(AC82&lt;=Assumptions!$F$6,"20-30",IF(AC82&lt;=Assumptions!$F$7,"30-40",IF(AC82&lt;=Assumptions!$F$8,"40-50",IF(AC82&lt;=Assumptions!$F$9,"50-60",IF(AC82&lt;=Assumptions!$F$10,"60+",""))))))</f>
        <v>50-60</v>
      </c>
      <c r="AP82" s="0" t="str">
        <f aca="false">IFERROR(VLOOKUP(O82,Assumptions!$B$14:$C$26,2,FALSE()),"Other")</f>
        <v>Leadership</v>
      </c>
      <c r="AQ82" s="0" t="n">
        <f aca="false">IF(T82="",0,1)</f>
        <v>1</v>
      </c>
      <c r="AR82" s="0" t="n">
        <f aca="false">IF(U82="",0,1)</f>
        <v>1</v>
      </c>
      <c r="AS82" s="8" t="n">
        <f aca="false">IF(AK82="","",IF(MAX($AK$2:$AK$921)=MIN($AK$2:$AK$921),50,ROUND((AK82-MIN($AK$2:$AK$921))/(MAX($AK$2:$AK$921)-MIN($AK$2:$AK$921))*100,2)))</f>
        <v>82.85</v>
      </c>
      <c r="AT82" s="8" t="n">
        <f aca="false">IF(MAX($BC$2:$BC$921)=MIN($BC$2:$BC$921),50,ROUND((BC82-MIN($BC$2:$BC$921))/(MAX($BC$2:$BC$921)-MIN($BC$2:$BC$921))*100,2))</f>
        <v>25</v>
      </c>
      <c r="AU82" s="8" t="n">
        <f aca="false">IF(MAX($BE$2:$BE$921)=MIN($BE$2:$BE$921),50,ROUND((BE82-MIN($BE$2:$BE$921))/(MAX($BE$2:$BE$921)-MIN($BE$2:$BE$921))*100,2))</f>
        <v>68.36</v>
      </c>
      <c r="AV82" s="8" t="n">
        <f aca="false">IF(MAX($AD$2:$AD$921)=MIN($AD$2:$AD$921),50,ROUND((AD82-MIN($AD$2:$AD$921))/(MAX($AD$2:$AD$921)-MIN($AD$2:$AD$921))*100,2))</f>
        <v>93.75</v>
      </c>
      <c r="AW82" s="8" t="n">
        <f aca="false">IF(MAX($AN$2:$AN$921)=MIN($AN$2:$AN$921),50,ROUND((AN82-MIN($AN$2:$AN$921))/(MAX($AN$2:$AN$921)-MIN($AN$2:$AN$921))*100,2))</f>
        <v>87.5</v>
      </c>
      <c r="AX82" s="8" t="n">
        <f aca="false">AQ82*100</f>
        <v>100</v>
      </c>
      <c r="AY82" s="8" t="n">
        <f aca="false">AR82*100</f>
        <v>100</v>
      </c>
      <c r="AZ82" s="8" t="n">
        <f aca="false">IFERROR(ROUND(AS82*Assumptions!$I$6+AW82*Assumptions!$I$7+AT82*Assumptions!$I$8+AU82*Assumptions!$I$9+AV82*Assumptions!$I$10+AX82*Assumptions!$I$11+AY82*Assumptions!$I$12,2),"")</f>
        <v>75.73</v>
      </c>
      <c r="BA82" s="0" t="str">
        <f aca="false">IF(AZ82="","",IF(AZ82&lt;=Assumptions!$I$18,"Below Expectation",IF(AZ82&lt;=Assumptions!$I$19,"Developing",IF(AZ82&lt;=Assumptions!$I$20,"Meets Expectation",IF(AZ82&lt;=Assumptions!$I$21,"Exceeds","Star Performer")))))</f>
        <v>Exceeds</v>
      </c>
      <c r="BB82" s="0" t="n">
        <f aca="false">IF(AZ82="",0,IF(AZ82&gt;=Assumptions!$I$26,1,0))</f>
        <v>1</v>
      </c>
      <c r="BC82" s="9" t="n">
        <f aca="false">IF(AL82="",2,AL82+2)</f>
        <v>1</v>
      </c>
      <c r="BD82" s="10" t="n">
        <f aca="false">IF(AM82="",ROUND(AVERAGE($AM$2:$AM$921),3),AM82)</f>
        <v>0.548</v>
      </c>
      <c r="BE82" s="9" t="n">
        <f aca="false">1-BD82</f>
        <v>0.452</v>
      </c>
    </row>
    <row r="83" customFormat="false" ht="14.25" hidden="true" customHeight="false" outlineLevel="0" collapsed="false">
      <c r="A83" s="4" t="n">
        <v>22</v>
      </c>
      <c r="B83" s="5" t="n">
        <v>691503</v>
      </c>
      <c r="C83" s="5" t="s">
        <v>57</v>
      </c>
      <c r="D83" s="5" t="s">
        <v>627</v>
      </c>
      <c r="E83" s="5" t="s">
        <v>500</v>
      </c>
      <c r="F83" s="5" t="s">
        <v>209</v>
      </c>
      <c r="G83" s="5" t="s">
        <v>210</v>
      </c>
      <c r="H83" s="5" t="s">
        <v>209</v>
      </c>
      <c r="I83" s="5" t="s">
        <v>63</v>
      </c>
      <c r="J83" s="5" t="s">
        <v>100</v>
      </c>
      <c r="K83" s="5" t="s">
        <v>65</v>
      </c>
      <c r="L83" s="6" t="n">
        <v>35550</v>
      </c>
      <c r="M83" s="5" t="s">
        <v>628</v>
      </c>
      <c r="N83" s="6" t="n">
        <v>27031</v>
      </c>
      <c r="O83" s="5" t="s">
        <v>262</v>
      </c>
      <c r="P83" s="5" t="s">
        <v>263</v>
      </c>
      <c r="Q83" s="5" t="s">
        <v>232</v>
      </c>
      <c r="R83" s="5" t="s">
        <v>629</v>
      </c>
      <c r="S83" s="5" t="s">
        <v>630</v>
      </c>
      <c r="T83" s="6" t="n">
        <v>43451</v>
      </c>
      <c r="U83" s="6"/>
      <c r="V83" s="5" t="s">
        <v>631</v>
      </c>
      <c r="W83" s="5" t="s">
        <v>141</v>
      </c>
      <c r="X83" s="5" t="s">
        <v>83</v>
      </c>
      <c r="Y83" s="5" t="s">
        <v>83</v>
      </c>
      <c r="Z83" s="5" t="s">
        <v>83</v>
      </c>
      <c r="AA83" s="5" t="s">
        <v>632</v>
      </c>
      <c r="AB83" s="0" t="n">
        <f aca="false">IFERROR(VALUE(R83),0)</f>
        <v>2.1</v>
      </c>
      <c r="AC83" s="0" t="n">
        <f aca="false">IFERROR(VALUE(M83),"")</f>
        <v>52.5</v>
      </c>
      <c r="AD83" s="0" t="n">
        <f aca="false">IFERROR(VALUE(Q83),"")</f>
        <v>29.1</v>
      </c>
      <c r="AE83" s="0" t="n">
        <f aca="false">IFERROR(VALUE(S83),"")</f>
        <v>31.2</v>
      </c>
      <c r="AF83" s="0" t="n">
        <f aca="false">IF(V83="","",VLOOKUP(V83,Assumptions!$B$6:$C$9,2,FALSE()))</f>
        <v>2</v>
      </c>
      <c r="AG83" s="0" t="n">
        <f aca="false">IF(W83="","",VLOOKUP(W83,Assumptions!$B$6:$C$9,2,FALSE()))</f>
        <v>3</v>
      </c>
      <c r="AH83" s="0" t="n">
        <f aca="false">IF(X83="","",VLOOKUP(X83,Assumptions!$B$6:$C$9,2,FALSE()))</f>
        <v>4</v>
      </c>
      <c r="AI83" s="0" t="n">
        <f aca="false">IF(Y83="","",VLOOKUP(Y83,Assumptions!$B$6:$C$9,2,FALSE()))</f>
        <v>4</v>
      </c>
      <c r="AJ83" s="0" t="n">
        <f aca="false">IF(Z83="","",VLOOKUP(Z83,Assumptions!$B$6:$C$9,2,FALSE()))</f>
        <v>4</v>
      </c>
      <c r="AK83" s="7" t="n">
        <f aca="false">IFERROR(ROUND(AVERAGE(AF83:AJ83),3),"")</f>
        <v>3.4</v>
      </c>
      <c r="AL83" s="7" t="n">
        <f aca="false">IF(OR(AF83="",AJ83=""),"",AJ83-AF83)</f>
        <v>2</v>
      </c>
      <c r="AM83" s="7" t="n">
        <f aca="false">IF(COUNT(AF83:AJ83)&gt;=2,ROUND(_xlfn.STDEV.S(AF83:AJ83),3),"")</f>
        <v>0.894</v>
      </c>
      <c r="AN83" s="7" t="n">
        <f aca="false">ROUND((IF(AF83="",0,AF83)*Assumptions!$F$15)+(IF(AG83="",0,AG83)*Assumptions!$F$16)+(IF(AH83="",0,AH83)*Assumptions!$F$17)+(IF(AI83="",0,AI83)*Assumptions!$F$18)+(IF(AJ83="",0,AJ83)*Assumptions!$F$19),3)</f>
        <v>3.65</v>
      </c>
      <c r="AO83" s="0" t="str">
        <f aca="false">IF(AC83&lt;=20,"",IF(AC83&lt;=Assumptions!$F$6,"20-30",IF(AC83&lt;=Assumptions!$F$7,"30-40",IF(AC83&lt;=Assumptions!$F$8,"40-50",IF(AC83&lt;=Assumptions!$F$9,"50-60",IF(AC83&lt;=Assumptions!$F$10,"60+",""))))))</f>
        <v>50-60</v>
      </c>
      <c r="AP83" s="0" t="str">
        <f aca="false">IFERROR(VLOOKUP(O83,Assumptions!$B$14:$C$26,2,FALSE()),"Other")</f>
        <v>Manager</v>
      </c>
      <c r="AQ83" s="0" t="n">
        <f aca="false">IF(T83="",0,1)</f>
        <v>1</v>
      </c>
      <c r="AR83" s="0" t="n">
        <f aca="false">IF(U83="",0,1)</f>
        <v>0</v>
      </c>
      <c r="AS83" s="8" t="n">
        <f aca="false">IF(AK83="","",IF(MAX($AK$2:$AK$921)=MIN($AK$2:$AK$921),50,ROUND((AK83-MIN($AK$2:$AK$921))/(MAX($AK$2:$AK$921)-MIN($AK$2:$AK$921))*100,2)))</f>
        <v>74.28</v>
      </c>
      <c r="AT83" s="8" t="n">
        <f aca="false">IF(MAX($BC$2:$BC$921)=MIN($BC$2:$BC$921),50,ROUND((BC83-MIN($BC$2:$BC$921))/(MAX($BC$2:$BC$921)-MIN($BC$2:$BC$921))*100,2))</f>
        <v>100</v>
      </c>
      <c r="AU83" s="8" t="n">
        <f aca="false">IF(MAX($BE$2:$BE$921)=MIN($BE$2:$BE$921),50,ROUND((BE83-MIN($BE$2:$BE$921))/(MAX($BE$2:$BE$921)-MIN($BE$2:$BE$921))*100,2))</f>
        <v>48.38</v>
      </c>
      <c r="AV83" s="8" t="n">
        <f aca="false">IF(MAX($AD$2:$AD$921)=MIN($AD$2:$AD$921),50,ROUND((AD83-MIN($AD$2:$AD$921))/(MAX($AD$2:$AD$921)-MIN($AD$2:$AD$921))*100,2))</f>
        <v>78.8</v>
      </c>
      <c r="AW83" s="8" t="n">
        <f aca="false">IF(MAX($AN$2:$AN$921)=MIN($AN$2:$AN$921),50,ROUND((AN83-MIN($AN$2:$AN$921))/(MAX($AN$2:$AN$921)-MIN($AN$2:$AN$921))*100,2))</f>
        <v>91.25</v>
      </c>
      <c r="AX83" s="8" t="n">
        <f aca="false">AQ83*100</f>
        <v>100</v>
      </c>
      <c r="AY83" s="8" t="n">
        <f aca="false">AR83*100</f>
        <v>0</v>
      </c>
      <c r="AZ83" s="8" t="n">
        <f aca="false">IFERROR(ROUND(AS83*Assumptions!$I$6+AW83*Assumptions!$I$7+AT83*Assumptions!$I$8+AU83*Assumptions!$I$9+AV83*Assumptions!$I$10+AX83*Assumptions!$I$11+AY83*Assumptions!$I$12,2),"")</f>
        <v>75.67</v>
      </c>
      <c r="BA83" s="0" t="str">
        <f aca="false">IF(AZ83="","",IF(AZ83&lt;=Assumptions!$I$18,"Below Expectation",IF(AZ83&lt;=Assumptions!$I$19,"Developing",IF(AZ83&lt;=Assumptions!$I$20,"Meets Expectation",IF(AZ83&lt;=Assumptions!$I$21,"Exceeds","Star Performer")))))</f>
        <v>Exceeds</v>
      </c>
      <c r="BB83" s="0" t="n">
        <f aca="false">IF(AZ83="",0,IF(AZ83&gt;=Assumptions!$I$26,1,0))</f>
        <v>1</v>
      </c>
      <c r="BC83" s="9" t="n">
        <f aca="false">IF(AL83="",2,AL83+2)</f>
        <v>4</v>
      </c>
      <c r="BD83" s="10" t="n">
        <f aca="false">IF(AM83="",ROUND(AVERAGE($AM$2:$AM$921),3),AM83)</f>
        <v>0.894</v>
      </c>
      <c r="BE83" s="9" t="n">
        <f aca="false">1-BD83</f>
        <v>0.106</v>
      </c>
    </row>
    <row r="84" customFormat="false" ht="14.25" hidden="true" customHeight="false" outlineLevel="0" collapsed="false">
      <c r="A84" s="4" t="n">
        <v>355</v>
      </c>
      <c r="B84" s="5" t="n">
        <v>37101327</v>
      </c>
      <c r="C84" s="5" t="s">
        <v>57</v>
      </c>
      <c r="D84" s="5" t="s">
        <v>633</v>
      </c>
      <c r="E84" s="5" t="s">
        <v>520</v>
      </c>
      <c r="F84" s="5" t="s">
        <v>387</v>
      </c>
      <c r="G84" s="5" t="s">
        <v>388</v>
      </c>
      <c r="H84" s="5" t="s">
        <v>387</v>
      </c>
      <c r="I84" s="5" t="s">
        <v>63</v>
      </c>
      <c r="J84" s="5" t="s">
        <v>100</v>
      </c>
      <c r="K84" s="5" t="s">
        <v>65</v>
      </c>
      <c r="L84" s="6" t="n">
        <v>39143</v>
      </c>
      <c r="M84" s="5" t="s">
        <v>634</v>
      </c>
      <c r="N84" s="6" t="n">
        <v>29524</v>
      </c>
      <c r="O84" s="5" t="s">
        <v>262</v>
      </c>
      <c r="P84" s="5" t="s">
        <v>263</v>
      </c>
      <c r="Q84" s="5" t="s">
        <v>635</v>
      </c>
      <c r="R84" s="5" t="s">
        <v>636</v>
      </c>
      <c r="S84" s="5" t="s">
        <v>214</v>
      </c>
      <c r="T84" s="6" t="n">
        <v>41365</v>
      </c>
      <c r="U84" s="6" t="n">
        <v>45748</v>
      </c>
      <c r="V84" s="5" t="s">
        <v>83</v>
      </c>
      <c r="W84" s="5" t="s">
        <v>83</v>
      </c>
      <c r="X84" s="5" t="s">
        <v>141</v>
      </c>
      <c r="Y84" s="5" t="s">
        <v>141</v>
      </c>
      <c r="Z84" s="5" t="s">
        <v>83</v>
      </c>
      <c r="AA84" s="5" t="s">
        <v>637</v>
      </c>
      <c r="AB84" s="0" t="n">
        <f aca="false">IFERROR(VALUE(R84),0)</f>
        <v>1.6</v>
      </c>
      <c r="AC84" s="0" t="n">
        <f aca="false">IFERROR(VALUE(M84),"")</f>
        <v>45.7</v>
      </c>
      <c r="AD84" s="0" t="n">
        <f aca="false">IFERROR(VALUE(Q84),"")</f>
        <v>19.3</v>
      </c>
      <c r="AE84" s="0" t="n">
        <f aca="false">IFERROR(VALUE(S84),"")</f>
        <v>20.9</v>
      </c>
      <c r="AF84" s="0" t="n">
        <f aca="false">IF(V84="","",VLOOKUP(V84,Assumptions!$B$6:$C$9,2,FALSE()))</f>
        <v>4</v>
      </c>
      <c r="AG84" s="0" t="n">
        <f aca="false">IF(W84="","",VLOOKUP(W84,Assumptions!$B$6:$C$9,2,FALSE()))</f>
        <v>4</v>
      </c>
      <c r="AH84" s="0" t="n">
        <f aca="false">IF(X84="","",VLOOKUP(X84,Assumptions!$B$6:$C$9,2,FALSE()))</f>
        <v>3</v>
      </c>
      <c r="AI84" s="0" t="n">
        <f aca="false">IF(Y84="","",VLOOKUP(Y84,Assumptions!$B$6:$C$9,2,FALSE()))</f>
        <v>3</v>
      </c>
      <c r="AJ84" s="0" t="n">
        <f aca="false">IF(Z84="","",VLOOKUP(Z84,Assumptions!$B$6:$C$9,2,FALSE()))</f>
        <v>4</v>
      </c>
      <c r="AK84" s="7" t="n">
        <f aca="false">IFERROR(ROUND(AVERAGE(AF84:AJ84),3),"")</f>
        <v>3.6</v>
      </c>
      <c r="AL84" s="7" t="n">
        <f aca="false">IF(OR(AF84="",AJ84=""),"",AJ84-AF84)</f>
        <v>0</v>
      </c>
      <c r="AM84" s="7" t="n">
        <f aca="false">IF(COUNT(AF84:AJ84)&gt;=2,ROUND(_xlfn.STDEV.S(AF84:AJ84),3),"")</f>
        <v>0.548</v>
      </c>
      <c r="AN84" s="7" t="n">
        <f aca="false">ROUND((IF(AF84="",0,AF84)*Assumptions!$F$15)+(IF(AG84="",0,AG84)*Assumptions!$F$16)+(IF(AH84="",0,AH84)*Assumptions!$F$17)+(IF(AI84="",0,AI84)*Assumptions!$F$18)+(IF(AJ84="",0,AJ84)*Assumptions!$F$19),3)</f>
        <v>3.55</v>
      </c>
      <c r="AO84" s="0" t="str">
        <f aca="false">IF(AC84&lt;=20,"",IF(AC84&lt;=Assumptions!$F$6,"20-30",IF(AC84&lt;=Assumptions!$F$7,"30-40",IF(AC84&lt;=Assumptions!$F$8,"40-50",IF(AC84&lt;=Assumptions!$F$9,"50-60",IF(AC84&lt;=Assumptions!$F$10,"60+",""))))))</f>
        <v>40-50</v>
      </c>
      <c r="AP84" s="0" t="str">
        <f aca="false">IFERROR(VLOOKUP(O84,Assumptions!$B$14:$C$26,2,FALSE()),"Other")</f>
        <v>Manager</v>
      </c>
      <c r="AQ84" s="0" t="n">
        <f aca="false">IF(T84="",0,1)</f>
        <v>1</v>
      </c>
      <c r="AR84" s="0" t="n">
        <f aca="false">IF(U84="",0,1)</f>
        <v>1</v>
      </c>
      <c r="AS84" s="8" t="n">
        <f aca="false">IF(AK84="","",IF(MAX($AK$2:$AK$921)=MIN($AK$2:$AK$921),50,ROUND((AK84-MIN($AK$2:$AK$921))/(MAX($AK$2:$AK$921)-MIN($AK$2:$AK$921))*100,2)))</f>
        <v>82.85</v>
      </c>
      <c r="AT84" s="8" t="n">
        <f aca="false">IF(MAX($BC$2:$BC$921)=MIN($BC$2:$BC$921),50,ROUND((BC84-MIN($BC$2:$BC$921))/(MAX($BC$2:$BC$921)-MIN($BC$2:$BC$921))*100,2))</f>
        <v>50</v>
      </c>
      <c r="AU84" s="8" t="n">
        <f aca="false">IF(MAX($BE$2:$BE$921)=MIN($BE$2:$BE$921),50,ROUND((BE84-MIN($BE$2:$BE$921))/(MAX($BE$2:$BE$921)-MIN($BE$2:$BE$921))*100,2))</f>
        <v>68.36</v>
      </c>
      <c r="AV84" s="8" t="n">
        <f aca="false">IF(MAX($AD$2:$AD$921)=MIN($AD$2:$AD$921),50,ROUND((AD84-MIN($AD$2:$AD$921))/(MAX($AD$2:$AD$921)-MIN($AD$2:$AD$921))*100,2))</f>
        <v>52.16</v>
      </c>
      <c r="AW84" s="8" t="n">
        <f aca="false">IF(MAX($AN$2:$AN$921)=MIN($AN$2:$AN$921),50,ROUND((AN84-MIN($AN$2:$AN$921))/(MAX($AN$2:$AN$921)-MIN($AN$2:$AN$921))*100,2))</f>
        <v>88.75</v>
      </c>
      <c r="AX84" s="8" t="n">
        <f aca="false">AQ84*100</f>
        <v>100</v>
      </c>
      <c r="AY84" s="8" t="n">
        <f aca="false">AR84*100</f>
        <v>100</v>
      </c>
      <c r="AZ84" s="8" t="n">
        <f aca="false">IFERROR(ROUND(AS84*Assumptions!$I$6+AW84*Assumptions!$I$7+AT84*Assumptions!$I$8+AU84*Assumptions!$I$9+AV84*Assumptions!$I$10+AX84*Assumptions!$I$11+AY84*Assumptions!$I$12,2),"")</f>
        <v>75.58</v>
      </c>
      <c r="BA84" s="0" t="str">
        <f aca="false">IF(AZ84="","",IF(AZ84&lt;=Assumptions!$I$18,"Below Expectation",IF(AZ84&lt;=Assumptions!$I$19,"Developing",IF(AZ84&lt;=Assumptions!$I$20,"Meets Expectation",IF(AZ84&lt;=Assumptions!$I$21,"Exceeds","Star Performer")))))</f>
        <v>Exceeds</v>
      </c>
      <c r="BB84" s="0" t="n">
        <f aca="false">IF(AZ84="",0,IF(AZ84&gt;=Assumptions!$I$26,1,0))</f>
        <v>1</v>
      </c>
      <c r="BC84" s="9" t="n">
        <f aca="false">IF(AL84="",2,AL84+2)</f>
        <v>2</v>
      </c>
      <c r="BD84" s="10" t="n">
        <f aca="false">IF(AM84="",ROUND(AVERAGE($AM$2:$AM$921),3),AM84)</f>
        <v>0.548</v>
      </c>
      <c r="BE84" s="9" t="n">
        <f aca="false">1-BD84</f>
        <v>0.452</v>
      </c>
    </row>
    <row r="85" customFormat="false" ht="14.25" hidden="false" customHeight="false" outlineLevel="0" collapsed="false">
      <c r="A85" s="4" t="n">
        <v>391</v>
      </c>
      <c r="B85" s="5" t="n">
        <v>50007774</v>
      </c>
      <c r="C85" s="5" t="s">
        <v>106</v>
      </c>
      <c r="D85" s="5" t="s">
        <v>638</v>
      </c>
      <c r="E85" s="5" t="s">
        <v>305</v>
      </c>
      <c r="F85" s="5" t="s">
        <v>407</v>
      </c>
      <c r="G85" s="5" t="s">
        <v>408</v>
      </c>
      <c r="H85" s="5" t="s">
        <v>409</v>
      </c>
      <c r="I85" s="5" t="s">
        <v>63</v>
      </c>
      <c r="J85" s="5" t="s">
        <v>112</v>
      </c>
      <c r="K85" s="5" t="s">
        <v>65</v>
      </c>
      <c r="L85" s="6" t="n">
        <v>40422</v>
      </c>
      <c r="M85" s="5" t="s">
        <v>639</v>
      </c>
      <c r="N85" s="6" t="n">
        <v>29373</v>
      </c>
      <c r="O85" s="5" t="s">
        <v>162</v>
      </c>
      <c r="P85" s="5" t="s">
        <v>162</v>
      </c>
      <c r="Q85" s="5" t="s">
        <v>286</v>
      </c>
      <c r="R85" s="5" t="s">
        <v>445</v>
      </c>
      <c r="S85" s="5" t="s">
        <v>323</v>
      </c>
      <c r="T85" s="6" t="n">
        <v>42095</v>
      </c>
      <c r="U85" s="6" t="n">
        <v>45992</v>
      </c>
      <c r="V85" s="5" t="s">
        <v>141</v>
      </c>
      <c r="W85" s="5" t="s">
        <v>141</v>
      </c>
      <c r="X85" s="5" t="s">
        <v>83</v>
      </c>
      <c r="Y85" s="5" t="s">
        <v>141</v>
      </c>
      <c r="Z85" s="5" t="s">
        <v>83</v>
      </c>
      <c r="AA85" s="5" t="s">
        <v>640</v>
      </c>
      <c r="AB85" s="0" t="n">
        <f aca="false">IFERROR(VALUE(R85),0)</f>
        <v>3.8</v>
      </c>
      <c r="AC85" s="0" t="n">
        <f aca="false">IFERROR(VALUE(M85),"")</f>
        <v>46</v>
      </c>
      <c r="AD85" s="0" t="n">
        <f aca="false">IFERROR(VALUE(Q85),"")</f>
        <v>15.9</v>
      </c>
      <c r="AE85" s="0" t="n">
        <f aca="false">IFERROR(VALUE(S85),"")</f>
        <v>19.5</v>
      </c>
      <c r="AF85" s="0" t="n">
        <f aca="false">IF(V85="","",VLOOKUP(V85,Assumptions!$B$6:$C$9,2,FALSE()))</f>
        <v>3</v>
      </c>
      <c r="AG85" s="0" t="n">
        <f aca="false">IF(W85="","",VLOOKUP(W85,Assumptions!$B$6:$C$9,2,FALSE()))</f>
        <v>3</v>
      </c>
      <c r="AH85" s="0" t="n">
        <f aca="false">IF(X85="","",VLOOKUP(X85,Assumptions!$B$6:$C$9,2,FALSE()))</f>
        <v>4</v>
      </c>
      <c r="AI85" s="0" t="n">
        <f aca="false">IF(Y85="","",VLOOKUP(Y85,Assumptions!$B$6:$C$9,2,FALSE()))</f>
        <v>3</v>
      </c>
      <c r="AJ85" s="0" t="n">
        <f aca="false">IF(Z85="","",VLOOKUP(Z85,Assumptions!$B$6:$C$9,2,FALSE()))</f>
        <v>4</v>
      </c>
      <c r="AK85" s="7" t="n">
        <f aca="false">IFERROR(ROUND(AVERAGE(AF85:AJ85),3),"")</f>
        <v>3.4</v>
      </c>
      <c r="AL85" s="7" t="n">
        <f aca="false">IF(OR(AF85="",AJ85=""),"",AJ85-AF85)</f>
        <v>1</v>
      </c>
      <c r="AM85" s="7" t="n">
        <f aca="false">IF(COUNT(AF85:AJ85)&gt;=2,ROUND(_xlfn.STDEV.S(AF85:AJ85),3),"")</f>
        <v>0.548</v>
      </c>
      <c r="AN85" s="7" t="n">
        <f aca="false">ROUND((IF(AF85="",0,AF85)*Assumptions!$F$15)+(IF(AG85="",0,AG85)*Assumptions!$F$16)+(IF(AH85="",0,AH85)*Assumptions!$F$17)+(IF(AI85="",0,AI85)*Assumptions!$F$18)+(IF(AJ85="",0,AJ85)*Assumptions!$F$19),3)</f>
        <v>3.5</v>
      </c>
      <c r="AO85" s="0" t="str">
        <f aca="false">IF(AC85&lt;=20,"",IF(AC85&lt;=Assumptions!$F$6,"20-30",IF(AC85&lt;=Assumptions!$F$7,"30-40",IF(AC85&lt;=Assumptions!$F$8,"40-50",IF(AC85&lt;=Assumptions!$F$9,"50-60",IF(AC85&lt;=Assumptions!$F$10,"60+",""))))))</f>
        <v>40-50</v>
      </c>
      <c r="AP85" s="0" t="str">
        <f aca="false">IFERROR(VLOOKUP(O85,Assumptions!$B$14:$C$26,2,FALSE()),"Other")</f>
        <v>Manager</v>
      </c>
      <c r="AQ85" s="0" t="n">
        <f aca="false">IF(T85="",0,1)</f>
        <v>1</v>
      </c>
      <c r="AR85" s="0" t="n">
        <f aca="false">IF(U85="",0,1)</f>
        <v>1</v>
      </c>
      <c r="AS85" s="8" t="n">
        <f aca="false">IF(AK85="","",IF(MAX($AK$2:$AK$921)=MIN($AK$2:$AK$921),50,ROUND((AK85-MIN($AK$2:$AK$921))/(MAX($AK$2:$AK$921)-MIN($AK$2:$AK$921))*100,2)))</f>
        <v>74.28</v>
      </c>
      <c r="AT85" s="8" t="n">
        <f aca="false">IF(MAX($BC$2:$BC$921)=MIN($BC$2:$BC$921),50,ROUND((BC85-MIN($BC$2:$BC$921))/(MAX($BC$2:$BC$921)-MIN($BC$2:$BC$921))*100,2))</f>
        <v>75</v>
      </c>
      <c r="AU85" s="8" t="n">
        <f aca="false">IF(MAX($BE$2:$BE$921)=MIN($BE$2:$BE$921),50,ROUND((BE85-MIN($BE$2:$BE$921))/(MAX($BE$2:$BE$921)-MIN($BE$2:$BE$921))*100,2))</f>
        <v>68.36</v>
      </c>
      <c r="AV85" s="8" t="n">
        <f aca="false">IF(MAX($AD$2:$AD$921)=MIN($AD$2:$AD$921),50,ROUND((AD85-MIN($AD$2:$AD$921))/(MAX($AD$2:$AD$921)-MIN($AD$2:$AD$921))*100,2))</f>
        <v>42.92</v>
      </c>
      <c r="AW85" s="8" t="n">
        <f aca="false">IF(MAX($AN$2:$AN$921)=MIN($AN$2:$AN$921),50,ROUND((AN85-MIN($AN$2:$AN$921))/(MAX($AN$2:$AN$921)-MIN($AN$2:$AN$921))*100,2))</f>
        <v>87.5</v>
      </c>
      <c r="AX85" s="8" t="n">
        <f aca="false">AQ85*100</f>
        <v>100</v>
      </c>
      <c r="AY85" s="8" t="n">
        <f aca="false">AR85*100</f>
        <v>100</v>
      </c>
      <c r="AZ85" s="8" t="n">
        <f aca="false">IFERROR(ROUND(AS85*Assumptions!$I$6+AW85*Assumptions!$I$7+AT85*Assumptions!$I$8+AU85*Assumptions!$I$9+AV85*Assumptions!$I$10+AX85*Assumptions!$I$11+AY85*Assumptions!$I$12,2),"")</f>
        <v>75.58</v>
      </c>
      <c r="BA85" s="0" t="str">
        <f aca="false">IF(AZ85="","",IF(AZ85&lt;=Assumptions!$I$18,"Below Expectation",IF(AZ85&lt;=Assumptions!$I$19,"Developing",IF(AZ85&lt;=Assumptions!$I$20,"Meets Expectation",IF(AZ85&lt;=Assumptions!$I$21,"Exceeds","Star Performer")))))</f>
        <v>Exceeds</v>
      </c>
      <c r="BB85" s="0" t="n">
        <f aca="false">IF(AZ85="",0,IF(AZ85&gt;=Assumptions!$I$26,1,0))</f>
        <v>1</v>
      </c>
      <c r="BC85" s="9" t="n">
        <f aca="false">IF(AL85="",2,AL85+2)</f>
        <v>3</v>
      </c>
      <c r="BD85" s="10" t="n">
        <f aca="false">IF(AM85="",ROUND(AVERAGE($AM$2:$AM$921),3),AM85)</f>
        <v>0.548</v>
      </c>
      <c r="BE85" s="9" t="n">
        <f aca="false">1-BD85</f>
        <v>0.452</v>
      </c>
    </row>
    <row r="86" customFormat="false" ht="14.25" hidden="true" customHeight="false" outlineLevel="0" collapsed="false">
      <c r="A86" s="4" t="n">
        <v>72</v>
      </c>
      <c r="B86" s="5" t="n">
        <v>10022294</v>
      </c>
      <c r="C86" s="5" t="s">
        <v>57</v>
      </c>
      <c r="D86" s="5" t="s">
        <v>641</v>
      </c>
      <c r="E86" s="5" t="s">
        <v>607</v>
      </c>
      <c r="F86" s="5" t="s">
        <v>209</v>
      </c>
      <c r="G86" s="5" t="s">
        <v>210</v>
      </c>
      <c r="H86" s="5" t="s">
        <v>209</v>
      </c>
      <c r="I86" s="5" t="s">
        <v>63</v>
      </c>
      <c r="J86" s="5" t="s">
        <v>100</v>
      </c>
      <c r="K86" s="5" t="s">
        <v>65</v>
      </c>
      <c r="L86" s="6" t="n">
        <v>39265</v>
      </c>
      <c r="M86" s="5" t="s">
        <v>193</v>
      </c>
      <c r="N86" s="6" t="n">
        <v>30517</v>
      </c>
      <c r="O86" s="5" t="s">
        <v>262</v>
      </c>
      <c r="P86" s="5" t="s">
        <v>263</v>
      </c>
      <c r="Q86" s="5" t="s">
        <v>642</v>
      </c>
      <c r="R86" s="5" t="s">
        <v>643</v>
      </c>
      <c r="S86" s="5" t="s">
        <v>644</v>
      </c>
      <c r="T86" s="6" t="n">
        <v>41000</v>
      </c>
      <c r="U86" s="6" t="n">
        <v>44652</v>
      </c>
      <c r="V86" s="5" t="s">
        <v>83</v>
      </c>
      <c r="W86" s="5" t="s">
        <v>83</v>
      </c>
      <c r="X86" s="5" t="s">
        <v>141</v>
      </c>
      <c r="Y86" s="5" t="s">
        <v>141</v>
      </c>
      <c r="Z86" s="5" t="s">
        <v>83</v>
      </c>
      <c r="AA86" s="5" t="s">
        <v>645</v>
      </c>
      <c r="AB86" s="0" t="n">
        <f aca="false">IFERROR(VALUE(R86),0)</f>
        <v>1.2</v>
      </c>
      <c r="AC86" s="0" t="n">
        <f aca="false">IFERROR(VALUE(M86),"")</f>
        <v>42.1</v>
      </c>
      <c r="AD86" s="0" t="n">
        <f aca="false">IFERROR(VALUE(Q86),"")</f>
        <v>18.11</v>
      </c>
      <c r="AE86" s="0" t="n">
        <f aca="false">IFERROR(VALUE(S86),"")</f>
        <v>20.1</v>
      </c>
      <c r="AF86" s="0" t="n">
        <f aca="false">IF(V86="","",VLOOKUP(V86,Assumptions!$B$6:$C$9,2,FALSE()))</f>
        <v>4</v>
      </c>
      <c r="AG86" s="0" t="n">
        <f aca="false">IF(W86="","",VLOOKUP(W86,Assumptions!$B$6:$C$9,2,FALSE()))</f>
        <v>4</v>
      </c>
      <c r="AH86" s="0" t="n">
        <f aca="false">IF(X86="","",VLOOKUP(X86,Assumptions!$B$6:$C$9,2,FALSE()))</f>
        <v>3</v>
      </c>
      <c r="AI86" s="0" t="n">
        <f aca="false">IF(Y86="","",VLOOKUP(Y86,Assumptions!$B$6:$C$9,2,FALSE()))</f>
        <v>3</v>
      </c>
      <c r="AJ86" s="0" t="n">
        <f aca="false">IF(Z86="","",VLOOKUP(Z86,Assumptions!$B$6:$C$9,2,FALSE()))</f>
        <v>4</v>
      </c>
      <c r="AK86" s="7" t="n">
        <f aca="false">IFERROR(ROUND(AVERAGE(AF86:AJ86),3),"")</f>
        <v>3.6</v>
      </c>
      <c r="AL86" s="7" t="n">
        <f aca="false">IF(OR(AF86="",AJ86=""),"",AJ86-AF86)</f>
        <v>0</v>
      </c>
      <c r="AM86" s="7" t="n">
        <f aca="false">IF(COUNT(AF86:AJ86)&gt;=2,ROUND(_xlfn.STDEV.S(AF86:AJ86),3),"")</f>
        <v>0.548</v>
      </c>
      <c r="AN86" s="7" t="n">
        <f aca="false">ROUND((IF(AF86="",0,AF86)*Assumptions!$F$15)+(IF(AG86="",0,AG86)*Assumptions!$F$16)+(IF(AH86="",0,AH86)*Assumptions!$F$17)+(IF(AI86="",0,AI86)*Assumptions!$F$18)+(IF(AJ86="",0,AJ86)*Assumptions!$F$19),3)</f>
        <v>3.55</v>
      </c>
      <c r="AO86" s="0" t="str">
        <f aca="false">IF(AC86&lt;=20,"",IF(AC86&lt;=Assumptions!$F$6,"20-30",IF(AC86&lt;=Assumptions!$F$7,"30-40",IF(AC86&lt;=Assumptions!$F$8,"40-50",IF(AC86&lt;=Assumptions!$F$9,"50-60",IF(AC86&lt;=Assumptions!$F$10,"60+",""))))))</f>
        <v>40-50</v>
      </c>
      <c r="AP86" s="0" t="str">
        <f aca="false">IFERROR(VLOOKUP(O86,Assumptions!$B$14:$C$26,2,FALSE()),"Other")</f>
        <v>Manager</v>
      </c>
      <c r="AQ86" s="0" t="n">
        <f aca="false">IF(T86="",0,1)</f>
        <v>1</v>
      </c>
      <c r="AR86" s="0" t="n">
        <f aca="false">IF(U86="",0,1)</f>
        <v>1</v>
      </c>
      <c r="AS86" s="8" t="n">
        <f aca="false">IF(AK86="","",IF(MAX($AK$2:$AK$921)=MIN($AK$2:$AK$921),50,ROUND((AK86-MIN($AK$2:$AK$921))/(MAX($AK$2:$AK$921)-MIN($AK$2:$AK$921))*100,2)))</f>
        <v>82.85</v>
      </c>
      <c r="AT86" s="8" t="n">
        <f aca="false">IF(MAX($BC$2:$BC$921)=MIN($BC$2:$BC$921),50,ROUND((BC86-MIN($BC$2:$BC$921))/(MAX($BC$2:$BC$921)-MIN($BC$2:$BC$921))*100,2))</f>
        <v>50</v>
      </c>
      <c r="AU86" s="8" t="n">
        <f aca="false">IF(MAX($BE$2:$BE$921)=MIN($BE$2:$BE$921),50,ROUND((BE86-MIN($BE$2:$BE$921))/(MAX($BE$2:$BE$921)-MIN($BE$2:$BE$921))*100,2))</f>
        <v>68.36</v>
      </c>
      <c r="AV86" s="8" t="n">
        <f aca="false">IF(MAX($AD$2:$AD$921)=MIN($AD$2:$AD$921),50,ROUND((AD86-MIN($AD$2:$AD$921))/(MAX($AD$2:$AD$921)-MIN($AD$2:$AD$921))*100,2))</f>
        <v>48.93</v>
      </c>
      <c r="AW86" s="8" t="n">
        <f aca="false">IF(MAX($AN$2:$AN$921)=MIN($AN$2:$AN$921),50,ROUND((AN86-MIN($AN$2:$AN$921))/(MAX($AN$2:$AN$921)-MIN($AN$2:$AN$921))*100,2))</f>
        <v>88.75</v>
      </c>
      <c r="AX86" s="8" t="n">
        <f aca="false">AQ86*100</f>
        <v>100</v>
      </c>
      <c r="AY86" s="8" t="n">
        <f aca="false">AR86*100</f>
        <v>100</v>
      </c>
      <c r="AZ86" s="8" t="n">
        <f aca="false">IFERROR(ROUND(AS86*Assumptions!$I$6+AW86*Assumptions!$I$7+AT86*Assumptions!$I$8+AU86*Assumptions!$I$9+AV86*Assumptions!$I$10+AX86*Assumptions!$I$11+AY86*Assumptions!$I$12,2),"")</f>
        <v>75.25</v>
      </c>
      <c r="BA86" s="0" t="str">
        <f aca="false">IF(AZ86="","",IF(AZ86&lt;=Assumptions!$I$18,"Below Expectation",IF(AZ86&lt;=Assumptions!$I$19,"Developing",IF(AZ86&lt;=Assumptions!$I$20,"Meets Expectation",IF(AZ86&lt;=Assumptions!$I$21,"Exceeds","Star Performer")))))</f>
        <v>Exceeds</v>
      </c>
      <c r="BB86" s="0" t="n">
        <f aca="false">IF(AZ86="",0,IF(AZ86&gt;=Assumptions!$I$26,1,0))</f>
        <v>1</v>
      </c>
      <c r="BC86" s="9" t="n">
        <f aca="false">IF(AL86="",2,AL86+2)</f>
        <v>2</v>
      </c>
      <c r="BD86" s="10" t="n">
        <f aca="false">IF(AM86="",ROUND(AVERAGE($AM$2:$AM$921),3),AM86)</f>
        <v>0.548</v>
      </c>
      <c r="BE86" s="9" t="n">
        <f aca="false">1-BD86</f>
        <v>0.452</v>
      </c>
    </row>
    <row r="87" customFormat="false" ht="14.25" hidden="true" customHeight="false" outlineLevel="0" collapsed="false">
      <c r="A87" s="4" t="n">
        <v>20</v>
      </c>
      <c r="B87" s="5" t="n">
        <v>652703</v>
      </c>
      <c r="C87" s="5" t="s">
        <v>85</v>
      </c>
      <c r="D87" s="5" t="s">
        <v>646</v>
      </c>
      <c r="E87" s="5" t="s">
        <v>137</v>
      </c>
      <c r="F87" s="5" t="s">
        <v>178</v>
      </c>
      <c r="G87" s="5" t="s">
        <v>177</v>
      </c>
      <c r="H87" s="5" t="s">
        <v>178</v>
      </c>
      <c r="I87" s="5" t="s">
        <v>63</v>
      </c>
      <c r="J87" s="5" t="s">
        <v>76</v>
      </c>
      <c r="K87" s="5" t="s">
        <v>65</v>
      </c>
      <c r="L87" s="6" t="n">
        <v>35262</v>
      </c>
      <c r="M87" s="5" t="s">
        <v>647</v>
      </c>
      <c r="N87" s="6" t="n">
        <v>25827</v>
      </c>
      <c r="O87" s="5" t="s">
        <v>122</v>
      </c>
      <c r="P87" s="5" t="s">
        <v>123</v>
      </c>
      <c r="Q87" s="5" t="s">
        <v>325</v>
      </c>
      <c r="R87" s="5" t="s">
        <v>648</v>
      </c>
      <c r="S87" s="5" t="s">
        <v>173</v>
      </c>
      <c r="T87" s="6" t="n">
        <v>38078</v>
      </c>
      <c r="U87" s="6" t="n">
        <v>44440</v>
      </c>
      <c r="V87" s="5" t="s">
        <v>141</v>
      </c>
      <c r="W87" s="5" t="s">
        <v>141</v>
      </c>
      <c r="X87" s="5" t="s">
        <v>83</v>
      </c>
      <c r="Y87" s="5" t="s">
        <v>83</v>
      </c>
      <c r="Z87" s="5" t="s">
        <v>141</v>
      </c>
      <c r="AA87" s="5" t="s">
        <v>649</v>
      </c>
      <c r="AB87" s="0" t="n">
        <f aca="false">IFERROR(VALUE(R87),0)</f>
        <v>0.1</v>
      </c>
      <c r="AC87" s="0" t="n">
        <f aca="false">IFERROR(VALUE(M87),"")</f>
        <v>55.8</v>
      </c>
      <c r="AD87" s="0" t="n">
        <f aca="false">IFERROR(VALUE(Q87),"")</f>
        <v>29.1</v>
      </c>
      <c r="AE87" s="0" t="n">
        <f aca="false">IFERROR(VALUE(S87),"")</f>
        <v>30.8</v>
      </c>
      <c r="AF87" s="0" t="n">
        <f aca="false">IF(V87="","",VLOOKUP(V87,Assumptions!$B$6:$C$9,2,FALSE()))</f>
        <v>3</v>
      </c>
      <c r="AG87" s="0" t="n">
        <f aca="false">IF(W87="","",VLOOKUP(W87,Assumptions!$B$6:$C$9,2,FALSE()))</f>
        <v>3</v>
      </c>
      <c r="AH87" s="0" t="n">
        <f aca="false">IF(X87="","",VLOOKUP(X87,Assumptions!$B$6:$C$9,2,FALSE()))</f>
        <v>4</v>
      </c>
      <c r="AI87" s="0" t="n">
        <f aca="false">IF(Y87="","",VLOOKUP(Y87,Assumptions!$B$6:$C$9,2,FALSE()))</f>
        <v>4</v>
      </c>
      <c r="AJ87" s="0" t="n">
        <f aca="false">IF(Z87="","",VLOOKUP(Z87,Assumptions!$B$6:$C$9,2,FALSE()))</f>
        <v>3</v>
      </c>
      <c r="AK87" s="7" t="n">
        <f aca="false">IFERROR(ROUND(AVERAGE(AF87:AJ87),3),"")</f>
        <v>3.4</v>
      </c>
      <c r="AL87" s="7" t="n">
        <f aca="false">IF(OR(AF87="",AJ87=""),"",AJ87-AF87)</f>
        <v>0</v>
      </c>
      <c r="AM87" s="7" t="n">
        <f aca="false">IF(COUNT(AF87:AJ87)&gt;=2,ROUND(_xlfn.STDEV.S(AF87:AJ87),3),"")</f>
        <v>0.548</v>
      </c>
      <c r="AN87" s="7" t="n">
        <f aca="false">ROUND((IF(AF87="",0,AF87)*Assumptions!$F$15)+(IF(AG87="",0,AG87)*Assumptions!$F$16)+(IF(AH87="",0,AH87)*Assumptions!$F$17)+(IF(AI87="",0,AI87)*Assumptions!$F$18)+(IF(AJ87="",0,AJ87)*Assumptions!$F$19),3)</f>
        <v>3.45</v>
      </c>
      <c r="AO87" s="0" t="str">
        <f aca="false">IF(AC87&lt;=20,"",IF(AC87&lt;=Assumptions!$F$6,"20-30",IF(AC87&lt;=Assumptions!$F$7,"30-40",IF(AC87&lt;=Assumptions!$F$8,"40-50",IF(AC87&lt;=Assumptions!$F$9,"50-60",IF(AC87&lt;=Assumptions!$F$10,"60+",""))))))</f>
        <v>50-60</v>
      </c>
      <c r="AP87" s="0" t="str">
        <f aca="false">IFERROR(VLOOKUP(O87,Assumptions!$B$14:$C$26,2,FALSE()),"Other")</f>
        <v>Leadership</v>
      </c>
      <c r="AQ87" s="0" t="n">
        <f aca="false">IF(T87="",0,1)</f>
        <v>1</v>
      </c>
      <c r="AR87" s="0" t="n">
        <f aca="false">IF(U87="",0,1)</f>
        <v>1</v>
      </c>
      <c r="AS87" s="8" t="n">
        <f aca="false">IF(AK87="","",IF(MAX($AK$2:$AK$921)=MIN($AK$2:$AK$921),50,ROUND((AK87-MIN($AK$2:$AK$921))/(MAX($AK$2:$AK$921)-MIN($AK$2:$AK$921))*100,2)))</f>
        <v>74.28</v>
      </c>
      <c r="AT87" s="8" t="n">
        <f aca="false">IF(MAX($BC$2:$BC$921)=MIN($BC$2:$BC$921),50,ROUND((BC87-MIN($BC$2:$BC$921))/(MAX($BC$2:$BC$921)-MIN($BC$2:$BC$921))*100,2))</f>
        <v>50</v>
      </c>
      <c r="AU87" s="8" t="n">
        <f aca="false">IF(MAX($BE$2:$BE$921)=MIN($BE$2:$BE$921),50,ROUND((BE87-MIN($BE$2:$BE$921))/(MAX($BE$2:$BE$921)-MIN($BE$2:$BE$921))*100,2))</f>
        <v>68.36</v>
      </c>
      <c r="AV87" s="8" t="n">
        <f aca="false">IF(MAX($AD$2:$AD$921)=MIN($AD$2:$AD$921),50,ROUND((AD87-MIN($AD$2:$AD$921))/(MAX($AD$2:$AD$921)-MIN($AD$2:$AD$921))*100,2))</f>
        <v>78.8</v>
      </c>
      <c r="AW87" s="8" t="n">
        <f aca="false">IF(MAX($AN$2:$AN$921)=MIN($AN$2:$AN$921),50,ROUND((AN87-MIN($AN$2:$AN$921))/(MAX($AN$2:$AN$921)-MIN($AN$2:$AN$921))*100,2))</f>
        <v>86.25</v>
      </c>
      <c r="AX87" s="8" t="n">
        <f aca="false">AQ87*100</f>
        <v>100</v>
      </c>
      <c r="AY87" s="8" t="n">
        <f aca="false">AR87*100</f>
        <v>100</v>
      </c>
      <c r="AZ87" s="8" t="n">
        <f aca="false">IFERROR(ROUND(AS87*Assumptions!$I$6+AW87*Assumptions!$I$7+AT87*Assumptions!$I$8+AU87*Assumptions!$I$9+AV87*Assumptions!$I$10+AX87*Assumptions!$I$11+AY87*Assumptions!$I$12,2),"")</f>
        <v>75.17</v>
      </c>
      <c r="BA87" s="0" t="str">
        <f aca="false">IF(AZ87="","",IF(AZ87&lt;=Assumptions!$I$18,"Below Expectation",IF(AZ87&lt;=Assumptions!$I$19,"Developing",IF(AZ87&lt;=Assumptions!$I$20,"Meets Expectation",IF(AZ87&lt;=Assumptions!$I$21,"Exceeds","Star Performer")))))</f>
        <v>Exceeds</v>
      </c>
      <c r="BB87" s="0" t="n">
        <f aca="false">IF(AZ87="",0,IF(AZ87&gt;=Assumptions!$I$26,1,0))</f>
        <v>1</v>
      </c>
      <c r="BC87" s="9" t="n">
        <f aca="false">IF(AL87="",2,AL87+2)</f>
        <v>2</v>
      </c>
      <c r="BD87" s="10" t="n">
        <f aca="false">IF(AM87="",ROUND(AVERAGE($AM$2:$AM$921),3),AM87)</f>
        <v>0.548</v>
      </c>
      <c r="BE87" s="9" t="n">
        <f aca="false">1-BD87</f>
        <v>0.452</v>
      </c>
    </row>
    <row r="88" customFormat="false" ht="14.25" hidden="true" customHeight="false" outlineLevel="0" collapsed="false">
      <c r="A88" s="4" t="n">
        <v>396</v>
      </c>
      <c r="B88" s="5" t="n">
        <v>50008000</v>
      </c>
      <c r="C88" s="5" t="s">
        <v>57</v>
      </c>
      <c r="D88" s="5" t="s">
        <v>650</v>
      </c>
      <c r="E88" s="5" t="s">
        <v>208</v>
      </c>
      <c r="F88" s="5" t="s">
        <v>387</v>
      </c>
      <c r="G88" s="5" t="s">
        <v>388</v>
      </c>
      <c r="H88" s="5" t="s">
        <v>387</v>
      </c>
      <c r="I88" s="5" t="s">
        <v>63</v>
      </c>
      <c r="J88" s="5" t="s">
        <v>100</v>
      </c>
      <c r="K88" s="5" t="s">
        <v>65</v>
      </c>
      <c r="L88" s="6" t="n">
        <v>40483</v>
      </c>
      <c r="M88" s="5" t="s">
        <v>417</v>
      </c>
      <c r="N88" s="6" t="n">
        <v>32003</v>
      </c>
      <c r="O88" s="5" t="s">
        <v>332</v>
      </c>
      <c r="P88" s="5" t="s">
        <v>333</v>
      </c>
      <c r="Q88" s="5" t="s">
        <v>212</v>
      </c>
      <c r="R88" s="5" t="s">
        <v>651</v>
      </c>
      <c r="S88" s="5" t="s">
        <v>652</v>
      </c>
      <c r="T88" s="6" t="n">
        <v>41518</v>
      </c>
      <c r="U88" s="6" t="n">
        <v>44197</v>
      </c>
      <c r="V88" s="5" t="s">
        <v>83</v>
      </c>
      <c r="W88" s="5" t="s">
        <v>141</v>
      </c>
      <c r="X88" s="5" t="s">
        <v>141</v>
      </c>
      <c r="Y88" s="5" t="s">
        <v>83</v>
      </c>
      <c r="Z88" s="5" t="s">
        <v>83</v>
      </c>
      <c r="AA88" s="5" t="s">
        <v>653</v>
      </c>
      <c r="AB88" s="0" t="n">
        <f aca="false">IFERROR(VALUE(R88),0)</f>
        <v>0.9</v>
      </c>
      <c r="AC88" s="0" t="n">
        <f aca="false">IFERROR(VALUE(M88),"")</f>
        <v>38.9</v>
      </c>
      <c r="AD88" s="0" t="n">
        <f aca="false">IFERROR(VALUE(Q88),"")</f>
        <v>15.7</v>
      </c>
      <c r="AE88" s="0" t="n">
        <f aca="false">IFERROR(VALUE(S88),"")</f>
        <v>16.4</v>
      </c>
      <c r="AF88" s="0" t="n">
        <f aca="false">IF(V88="","",VLOOKUP(V88,Assumptions!$B$6:$C$9,2,FALSE()))</f>
        <v>4</v>
      </c>
      <c r="AG88" s="0" t="n">
        <f aca="false">IF(W88="","",VLOOKUP(W88,Assumptions!$B$6:$C$9,2,FALSE()))</f>
        <v>3</v>
      </c>
      <c r="AH88" s="0" t="n">
        <f aca="false">IF(X88="","",VLOOKUP(X88,Assumptions!$B$6:$C$9,2,FALSE()))</f>
        <v>3</v>
      </c>
      <c r="AI88" s="0" t="n">
        <f aca="false">IF(Y88="","",VLOOKUP(Y88,Assumptions!$B$6:$C$9,2,FALSE()))</f>
        <v>4</v>
      </c>
      <c r="AJ88" s="0" t="n">
        <f aca="false">IF(Z88="","",VLOOKUP(Z88,Assumptions!$B$6:$C$9,2,FALSE()))</f>
        <v>4</v>
      </c>
      <c r="AK88" s="7" t="n">
        <f aca="false">IFERROR(ROUND(AVERAGE(AF88:AJ88),3),"")</f>
        <v>3.6</v>
      </c>
      <c r="AL88" s="7" t="n">
        <f aca="false">IF(OR(AF88="",AJ88=""),"",AJ88-AF88)</f>
        <v>0</v>
      </c>
      <c r="AM88" s="7" t="n">
        <f aca="false">IF(COUNT(AF88:AJ88)&gt;=2,ROUND(_xlfn.STDEV.S(AF88:AJ88),3),"")</f>
        <v>0.548</v>
      </c>
      <c r="AN88" s="7" t="n">
        <f aca="false">ROUND((IF(AF88="",0,AF88)*Assumptions!$F$15)+(IF(AG88="",0,AG88)*Assumptions!$F$16)+(IF(AH88="",0,AH88)*Assumptions!$F$17)+(IF(AI88="",0,AI88)*Assumptions!$F$18)+(IF(AJ88="",0,AJ88)*Assumptions!$F$19),3)</f>
        <v>3.65</v>
      </c>
      <c r="AO88" s="0" t="str">
        <f aca="false">IF(AC88&lt;=20,"",IF(AC88&lt;=Assumptions!$F$6,"20-30",IF(AC88&lt;=Assumptions!$F$7,"30-40",IF(AC88&lt;=Assumptions!$F$8,"40-50",IF(AC88&lt;=Assumptions!$F$9,"50-60",IF(AC88&lt;=Assumptions!$F$10,"60+",""))))))</f>
        <v>30-40</v>
      </c>
      <c r="AP88" s="0" t="str">
        <f aca="false">IFERROR(VLOOKUP(O88,Assumptions!$B$14:$C$26,2,FALSE()),"Other")</f>
        <v>Manager</v>
      </c>
      <c r="AQ88" s="0" t="n">
        <f aca="false">IF(T88="",0,1)</f>
        <v>1</v>
      </c>
      <c r="AR88" s="0" t="n">
        <f aca="false">IF(U88="",0,1)</f>
        <v>1</v>
      </c>
      <c r="AS88" s="8" t="n">
        <f aca="false">IF(AK88="","",IF(MAX($AK$2:$AK$921)=MIN($AK$2:$AK$921),50,ROUND((AK88-MIN($AK$2:$AK$921))/(MAX($AK$2:$AK$921)-MIN($AK$2:$AK$921))*100,2)))</f>
        <v>82.85</v>
      </c>
      <c r="AT88" s="8" t="n">
        <f aca="false">IF(MAX($BC$2:$BC$921)=MIN($BC$2:$BC$921),50,ROUND((BC88-MIN($BC$2:$BC$921))/(MAX($BC$2:$BC$921)-MIN($BC$2:$BC$921))*100,2))</f>
        <v>50</v>
      </c>
      <c r="AU88" s="8" t="n">
        <f aca="false">IF(MAX($BE$2:$BE$921)=MIN($BE$2:$BE$921),50,ROUND((BE88-MIN($BE$2:$BE$921))/(MAX($BE$2:$BE$921)-MIN($BE$2:$BE$921))*100,2))</f>
        <v>68.36</v>
      </c>
      <c r="AV88" s="8" t="n">
        <f aca="false">IF(MAX($AD$2:$AD$921)=MIN($AD$2:$AD$921),50,ROUND((AD88-MIN($AD$2:$AD$921))/(MAX($AD$2:$AD$921)-MIN($AD$2:$AD$921))*100,2))</f>
        <v>42.38</v>
      </c>
      <c r="AW88" s="8" t="n">
        <f aca="false">IF(MAX($AN$2:$AN$921)=MIN($AN$2:$AN$921),50,ROUND((AN88-MIN($AN$2:$AN$921))/(MAX($AN$2:$AN$921)-MIN($AN$2:$AN$921))*100,2))</f>
        <v>91.25</v>
      </c>
      <c r="AX88" s="8" t="n">
        <f aca="false">AQ88*100</f>
        <v>100</v>
      </c>
      <c r="AY88" s="8" t="n">
        <f aca="false">AR88*100</f>
        <v>100</v>
      </c>
      <c r="AZ88" s="8" t="n">
        <f aca="false">IFERROR(ROUND(AS88*Assumptions!$I$6+AW88*Assumptions!$I$7+AT88*Assumptions!$I$8+AU88*Assumptions!$I$9+AV88*Assumptions!$I$10+AX88*Assumptions!$I$11+AY88*Assumptions!$I$12,2),"")</f>
        <v>75.1</v>
      </c>
      <c r="BA88" s="0" t="str">
        <f aca="false">IF(AZ88="","",IF(AZ88&lt;=Assumptions!$I$18,"Below Expectation",IF(AZ88&lt;=Assumptions!$I$19,"Developing",IF(AZ88&lt;=Assumptions!$I$20,"Meets Expectation",IF(AZ88&lt;=Assumptions!$I$21,"Exceeds","Star Performer")))))</f>
        <v>Exceeds</v>
      </c>
      <c r="BB88" s="0" t="n">
        <f aca="false">IF(AZ88="",0,IF(AZ88&gt;=Assumptions!$I$26,1,0))</f>
        <v>1</v>
      </c>
      <c r="BC88" s="9" t="n">
        <f aca="false">IF(AL88="",2,AL88+2)</f>
        <v>2</v>
      </c>
      <c r="BD88" s="10" t="n">
        <f aca="false">IF(AM88="",ROUND(AVERAGE($AM$2:$AM$921),3),AM88)</f>
        <v>0.548</v>
      </c>
      <c r="BE88" s="9" t="n">
        <f aca="false">1-BD88</f>
        <v>0.452</v>
      </c>
    </row>
    <row r="89" customFormat="false" ht="14.25" hidden="true" customHeight="false" outlineLevel="0" collapsed="false">
      <c r="A89" s="4" t="n">
        <v>77</v>
      </c>
      <c r="B89" s="5" t="n">
        <v>10023067</v>
      </c>
      <c r="C89" s="5" t="s">
        <v>57</v>
      </c>
      <c r="D89" s="5" t="s">
        <v>654</v>
      </c>
      <c r="E89" s="5" t="s">
        <v>299</v>
      </c>
      <c r="F89" s="5" t="s">
        <v>209</v>
      </c>
      <c r="G89" s="5" t="s">
        <v>210</v>
      </c>
      <c r="H89" s="5" t="s">
        <v>209</v>
      </c>
      <c r="I89" s="5" t="s">
        <v>63</v>
      </c>
      <c r="J89" s="5" t="s">
        <v>100</v>
      </c>
      <c r="K89" s="5" t="s">
        <v>65</v>
      </c>
      <c r="L89" s="6" t="n">
        <v>39293</v>
      </c>
      <c r="M89" s="5" t="s">
        <v>154</v>
      </c>
      <c r="N89" s="6" t="n">
        <v>28836</v>
      </c>
      <c r="O89" s="5" t="s">
        <v>262</v>
      </c>
      <c r="P89" s="5" t="s">
        <v>263</v>
      </c>
      <c r="Q89" s="5" t="s">
        <v>655</v>
      </c>
      <c r="R89" s="5" t="s">
        <v>656</v>
      </c>
      <c r="S89" s="5" t="s">
        <v>440</v>
      </c>
      <c r="T89" s="6"/>
      <c r="U89" s="6" t="n">
        <v>44652</v>
      </c>
      <c r="V89" s="5" t="s">
        <v>141</v>
      </c>
      <c r="W89" s="5" t="s">
        <v>141</v>
      </c>
      <c r="X89" s="5" t="s">
        <v>83</v>
      </c>
      <c r="Y89" s="5" t="s">
        <v>83</v>
      </c>
      <c r="Z89" s="5" t="s">
        <v>83</v>
      </c>
      <c r="AA89" s="5" t="s">
        <v>657</v>
      </c>
      <c r="AB89" s="0" t="n">
        <f aca="false">IFERROR(VALUE(R89),0)</f>
        <v>7.4</v>
      </c>
      <c r="AC89" s="0" t="n">
        <f aca="false">IFERROR(VALUE(M89),"")</f>
        <v>47.5</v>
      </c>
      <c r="AD89" s="0" t="n">
        <f aca="false">IFERROR(VALUE(Q89),"")</f>
        <v>18.1</v>
      </c>
      <c r="AE89" s="0" t="n">
        <f aca="false">IFERROR(VALUE(S89),"")</f>
        <v>26.2</v>
      </c>
      <c r="AF89" s="0" t="n">
        <f aca="false">IF(V89="","",VLOOKUP(V89,Assumptions!$B$6:$C$9,2,FALSE()))</f>
        <v>3</v>
      </c>
      <c r="AG89" s="0" t="n">
        <f aca="false">IF(W89="","",VLOOKUP(W89,Assumptions!$B$6:$C$9,2,FALSE()))</f>
        <v>3</v>
      </c>
      <c r="AH89" s="0" t="n">
        <f aca="false">IF(X89="","",VLOOKUP(X89,Assumptions!$B$6:$C$9,2,FALSE()))</f>
        <v>4</v>
      </c>
      <c r="AI89" s="0" t="n">
        <f aca="false">IF(Y89="","",VLOOKUP(Y89,Assumptions!$B$6:$C$9,2,FALSE()))</f>
        <v>4</v>
      </c>
      <c r="AJ89" s="0" t="n">
        <f aca="false">IF(Z89="","",VLOOKUP(Z89,Assumptions!$B$6:$C$9,2,FALSE()))</f>
        <v>4</v>
      </c>
      <c r="AK89" s="7" t="n">
        <f aca="false">IFERROR(ROUND(AVERAGE(AF89:AJ89),3),"")</f>
        <v>3.6</v>
      </c>
      <c r="AL89" s="7" t="n">
        <f aca="false">IF(OR(AF89="",AJ89=""),"",AJ89-AF89)</f>
        <v>1</v>
      </c>
      <c r="AM89" s="7" t="n">
        <f aca="false">IF(COUNT(AF89:AJ89)&gt;=2,ROUND(_xlfn.STDEV.S(AF89:AJ89),3),"")</f>
        <v>0.548</v>
      </c>
      <c r="AN89" s="7" t="n">
        <f aca="false">ROUND((IF(AF89="",0,AF89)*Assumptions!$F$15)+(IF(AG89="",0,AG89)*Assumptions!$F$16)+(IF(AH89="",0,AH89)*Assumptions!$F$17)+(IF(AI89="",0,AI89)*Assumptions!$F$18)+(IF(AJ89="",0,AJ89)*Assumptions!$F$19),3)</f>
        <v>3.75</v>
      </c>
      <c r="AO89" s="0" t="str">
        <f aca="false">IF(AC89&lt;=20,"",IF(AC89&lt;=Assumptions!$F$6,"20-30",IF(AC89&lt;=Assumptions!$F$7,"30-40",IF(AC89&lt;=Assumptions!$F$8,"40-50",IF(AC89&lt;=Assumptions!$F$9,"50-60",IF(AC89&lt;=Assumptions!$F$10,"60+",""))))))</f>
        <v>40-50</v>
      </c>
      <c r="AP89" s="0" t="str">
        <f aca="false">IFERROR(VLOOKUP(O89,Assumptions!$B$14:$C$26,2,FALSE()),"Other")</f>
        <v>Manager</v>
      </c>
      <c r="AQ89" s="0" t="n">
        <f aca="false">IF(T89="",0,1)</f>
        <v>0</v>
      </c>
      <c r="AR89" s="0" t="n">
        <f aca="false">IF(U89="",0,1)</f>
        <v>1</v>
      </c>
      <c r="AS89" s="8" t="n">
        <f aca="false">IF(AK89="","",IF(MAX($AK$2:$AK$921)=MIN($AK$2:$AK$921),50,ROUND((AK89-MIN($AK$2:$AK$921))/(MAX($AK$2:$AK$921)-MIN($AK$2:$AK$921))*100,2)))</f>
        <v>82.85</v>
      </c>
      <c r="AT89" s="8" t="n">
        <f aca="false">IF(MAX($BC$2:$BC$921)=MIN($BC$2:$BC$921),50,ROUND((BC89-MIN($BC$2:$BC$921))/(MAX($BC$2:$BC$921)-MIN($BC$2:$BC$921))*100,2))</f>
        <v>75</v>
      </c>
      <c r="AU89" s="8" t="n">
        <f aca="false">IF(MAX($BE$2:$BE$921)=MIN($BE$2:$BE$921),50,ROUND((BE89-MIN($BE$2:$BE$921))/(MAX($BE$2:$BE$921)-MIN($BE$2:$BE$921))*100,2))</f>
        <v>68.36</v>
      </c>
      <c r="AV89" s="8" t="n">
        <f aca="false">IF(MAX($AD$2:$AD$921)=MIN($AD$2:$AD$921),50,ROUND((AD89-MIN($AD$2:$AD$921))/(MAX($AD$2:$AD$921)-MIN($AD$2:$AD$921))*100,2))</f>
        <v>48.9</v>
      </c>
      <c r="AW89" s="8" t="n">
        <f aca="false">IF(MAX($AN$2:$AN$921)=MIN($AN$2:$AN$921),50,ROUND((AN89-MIN($AN$2:$AN$921))/(MAX($AN$2:$AN$921)-MIN($AN$2:$AN$921))*100,2))</f>
        <v>93.75</v>
      </c>
      <c r="AX89" s="8" t="n">
        <f aca="false">AQ89*100</f>
        <v>0</v>
      </c>
      <c r="AY89" s="8" t="n">
        <f aca="false">AR89*100</f>
        <v>100</v>
      </c>
      <c r="AZ89" s="8" t="n">
        <f aca="false">IFERROR(ROUND(AS89*Assumptions!$I$6+AW89*Assumptions!$I$7+AT89*Assumptions!$I$8+AU89*Assumptions!$I$9+AV89*Assumptions!$I$10+AX89*Assumptions!$I$11+AY89*Assumptions!$I$12,2),"")</f>
        <v>75</v>
      </c>
      <c r="BA89" s="0" t="str">
        <f aca="false">IF(AZ89="","",IF(AZ89&lt;=Assumptions!$I$18,"Below Expectation",IF(AZ89&lt;=Assumptions!$I$19,"Developing",IF(AZ89&lt;=Assumptions!$I$20,"Meets Expectation",IF(AZ89&lt;=Assumptions!$I$21,"Exceeds","Star Performer")))))</f>
        <v>Exceeds</v>
      </c>
      <c r="BB89" s="0" t="n">
        <f aca="false">IF(AZ89="",0,IF(AZ89&gt;=Assumptions!$I$26,1,0))</f>
        <v>1</v>
      </c>
      <c r="BC89" s="9" t="n">
        <f aca="false">IF(AL89="",2,AL89+2)</f>
        <v>3</v>
      </c>
      <c r="BD89" s="10" t="n">
        <f aca="false">IF(AM89="",ROUND(AVERAGE($AM$2:$AM$921),3),AM89)</f>
        <v>0.548</v>
      </c>
      <c r="BE89" s="9" t="n">
        <f aca="false">1-BD89</f>
        <v>0.452</v>
      </c>
    </row>
    <row r="90" customFormat="false" ht="14.25" hidden="true" customHeight="false" outlineLevel="0" collapsed="false">
      <c r="A90" s="4" t="n">
        <v>220</v>
      </c>
      <c r="B90" s="5" t="n">
        <v>10057246</v>
      </c>
      <c r="C90" s="5" t="s">
        <v>57</v>
      </c>
      <c r="D90" s="5" t="s">
        <v>658</v>
      </c>
      <c r="E90" s="5" t="s">
        <v>456</v>
      </c>
      <c r="F90" s="5" t="s">
        <v>608</v>
      </c>
      <c r="G90" s="5" t="s">
        <v>609</v>
      </c>
      <c r="H90" s="5" t="s">
        <v>608</v>
      </c>
      <c r="I90" s="5" t="s">
        <v>63</v>
      </c>
      <c r="J90" s="5" t="s">
        <v>100</v>
      </c>
      <c r="K90" s="5" t="s">
        <v>309</v>
      </c>
      <c r="L90" s="6" t="n">
        <v>42800</v>
      </c>
      <c r="M90" s="5" t="s">
        <v>659</v>
      </c>
      <c r="N90" s="6" t="n">
        <v>33811</v>
      </c>
      <c r="O90" s="5" t="s">
        <v>365</v>
      </c>
      <c r="P90" s="5" t="s">
        <v>365</v>
      </c>
      <c r="Q90" s="5" t="s">
        <v>569</v>
      </c>
      <c r="R90" s="5" t="s">
        <v>568</v>
      </c>
      <c r="S90" s="5" t="s">
        <v>660</v>
      </c>
      <c r="T90" s="6"/>
      <c r="U90" s="6"/>
      <c r="V90" s="5" t="s">
        <v>83</v>
      </c>
      <c r="W90" s="5" t="s">
        <v>83</v>
      </c>
      <c r="X90" s="5" t="s">
        <v>83</v>
      </c>
      <c r="Y90" s="5" t="s">
        <v>83</v>
      </c>
      <c r="Z90" s="5" t="s">
        <v>83</v>
      </c>
      <c r="AA90" s="5" t="s">
        <v>661</v>
      </c>
      <c r="AB90" s="0" t="n">
        <f aca="false">IFERROR(VALUE(R90),0)</f>
        <v>1.3</v>
      </c>
      <c r="AC90" s="0" t="n">
        <f aca="false">IFERROR(VALUE(M90),"")</f>
        <v>33.1</v>
      </c>
      <c r="AD90" s="0" t="n">
        <f aca="false">IFERROR(VALUE(Q90),"")</f>
        <v>9.3</v>
      </c>
      <c r="AE90" s="0" t="n">
        <f aca="false">IFERROR(VALUE(S90),"")</f>
        <v>10.6</v>
      </c>
      <c r="AF90" s="0" t="n">
        <f aca="false">IF(V90="","",VLOOKUP(V90,Assumptions!$B$6:$C$9,2,FALSE()))</f>
        <v>4</v>
      </c>
      <c r="AG90" s="0" t="n">
        <f aca="false">IF(W90="","",VLOOKUP(W90,Assumptions!$B$6:$C$9,2,FALSE()))</f>
        <v>4</v>
      </c>
      <c r="AH90" s="0" t="n">
        <f aca="false">IF(X90="","",VLOOKUP(X90,Assumptions!$B$6:$C$9,2,FALSE()))</f>
        <v>4</v>
      </c>
      <c r="AI90" s="0" t="n">
        <f aca="false">IF(Y90="","",VLOOKUP(Y90,Assumptions!$B$6:$C$9,2,FALSE()))</f>
        <v>4</v>
      </c>
      <c r="AJ90" s="0" t="n">
        <f aca="false">IF(Z90="","",VLOOKUP(Z90,Assumptions!$B$6:$C$9,2,FALSE()))</f>
        <v>4</v>
      </c>
      <c r="AK90" s="7" t="n">
        <f aca="false">IFERROR(ROUND(AVERAGE(AF90:AJ90),3),"")</f>
        <v>4</v>
      </c>
      <c r="AL90" s="7" t="n">
        <f aca="false">IF(OR(AF90="",AJ90=""),"",AJ90-AF90)</f>
        <v>0</v>
      </c>
      <c r="AM90" s="7" t="n">
        <f aca="false">IF(COUNT(AF90:AJ90)&gt;=2,ROUND(_xlfn.STDEV.S(AF90:AJ90),3),"")</f>
        <v>0</v>
      </c>
      <c r="AN90" s="7" t="n">
        <f aca="false">ROUND((IF(AF90="",0,AF90)*Assumptions!$F$15)+(IF(AG90="",0,AG90)*Assumptions!$F$16)+(IF(AH90="",0,AH90)*Assumptions!$F$17)+(IF(AI90="",0,AI90)*Assumptions!$F$18)+(IF(AJ90="",0,AJ90)*Assumptions!$F$19),3)</f>
        <v>4</v>
      </c>
      <c r="AO90" s="0" t="str">
        <f aca="false">IF(AC90&lt;=20,"",IF(AC90&lt;=Assumptions!$F$6,"20-30",IF(AC90&lt;=Assumptions!$F$7,"30-40",IF(AC90&lt;=Assumptions!$F$8,"40-50",IF(AC90&lt;=Assumptions!$F$9,"50-60",IF(AC90&lt;=Assumptions!$F$10,"60+",""))))))</f>
        <v>30-40</v>
      </c>
      <c r="AP90" s="0" t="str">
        <f aca="false">IFERROR(VLOOKUP(O90,Assumptions!$B$14:$C$26,2,FALSE()),"Other")</f>
        <v>Manager</v>
      </c>
      <c r="AQ90" s="0" t="n">
        <f aca="false">IF(T90="",0,1)</f>
        <v>0</v>
      </c>
      <c r="AR90" s="0" t="n">
        <f aca="false">IF(U90="",0,1)</f>
        <v>0</v>
      </c>
      <c r="AS90" s="8" t="n">
        <f aca="false">IF(AK90="","",IF(MAX($AK$2:$AK$921)=MIN($AK$2:$AK$921),50,ROUND((AK90-MIN($AK$2:$AK$921))/(MAX($AK$2:$AK$921)-MIN($AK$2:$AK$921))*100,2)))</f>
        <v>100</v>
      </c>
      <c r="AT90" s="8" t="n">
        <f aca="false">IF(MAX($BC$2:$BC$921)=MIN($BC$2:$BC$921),50,ROUND((BC90-MIN($BC$2:$BC$921))/(MAX($BC$2:$BC$921)-MIN($BC$2:$BC$921))*100,2))</f>
        <v>50</v>
      </c>
      <c r="AU90" s="8" t="n">
        <f aca="false">IF(MAX($BE$2:$BE$921)=MIN($BE$2:$BE$921),50,ROUND((BE90-MIN($BE$2:$BE$921))/(MAX($BE$2:$BE$921)-MIN($BE$2:$BE$921))*100,2))</f>
        <v>100</v>
      </c>
      <c r="AV90" s="8" t="n">
        <f aca="false">IF(MAX($AD$2:$AD$921)=MIN($AD$2:$AD$921),50,ROUND((AD90-MIN($AD$2:$AD$921))/(MAX($AD$2:$AD$921)-MIN($AD$2:$AD$921))*100,2))</f>
        <v>24.98</v>
      </c>
      <c r="AW90" s="8" t="n">
        <f aca="false">IF(MAX($AN$2:$AN$921)=MIN($AN$2:$AN$921),50,ROUND((AN90-MIN($AN$2:$AN$921))/(MAX($AN$2:$AN$921)-MIN($AN$2:$AN$921))*100,2))</f>
        <v>100</v>
      </c>
      <c r="AX90" s="8" t="n">
        <f aca="false">AQ90*100</f>
        <v>0</v>
      </c>
      <c r="AY90" s="8" t="n">
        <f aca="false">AR90*100</f>
        <v>0</v>
      </c>
      <c r="AZ90" s="8" t="n">
        <f aca="false">IFERROR(ROUND(AS90*Assumptions!$I$6+AW90*Assumptions!$I$7+AT90*Assumptions!$I$8+AU90*Assumptions!$I$9+AV90*Assumptions!$I$10+AX90*Assumptions!$I$11+AY90*Assumptions!$I$12,2),"")</f>
        <v>75</v>
      </c>
      <c r="BA90" s="0" t="str">
        <f aca="false">IF(AZ90="","",IF(AZ90&lt;=Assumptions!$I$18,"Below Expectation",IF(AZ90&lt;=Assumptions!$I$19,"Developing",IF(AZ90&lt;=Assumptions!$I$20,"Meets Expectation",IF(AZ90&lt;=Assumptions!$I$21,"Exceeds","Star Performer")))))</f>
        <v>Exceeds</v>
      </c>
      <c r="BB90" s="0" t="n">
        <f aca="false">IF(AZ90="",0,IF(AZ90&gt;=Assumptions!$I$26,1,0))</f>
        <v>1</v>
      </c>
      <c r="BC90" s="9" t="n">
        <f aca="false">IF(AL90="",2,AL90+2)</f>
        <v>2</v>
      </c>
      <c r="BD90" s="10" t="n">
        <f aca="false">IF(AM90="",ROUND(AVERAGE($AM$2:$AM$921),3),AM90)</f>
        <v>0</v>
      </c>
      <c r="BE90" s="9" t="n">
        <f aca="false">1-BD90</f>
        <v>1</v>
      </c>
    </row>
    <row r="91" customFormat="false" ht="14.25" hidden="true" customHeight="false" outlineLevel="0" collapsed="false">
      <c r="A91" s="4" t="n">
        <v>394</v>
      </c>
      <c r="B91" s="5" t="n">
        <v>50007857</v>
      </c>
      <c r="C91" s="5" t="s">
        <v>57</v>
      </c>
      <c r="D91" s="5" t="s">
        <v>662</v>
      </c>
      <c r="E91" s="5" t="s">
        <v>456</v>
      </c>
      <c r="F91" s="5" t="s">
        <v>387</v>
      </c>
      <c r="G91" s="5" t="s">
        <v>388</v>
      </c>
      <c r="H91" s="5" t="s">
        <v>387</v>
      </c>
      <c r="I91" s="5" t="s">
        <v>63</v>
      </c>
      <c r="J91" s="5" t="s">
        <v>100</v>
      </c>
      <c r="K91" s="5" t="s">
        <v>65</v>
      </c>
      <c r="L91" s="6" t="n">
        <v>40441</v>
      </c>
      <c r="M91" s="5" t="s">
        <v>663</v>
      </c>
      <c r="N91" s="6" t="n">
        <v>31082</v>
      </c>
      <c r="O91" s="5" t="s">
        <v>262</v>
      </c>
      <c r="P91" s="5" t="s">
        <v>263</v>
      </c>
      <c r="Q91" s="5" t="s">
        <v>460</v>
      </c>
      <c r="R91" s="5" t="s">
        <v>648</v>
      </c>
      <c r="S91" s="5" t="s">
        <v>664</v>
      </c>
      <c r="T91" s="6" t="n">
        <v>41518</v>
      </c>
      <c r="U91" s="6" t="n">
        <v>45748</v>
      </c>
      <c r="V91" s="5" t="s">
        <v>141</v>
      </c>
      <c r="W91" s="5" t="s">
        <v>83</v>
      </c>
      <c r="X91" s="5" t="s">
        <v>83</v>
      </c>
      <c r="Y91" s="5" t="s">
        <v>83</v>
      </c>
      <c r="Z91" s="5" t="s">
        <v>141</v>
      </c>
      <c r="AA91" s="5" t="s">
        <v>665</v>
      </c>
      <c r="AB91" s="0" t="n">
        <f aca="false">IFERROR(VALUE(R91),0)</f>
        <v>0.1</v>
      </c>
      <c r="AC91" s="0" t="n">
        <f aca="false">IFERROR(VALUE(M91),"")</f>
        <v>41.4</v>
      </c>
      <c r="AD91" s="0" t="n">
        <f aca="false">IFERROR(VALUE(Q91),"")</f>
        <v>15.8</v>
      </c>
      <c r="AE91" s="0" t="n">
        <f aca="false">IFERROR(VALUE(S91),"")</f>
        <v>16.6</v>
      </c>
      <c r="AF91" s="0" t="n">
        <f aca="false">IF(V91="","",VLOOKUP(V91,Assumptions!$B$6:$C$9,2,FALSE()))</f>
        <v>3</v>
      </c>
      <c r="AG91" s="0" t="n">
        <f aca="false">IF(W91="","",VLOOKUP(W91,Assumptions!$B$6:$C$9,2,FALSE()))</f>
        <v>4</v>
      </c>
      <c r="AH91" s="0" t="n">
        <f aca="false">IF(X91="","",VLOOKUP(X91,Assumptions!$B$6:$C$9,2,FALSE()))</f>
        <v>4</v>
      </c>
      <c r="AI91" s="0" t="n">
        <f aca="false">IF(Y91="","",VLOOKUP(Y91,Assumptions!$B$6:$C$9,2,FALSE()))</f>
        <v>4</v>
      </c>
      <c r="AJ91" s="0" t="n">
        <f aca="false">IF(Z91="","",VLOOKUP(Z91,Assumptions!$B$6:$C$9,2,FALSE()))</f>
        <v>3</v>
      </c>
      <c r="AK91" s="7" t="n">
        <f aca="false">IFERROR(ROUND(AVERAGE(AF91:AJ91),3),"")</f>
        <v>3.6</v>
      </c>
      <c r="AL91" s="7" t="n">
        <f aca="false">IF(OR(AF91="",AJ91=""),"",AJ91-AF91)</f>
        <v>0</v>
      </c>
      <c r="AM91" s="7" t="n">
        <f aca="false">IF(COUNT(AF91:AJ91)&gt;=2,ROUND(_xlfn.STDEV.S(AF91:AJ91),3),"")</f>
        <v>0.548</v>
      </c>
      <c r="AN91" s="7" t="n">
        <f aca="false">ROUND((IF(AF91="",0,AF91)*Assumptions!$F$15)+(IF(AG91="",0,AG91)*Assumptions!$F$16)+(IF(AH91="",0,AH91)*Assumptions!$F$17)+(IF(AI91="",0,AI91)*Assumptions!$F$18)+(IF(AJ91="",0,AJ91)*Assumptions!$F$19),3)</f>
        <v>3.6</v>
      </c>
      <c r="AO91" s="0" t="str">
        <f aca="false">IF(AC91&lt;=20,"",IF(AC91&lt;=Assumptions!$F$6,"20-30",IF(AC91&lt;=Assumptions!$F$7,"30-40",IF(AC91&lt;=Assumptions!$F$8,"40-50",IF(AC91&lt;=Assumptions!$F$9,"50-60",IF(AC91&lt;=Assumptions!$F$10,"60+",""))))))</f>
        <v>40-50</v>
      </c>
      <c r="AP91" s="0" t="str">
        <f aca="false">IFERROR(VLOOKUP(O91,Assumptions!$B$14:$C$26,2,FALSE()),"Other")</f>
        <v>Manager</v>
      </c>
      <c r="AQ91" s="0" t="n">
        <f aca="false">IF(T91="",0,1)</f>
        <v>1</v>
      </c>
      <c r="AR91" s="0" t="n">
        <f aca="false">IF(U91="",0,1)</f>
        <v>1</v>
      </c>
      <c r="AS91" s="8" t="n">
        <f aca="false">IF(AK91="","",IF(MAX($AK$2:$AK$921)=MIN($AK$2:$AK$921),50,ROUND((AK91-MIN($AK$2:$AK$921))/(MAX($AK$2:$AK$921)-MIN($AK$2:$AK$921))*100,2)))</f>
        <v>82.85</v>
      </c>
      <c r="AT91" s="8" t="n">
        <f aca="false">IF(MAX($BC$2:$BC$921)=MIN($BC$2:$BC$921),50,ROUND((BC91-MIN($BC$2:$BC$921))/(MAX($BC$2:$BC$921)-MIN($BC$2:$BC$921))*100,2))</f>
        <v>50</v>
      </c>
      <c r="AU91" s="8" t="n">
        <f aca="false">IF(MAX($BE$2:$BE$921)=MIN($BE$2:$BE$921),50,ROUND((BE91-MIN($BE$2:$BE$921))/(MAX($BE$2:$BE$921)-MIN($BE$2:$BE$921))*100,2))</f>
        <v>68.36</v>
      </c>
      <c r="AV91" s="8" t="n">
        <f aca="false">IF(MAX($AD$2:$AD$921)=MIN($AD$2:$AD$921),50,ROUND((AD91-MIN($AD$2:$AD$921))/(MAX($AD$2:$AD$921)-MIN($AD$2:$AD$921))*100,2))</f>
        <v>42.65</v>
      </c>
      <c r="AW91" s="8" t="n">
        <f aca="false">IF(MAX($AN$2:$AN$921)=MIN($AN$2:$AN$921),50,ROUND((AN91-MIN($AN$2:$AN$921))/(MAX($AN$2:$AN$921)-MIN($AN$2:$AN$921))*100,2))</f>
        <v>90</v>
      </c>
      <c r="AX91" s="8" t="n">
        <f aca="false">AQ91*100</f>
        <v>100</v>
      </c>
      <c r="AY91" s="8" t="n">
        <f aca="false">AR91*100</f>
        <v>100</v>
      </c>
      <c r="AZ91" s="8" t="n">
        <f aca="false">IFERROR(ROUND(AS91*Assumptions!$I$6+AW91*Assumptions!$I$7+AT91*Assumptions!$I$8+AU91*Assumptions!$I$9+AV91*Assumptions!$I$10+AX91*Assumptions!$I$11+AY91*Assumptions!$I$12,2),"")</f>
        <v>74.87</v>
      </c>
      <c r="BA91" s="0" t="str">
        <f aca="false">IF(AZ91="","",IF(AZ91&lt;=Assumptions!$I$18,"Below Expectation",IF(AZ91&lt;=Assumptions!$I$19,"Developing",IF(AZ91&lt;=Assumptions!$I$20,"Meets Expectation",IF(AZ91&lt;=Assumptions!$I$21,"Exceeds","Star Performer")))))</f>
        <v>Exceeds</v>
      </c>
      <c r="BB91" s="0" t="n">
        <f aca="false">IF(AZ91="",0,IF(AZ91&gt;=Assumptions!$I$26,1,0))</f>
        <v>1</v>
      </c>
      <c r="BC91" s="9" t="n">
        <f aca="false">IF(AL91="",2,AL91+2)</f>
        <v>2</v>
      </c>
      <c r="BD91" s="10" t="n">
        <f aca="false">IF(AM91="",ROUND(AVERAGE($AM$2:$AM$921),3),AM91)</f>
        <v>0.548</v>
      </c>
      <c r="BE91" s="9" t="n">
        <f aca="false">1-BD91</f>
        <v>0.452</v>
      </c>
    </row>
    <row r="92" customFormat="false" ht="14.25" hidden="true" customHeight="false" outlineLevel="0" collapsed="false">
      <c r="A92" s="4" t="n">
        <v>87</v>
      </c>
      <c r="B92" s="5" t="n">
        <v>10026406</v>
      </c>
      <c r="C92" s="5" t="s">
        <v>666</v>
      </c>
      <c r="D92" s="5" t="s">
        <v>667</v>
      </c>
      <c r="E92" s="5" t="s">
        <v>668</v>
      </c>
      <c r="F92" s="5" t="s">
        <v>120</v>
      </c>
      <c r="G92" s="5" t="s">
        <v>177</v>
      </c>
      <c r="H92" s="5" t="s">
        <v>178</v>
      </c>
      <c r="I92" s="5" t="s">
        <v>63</v>
      </c>
      <c r="J92" s="5" t="s">
        <v>100</v>
      </c>
      <c r="K92" s="5" t="s">
        <v>65</v>
      </c>
      <c r="L92" s="6" t="n">
        <v>39479</v>
      </c>
      <c r="M92" s="5" t="s">
        <v>669</v>
      </c>
      <c r="N92" s="6" t="n">
        <v>24640</v>
      </c>
      <c r="O92" s="5" t="s">
        <v>122</v>
      </c>
      <c r="P92" s="5" t="s">
        <v>123</v>
      </c>
      <c r="Q92" s="5" t="s">
        <v>670</v>
      </c>
      <c r="R92" s="5" t="s">
        <v>671</v>
      </c>
      <c r="S92" s="5" t="s">
        <v>672</v>
      </c>
      <c r="T92" s="6"/>
      <c r="U92" s="6" t="n">
        <v>44562</v>
      </c>
      <c r="V92" s="5" t="s">
        <v>141</v>
      </c>
      <c r="W92" s="5" t="s">
        <v>83</v>
      </c>
      <c r="X92" s="5" t="s">
        <v>141</v>
      </c>
      <c r="Y92" s="5" t="s">
        <v>83</v>
      </c>
      <c r="Z92" s="5" t="s">
        <v>83</v>
      </c>
      <c r="AA92" s="5" t="s">
        <v>673</v>
      </c>
      <c r="AB92" s="0" t="n">
        <f aca="false">IFERROR(VALUE(R92),0)</f>
        <v>20</v>
      </c>
      <c r="AC92" s="0" t="n">
        <f aca="false">IFERROR(VALUE(M92),"")</f>
        <v>58.11</v>
      </c>
      <c r="AD92" s="0" t="n">
        <f aca="false">IFERROR(VALUE(Q92),"")</f>
        <v>18.4</v>
      </c>
      <c r="AE92" s="0" t="n">
        <f aca="false">IFERROR(VALUE(S92),"")</f>
        <v>38.4</v>
      </c>
      <c r="AF92" s="0" t="n">
        <f aca="false">IF(V92="","",VLOOKUP(V92,Assumptions!$B$6:$C$9,2,FALSE()))</f>
        <v>3</v>
      </c>
      <c r="AG92" s="0" t="n">
        <f aca="false">IF(W92="","",VLOOKUP(W92,Assumptions!$B$6:$C$9,2,FALSE()))</f>
        <v>4</v>
      </c>
      <c r="AH92" s="0" t="n">
        <f aca="false">IF(X92="","",VLOOKUP(X92,Assumptions!$B$6:$C$9,2,FALSE()))</f>
        <v>3</v>
      </c>
      <c r="AI92" s="0" t="n">
        <f aca="false">IF(Y92="","",VLOOKUP(Y92,Assumptions!$B$6:$C$9,2,FALSE()))</f>
        <v>4</v>
      </c>
      <c r="AJ92" s="0" t="n">
        <f aca="false">IF(Z92="","",VLOOKUP(Z92,Assumptions!$B$6:$C$9,2,FALSE()))</f>
        <v>4</v>
      </c>
      <c r="AK92" s="7" t="n">
        <f aca="false">IFERROR(ROUND(AVERAGE(AF92:AJ92),3),"")</f>
        <v>3.6</v>
      </c>
      <c r="AL92" s="7" t="n">
        <f aca="false">IF(OR(AF92="",AJ92=""),"",AJ92-AF92)</f>
        <v>1</v>
      </c>
      <c r="AM92" s="7" t="n">
        <f aca="false">IF(COUNT(AF92:AJ92)&gt;=2,ROUND(_xlfn.STDEV.S(AF92:AJ92),3),"")</f>
        <v>0.548</v>
      </c>
      <c r="AN92" s="7" t="n">
        <f aca="false">ROUND((IF(AF92="",0,AF92)*Assumptions!$F$15)+(IF(AG92="",0,AG92)*Assumptions!$F$16)+(IF(AH92="",0,AH92)*Assumptions!$F$17)+(IF(AI92="",0,AI92)*Assumptions!$F$18)+(IF(AJ92="",0,AJ92)*Assumptions!$F$19),3)</f>
        <v>3.7</v>
      </c>
      <c r="AO92" s="0" t="str">
        <f aca="false">IF(AC92&lt;=20,"",IF(AC92&lt;=Assumptions!$F$6,"20-30",IF(AC92&lt;=Assumptions!$F$7,"30-40",IF(AC92&lt;=Assumptions!$F$8,"40-50",IF(AC92&lt;=Assumptions!$F$9,"50-60",IF(AC92&lt;=Assumptions!$F$10,"60+",""))))))</f>
        <v>50-60</v>
      </c>
      <c r="AP92" s="0" t="str">
        <f aca="false">IFERROR(VLOOKUP(O92,Assumptions!$B$14:$C$26,2,FALSE()),"Other")</f>
        <v>Leadership</v>
      </c>
      <c r="AQ92" s="0" t="n">
        <f aca="false">IF(T92="",0,1)</f>
        <v>0</v>
      </c>
      <c r="AR92" s="0" t="n">
        <f aca="false">IF(U92="",0,1)</f>
        <v>1</v>
      </c>
      <c r="AS92" s="8" t="n">
        <f aca="false">IF(AK92="","",IF(MAX($AK$2:$AK$921)=MIN($AK$2:$AK$921),50,ROUND((AK92-MIN($AK$2:$AK$921))/(MAX($AK$2:$AK$921)-MIN($AK$2:$AK$921))*100,2)))</f>
        <v>82.85</v>
      </c>
      <c r="AT92" s="8" t="n">
        <f aca="false">IF(MAX($BC$2:$BC$921)=MIN($BC$2:$BC$921),50,ROUND((BC92-MIN($BC$2:$BC$921))/(MAX($BC$2:$BC$921)-MIN($BC$2:$BC$921))*100,2))</f>
        <v>75</v>
      </c>
      <c r="AU92" s="8" t="n">
        <f aca="false">IF(MAX($BE$2:$BE$921)=MIN($BE$2:$BE$921),50,ROUND((BE92-MIN($BE$2:$BE$921))/(MAX($BE$2:$BE$921)-MIN($BE$2:$BE$921))*100,2))</f>
        <v>68.36</v>
      </c>
      <c r="AV92" s="8" t="n">
        <f aca="false">IF(MAX($AD$2:$AD$921)=MIN($AD$2:$AD$921),50,ROUND((AD92-MIN($AD$2:$AD$921))/(MAX($AD$2:$AD$921)-MIN($AD$2:$AD$921))*100,2))</f>
        <v>49.71</v>
      </c>
      <c r="AW92" s="8" t="n">
        <f aca="false">IF(MAX($AN$2:$AN$921)=MIN($AN$2:$AN$921),50,ROUND((AN92-MIN($AN$2:$AN$921))/(MAX($AN$2:$AN$921)-MIN($AN$2:$AN$921))*100,2))</f>
        <v>92.5</v>
      </c>
      <c r="AX92" s="8" t="n">
        <f aca="false">AQ92*100</f>
        <v>0</v>
      </c>
      <c r="AY92" s="8" t="n">
        <f aca="false">AR92*100</f>
        <v>100</v>
      </c>
      <c r="AZ92" s="8" t="n">
        <f aca="false">IFERROR(ROUND(AS92*Assumptions!$I$6+AW92*Assumptions!$I$7+AT92*Assumptions!$I$8+AU92*Assumptions!$I$9+AV92*Assumptions!$I$10+AX92*Assumptions!$I$11+AY92*Assumptions!$I$12,2),"")</f>
        <v>74.83</v>
      </c>
      <c r="BA92" s="0" t="str">
        <f aca="false">IF(AZ92="","",IF(AZ92&lt;=Assumptions!$I$18,"Below Expectation",IF(AZ92&lt;=Assumptions!$I$19,"Developing",IF(AZ92&lt;=Assumptions!$I$20,"Meets Expectation",IF(AZ92&lt;=Assumptions!$I$21,"Exceeds","Star Performer")))))</f>
        <v>Exceeds</v>
      </c>
      <c r="BB92" s="0" t="n">
        <f aca="false">IF(AZ92="",0,IF(AZ92&gt;=Assumptions!$I$26,1,0))</f>
        <v>1</v>
      </c>
      <c r="BC92" s="9" t="n">
        <f aca="false">IF(AL92="",2,AL92+2)</f>
        <v>3</v>
      </c>
      <c r="BD92" s="10" t="n">
        <f aca="false">IF(AM92="",ROUND(AVERAGE($AM$2:$AM$921),3),AM92)</f>
        <v>0.548</v>
      </c>
      <c r="BE92" s="9" t="n">
        <f aca="false">1-BD92</f>
        <v>0.452</v>
      </c>
    </row>
    <row r="93" customFormat="false" ht="14.25" hidden="true" customHeight="false" outlineLevel="0" collapsed="false">
      <c r="A93" s="4" t="n">
        <v>399</v>
      </c>
      <c r="B93" s="5" t="n">
        <v>50008182</v>
      </c>
      <c r="C93" s="5" t="s">
        <v>57</v>
      </c>
      <c r="D93" s="5" t="s">
        <v>674</v>
      </c>
      <c r="E93" s="5" t="s">
        <v>500</v>
      </c>
      <c r="F93" s="5" t="s">
        <v>387</v>
      </c>
      <c r="G93" s="5" t="s">
        <v>388</v>
      </c>
      <c r="H93" s="5" t="s">
        <v>387</v>
      </c>
      <c r="I93" s="5" t="s">
        <v>63</v>
      </c>
      <c r="J93" s="5" t="s">
        <v>100</v>
      </c>
      <c r="K93" s="5" t="s">
        <v>65</v>
      </c>
      <c r="L93" s="6" t="n">
        <v>40525</v>
      </c>
      <c r="M93" s="5" t="s">
        <v>675</v>
      </c>
      <c r="N93" s="6" t="n">
        <v>31614</v>
      </c>
      <c r="O93" s="5" t="s">
        <v>262</v>
      </c>
      <c r="P93" s="5" t="s">
        <v>263</v>
      </c>
      <c r="Q93" s="5" t="s">
        <v>419</v>
      </c>
      <c r="R93" s="5" t="s">
        <v>115</v>
      </c>
      <c r="S93" s="5" t="s">
        <v>419</v>
      </c>
      <c r="T93" s="6" t="n">
        <v>41518</v>
      </c>
      <c r="U93" s="6" t="n">
        <v>45748</v>
      </c>
      <c r="V93" s="5" t="s">
        <v>141</v>
      </c>
      <c r="W93" s="5" t="s">
        <v>83</v>
      </c>
      <c r="X93" s="5" t="s">
        <v>83</v>
      </c>
      <c r="Y93" s="5" t="s">
        <v>83</v>
      </c>
      <c r="Z93" s="5" t="s">
        <v>141</v>
      </c>
      <c r="AA93" s="5" t="s">
        <v>676</v>
      </c>
      <c r="AB93" s="0" t="n">
        <f aca="false">IFERROR(VALUE(R93),0)</f>
        <v>0</v>
      </c>
      <c r="AC93" s="0" t="n">
        <f aca="false">IFERROR(VALUE(M93),"")</f>
        <v>39.1</v>
      </c>
      <c r="AD93" s="0" t="n">
        <f aca="false">IFERROR(VALUE(Q93),"")</f>
        <v>15.5</v>
      </c>
      <c r="AE93" s="0" t="n">
        <f aca="false">IFERROR(VALUE(S93),"")</f>
        <v>15.5</v>
      </c>
      <c r="AF93" s="0" t="n">
        <f aca="false">IF(V93="","",VLOOKUP(V93,Assumptions!$B$6:$C$9,2,FALSE()))</f>
        <v>3</v>
      </c>
      <c r="AG93" s="0" t="n">
        <f aca="false">IF(W93="","",VLOOKUP(W93,Assumptions!$B$6:$C$9,2,FALSE()))</f>
        <v>4</v>
      </c>
      <c r="AH93" s="0" t="n">
        <f aca="false">IF(X93="","",VLOOKUP(X93,Assumptions!$B$6:$C$9,2,FALSE()))</f>
        <v>4</v>
      </c>
      <c r="AI93" s="0" t="n">
        <f aca="false">IF(Y93="","",VLOOKUP(Y93,Assumptions!$B$6:$C$9,2,FALSE()))</f>
        <v>4</v>
      </c>
      <c r="AJ93" s="0" t="n">
        <f aca="false">IF(Z93="","",VLOOKUP(Z93,Assumptions!$B$6:$C$9,2,FALSE()))</f>
        <v>3</v>
      </c>
      <c r="AK93" s="7" t="n">
        <f aca="false">IFERROR(ROUND(AVERAGE(AF93:AJ93),3),"")</f>
        <v>3.6</v>
      </c>
      <c r="AL93" s="7" t="n">
        <f aca="false">IF(OR(AF93="",AJ93=""),"",AJ93-AF93)</f>
        <v>0</v>
      </c>
      <c r="AM93" s="7" t="n">
        <f aca="false">IF(COUNT(AF93:AJ93)&gt;=2,ROUND(_xlfn.STDEV.S(AF93:AJ93),3),"")</f>
        <v>0.548</v>
      </c>
      <c r="AN93" s="7" t="n">
        <f aca="false">ROUND((IF(AF93="",0,AF93)*Assumptions!$F$15)+(IF(AG93="",0,AG93)*Assumptions!$F$16)+(IF(AH93="",0,AH93)*Assumptions!$F$17)+(IF(AI93="",0,AI93)*Assumptions!$F$18)+(IF(AJ93="",0,AJ93)*Assumptions!$F$19),3)</f>
        <v>3.6</v>
      </c>
      <c r="AO93" s="0" t="str">
        <f aca="false">IF(AC93&lt;=20,"",IF(AC93&lt;=Assumptions!$F$6,"20-30",IF(AC93&lt;=Assumptions!$F$7,"30-40",IF(AC93&lt;=Assumptions!$F$8,"40-50",IF(AC93&lt;=Assumptions!$F$9,"50-60",IF(AC93&lt;=Assumptions!$F$10,"60+",""))))))</f>
        <v>30-40</v>
      </c>
      <c r="AP93" s="0" t="str">
        <f aca="false">IFERROR(VLOOKUP(O93,Assumptions!$B$14:$C$26,2,FALSE()),"Other")</f>
        <v>Manager</v>
      </c>
      <c r="AQ93" s="0" t="n">
        <f aca="false">IF(T93="",0,1)</f>
        <v>1</v>
      </c>
      <c r="AR93" s="0" t="n">
        <f aca="false">IF(U93="",0,1)</f>
        <v>1</v>
      </c>
      <c r="AS93" s="8" t="n">
        <f aca="false">IF(AK93="","",IF(MAX($AK$2:$AK$921)=MIN($AK$2:$AK$921),50,ROUND((AK93-MIN($AK$2:$AK$921))/(MAX($AK$2:$AK$921)-MIN($AK$2:$AK$921))*100,2)))</f>
        <v>82.85</v>
      </c>
      <c r="AT93" s="8" t="n">
        <f aca="false">IF(MAX($BC$2:$BC$921)=MIN($BC$2:$BC$921),50,ROUND((BC93-MIN($BC$2:$BC$921))/(MAX($BC$2:$BC$921)-MIN($BC$2:$BC$921))*100,2))</f>
        <v>50</v>
      </c>
      <c r="AU93" s="8" t="n">
        <f aca="false">IF(MAX($BE$2:$BE$921)=MIN($BE$2:$BE$921),50,ROUND((BE93-MIN($BE$2:$BE$921))/(MAX($BE$2:$BE$921)-MIN($BE$2:$BE$921))*100,2))</f>
        <v>68.36</v>
      </c>
      <c r="AV93" s="8" t="n">
        <f aca="false">IF(MAX($AD$2:$AD$921)=MIN($AD$2:$AD$921),50,ROUND((AD93-MIN($AD$2:$AD$921))/(MAX($AD$2:$AD$921)-MIN($AD$2:$AD$921))*100,2))</f>
        <v>41.83</v>
      </c>
      <c r="AW93" s="8" t="n">
        <f aca="false">IF(MAX($AN$2:$AN$921)=MIN($AN$2:$AN$921),50,ROUND((AN93-MIN($AN$2:$AN$921))/(MAX($AN$2:$AN$921)-MIN($AN$2:$AN$921))*100,2))</f>
        <v>90</v>
      </c>
      <c r="AX93" s="8" t="n">
        <f aca="false">AQ93*100</f>
        <v>100</v>
      </c>
      <c r="AY93" s="8" t="n">
        <f aca="false">AR93*100</f>
        <v>100</v>
      </c>
      <c r="AZ93" s="8" t="n">
        <f aca="false">IFERROR(ROUND(AS93*Assumptions!$I$6+AW93*Assumptions!$I$7+AT93*Assumptions!$I$8+AU93*Assumptions!$I$9+AV93*Assumptions!$I$10+AX93*Assumptions!$I$11+AY93*Assumptions!$I$12,2),"")</f>
        <v>74.79</v>
      </c>
      <c r="BA93" s="0" t="str">
        <f aca="false">IF(AZ93="","",IF(AZ93&lt;=Assumptions!$I$18,"Below Expectation",IF(AZ93&lt;=Assumptions!$I$19,"Developing",IF(AZ93&lt;=Assumptions!$I$20,"Meets Expectation",IF(AZ93&lt;=Assumptions!$I$21,"Exceeds","Star Performer")))))</f>
        <v>Exceeds</v>
      </c>
      <c r="BB93" s="0" t="n">
        <f aca="false">IF(AZ93="",0,IF(AZ93&gt;=Assumptions!$I$26,1,0))</f>
        <v>1</v>
      </c>
      <c r="BC93" s="9" t="n">
        <f aca="false">IF(AL93="",2,AL93+2)</f>
        <v>2</v>
      </c>
      <c r="BD93" s="10" t="n">
        <f aca="false">IF(AM93="",ROUND(AVERAGE($AM$2:$AM$921),3),AM93)</f>
        <v>0.548</v>
      </c>
      <c r="BE93" s="9" t="n">
        <f aca="false">1-BD93</f>
        <v>0.452</v>
      </c>
    </row>
    <row r="94" customFormat="false" ht="14.25" hidden="true" customHeight="false" outlineLevel="0" collapsed="false">
      <c r="A94" s="4" t="n">
        <v>74</v>
      </c>
      <c r="B94" s="5" t="n">
        <v>10022504</v>
      </c>
      <c r="C94" s="5" t="s">
        <v>57</v>
      </c>
      <c r="D94" s="5" t="s">
        <v>677</v>
      </c>
      <c r="E94" s="5" t="s">
        <v>520</v>
      </c>
      <c r="F94" s="5" t="s">
        <v>387</v>
      </c>
      <c r="G94" s="5" t="s">
        <v>388</v>
      </c>
      <c r="H94" s="5" t="s">
        <v>387</v>
      </c>
      <c r="I94" s="5" t="s">
        <v>63</v>
      </c>
      <c r="J94" s="5" t="s">
        <v>100</v>
      </c>
      <c r="K94" s="5" t="s">
        <v>65</v>
      </c>
      <c r="L94" s="6" t="n">
        <v>39269</v>
      </c>
      <c r="M94" s="5" t="s">
        <v>678</v>
      </c>
      <c r="N94" s="6" t="n">
        <v>29264</v>
      </c>
      <c r="O94" s="5" t="s">
        <v>262</v>
      </c>
      <c r="P94" s="5" t="s">
        <v>263</v>
      </c>
      <c r="Q94" s="5" t="s">
        <v>642</v>
      </c>
      <c r="R94" s="5" t="s">
        <v>231</v>
      </c>
      <c r="S94" s="5" t="s">
        <v>492</v>
      </c>
      <c r="T94" s="6"/>
      <c r="U94" s="6" t="n">
        <v>45748</v>
      </c>
      <c r="V94" s="5" t="s">
        <v>141</v>
      </c>
      <c r="W94" s="5" t="s">
        <v>83</v>
      </c>
      <c r="X94" s="5" t="s">
        <v>141</v>
      </c>
      <c r="Y94" s="5" t="s">
        <v>83</v>
      </c>
      <c r="Z94" s="5" t="s">
        <v>83</v>
      </c>
      <c r="AA94" s="5" t="s">
        <v>679</v>
      </c>
      <c r="AB94" s="0" t="n">
        <f aca="false">IFERROR(VALUE(R94),0)</f>
        <v>3.9</v>
      </c>
      <c r="AC94" s="0" t="n">
        <f aca="false">IFERROR(VALUE(M94),"")</f>
        <v>46.3</v>
      </c>
      <c r="AD94" s="0" t="n">
        <f aca="false">IFERROR(VALUE(Q94),"")</f>
        <v>18.11</v>
      </c>
      <c r="AE94" s="0" t="n">
        <f aca="false">IFERROR(VALUE(S94),"")</f>
        <v>22.8</v>
      </c>
      <c r="AF94" s="0" t="n">
        <f aca="false">IF(V94="","",VLOOKUP(V94,Assumptions!$B$6:$C$9,2,FALSE()))</f>
        <v>3</v>
      </c>
      <c r="AG94" s="0" t="n">
        <f aca="false">IF(W94="","",VLOOKUP(W94,Assumptions!$B$6:$C$9,2,FALSE()))</f>
        <v>4</v>
      </c>
      <c r="AH94" s="0" t="n">
        <f aca="false">IF(X94="","",VLOOKUP(X94,Assumptions!$B$6:$C$9,2,FALSE()))</f>
        <v>3</v>
      </c>
      <c r="AI94" s="0" t="n">
        <f aca="false">IF(Y94="","",VLOOKUP(Y94,Assumptions!$B$6:$C$9,2,FALSE()))</f>
        <v>4</v>
      </c>
      <c r="AJ94" s="0" t="n">
        <f aca="false">IF(Z94="","",VLOOKUP(Z94,Assumptions!$B$6:$C$9,2,FALSE()))</f>
        <v>4</v>
      </c>
      <c r="AK94" s="7" t="n">
        <f aca="false">IFERROR(ROUND(AVERAGE(AF94:AJ94),3),"")</f>
        <v>3.6</v>
      </c>
      <c r="AL94" s="7" t="n">
        <f aca="false">IF(OR(AF94="",AJ94=""),"",AJ94-AF94)</f>
        <v>1</v>
      </c>
      <c r="AM94" s="7" t="n">
        <f aca="false">IF(COUNT(AF94:AJ94)&gt;=2,ROUND(_xlfn.STDEV.S(AF94:AJ94),3),"")</f>
        <v>0.548</v>
      </c>
      <c r="AN94" s="7" t="n">
        <f aca="false">ROUND((IF(AF94="",0,AF94)*Assumptions!$F$15)+(IF(AG94="",0,AG94)*Assumptions!$F$16)+(IF(AH94="",0,AH94)*Assumptions!$F$17)+(IF(AI94="",0,AI94)*Assumptions!$F$18)+(IF(AJ94="",0,AJ94)*Assumptions!$F$19),3)</f>
        <v>3.7</v>
      </c>
      <c r="AO94" s="0" t="str">
        <f aca="false">IF(AC94&lt;=20,"",IF(AC94&lt;=Assumptions!$F$6,"20-30",IF(AC94&lt;=Assumptions!$F$7,"30-40",IF(AC94&lt;=Assumptions!$F$8,"40-50",IF(AC94&lt;=Assumptions!$F$9,"50-60",IF(AC94&lt;=Assumptions!$F$10,"60+",""))))))</f>
        <v>40-50</v>
      </c>
      <c r="AP94" s="0" t="str">
        <f aca="false">IFERROR(VLOOKUP(O94,Assumptions!$B$14:$C$26,2,FALSE()),"Other")</f>
        <v>Manager</v>
      </c>
      <c r="AQ94" s="0" t="n">
        <f aca="false">IF(T94="",0,1)</f>
        <v>0</v>
      </c>
      <c r="AR94" s="0" t="n">
        <f aca="false">IF(U94="",0,1)</f>
        <v>1</v>
      </c>
      <c r="AS94" s="8" t="n">
        <f aca="false">IF(AK94="","",IF(MAX($AK$2:$AK$921)=MIN($AK$2:$AK$921),50,ROUND((AK94-MIN($AK$2:$AK$921))/(MAX($AK$2:$AK$921)-MIN($AK$2:$AK$921))*100,2)))</f>
        <v>82.85</v>
      </c>
      <c r="AT94" s="8" t="n">
        <f aca="false">IF(MAX($BC$2:$BC$921)=MIN($BC$2:$BC$921),50,ROUND((BC94-MIN($BC$2:$BC$921))/(MAX($BC$2:$BC$921)-MIN($BC$2:$BC$921))*100,2))</f>
        <v>75</v>
      </c>
      <c r="AU94" s="8" t="n">
        <f aca="false">IF(MAX($BE$2:$BE$921)=MIN($BE$2:$BE$921),50,ROUND((BE94-MIN($BE$2:$BE$921))/(MAX($BE$2:$BE$921)-MIN($BE$2:$BE$921))*100,2))</f>
        <v>68.36</v>
      </c>
      <c r="AV94" s="8" t="n">
        <f aca="false">IF(MAX($AD$2:$AD$921)=MIN($AD$2:$AD$921),50,ROUND((AD94-MIN($AD$2:$AD$921))/(MAX($AD$2:$AD$921)-MIN($AD$2:$AD$921))*100,2))</f>
        <v>48.93</v>
      </c>
      <c r="AW94" s="8" t="n">
        <f aca="false">IF(MAX($AN$2:$AN$921)=MIN($AN$2:$AN$921),50,ROUND((AN94-MIN($AN$2:$AN$921))/(MAX($AN$2:$AN$921)-MIN($AN$2:$AN$921))*100,2))</f>
        <v>92.5</v>
      </c>
      <c r="AX94" s="8" t="n">
        <f aca="false">AQ94*100</f>
        <v>0</v>
      </c>
      <c r="AY94" s="8" t="n">
        <f aca="false">AR94*100</f>
        <v>100</v>
      </c>
      <c r="AZ94" s="8" t="n">
        <f aca="false">IFERROR(ROUND(AS94*Assumptions!$I$6+AW94*Assumptions!$I$7+AT94*Assumptions!$I$8+AU94*Assumptions!$I$9+AV94*Assumptions!$I$10+AX94*Assumptions!$I$11+AY94*Assumptions!$I$12,2),"")</f>
        <v>74.75</v>
      </c>
      <c r="BA94" s="0" t="str">
        <f aca="false">IF(AZ94="","",IF(AZ94&lt;=Assumptions!$I$18,"Below Expectation",IF(AZ94&lt;=Assumptions!$I$19,"Developing",IF(AZ94&lt;=Assumptions!$I$20,"Meets Expectation",IF(AZ94&lt;=Assumptions!$I$21,"Exceeds","Star Performer")))))</f>
        <v>Exceeds</v>
      </c>
      <c r="BB94" s="0" t="n">
        <f aca="false">IF(AZ94="",0,IF(AZ94&gt;=Assumptions!$I$26,1,0))</f>
        <v>1</v>
      </c>
      <c r="BC94" s="9" t="n">
        <f aca="false">IF(AL94="",2,AL94+2)</f>
        <v>3</v>
      </c>
      <c r="BD94" s="10" t="n">
        <f aca="false">IF(AM94="",ROUND(AVERAGE($AM$2:$AM$921),3),AM94)</f>
        <v>0.548</v>
      </c>
      <c r="BE94" s="9" t="n">
        <f aca="false">1-BD94</f>
        <v>0.452</v>
      </c>
    </row>
    <row r="95" customFormat="false" ht="14.25" hidden="true" customHeight="false" outlineLevel="0" collapsed="false">
      <c r="A95" s="4" t="n">
        <v>358</v>
      </c>
      <c r="B95" s="5" t="n">
        <v>37101465</v>
      </c>
      <c r="C95" s="5" t="s">
        <v>85</v>
      </c>
      <c r="D95" s="5" t="s">
        <v>680</v>
      </c>
      <c r="E95" s="5" t="s">
        <v>594</v>
      </c>
      <c r="F95" s="5" t="s">
        <v>478</v>
      </c>
      <c r="G95" s="5" t="s">
        <v>61</v>
      </c>
      <c r="H95" s="5" t="s">
        <v>62</v>
      </c>
      <c r="I95" s="5" t="s">
        <v>63</v>
      </c>
      <c r="J95" s="5" t="s">
        <v>76</v>
      </c>
      <c r="K95" s="5" t="s">
        <v>65</v>
      </c>
      <c r="L95" s="6" t="n">
        <v>32751</v>
      </c>
      <c r="M95" s="5" t="s">
        <v>681</v>
      </c>
      <c r="N95" s="6" t="n">
        <v>24799</v>
      </c>
      <c r="O95" s="5" t="s">
        <v>78</v>
      </c>
      <c r="P95" s="5" t="s">
        <v>79</v>
      </c>
      <c r="Q95" s="5" t="s">
        <v>331</v>
      </c>
      <c r="R95" s="5" t="s">
        <v>115</v>
      </c>
      <c r="S95" s="5" t="s">
        <v>331</v>
      </c>
      <c r="T95" s="6" t="n">
        <v>39173</v>
      </c>
      <c r="U95" s="6" t="n">
        <v>44652</v>
      </c>
      <c r="V95" s="5" t="s">
        <v>141</v>
      </c>
      <c r="W95" s="5" t="s">
        <v>141</v>
      </c>
      <c r="X95" s="5" t="s">
        <v>141</v>
      </c>
      <c r="Y95" s="5" t="s">
        <v>83</v>
      </c>
      <c r="Z95" s="5" t="s">
        <v>141</v>
      </c>
      <c r="AA95" s="5" t="s">
        <v>682</v>
      </c>
      <c r="AB95" s="0" t="n">
        <f aca="false">IFERROR(VALUE(R95),0)</f>
        <v>0</v>
      </c>
      <c r="AC95" s="0" t="n">
        <f aca="false">IFERROR(VALUE(M95),"")</f>
        <v>58.6</v>
      </c>
      <c r="AD95" s="0" t="n">
        <f aca="false">IFERROR(VALUE(Q95),"")</f>
        <v>36.9</v>
      </c>
      <c r="AE95" s="0" t="n">
        <f aca="false">IFERROR(VALUE(S95),"")</f>
        <v>36.9</v>
      </c>
      <c r="AF95" s="0" t="n">
        <f aca="false">IF(V95="","",VLOOKUP(V95,Assumptions!$B$6:$C$9,2,FALSE()))</f>
        <v>3</v>
      </c>
      <c r="AG95" s="0" t="n">
        <f aca="false">IF(W95="","",VLOOKUP(W95,Assumptions!$B$6:$C$9,2,FALSE()))</f>
        <v>3</v>
      </c>
      <c r="AH95" s="0" t="n">
        <f aca="false">IF(X95="","",VLOOKUP(X95,Assumptions!$B$6:$C$9,2,FALSE()))</f>
        <v>3</v>
      </c>
      <c r="AI95" s="0" t="n">
        <f aca="false">IF(Y95="","",VLOOKUP(Y95,Assumptions!$B$6:$C$9,2,FALSE()))</f>
        <v>4</v>
      </c>
      <c r="AJ95" s="0" t="n">
        <f aca="false">IF(Z95="","",VLOOKUP(Z95,Assumptions!$B$6:$C$9,2,FALSE()))</f>
        <v>3</v>
      </c>
      <c r="AK95" s="7" t="n">
        <f aca="false">IFERROR(ROUND(AVERAGE(AF95:AJ95),3),"")</f>
        <v>3.2</v>
      </c>
      <c r="AL95" s="7" t="n">
        <f aca="false">IF(OR(AF95="",AJ95=""),"",AJ95-AF95)</f>
        <v>0</v>
      </c>
      <c r="AM95" s="7" t="n">
        <f aca="false">IF(COUNT(AF95:AJ95)&gt;=2,ROUND(_xlfn.STDEV.S(AF95:AJ95),3),"")</f>
        <v>0.447</v>
      </c>
      <c r="AN95" s="7" t="n">
        <f aca="false">ROUND((IF(AF95="",0,AF95)*Assumptions!$F$15)+(IF(AG95="",0,AG95)*Assumptions!$F$16)+(IF(AH95="",0,AH95)*Assumptions!$F$17)+(IF(AI95="",0,AI95)*Assumptions!$F$18)+(IF(AJ95="",0,AJ95)*Assumptions!$F$19),3)</f>
        <v>3.25</v>
      </c>
      <c r="AO95" s="0" t="str">
        <f aca="false">IF(AC95&lt;=20,"",IF(AC95&lt;=Assumptions!$F$6,"20-30",IF(AC95&lt;=Assumptions!$F$7,"30-40",IF(AC95&lt;=Assumptions!$F$8,"40-50",IF(AC95&lt;=Assumptions!$F$9,"50-60",IF(AC95&lt;=Assumptions!$F$10,"60+",""))))))</f>
        <v>50-60</v>
      </c>
      <c r="AP95" s="0" t="str">
        <f aca="false">IFERROR(VLOOKUP(O95,Assumptions!$B$14:$C$26,2,FALSE()),"Other")</f>
        <v>Leadership</v>
      </c>
      <c r="AQ95" s="0" t="n">
        <f aca="false">IF(T95="",0,1)</f>
        <v>1</v>
      </c>
      <c r="AR95" s="0" t="n">
        <f aca="false">IF(U95="",0,1)</f>
        <v>1</v>
      </c>
      <c r="AS95" s="8" t="n">
        <f aca="false">IF(AK95="","",IF(MAX($AK$2:$AK$921)=MIN($AK$2:$AK$921),50,ROUND((AK95-MIN($AK$2:$AK$921))/(MAX($AK$2:$AK$921)-MIN($AK$2:$AK$921))*100,2)))</f>
        <v>65.71</v>
      </c>
      <c r="AT95" s="8" t="n">
        <f aca="false">IF(MAX($BC$2:$BC$921)=MIN($BC$2:$BC$921),50,ROUND((BC95-MIN($BC$2:$BC$921))/(MAX($BC$2:$BC$921)-MIN($BC$2:$BC$921))*100,2))</f>
        <v>50</v>
      </c>
      <c r="AU95" s="8" t="n">
        <f aca="false">IF(MAX($BE$2:$BE$921)=MIN($BE$2:$BE$921),50,ROUND((BE95-MIN($BE$2:$BE$921))/(MAX($BE$2:$BE$921)-MIN($BE$2:$BE$921))*100,2))</f>
        <v>74.19</v>
      </c>
      <c r="AV95" s="8" t="n">
        <f aca="false">IF(MAX($AD$2:$AD$921)=MIN($AD$2:$AD$921),50,ROUND((AD95-MIN($AD$2:$AD$921))/(MAX($AD$2:$AD$921)-MIN($AD$2:$AD$921))*100,2))</f>
        <v>100</v>
      </c>
      <c r="AW95" s="8" t="n">
        <f aca="false">IF(MAX($AN$2:$AN$921)=MIN($AN$2:$AN$921),50,ROUND((AN95-MIN($AN$2:$AN$921))/(MAX($AN$2:$AN$921)-MIN($AN$2:$AN$921))*100,2))</f>
        <v>81.25</v>
      </c>
      <c r="AX95" s="8" t="n">
        <f aca="false">AQ95*100</f>
        <v>100</v>
      </c>
      <c r="AY95" s="8" t="n">
        <f aca="false">AR95*100</f>
        <v>100</v>
      </c>
      <c r="AZ95" s="8" t="n">
        <f aca="false">IFERROR(ROUND(AS95*Assumptions!$I$6+AW95*Assumptions!$I$7+AT95*Assumptions!$I$8+AU95*Assumptions!$I$9+AV95*Assumptions!$I$10+AX95*Assumptions!$I$11+AY95*Assumptions!$I$12,2),"")</f>
        <v>74.59</v>
      </c>
      <c r="BA95" s="0" t="str">
        <f aca="false">IF(AZ95="","",IF(AZ95&lt;=Assumptions!$I$18,"Below Expectation",IF(AZ95&lt;=Assumptions!$I$19,"Developing",IF(AZ95&lt;=Assumptions!$I$20,"Meets Expectation",IF(AZ95&lt;=Assumptions!$I$21,"Exceeds","Star Performer")))))</f>
        <v>Exceeds</v>
      </c>
      <c r="BB95" s="0" t="n">
        <f aca="false">IF(AZ95="",0,IF(AZ95&gt;=Assumptions!$I$26,1,0))</f>
        <v>1</v>
      </c>
      <c r="BC95" s="9" t="n">
        <f aca="false">IF(AL95="",2,AL95+2)</f>
        <v>2</v>
      </c>
      <c r="BD95" s="10" t="n">
        <f aca="false">IF(AM95="",ROUND(AVERAGE($AM$2:$AM$921),3),AM95)</f>
        <v>0.447</v>
      </c>
      <c r="BE95" s="9" t="n">
        <f aca="false">1-BD95</f>
        <v>0.553</v>
      </c>
    </row>
    <row r="96" customFormat="false" ht="14.25" hidden="true" customHeight="false" outlineLevel="0" collapsed="false">
      <c r="A96" s="4" t="n">
        <v>278</v>
      </c>
      <c r="B96" s="5" t="n">
        <v>10068237</v>
      </c>
      <c r="C96" s="5" t="s">
        <v>85</v>
      </c>
      <c r="D96" s="5" t="s">
        <v>683</v>
      </c>
      <c r="E96" s="5" t="s">
        <v>315</v>
      </c>
      <c r="F96" s="5" t="s">
        <v>602</v>
      </c>
      <c r="G96" s="5" t="s">
        <v>603</v>
      </c>
      <c r="H96" s="5" t="s">
        <v>602</v>
      </c>
      <c r="I96" s="5" t="s">
        <v>63</v>
      </c>
      <c r="J96" s="5" t="s">
        <v>76</v>
      </c>
      <c r="K96" s="5" t="s">
        <v>65</v>
      </c>
      <c r="L96" s="6" t="n">
        <v>43614</v>
      </c>
      <c r="M96" s="5" t="s">
        <v>684</v>
      </c>
      <c r="N96" s="6" t="n">
        <v>33299</v>
      </c>
      <c r="O96" s="5" t="s">
        <v>365</v>
      </c>
      <c r="P96" s="5" t="s">
        <v>365</v>
      </c>
      <c r="Q96" s="5" t="s">
        <v>459</v>
      </c>
      <c r="R96" s="5" t="s">
        <v>685</v>
      </c>
      <c r="S96" s="5" t="s">
        <v>686</v>
      </c>
      <c r="T96" s="6"/>
      <c r="U96" s="6"/>
      <c r="V96" s="5" t="s">
        <v>83</v>
      </c>
      <c r="W96" s="5" t="s">
        <v>83</v>
      </c>
      <c r="X96" s="5" t="s">
        <v>83</v>
      </c>
      <c r="Y96" s="5" t="s">
        <v>83</v>
      </c>
      <c r="Z96" s="5" t="s">
        <v>83</v>
      </c>
      <c r="AA96" s="5" t="s">
        <v>687</v>
      </c>
      <c r="AB96" s="0" t="n">
        <f aca="false">IFERROR(VALUE(R96),0)</f>
        <v>5.1</v>
      </c>
      <c r="AC96" s="0" t="n">
        <f aca="false">IFERROR(VALUE(M96),"")</f>
        <v>35.3</v>
      </c>
      <c r="AD96" s="0" t="n">
        <f aca="false">IFERROR(VALUE(Q96),"")</f>
        <v>7</v>
      </c>
      <c r="AE96" s="0" t="n">
        <f aca="false">IFERROR(VALUE(S96),"")</f>
        <v>12.1</v>
      </c>
      <c r="AF96" s="0" t="n">
        <f aca="false">IF(V96="","",VLOOKUP(V96,Assumptions!$B$6:$C$9,2,FALSE()))</f>
        <v>4</v>
      </c>
      <c r="AG96" s="0" t="n">
        <f aca="false">IF(W96="","",VLOOKUP(W96,Assumptions!$B$6:$C$9,2,FALSE()))</f>
        <v>4</v>
      </c>
      <c r="AH96" s="0" t="n">
        <f aca="false">IF(X96="","",VLOOKUP(X96,Assumptions!$B$6:$C$9,2,FALSE()))</f>
        <v>4</v>
      </c>
      <c r="AI96" s="0" t="n">
        <f aca="false">IF(Y96="","",VLOOKUP(Y96,Assumptions!$B$6:$C$9,2,FALSE()))</f>
        <v>4</v>
      </c>
      <c r="AJ96" s="0" t="n">
        <f aca="false">IF(Z96="","",VLOOKUP(Z96,Assumptions!$B$6:$C$9,2,FALSE()))</f>
        <v>4</v>
      </c>
      <c r="AK96" s="7" t="n">
        <f aca="false">IFERROR(ROUND(AVERAGE(AF96:AJ96),3),"")</f>
        <v>4</v>
      </c>
      <c r="AL96" s="7" t="n">
        <f aca="false">IF(OR(AF96="",AJ96=""),"",AJ96-AF96)</f>
        <v>0</v>
      </c>
      <c r="AM96" s="7" t="n">
        <f aca="false">IF(COUNT(AF96:AJ96)&gt;=2,ROUND(_xlfn.STDEV.S(AF96:AJ96),3),"")</f>
        <v>0</v>
      </c>
      <c r="AN96" s="7" t="n">
        <f aca="false">ROUND((IF(AF96="",0,AF96)*Assumptions!$F$15)+(IF(AG96="",0,AG96)*Assumptions!$F$16)+(IF(AH96="",0,AH96)*Assumptions!$F$17)+(IF(AI96="",0,AI96)*Assumptions!$F$18)+(IF(AJ96="",0,AJ96)*Assumptions!$F$19),3)</f>
        <v>4</v>
      </c>
      <c r="AO96" s="0" t="str">
        <f aca="false">IF(AC96&lt;=20,"",IF(AC96&lt;=Assumptions!$F$6,"20-30",IF(AC96&lt;=Assumptions!$F$7,"30-40",IF(AC96&lt;=Assumptions!$F$8,"40-50",IF(AC96&lt;=Assumptions!$F$9,"50-60",IF(AC96&lt;=Assumptions!$F$10,"60+",""))))))</f>
        <v>30-40</v>
      </c>
      <c r="AP96" s="0" t="str">
        <f aca="false">IFERROR(VLOOKUP(O96,Assumptions!$B$14:$C$26,2,FALSE()),"Other")</f>
        <v>Manager</v>
      </c>
      <c r="AQ96" s="0" t="n">
        <f aca="false">IF(T96="",0,1)</f>
        <v>0</v>
      </c>
      <c r="AR96" s="0" t="n">
        <f aca="false">IF(U96="",0,1)</f>
        <v>0</v>
      </c>
      <c r="AS96" s="8" t="n">
        <f aca="false">IF(AK96="","",IF(MAX($AK$2:$AK$921)=MIN($AK$2:$AK$921),50,ROUND((AK96-MIN($AK$2:$AK$921))/(MAX($AK$2:$AK$921)-MIN($AK$2:$AK$921))*100,2)))</f>
        <v>100</v>
      </c>
      <c r="AT96" s="8" t="n">
        <f aca="false">IF(MAX($BC$2:$BC$921)=MIN($BC$2:$BC$921),50,ROUND((BC96-MIN($BC$2:$BC$921))/(MAX($BC$2:$BC$921)-MIN($BC$2:$BC$921))*100,2))</f>
        <v>50</v>
      </c>
      <c r="AU96" s="8" t="n">
        <f aca="false">IF(MAX($BE$2:$BE$921)=MIN($BE$2:$BE$921),50,ROUND((BE96-MIN($BE$2:$BE$921))/(MAX($BE$2:$BE$921)-MIN($BE$2:$BE$921))*100,2))</f>
        <v>100</v>
      </c>
      <c r="AV96" s="8" t="n">
        <f aca="false">IF(MAX($AD$2:$AD$921)=MIN($AD$2:$AD$921),50,ROUND((AD96-MIN($AD$2:$AD$921))/(MAX($AD$2:$AD$921)-MIN($AD$2:$AD$921))*100,2))</f>
        <v>18.73</v>
      </c>
      <c r="AW96" s="8" t="n">
        <f aca="false">IF(MAX($AN$2:$AN$921)=MIN($AN$2:$AN$921),50,ROUND((AN96-MIN($AN$2:$AN$921))/(MAX($AN$2:$AN$921)-MIN($AN$2:$AN$921))*100,2))</f>
        <v>100</v>
      </c>
      <c r="AX96" s="8" t="n">
        <f aca="false">AQ96*100</f>
        <v>0</v>
      </c>
      <c r="AY96" s="8" t="n">
        <f aca="false">AR96*100</f>
        <v>0</v>
      </c>
      <c r="AZ96" s="8" t="n">
        <f aca="false">IFERROR(ROUND(AS96*Assumptions!$I$6+AW96*Assumptions!$I$7+AT96*Assumptions!$I$8+AU96*Assumptions!$I$9+AV96*Assumptions!$I$10+AX96*Assumptions!$I$11+AY96*Assumptions!$I$12,2),"")</f>
        <v>74.37</v>
      </c>
      <c r="BA96" s="0" t="str">
        <f aca="false">IF(AZ96="","",IF(AZ96&lt;=Assumptions!$I$18,"Below Expectation",IF(AZ96&lt;=Assumptions!$I$19,"Developing",IF(AZ96&lt;=Assumptions!$I$20,"Meets Expectation",IF(AZ96&lt;=Assumptions!$I$21,"Exceeds","Star Performer")))))</f>
        <v>Exceeds</v>
      </c>
      <c r="BB96" s="0" t="n">
        <f aca="false">IF(AZ96="",0,IF(AZ96&gt;=Assumptions!$I$26,1,0))</f>
        <v>1</v>
      </c>
      <c r="BC96" s="9" t="n">
        <f aca="false">IF(AL96="",2,AL96+2)</f>
        <v>2</v>
      </c>
      <c r="BD96" s="10" t="n">
        <f aca="false">IF(AM96="",ROUND(AVERAGE($AM$2:$AM$921),3),AM96)</f>
        <v>0</v>
      </c>
      <c r="BE96" s="9" t="n">
        <f aca="false">1-BD96</f>
        <v>1</v>
      </c>
    </row>
    <row r="97" customFormat="false" ht="14.25" hidden="true" customHeight="false" outlineLevel="0" collapsed="false">
      <c r="A97" s="4" t="n">
        <v>6</v>
      </c>
      <c r="B97" s="5" t="n">
        <v>21114</v>
      </c>
      <c r="C97" s="5" t="s">
        <v>106</v>
      </c>
      <c r="D97" s="5" t="s">
        <v>688</v>
      </c>
      <c r="E97" s="5" t="s">
        <v>305</v>
      </c>
      <c r="F97" s="5" t="s">
        <v>689</v>
      </c>
      <c r="G97" s="5" t="s">
        <v>690</v>
      </c>
      <c r="H97" s="5" t="s">
        <v>691</v>
      </c>
      <c r="I97" s="5" t="s">
        <v>63</v>
      </c>
      <c r="J97" s="5" t="s">
        <v>112</v>
      </c>
      <c r="K97" s="5" t="s">
        <v>65</v>
      </c>
      <c r="L97" s="6" t="n">
        <v>35247</v>
      </c>
      <c r="M97" s="5" t="s">
        <v>692</v>
      </c>
      <c r="N97" s="6" t="n">
        <v>25408</v>
      </c>
      <c r="O97" s="5" t="s">
        <v>89</v>
      </c>
      <c r="P97" s="5" t="s">
        <v>90</v>
      </c>
      <c r="Q97" s="5" t="s">
        <v>93</v>
      </c>
      <c r="R97" s="5" t="s">
        <v>115</v>
      </c>
      <c r="S97" s="5" t="s">
        <v>93</v>
      </c>
      <c r="T97" s="6" t="n">
        <v>40634</v>
      </c>
      <c r="U97" s="6"/>
      <c r="V97" s="5" t="s">
        <v>141</v>
      </c>
      <c r="W97" s="5" t="s">
        <v>141</v>
      </c>
      <c r="X97" s="5" t="s">
        <v>83</v>
      </c>
      <c r="Y97" s="5" t="s">
        <v>141</v>
      </c>
      <c r="Z97" s="5" t="s">
        <v>83</v>
      </c>
      <c r="AA97" s="5" t="s">
        <v>693</v>
      </c>
      <c r="AB97" s="0" t="n">
        <f aca="false">IFERROR(VALUE(R97),0)</f>
        <v>0</v>
      </c>
      <c r="AC97" s="0" t="n">
        <f aca="false">IFERROR(VALUE(M97),"")</f>
        <v>56.1</v>
      </c>
      <c r="AD97" s="0" t="n">
        <f aca="false">IFERROR(VALUE(Q97),"")</f>
        <v>29.11</v>
      </c>
      <c r="AE97" s="0" t="n">
        <f aca="false">IFERROR(VALUE(S97),"")</f>
        <v>29.11</v>
      </c>
      <c r="AF97" s="0" t="n">
        <f aca="false">IF(V97="","",VLOOKUP(V97,Assumptions!$B$6:$C$9,2,FALSE()))</f>
        <v>3</v>
      </c>
      <c r="AG97" s="0" t="n">
        <f aca="false">IF(W97="","",VLOOKUP(W97,Assumptions!$B$6:$C$9,2,FALSE()))</f>
        <v>3</v>
      </c>
      <c r="AH97" s="0" t="n">
        <f aca="false">IF(X97="","",VLOOKUP(X97,Assumptions!$B$6:$C$9,2,FALSE()))</f>
        <v>4</v>
      </c>
      <c r="AI97" s="0" t="n">
        <f aca="false">IF(Y97="","",VLOOKUP(Y97,Assumptions!$B$6:$C$9,2,FALSE()))</f>
        <v>3</v>
      </c>
      <c r="AJ97" s="0" t="n">
        <f aca="false">IF(Z97="","",VLOOKUP(Z97,Assumptions!$B$6:$C$9,2,FALSE()))</f>
        <v>4</v>
      </c>
      <c r="AK97" s="7" t="n">
        <f aca="false">IFERROR(ROUND(AVERAGE(AF97:AJ97),3),"")</f>
        <v>3.4</v>
      </c>
      <c r="AL97" s="7" t="n">
        <f aca="false">IF(OR(AF97="",AJ97=""),"",AJ97-AF97)</f>
        <v>1</v>
      </c>
      <c r="AM97" s="7" t="n">
        <f aca="false">IF(COUNT(AF97:AJ97)&gt;=2,ROUND(_xlfn.STDEV.S(AF97:AJ97),3),"")</f>
        <v>0.548</v>
      </c>
      <c r="AN97" s="7" t="n">
        <f aca="false">ROUND((IF(AF97="",0,AF97)*Assumptions!$F$15)+(IF(AG97="",0,AG97)*Assumptions!$F$16)+(IF(AH97="",0,AH97)*Assumptions!$F$17)+(IF(AI97="",0,AI97)*Assumptions!$F$18)+(IF(AJ97="",0,AJ97)*Assumptions!$F$19),3)</f>
        <v>3.5</v>
      </c>
      <c r="AO97" s="0" t="str">
        <f aca="false">IF(AC97&lt;=20,"",IF(AC97&lt;=Assumptions!$F$6,"20-30",IF(AC97&lt;=Assumptions!$F$7,"30-40",IF(AC97&lt;=Assumptions!$F$8,"40-50",IF(AC97&lt;=Assumptions!$F$9,"50-60",IF(AC97&lt;=Assumptions!$F$10,"60+",""))))))</f>
        <v>50-60</v>
      </c>
      <c r="AP97" s="0" t="str">
        <f aca="false">IFERROR(VLOOKUP(O97,Assumptions!$B$14:$C$26,2,FALSE()),"Other")</f>
        <v>Leadership</v>
      </c>
      <c r="AQ97" s="0" t="n">
        <f aca="false">IF(T97="",0,1)</f>
        <v>1</v>
      </c>
      <c r="AR97" s="0" t="n">
        <f aca="false">IF(U97="",0,1)</f>
        <v>0</v>
      </c>
      <c r="AS97" s="8" t="n">
        <f aca="false">IF(AK97="","",IF(MAX($AK$2:$AK$921)=MIN($AK$2:$AK$921),50,ROUND((AK97-MIN($AK$2:$AK$921))/(MAX($AK$2:$AK$921)-MIN($AK$2:$AK$921))*100,2)))</f>
        <v>74.28</v>
      </c>
      <c r="AT97" s="8" t="n">
        <f aca="false">IF(MAX($BC$2:$BC$921)=MIN($BC$2:$BC$921),50,ROUND((BC97-MIN($BC$2:$BC$921))/(MAX($BC$2:$BC$921)-MIN($BC$2:$BC$921))*100,2))</f>
        <v>75</v>
      </c>
      <c r="AU97" s="8" t="n">
        <f aca="false">IF(MAX($BE$2:$BE$921)=MIN($BE$2:$BE$921),50,ROUND((BE97-MIN($BE$2:$BE$921))/(MAX($BE$2:$BE$921)-MIN($BE$2:$BE$921))*100,2))</f>
        <v>68.36</v>
      </c>
      <c r="AV97" s="8" t="n">
        <f aca="false">IF(MAX($AD$2:$AD$921)=MIN($AD$2:$AD$921),50,ROUND((AD97-MIN($AD$2:$AD$921))/(MAX($AD$2:$AD$921)-MIN($AD$2:$AD$921))*100,2))</f>
        <v>78.83</v>
      </c>
      <c r="AW97" s="8" t="n">
        <f aca="false">IF(MAX($AN$2:$AN$921)=MIN($AN$2:$AN$921),50,ROUND((AN97-MIN($AN$2:$AN$921))/(MAX($AN$2:$AN$921)-MIN($AN$2:$AN$921))*100,2))</f>
        <v>87.5</v>
      </c>
      <c r="AX97" s="8" t="n">
        <f aca="false">AQ97*100</f>
        <v>100</v>
      </c>
      <c r="AY97" s="8" t="n">
        <f aca="false">AR97*100</f>
        <v>0</v>
      </c>
      <c r="AZ97" s="8" t="n">
        <f aca="false">IFERROR(ROUND(AS97*Assumptions!$I$6+AW97*Assumptions!$I$7+AT97*Assumptions!$I$8+AU97*Assumptions!$I$9+AV97*Assumptions!$I$10+AX97*Assumptions!$I$11+AY97*Assumptions!$I$12,2),"")</f>
        <v>74.17</v>
      </c>
      <c r="BA97" s="0" t="str">
        <f aca="false">IF(AZ97="","",IF(AZ97&lt;=Assumptions!$I$18,"Below Expectation",IF(AZ97&lt;=Assumptions!$I$19,"Developing",IF(AZ97&lt;=Assumptions!$I$20,"Meets Expectation",IF(AZ97&lt;=Assumptions!$I$21,"Exceeds","Star Performer")))))</f>
        <v>Exceeds</v>
      </c>
      <c r="BB97" s="0" t="n">
        <f aca="false">IF(AZ97="",0,IF(AZ97&gt;=Assumptions!$I$26,1,0))</f>
        <v>1</v>
      </c>
      <c r="BC97" s="9" t="n">
        <f aca="false">IF(AL97="",2,AL97+2)</f>
        <v>3</v>
      </c>
      <c r="BD97" s="10" t="n">
        <f aca="false">IF(AM97="",ROUND(AVERAGE($AM$2:$AM$921),3),AM97)</f>
        <v>0.548</v>
      </c>
      <c r="BE97" s="9" t="n">
        <f aca="false">1-BD97</f>
        <v>0.452</v>
      </c>
    </row>
    <row r="98" customFormat="false" ht="14.25" hidden="true" customHeight="false" outlineLevel="0" collapsed="false">
      <c r="A98" s="4" t="n">
        <v>422</v>
      </c>
      <c r="B98" s="5" t="n">
        <v>50010177</v>
      </c>
      <c r="C98" s="5" t="s">
        <v>57</v>
      </c>
      <c r="D98" s="5" t="s">
        <v>694</v>
      </c>
      <c r="E98" s="5" t="s">
        <v>96</v>
      </c>
      <c r="F98" s="5" t="s">
        <v>387</v>
      </c>
      <c r="G98" s="5" t="s">
        <v>388</v>
      </c>
      <c r="H98" s="5" t="s">
        <v>387</v>
      </c>
      <c r="I98" s="5" t="s">
        <v>63</v>
      </c>
      <c r="J98" s="5" t="s">
        <v>100</v>
      </c>
      <c r="K98" s="5" t="s">
        <v>65</v>
      </c>
      <c r="L98" s="6" t="n">
        <v>40969</v>
      </c>
      <c r="M98" s="5" t="s">
        <v>695</v>
      </c>
      <c r="N98" s="6" t="n">
        <v>31528</v>
      </c>
      <c r="O98" s="5" t="s">
        <v>332</v>
      </c>
      <c r="P98" s="5" t="s">
        <v>333</v>
      </c>
      <c r="Q98" s="5" t="s">
        <v>696</v>
      </c>
      <c r="R98" s="5" t="s">
        <v>459</v>
      </c>
      <c r="S98" s="5" t="s">
        <v>697</v>
      </c>
      <c r="T98" s="6"/>
      <c r="U98" s="6" t="n">
        <v>44197</v>
      </c>
      <c r="V98" s="5" t="s">
        <v>83</v>
      </c>
      <c r="W98" s="5" t="s">
        <v>141</v>
      </c>
      <c r="X98" s="5" t="s">
        <v>83</v>
      </c>
      <c r="Y98" s="5" t="s">
        <v>83</v>
      </c>
      <c r="Z98" s="5" t="s">
        <v>83</v>
      </c>
      <c r="AA98" s="5" t="s">
        <v>698</v>
      </c>
      <c r="AB98" s="0" t="n">
        <f aca="false">IFERROR(VALUE(R98),0)</f>
        <v>7</v>
      </c>
      <c r="AC98" s="0" t="n">
        <f aca="false">IFERROR(VALUE(M98),"")</f>
        <v>40.1</v>
      </c>
      <c r="AD98" s="0" t="n">
        <f aca="false">IFERROR(VALUE(Q98),"")</f>
        <v>14.3</v>
      </c>
      <c r="AE98" s="0" t="n">
        <f aca="false">IFERROR(VALUE(S98),"")</f>
        <v>21.3</v>
      </c>
      <c r="AF98" s="0" t="n">
        <f aca="false">IF(V98="","",VLOOKUP(V98,Assumptions!$B$6:$C$9,2,FALSE()))</f>
        <v>4</v>
      </c>
      <c r="AG98" s="0" t="n">
        <f aca="false">IF(W98="","",VLOOKUP(W98,Assumptions!$B$6:$C$9,2,FALSE()))</f>
        <v>3</v>
      </c>
      <c r="AH98" s="0" t="n">
        <f aca="false">IF(X98="","",VLOOKUP(X98,Assumptions!$B$6:$C$9,2,FALSE()))</f>
        <v>4</v>
      </c>
      <c r="AI98" s="0" t="n">
        <f aca="false">IF(Y98="","",VLOOKUP(Y98,Assumptions!$B$6:$C$9,2,FALSE()))</f>
        <v>4</v>
      </c>
      <c r="AJ98" s="0" t="n">
        <f aca="false">IF(Z98="","",VLOOKUP(Z98,Assumptions!$B$6:$C$9,2,FALSE()))</f>
        <v>4</v>
      </c>
      <c r="AK98" s="7" t="n">
        <f aca="false">IFERROR(ROUND(AVERAGE(AF98:AJ98),3),"")</f>
        <v>3.8</v>
      </c>
      <c r="AL98" s="7" t="n">
        <f aca="false">IF(OR(AF98="",AJ98=""),"",AJ98-AF98)</f>
        <v>0</v>
      </c>
      <c r="AM98" s="7" t="n">
        <f aca="false">IF(COUNT(AF98:AJ98)&gt;=2,ROUND(_xlfn.STDEV.S(AF98:AJ98),3),"")</f>
        <v>0.447</v>
      </c>
      <c r="AN98" s="7" t="n">
        <f aca="false">ROUND((IF(AF98="",0,AF98)*Assumptions!$F$15)+(IF(AG98="",0,AG98)*Assumptions!$F$16)+(IF(AH98="",0,AH98)*Assumptions!$F$17)+(IF(AI98="",0,AI98)*Assumptions!$F$18)+(IF(AJ98="",0,AJ98)*Assumptions!$F$19),3)</f>
        <v>3.85</v>
      </c>
      <c r="AO98" s="0" t="str">
        <f aca="false">IF(AC98&lt;=20,"",IF(AC98&lt;=Assumptions!$F$6,"20-30",IF(AC98&lt;=Assumptions!$F$7,"30-40",IF(AC98&lt;=Assumptions!$F$8,"40-50",IF(AC98&lt;=Assumptions!$F$9,"50-60",IF(AC98&lt;=Assumptions!$F$10,"60+",""))))))</f>
        <v>40-50</v>
      </c>
      <c r="AP98" s="0" t="str">
        <f aca="false">IFERROR(VLOOKUP(O98,Assumptions!$B$14:$C$26,2,FALSE()),"Other")</f>
        <v>Manager</v>
      </c>
      <c r="AQ98" s="0" t="n">
        <f aca="false">IF(T98="",0,1)</f>
        <v>0</v>
      </c>
      <c r="AR98" s="0" t="n">
        <f aca="false">IF(U98="",0,1)</f>
        <v>1</v>
      </c>
      <c r="AS98" s="8" t="n">
        <f aca="false">IF(AK98="","",IF(MAX($AK$2:$AK$921)=MIN($AK$2:$AK$921),50,ROUND((AK98-MIN($AK$2:$AK$921))/(MAX($AK$2:$AK$921)-MIN($AK$2:$AK$921))*100,2)))</f>
        <v>91.43</v>
      </c>
      <c r="AT98" s="8" t="n">
        <f aca="false">IF(MAX($BC$2:$BC$921)=MIN($BC$2:$BC$921),50,ROUND((BC98-MIN($BC$2:$BC$921))/(MAX($BC$2:$BC$921)-MIN($BC$2:$BC$921))*100,2))</f>
        <v>50</v>
      </c>
      <c r="AU98" s="8" t="n">
        <f aca="false">IF(MAX($BE$2:$BE$921)=MIN($BE$2:$BE$921),50,ROUND((BE98-MIN($BE$2:$BE$921))/(MAX($BE$2:$BE$921)-MIN($BE$2:$BE$921))*100,2))</f>
        <v>74.19</v>
      </c>
      <c r="AV98" s="8" t="n">
        <f aca="false">IF(MAX($AD$2:$AD$921)=MIN($AD$2:$AD$921),50,ROUND((AD98-MIN($AD$2:$AD$921))/(MAX($AD$2:$AD$921)-MIN($AD$2:$AD$921))*100,2))</f>
        <v>38.57</v>
      </c>
      <c r="AW98" s="8" t="n">
        <f aca="false">IF(MAX($AN$2:$AN$921)=MIN($AN$2:$AN$921),50,ROUND((AN98-MIN($AN$2:$AN$921))/(MAX($AN$2:$AN$921)-MIN($AN$2:$AN$921))*100,2))</f>
        <v>96.25</v>
      </c>
      <c r="AX98" s="8" t="n">
        <f aca="false">AQ98*100</f>
        <v>0</v>
      </c>
      <c r="AY98" s="8" t="n">
        <f aca="false">AR98*100</f>
        <v>100</v>
      </c>
      <c r="AZ98" s="8" t="n">
        <f aca="false">IFERROR(ROUND(AS98*Assumptions!$I$6+AW98*Assumptions!$I$7+AT98*Assumptions!$I$8+AU98*Assumptions!$I$9+AV98*Assumptions!$I$10+AX98*Assumptions!$I$11+AY98*Assumptions!$I$12,2),"")</f>
        <v>74.16</v>
      </c>
      <c r="BA98" s="0" t="str">
        <f aca="false">IF(AZ98="","",IF(AZ98&lt;=Assumptions!$I$18,"Below Expectation",IF(AZ98&lt;=Assumptions!$I$19,"Developing",IF(AZ98&lt;=Assumptions!$I$20,"Meets Expectation",IF(AZ98&lt;=Assumptions!$I$21,"Exceeds","Star Performer")))))</f>
        <v>Exceeds</v>
      </c>
      <c r="BB98" s="0" t="n">
        <f aca="false">IF(AZ98="",0,IF(AZ98&gt;=Assumptions!$I$26,1,0))</f>
        <v>1</v>
      </c>
      <c r="BC98" s="9" t="n">
        <f aca="false">IF(AL98="",2,AL98+2)</f>
        <v>2</v>
      </c>
      <c r="BD98" s="10" t="n">
        <f aca="false">IF(AM98="",ROUND(AVERAGE($AM$2:$AM$921),3),AM98)</f>
        <v>0.447</v>
      </c>
      <c r="BE98" s="9" t="n">
        <f aca="false">1-BD98</f>
        <v>0.553</v>
      </c>
    </row>
    <row r="99" customFormat="false" ht="14.25" hidden="true" customHeight="false" outlineLevel="0" collapsed="false">
      <c r="A99" s="4" t="n">
        <v>281</v>
      </c>
      <c r="B99" s="5" t="n">
        <v>10068520</v>
      </c>
      <c r="C99" s="5" t="s">
        <v>57</v>
      </c>
      <c r="D99" s="5" t="s">
        <v>699</v>
      </c>
      <c r="E99" s="5" t="s">
        <v>456</v>
      </c>
      <c r="F99" s="5" t="s">
        <v>608</v>
      </c>
      <c r="G99" s="5" t="s">
        <v>609</v>
      </c>
      <c r="H99" s="5" t="s">
        <v>608</v>
      </c>
      <c r="I99" s="5" t="s">
        <v>63</v>
      </c>
      <c r="J99" s="5" t="s">
        <v>100</v>
      </c>
      <c r="K99" s="5" t="s">
        <v>65</v>
      </c>
      <c r="L99" s="6" t="n">
        <v>43634</v>
      </c>
      <c r="M99" s="5" t="s">
        <v>700</v>
      </c>
      <c r="N99" s="6" t="n">
        <v>32046</v>
      </c>
      <c r="O99" s="5" t="s">
        <v>365</v>
      </c>
      <c r="P99" s="5" t="s">
        <v>365</v>
      </c>
      <c r="Q99" s="5" t="s">
        <v>701</v>
      </c>
      <c r="R99" s="5" t="s">
        <v>685</v>
      </c>
      <c r="S99" s="5" t="s">
        <v>702</v>
      </c>
      <c r="T99" s="6"/>
      <c r="U99" s="6"/>
      <c r="V99" s="5" t="s">
        <v>83</v>
      </c>
      <c r="W99" s="5" t="s">
        <v>83</v>
      </c>
      <c r="X99" s="5" t="s">
        <v>83</v>
      </c>
      <c r="Y99" s="5" t="s">
        <v>83</v>
      </c>
      <c r="Z99" s="5" t="s">
        <v>83</v>
      </c>
      <c r="AA99" s="5" t="s">
        <v>703</v>
      </c>
      <c r="AB99" s="0" t="n">
        <f aca="false">IFERROR(VALUE(R99),0)</f>
        <v>5.1</v>
      </c>
      <c r="AC99" s="0" t="n">
        <f aca="false">IFERROR(VALUE(M99),"")</f>
        <v>38.8</v>
      </c>
      <c r="AD99" s="0" t="n">
        <f aca="false">IFERROR(VALUE(Q99),"")</f>
        <v>6.11</v>
      </c>
      <c r="AE99" s="0" t="n">
        <f aca="false">IFERROR(VALUE(S99),"")</f>
        <v>12</v>
      </c>
      <c r="AF99" s="0" t="n">
        <f aca="false">IF(V99="","",VLOOKUP(V99,Assumptions!$B$6:$C$9,2,FALSE()))</f>
        <v>4</v>
      </c>
      <c r="AG99" s="0" t="n">
        <f aca="false">IF(W99="","",VLOOKUP(W99,Assumptions!$B$6:$C$9,2,FALSE()))</f>
        <v>4</v>
      </c>
      <c r="AH99" s="0" t="n">
        <f aca="false">IF(X99="","",VLOOKUP(X99,Assumptions!$B$6:$C$9,2,FALSE()))</f>
        <v>4</v>
      </c>
      <c r="AI99" s="0" t="n">
        <f aca="false">IF(Y99="","",VLOOKUP(Y99,Assumptions!$B$6:$C$9,2,FALSE()))</f>
        <v>4</v>
      </c>
      <c r="AJ99" s="0" t="n">
        <f aca="false">IF(Z99="","",VLOOKUP(Z99,Assumptions!$B$6:$C$9,2,FALSE()))</f>
        <v>4</v>
      </c>
      <c r="AK99" s="7" t="n">
        <f aca="false">IFERROR(ROUND(AVERAGE(AF99:AJ99),3),"")</f>
        <v>4</v>
      </c>
      <c r="AL99" s="7" t="n">
        <f aca="false">IF(OR(AF99="",AJ99=""),"",AJ99-AF99)</f>
        <v>0</v>
      </c>
      <c r="AM99" s="7" t="n">
        <f aca="false">IF(COUNT(AF99:AJ99)&gt;=2,ROUND(_xlfn.STDEV.S(AF99:AJ99),3),"")</f>
        <v>0</v>
      </c>
      <c r="AN99" s="7" t="n">
        <f aca="false">ROUND((IF(AF99="",0,AF99)*Assumptions!$F$15)+(IF(AG99="",0,AG99)*Assumptions!$F$16)+(IF(AH99="",0,AH99)*Assumptions!$F$17)+(IF(AI99="",0,AI99)*Assumptions!$F$18)+(IF(AJ99="",0,AJ99)*Assumptions!$F$19),3)</f>
        <v>4</v>
      </c>
      <c r="AO99" s="0" t="str">
        <f aca="false">IF(AC99&lt;=20,"",IF(AC99&lt;=Assumptions!$F$6,"20-30",IF(AC99&lt;=Assumptions!$F$7,"30-40",IF(AC99&lt;=Assumptions!$F$8,"40-50",IF(AC99&lt;=Assumptions!$F$9,"50-60",IF(AC99&lt;=Assumptions!$F$10,"60+",""))))))</f>
        <v>30-40</v>
      </c>
      <c r="AP99" s="0" t="str">
        <f aca="false">IFERROR(VLOOKUP(O99,Assumptions!$B$14:$C$26,2,FALSE()),"Other")</f>
        <v>Manager</v>
      </c>
      <c r="AQ99" s="0" t="n">
        <f aca="false">IF(T99="",0,1)</f>
        <v>0</v>
      </c>
      <c r="AR99" s="0" t="n">
        <f aca="false">IF(U99="",0,1)</f>
        <v>0</v>
      </c>
      <c r="AS99" s="8" t="n">
        <f aca="false">IF(AK99="","",IF(MAX($AK$2:$AK$921)=MIN($AK$2:$AK$921),50,ROUND((AK99-MIN($AK$2:$AK$921))/(MAX($AK$2:$AK$921)-MIN($AK$2:$AK$921))*100,2)))</f>
        <v>100</v>
      </c>
      <c r="AT99" s="8" t="n">
        <f aca="false">IF(MAX($BC$2:$BC$921)=MIN($BC$2:$BC$921),50,ROUND((BC99-MIN($BC$2:$BC$921))/(MAX($BC$2:$BC$921)-MIN($BC$2:$BC$921))*100,2))</f>
        <v>50</v>
      </c>
      <c r="AU99" s="8" t="n">
        <f aca="false">IF(MAX($BE$2:$BE$921)=MIN($BE$2:$BE$921),50,ROUND((BE99-MIN($BE$2:$BE$921))/(MAX($BE$2:$BE$921)-MIN($BE$2:$BE$921))*100,2))</f>
        <v>100</v>
      </c>
      <c r="AV99" s="8" t="n">
        <f aca="false">IF(MAX($AD$2:$AD$921)=MIN($AD$2:$AD$921),50,ROUND((AD99-MIN($AD$2:$AD$921))/(MAX($AD$2:$AD$921)-MIN($AD$2:$AD$921))*100,2))</f>
        <v>16.31</v>
      </c>
      <c r="AW99" s="8" t="n">
        <f aca="false">IF(MAX($AN$2:$AN$921)=MIN($AN$2:$AN$921),50,ROUND((AN99-MIN($AN$2:$AN$921))/(MAX($AN$2:$AN$921)-MIN($AN$2:$AN$921))*100,2))</f>
        <v>100</v>
      </c>
      <c r="AX99" s="8" t="n">
        <f aca="false">AQ99*100</f>
        <v>0</v>
      </c>
      <c r="AY99" s="8" t="n">
        <f aca="false">AR99*100</f>
        <v>0</v>
      </c>
      <c r="AZ99" s="8" t="n">
        <f aca="false">IFERROR(ROUND(AS99*Assumptions!$I$6+AW99*Assumptions!$I$7+AT99*Assumptions!$I$8+AU99*Assumptions!$I$9+AV99*Assumptions!$I$10+AX99*Assumptions!$I$11+AY99*Assumptions!$I$12,2),"")</f>
        <v>74.13</v>
      </c>
      <c r="BA99" s="0" t="str">
        <f aca="false">IF(AZ99="","",IF(AZ99&lt;=Assumptions!$I$18,"Below Expectation",IF(AZ99&lt;=Assumptions!$I$19,"Developing",IF(AZ99&lt;=Assumptions!$I$20,"Meets Expectation",IF(AZ99&lt;=Assumptions!$I$21,"Exceeds","Star Performer")))))</f>
        <v>Exceeds</v>
      </c>
      <c r="BB99" s="0" t="n">
        <f aca="false">IF(AZ99="",0,IF(AZ99&gt;=Assumptions!$I$26,1,0))</f>
        <v>1</v>
      </c>
      <c r="BC99" s="9" t="n">
        <f aca="false">IF(AL99="",2,AL99+2)</f>
        <v>2</v>
      </c>
      <c r="BD99" s="10" t="n">
        <f aca="false">IF(AM99="",ROUND(AVERAGE($AM$2:$AM$921),3),AM99)</f>
        <v>0</v>
      </c>
      <c r="BE99" s="9" t="n">
        <f aca="false">1-BD99</f>
        <v>1</v>
      </c>
    </row>
    <row r="100" customFormat="false" ht="14.25" hidden="true" customHeight="false" outlineLevel="0" collapsed="false">
      <c r="A100" s="4" t="n">
        <v>425</v>
      </c>
      <c r="B100" s="5" t="n">
        <v>50010449</v>
      </c>
      <c r="C100" s="5" t="s">
        <v>85</v>
      </c>
      <c r="D100" s="5" t="s">
        <v>704</v>
      </c>
      <c r="E100" s="5" t="s">
        <v>87</v>
      </c>
      <c r="F100" s="5" t="s">
        <v>705</v>
      </c>
      <c r="G100" s="5" t="s">
        <v>706</v>
      </c>
      <c r="H100" s="5" t="s">
        <v>707</v>
      </c>
      <c r="I100" s="5" t="s">
        <v>63</v>
      </c>
      <c r="J100" s="5" t="s">
        <v>76</v>
      </c>
      <c r="K100" s="5" t="s">
        <v>65</v>
      </c>
      <c r="L100" s="6" t="n">
        <v>41025</v>
      </c>
      <c r="M100" s="5" t="s">
        <v>708</v>
      </c>
      <c r="N100" s="6" t="n">
        <v>32964</v>
      </c>
      <c r="O100" s="5" t="s">
        <v>332</v>
      </c>
      <c r="P100" s="5" t="s">
        <v>333</v>
      </c>
      <c r="Q100" s="5" t="s">
        <v>270</v>
      </c>
      <c r="R100" s="5" t="s">
        <v>115</v>
      </c>
      <c r="S100" s="5" t="s">
        <v>270</v>
      </c>
      <c r="T100" s="6"/>
      <c r="U100" s="6" t="n">
        <v>44440</v>
      </c>
      <c r="V100" s="5" t="s">
        <v>83</v>
      </c>
      <c r="W100" s="5" t="s">
        <v>141</v>
      </c>
      <c r="X100" s="5" t="s">
        <v>83</v>
      </c>
      <c r="Y100" s="5" t="s">
        <v>83</v>
      </c>
      <c r="Z100" s="5" t="s">
        <v>83</v>
      </c>
      <c r="AA100" s="5" t="s">
        <v>709</v>
      </c>
      <c r="AB100" s="0" t="n">
        <f aca="false">IFERROR(VALUE(R100),0)</f>
        <v>0</v>
      </c>
      <c r="AC100" s="0" t="n">
        <f aca="false">IFERROR(VALUE(M100),"")</f>
        <v>36.2</v>
      </c>
      <c r="AD100" s="0" t="n">
        <f aca="false">IFERROR(VALUE(Q100),"")</f>
        <v>14.1</v>
      </c>
      <c r="AE100" s="0" t="n">
        <f aca="false">IFERROR(VALUE(S100),"")</f>
        <v>14.1</v>
      </c>
      <c r="AF100" s="0" t="n">
        <f aca="false">IF(V100="","",VLOOKUP(V100,Assumptions!$B$6:$C$9,2,FALSE()))</f>
        <v>4</v>
      </c>
      <c r="AG100" s="0" t="n">
        <f aca="false">IF(W100="","",VLOOKUP(W100,Assumptions!$B$6:$C$9,2,FALSE()))</f>
        <v>3</v>
      </c>
      <c r="AH100" s="0" t="n">
        <f aca="false">IF(X100="","",VLOOKUP(X100,Assumptions!$B$6:$C$9,2,FALSE()))</f>
        <v>4</v>
      </c>
      <c r="AI100" s="0" t="n">
        <f aca="false">IF(Y100="","",VLOOKUP(Y100,Assumptions!$B$6:$C$9,2,FALSE()))</f>
        <v>4</v>
      </c>
      <c r="AJ100" s="0" t="n">
        <f aca="false">IF(Z100="","",VLOOKUP(Z100,Assumptions!$B$6:$C$9,2,FALSE()))</f>
        <v>4</v>
      </c>
      <c r="AK100" s="7" t="n">
        <f aca="false">IFERROR(ROUND(AVERAGE(AF100:AJ100),3),"")</f>
        <v>3.8</v>
      </c>
      <c r="AL100" s="7" t="n">
        <f aca="false">IF(OR(AF100="",AJ100=""),"",AJ100-AF100)</f>
        <v>0</v>
      </c>
      <c r="AM100" s="7" t="n">
        <f aca="false">IF(COUNT(AF100:AJ100)&gt;=2,ROUND(_xlfn.STDEV.S(AF100:AJ100),3),"")</f>
        <v>0.447</v>
      </c>
      <c r="AN100" s="7" t="n">
        <f aca="false">ROUND((IF(AF100="",0,AF100)*Assumptions!$F$15)+(IF(AG100="",0,AG100)*Assumptions!$F$16)+(IF(AH100="",0,AH100)*Assumptions!$F$17)+(IF(AI100="",0,AI100)*Assumptions!$F$18)+(IF(AJ100="",0,AJ100)*Assumptions!$F$19),3)</f>
        <v>3.85</v>
      </c>
      <c r="AO100" s="0" t="str">
        <f aca="false">IF(AC100&lt;=20,"",IF(AC100&lt;=Assumptions!$F$6,"20-30",IF(AC100&lt;=Assumptions!$F$7,"30-40",IF(AC100&lt;=Assumptions!$F$8,"40-50",IF(AC100&lt;=Assumptions!$F$9,"50-60",IF(AC100&lt;=Assumptions!$F$10,"60+",""))))))</f>
        <v>30-40</v>
      </c>
      <c r="AP100" s="0" t="str">
        <f aca="false">IFERROR(VLOOKUP(O100,Assumptions!$B$14:$C$26,2,FALSE()),"Other")</f>
        <v>Manager</v>
      </c>
      <c r="AQ100" s="0" t="n">
        <f aca="false">IF(T100="",0,1)</f>
        <v>0</v>
      </c>
      <c r="AR100" s="0" t="n">
        <f aca="false">IF(U100="",0,1)</f>
        <v>1</v>
      </c>
      <c r="AS100" s="8" t="n">
        <f aca="false">IF(AK100="","",IF(MAX($AK$2:$AK$921)=MIN($AK$2:$AK$921),50,ROUND((AK100-MIN($AK$2:$AK$921))/(MAX($AK$2:$AK$921)-MIN($AK$2:$AK$921))*100,2)))</f>
        <v>91.43</v>
      </c>
      <c r="AT100" s="8" t="n">
        <f aca="false">IF(MAX($BC$2:$BC$921)=MIN($BC$2:$BC$921),50,ROUND((BC100-MIN($BC$2:$BC$921))/(MAX($BC$2:$BC$921)-MIN($BC$2:$BC$921))*100,2))</f>
        <v>50</v>
      </c>
      <c r="AU100" s="8" t="n">
        <f aca="false">IF(MAX($BE$2:$BE$921)=MIN($BE$2:$BE$921),50,ROUND((BE100-MIN($BE$2:$BE$921))/(MAX($BE$2:$BE$921)-MIN($BE$2:$BE$921))*100,2))</f>
        <v>74.19</v>
      </c>
      <c r="AV100" s="8" t="n">
        <f aca="false">IF(MAX($AD$2:$AD$921)=MIN($AD$2:$AD$921),50,ROUND((AD100-MIN($AD$2:$AD$921))/(MAX($AD$2:$AD$921)-MIN($AD$2:$AD$921))*100,2))</f>
        <v>38.03</v>
      </c>
      <c r="AW100" s="8" t="n">
        <f aca="false">IF(MAX($AN$2:$AN$921)=MIN($AN$2:$AN$921),50,ROUND((AN100-MIN($AN$2:$AN$921))/(MAX($AN$2:$AN$921)-MIN($AN$2:$AN$921))*100,2))</f>
        <v>96.25</v>
      </c>
      <c r="AX100" s="8" t="n">
        <f aca="false">AQ100*100</f>
        <v>0</v>
      </c>
      <c r="AY100" s="8" t="n">
        <f aca="false">AR100*100</f>
        <v>100</v>
      </c>
      <c r="AZ100" s="8" t="n">
        <f aca="false">IFERROR(ROUND(AS100*Assumptions!$I$6+AW100*Assumptions!$I$7+AT100*Assumptions!$I$8+AU100*Assumptions!$I$9+AV100*Assumptions!$I$10+AX100*Assumptions!$I$11+AY100*Assumptions!$I$12,2),"")</f>
        <v>74.11</v>
      </c>
      <c r="BA100" s="0" t="str">
        <f aca="false">IF(AZ100="","",IF(AZ100&lt;=Assumptions!$I$18,"Below Expectation",IF(AZ100&lt;=Assumptions!$I$19,"Developing",IF(AZ100&lt;=Assumptions!$I$20,"Meets Expectation",IF(AZ100&lt;=Assumptions!$I$21,"Exceeds","Star Performer")))))</f>
        <v>Exceeds</v>
      </c>
      <c r="BB100" s="0" t="n">
        <f aca="false">IF(AZ100="",0,IF(AZ100&gt;=Assumptions!$I$26,1,0))</f>
        <v>1</v>
      </c>
      <c r="BC100" s="9" t="n">
        <f aca="false">IF(AL100="",2,AL100+2)</f>
        <v>2</v>
      </c>
      <c r="BD100" s="10" t="n">
        <f aca="false">IF(AM100="",ROUND(AVERAGE($AM$2:$AM$921),3),AM100)</f>
        <v>0.447</v>
      </c>
      <c r="BE100" s="9" t="n">
        <f aca="false">1-BD100</f>
        <v>0.553</v>
      </c>
    </row>
    <row r="101" customFormat="false" ht="14.25" hidden="true" customHeight="false" outlineLevel="0" collapsed="false">
      <c r="A101" s="4" t="n">
        <v>133</v>
      </c>
      <c r="B101" s="5" t="n">
        <v>10043063</v>
      </c>
      <c r="C101" s="5" t="s">
        <v>85</v>
      </c>
      <c r="D101" s="5" t="s">
        <v>710</v>
      </c>
      <c r="E101" s="5" t="s">
        <v>235</v>
      </c>
      <c r="F101" s="5" t="s">
        <v>267</v>
      </c>
      <c r="G101" s="5" t="s">
        <v>268</v>
      </c>
      <c r="H101" s="5" t="s">
        <v>267</v>
      </c>
      <c r="I101" s="5" t="s">
        <v>63</v>
      </c>
      <c r="J101" s="5" t="s">
        <v>76</v>
      </c>
      <c r="K101" s="5" t="s">
        <v>65</v>
      </c>
      <c r="L101" s="6" t="n">
        <v>41764</v>
      </c>
      <c r="M101" s="5" t="s">
        <v>211</v>
      </c>
      <c r="N101" s="6" t="n">
        <v>30864</v>
      </c>
      <c r="O101" s="5" t="s">
        <v>162</v>
      </c>
      <c r="P101" s="5" t="s">
        <v>162</v>
      </c>
      <c r="Q101" s="5" t="s">
        <v>686</v>
      </c>
      <c r="R101" s="5" t="s">
        <v>711</v>
      </c>
      <c r="S101" s="5" t="s">
        <v>196</v>
      </c>
      <c r="T101" s="6" t="n">
        <v>43922</v>
      </c>
      <c r="U101" s="6" t="n">
        <v>46113</v>
      </c>
      <c r="V101" s="5" t="s">
        <v>83</v>
      </c>
      <c r="W101" s="5" t="s">
        <v>83</v>
      </c>
      <c r="X101" s="5" t="s">
        <v>83</v>
      </c>
      <c r="Y101" s="5" t="s">
        <v>83</v>
      </c>
      <c r="Z101" s="5" t="s">
        <v>141</v>
      </c>
      <c r="AA101" s="5" t="s">
        <v>215</v>
      </c>
      <c r="AB101" s="0" t="n">
        <f aca="false">IFERROR(VALUE(R101),0)</f>
        <v>6.8</v>
      </c>
      <c r="AC101" s="0" t="n">
        <f aca="false">IFERROR(VALUE(M101),"")</f>
        <v>41.11</v>
      </c>
      <c r="AD101" s="0" t="n">
        <f aca="false">IFERROR(VALUE(Q101),"")</f>
        <v>12.1</v>
      </c>
      <c r="AE101" s="0" t="n">
        <f aca="false">IFERROR(VALUE(S101),"")</f>
        <v>18.9</v>
      </c>
      <c r="AF101" s="0" t="n">
        <f aca="false">IF(V101="","",VLOOKUP(V101,Assumptions!$B$6:$C$9,2,FALSE()))</f>
        <v>4</v>
      </c>
      <c r="AG101" s="0" t="n">
        <f aca="false">IF(W101="","",VLOOKUP(W101,Assumptions!$B$6:$C$9,2,FALSE()))</f>
        <v>4</v>
      </c>
      <c r="AH101" s="0" t="n">
        <f aca="false">IF(X101="","",VLOOKUP(X101,Assumptions!$B$6:$C$9,2,FALSE()))</f>
        <v>4</v>
      </c>
      <c r="AI101" s="0" t="n">
        <f aca="false">IF(Y101="","",VLOOKUP(Y101,Assumptions!$B$6:$C$9,2,FALSE()))</f>
        <v>4</v>
      </c>
      <c r="AJ101" s="0" t="n">
        <f aca="false">IF(Z101="","",VLOOKUP(Z101,Assumptions!$B$6:$C$9,2,FALSE()))</f>
        <v>3</v>
      </c>
      <c r="AK101" s="7" t="n">
        <f aca="false">IFERROR(ROUND(AVERAGE(AF101:AJ101),3),"")</f>
        <v>3.8</v>
      </c>
      <c r="AL101" s="7" t="n">
        <f aca="false">IF(OR(AF101="",AJ101=""),"",AJ101-AF101)</f>
        <v>-1</v>
      </c>
      <c r="AM101" s="7" t="n">
        <f aca="false">IF(COUNT(AF101:AJ101)&gt;=2,ROUND(_xlfn.STDEV.S(AF101:AJ101),3),"")</f>
        <v>0.447</v>
      </c>
      <c r="AN101" s="7" t="n">
        <f aca="false">ROUND((IF(AF101="",0,AF101)*Assumptions!$F$15)+(IF(AG101="",0,AG101)*Assumptions!$F$16)+(IF(AH101="",0,AH101)*Assumptions!$F$17)+(IF(AI101="",0,AI101)*Assumptions!$F$18)+(IF(AJ101="",0,AJ101)*Assumptions!$F$19),3)</f>
        <v>3.7</v>
      </c>
      <c r="AO101" s="0" t="str">
        <f aca="false">IF(AC101&lt;=20,"",IF(AC101&lt;=Assumptions!$F$6,"20-30",IF(AC101&lt;=Assumptions!$F$7,"30-40",IF(AC101&lt;=Assumptions!$F$8,"40-50",IF(AC101&lt;=Assumptions!$F$9,"50-60",IF(AC101&lt;=Assumptions!$F$10,"60+",""))))))</f>
        <v>40-50</v>
      </c>
      <c r="AP101" s="0" t="str">
        <f aca="false">IFERROR(VLOOKUP(O101,Assumptions!$B$14:$C$26,2,FALSE()),"Other")</f>
        <v>Manager</v>
      </c>
      <c r="AQ101" s="0" t="n">
        <f aca="false">IF(T101="",0,1)</f>
        <v>1</v>
      </c>
      <c r="AR101" s="0" t="n">
        <f aca="false">IF(U101="",0,1)</f>
        <v>1</v>
      </c>
      <c r="AS101" s="8" t="n">
        <f aca="false">IF(AK101="","",IF(MAX($AK$2:$AK$921)=MIN($AK$2:$AK$921),50,ROUND((AK101-MIN($AK$2:$AK$921))/(MAX($AK$2:$AK$921)-MIN($AK$2:$AK$921))*100,2)))</f>
        <v>91.43</v>
      </c>
      <c r="AT101" s="8" t="n">
        <f aca="false">IF(MAX($BC$2:$BC$921)=MIN($BC$2:$BC$921),50,ROUND((BC101-MIN($BC$2:$BC$921))/(MAX($BC$2:$BC$921)-MIN($BC$2:$BC$921))*100,2))</f>
        <v>25</v>
      </c>
      <c r="AU101" s="8" t="n">
        <f aca="false">IF(MAX($BE$2:$BE$921)=MIN($BE$2:$BE$921),50,ROUND((BE101-MIN($BE$2:$BE$921))/(MAX($BE$2:$BE$921)-MIN($BE$2:$BE$921))*100,2))</f>
        <v>74.19</v>
      </c>
      <c r="AV101" s="8" t="n">
        <f aca="false">IF(MAX($AD$2:$AD$921)=MIN($AD$2:$AD$921),50,ROUND((AD101-MIN($AD$2:$AD$921))/(MAX($AD$2:$AD$921)-MIN($AD$2:$AD$921))*100,2))</f>
        <v>32.59</v>
      </c>
      <c r="AW101" s="8" t="n">
        <f aca="false">IF(MAX($AN$2:$AN$921)=MIN($AN$2:$AN$921),50,ROUND((AN101-MIN($AN$2:$AN$921))/(MAX($AN$2:$AN$921)-MIN($AN$2:$AN$921))*100,2))</f>
        <v>92.5</v>
      </c>
      <c r="AX101" s="8" t="n">
        <f aca="false">AQ101*100</f>
        <v>100</v>
      </c>
      <c r="AY101" s="8" t="n">
        <f aca="false">AR101*100</f>
        <v>100</v>
      </c>
      <c r="AZ101" s="8" t="n">
        <f aca="false">IFERROR(ROUND(AS101*Assumptions!$I$6+AW101*Assumptions!$I$7+AT101*Assumptions!$I$8+AU101*Assumptions!$I$9+AV101*Assumptions!$I$10+AX101*Assumptions!$I$11+AY101*Assumptions!$I$12,2),"")</f>
        <v>74.07</v>
      </c>
      <c r="BA101" s="0" t="str">
        <f aca="false">IF(AZ101="","",IF(AZ101&lt;=Assumptions!$I$18,"Below Expectation",IF(AZ101&lt;=Assumptions!$I$19,"Developing",IF(AZ101&lt;=Assumptions!$I$20,"Meets Expectation",IF(AZ101&lt;=Assumptions!$I$21,"Exceeds","Star Performer")))))</f>
        <v>Exceeds</v>
      </c>
      <c r="BB101" s="0" t="n">
        <f aca="false">IF(AZ101="",0,IF(AZ101&gt;=Assumptions!$I$26,1,0))</f>
        <v>1</v>
      </c>
      <c r="BC101" s="9" t="n">
        <f aca="false">IF(AL101="",2,AL101+2)</f>
        <v>1</v>
      </c>
      <c r="BD101" s="10" t="n">
        <f aca="false">IF(AM101="",ROUND(AVERAGE($AM$2:$AM$921),3),AM101)</f>
        <v>0.447</v>
      </c>
      <c r="BE101" s="9" t="n">
        <f aca="false">1-BD101</f>
        <v>0.553</v>
      </c>
    </row>
    <row r="102" customFormat="false" ht="14.25" hidden="true" customHeight="false" outlineLevel="0" collapsed="false">
      <c r="A102" s="4" t="n">
        <v>145</v>
      </c>
      <c r="B102" s="5" t="n">
        <v>10046075</v>
      </c>
      <c r="C102" s="5" t="s">
        <v>85</v>
      </c>
      <c r="D102" s="5" t="s">
        <v>712</v>
      </c>
      <c r="E102" s="5" t="s">
        <v>235</v>
      </c>
      <c r="F102" s="5" t="s">
        <v>267</v>
      </c>
      <c r="G102" s="5" t="s">
        <v>268</v>
      </c>
      <c r="H102" s="5" t="s">
        <v>267</v>
      </c>
      <c r="I102" s="5" t="s">
        <v>63</v>
      </c>
      <c r="J102" s="5" t="s">
        <v>76</v>
      </c>
      <c r="K102" s="5" t="s">
        <v>65</v>
      </c>
      <c r="L102" s="6" t="n">
        <v>41905</v>
      </c>
      <c r="M102" s="5" t="s">
        <v>713</v>
      </c>
      <c r="N102" s="6" t="n">
        <v>32925</v>
      </c>
      <c r="O102" s="5" t="s">
        <v>162</v>
      </c>
      <c r="P102" s="5" t="s">
        <v>162</v>
      </c>
      <c r="Q102" s="5" t="s">
        <v>714</v>
      </c>
      <c r="R102" s="5" t="s">
        <v>433</v>
      </c>
      <c r="S102" s="5" t="s">
        <v>715</v>
      </c>
      <c r="T102" s="6" t="n">
        <v>42800</v>
      </c>
      <c r="U102" s="6" t="n">
        <v>46113</v>
      </c>
      <c r="V102" s="5" t="s">
        <v>83</v>
      </c>
      <c r="W102" s="5" t="s">
        <v>83</v>
      </c>
      <c r="X102" s="5" t="s">
        <v>83</v>
      </c>
      <c r="Y102" s="5" t="s">
        <v>83</v>
      </c>
      <c r="Z102" s="5" t="s">
        <v>141</v>
      </c>
      <c r="AA102" s="5" t="s">
        <v>716</v>
      </c>
      <c r="AB102" s="0" t="n">
        <f aca="false">IFERROR(VALUE(R102),0)</f>
        <v>3</v>
      </c>
      <c r="AC102" s="0" t="n">
        <f aca="false">IFERROR(VALUE(M102),"")</f>
        <v>36.3</v>
      </c>
      <c r="AD102" s="0" t="n">
        <f aca="false">IFERROR(VALUE(Q102),"")</f>
        <v>11.8</v>
      </c>
      <c r="AE102" s="0" t="n">
        <f aca="false">IFERROR(VALUE(S102),"")</f>
        <v>14.8</v>
      </c>
      <c r="AF102" s="0" t="n">
        <f aca="false">IF(V102="","",VLOOKUP(V102,Assumptions!$B$6:$C$9,2,FALSE()))</f>
        <v>4</v>
      </c>
      <c r="AG102" s="0" t="n">
        <f aca="false">IF(W102="","",VLOOKUP(W102,Assumptions!$B$6:$C$9,2,FALSE()))</f>
        <v>4</v>
      </c>
      <c r="AH102" s="0" t="n">
        <f aca="false">IF(X102="","",VLOOKUP(X102,Assumptions!$B$6:$C$9,2,FALSE()))</f>
        <v>4</v>
      </c>
      <c r="AI102" s="0" t="n">
        <f aca="false">IF(Y102="","",VLOOKUP(Y102,Assumptions!$B$6:$C$9,2,FALSE()))</f>
        <v>4</v>
      </c>
      <c r="AJ102" s="0" t="n">
        <f aca="false">IF(Z102="","",VLOOKUP(Z102,Assumptions!$B$6:$C$9,2,FALSE()))</f>
        <v>3</v>
      </c>
      <c r="AK102" s="7" t="n">
        <f aca="false">IFERROR(ROUND(AVERAGE(AF102:AJ102),3),"")</f>
        <v>3.8</v>
      </c>
      <c r="AL102" s="7" t="n">
        <f aca="false">IF(OR(AF102="",AJ102=""),"",AJ102-AF102)</f>
        <v>-1</v>
      </c>
      <c r="AM102" s="7" t="n">
        <f aca="false">IF(COUNT(AF102:AJ102)&gt;=2,ROUND(_xlfn.STDEV.S(AF102:AJ102),3),"")</f>
        <v>0.447</v>
      </c>
      <c r="AN102" s="7" t="n">
        <f aca="false">ROUND((IF(AF102="",0,AF102)*Assumptions!$F$15)+(IF(AG102="",0,AG102)*Assumptions!$F$16)+(IF(AH102="",0,AH102)*Assumptions!$F$17)+(IF(AI102="",0,AI102)*Assumptions!$F$18)+(IF(AJ102="",0,AJ102)*Assumptions!$F$19),3)</f>
        <v>3.7</v>
      </c>
      <c r="AO102" s="0" t="str">
        <f aca="false">IF(AC102&lt;=20,"",IF(AC102&lt;=Assumptions!$F$6,"20-30",IF(AC102&lt;=Assumptions!$F$7,"30-40",IF(AC102&lt;=Assumptions!$F$8,"40-50",IF(AC102&lt;=Assumptions!$F$9,"50-60",IF(AC102&lt;=Assumptions!$F$10,"60+",""))))))</f>
        <v>30-40</v>
      </c>
      <c r="AP102" s="0" t="str">
        <f aca="false">IFERROR(VLOOKUP(O102,Assumptions!$B$14:$C$26,2,FALSE()),"Other")</f>
        <v>Manager</v>
      </c>
      <c r="AQ102" s="0" t="n">
        <f aca="false">IF(T102="",0,1)</f>
        <v>1</v>
      </c>
      <c r="AR102" s="0" t="n">
        <f aca="false">IF(U102="",0,1)</f>
        <v>1</v>
      </c>
      <c r="AS102" s="8" t="n">
        <f aca="false">IF(AK102="","",IF(MAX($AK$2:$AK$921)=MIN($AK$2:$AK$921),50,ROUND((AK102-MIN($AK$2:$AK$921))/(MAX($AK$2:$AK$921)-MIN($AK$2:$AK$921))*100,2)))</f>
        <v>91.43</v>
      </c>
      <c r="AT102" s="8" t="n">
        <f aca="false">IF(MAX($BC$2:$BC$921)=MIN($BC$2:$BC$921),50,ROUND((BC102-MIN($BC$2:$BC$921))/(MAX($BC$2:$BC$921)-MIN($BC$2:$BC$921))*100,2))</f>
        <v>25</v>
      </c>
      <c r="AU102" s="8" t="n">
        <f aca="false">IF(MAX($BE$2:$BE$921)=MIN($BE$2:$BE$921),50,ROUND((BE102-MIN($BE$2:$BE$921))/(MAX($BE$2:$BE$921)-MIN($BE$2:$BE$921))*100,2))</f>
        <v>74.19</v>
      </c>
      <c r="AV102" s="8" t="n">
        <f aca="false">IF(MAX($AD$2:$AD$921)=MIN($AD$2:$AD$921),50,ROUND((AD102-MIN($AD$2:$AD$921))/(MAX($AD$2:$AD$921)-MIN($AD$2:$AD$921))*100,2))</f>
        <v>31.77</v>
      </c>
      <c r="AW102" s="8" t="n">
        <f aca="false">IF(MAX($AN$2:$AN$921)=MIN($AN$2:$AN$921),50,ROUND((AN102-MIN($AN$2:$AN$921))/(MAX($AN$2:$AN$921)-MIN($AN$2:$AN$921))*100,2))</f>
        <v>92.5</v>
      </c>
      <c r="AX102" s="8" t="n">
        <f aca="false">AQ102*100</f>
        <v>100</v>
      </c>
      <c r="AY102" s="8" t="n">
        <f aca="false">AR102*100</f>
        <v>100</v>
      </c>
      <c r="AZ102" s="8" t="n">
        <f aca="false">IFERROR(ROUND(AS102*Assumptions!$I$6+AW102*Assumptions!$I$7+AT102*Assumptions!$I$8+AU102*Assumptions!$I$9+AV102*Assumptions!$I$10+AX102*Assumptions!$I$11+AY102*Assumptions!$I$12,2),"")</f>
        <v>73.98</v>
      </c>
      <c r="BA102" s="0" t="str">
        <f aca="false">IF(AZ102="","",IF(AZ102&lt;=Assumptions!$I$18,"Below Expectation",IF(AZ102&lt;=Assumptions!$I$19,"Developing",IF(AZ102&lt;=Assumptions!$I$20,"Meets Expectation",IF(AZ102&lt;=Assumptions!$I$21,"Exceeds","Star Performer")))))</f>
        <v>Exceeds</v>
      </c>
      <c r="BB102" s="0" t="n">
        <f aca="false">IF(AZ102="",0,IF(AZ102&gt;=Assumptions!$I$26,1,0))</f>
        <v>1</v>
      </c>
      <c r="BC102" s="9" t="n">
        <f aca="false">IF(AL102="",2,AL102+2)</f>
        <v>1</v>
      </c>
      <c r="BD102" s="10" t="n">
        <f aca="false">IF(AM102="",ROUND(AVERAGE($AM$2:$AM$921),3),AM102)</f>
        <v>0.447</v>
      </c>
      <c r="BE102" s="9" t="n">
        <f aca="false">1-BD102</f>
        <v>0.553</v>
      </c>
    </row>
    <row r="103" customFormat="false" ht="14.25" hidden="true" customHeight="false" outlineLevel="0" collapsed="false">
      <c r="A103" s="4" t="n">
        <v>134</v>
      </c>
      <c r="B103" s="5" t="n">
        <v>10043064</v>
      </c>
      <c r="C103" s="5" t="s">
        <v>149</v>
      </c>
      <c r="D103" s="5" t="s">
        <v>717</v>
      </c>
      <c r="E103" s="5" t="s">
        <v>718</v>
      </c>
      <c r="F103" s="5" t="s">
        <v>152</v>
      </c>
      <c r="G103" s="5" t="s">
        <v>153</v>
      </c>
      <c r="H103" s="5" t="s">
        <v>152</v>
      </c>
      <c r="I103" s="5" t="s">
        <v>63</v>
      </c>
      <c r="J103" s="5" t="s">
        <v>100</v>
      </c>
      <c r="K103" s="5" t="s">
        <v>65</v>
      </c>
      <c r="L103" s="6" t="n">
        <v>41764</v>
      </c>
      <c r="M103" s="5" t="s">
        <v>719</v>
      </c>
      <c r="N103" s="6" t="n">
        <v>29903</v>
      </c>
      <c r="O103" s="5" t="s">
        <v>122</v>
      </c>
      <c r="P103" s="5" t="s">
        <v>123</v>
      </c>
      <c r="Q103" s="5" t="s">
        <v>686</v>
      </c>
      <c r="R103" s="5" t="s">
        <v>458</v>
      </c>
      <c r="S103" s="5" t="s">
        <v>214</v>
      </c>
      <c r="T103" s="6" t="n">
        <v>42751</v>
      </c>
      <c r="U103" s="6" t="n">
        <v>44440</v>
      </c>
      <c r="V103" s="5" t="s">
        <v>141</v>
      </c>
      <c r="W103" s="5" t="s">
        <v>83</v>
      </c>
      <c r="X103" s="5" t="s">
        <v>83</v>
      </c>
      <c r="Y103" s="5" t="s">
        <v>83</v>
      </c>
      <c r="Z103" s="5" t="s">
        <v>141</v>
      </c>
      <c r="AA103" s="5" t="s">
        <v>720</v>
      </c>
      <c r="AB103" s="0" t="n">
        <f aca="false">IFERROR(VALUE(R103),0)</f>
        <v>8.8</v>
      </c>
      <c r="AC103" s="0" t="n">
        <f aca="false">IFERROR(VALUE(M103),"")</f>
        <v>44.6</v>
      </c>
      <c r="AD103" s="0" t="n">
        <f aca="false">IFERROR(VALUE(Q103),"")</f>
        <v>12.1</v>
      </c>
      <c r="AE103" s="0" t="n">
        <f aca="false">IFERROR(VALUE(S103),"")</f>
        <v>20.9</v>
      </c>
      <c r="AF103" s="0" t="n">
        <f aca="false">IF(V103="","",VLOOKUP(V103,Assumptions!$B$6:$C$9,2,FALSE()))</f>
        <v>3</v>
      </c>
      <c r="AG103" s="0" t="n">
        <f aca="false">IF(W103="","",VLOOKUP(W103,Assumptions!$B$6:$C$9,2,FALSE()))</f>
        <v>4</v>
      </c>
      <c r="AH103" s="0" t="n">
        <f aca="false">IF(X103="","",VLOOKUP(X103,Assumptions!$B$6:$C$9,2,FALSE()))</f>
        <v>4</v>
      </c>
      <c r="AI103" s="0" t="n">
        <f aca="false">IF(Y103="","",VLOOKUP(Y103,Assumptions!$B$6:$C$9,2,FALSE()))</f>
        <v>4</v>
      </c>
      <c r="AJ103" s="0" t="n">
        <f aca="false">IF(Z103="","",VLOOKUP(Z103,Assumptions!$B$6:$C$9,2,FALSE()))</f>
        <v>3</v>
      </c>
      <c r="AK103" s="7" t="n">
        <f aca="false">IFERROR(ROUND(AVERAGE(AF103:AJ103),3),"")</f>
        <v>3.6</v>
      </c>
      <c r="AL103" s="7" t="n">
        <f aca="false">IF(OR(AF103="",AJ103=""),"",AJ103-AF103)</f>
        <v>0</v>
      </c>
      <c r="AM103" s="7" t="n">
        <f aca="false">IF(COUNT(AF103:AJ103)&gt;=2,ROUND(_xlfn.STDEV.S(AF103:AJ103),3),"")</f>
        <v>0.548</v>
      </c>
      <c r="AN103" s="7" t="n">
        <f aca="false">ROUND((IF(AF103="",0,AF103)*Assumptions!$F$15)+(IF(AG103="",0,AG103)*Assumptions!$F$16)+(IF(AH103="",0,AH103)*Assumptions!$F$17)+(IF(AI103="",0,AI103)*Assumptions!$F$18)+(IF(AJ103="",0,AJ103)*Assumptions!$F$19),3)</f>
        <v>3.6</v>
      </c>
      <c r="AO103" s="0" t="str">
        <f aca="false">IF(AC103&lt;=20,"",IF(AC103&lt;=Assumptions!$F$6,"20-30",IF(AC103&lt;=Assumptions!$F$7,"30-40",IF(AC103&lt;=Assumptions!$F$8,"40-50",IF(AC103&lt;=Assumptions!$F$9,"50-60",IF(AC103&lt;=Assumptions!$F$10,"60+",""))))))</f>
        <v>40-50</v>
      </c>
      <c r="AP103" s="0" t="str">
        <f aca="false">IFERROR(VLOOKUP(O103,Assumptions!$B$14:$C$26,2,FALSE()),"Other")</f>
        <v>Leadership</v>
      </c>
      <c r="AQ103" s="0" t="n">
        <f aca="false">IF(T103="",0,1)</f>
        <v>1</v>
      </c>
      <c r="AR103" s="0" t="n">
        <f aca="false">IF(U103="",0,1)</f>
        <v>1</v>
      </c>
      <c r="AS103" s="8" t="n">
        <f aca="false">IF(AK103="","",IF(MAX($AK$2:$AK$921)=MIN($AK$2:$AK$921),50,ROUND((AK103-MIN($AK$2:$AK$921))/(MAX($AK$2:$AK$921)-MIN($AK$2:$AK$921))*100,2)))</f>
        <v>82.85</v>
      </c>
      <c r="AT103" s="8" t="n">
        <f aca="false">IF(MAX($BC$2:$BC$921)=MIN($BC$2:$BC$921),50,ROUND((BC103-MIN($BC$2:$BC$921))/(MAX($BC$2:$BC$921)-MIN($BC$2:$BC$921))*100,2))</f>
        <v>50</v>
      </c>
      <c r="AU103" s="8" t="n">
        <f aca="false">IF(MAX($BE$2:$BE$921)=MIN($BE$2:$BE$921),50,ROUND((BE103-MIN($BE$2:$BE$921))/(MAX($BE$2:$BE$921)-MIN($BE$2:$BE$921))*100,2))</f>
        <v>68.36</v>
      </c>
      <c r="AV103" s="8" t="n">
        <f aca="false">IF(MAX($AD$2:$AD$921)=MIN($AD$2:$AD$921),50,ROUND((AD103-MIN($AD$2:$AD$921))/(MAX($AD$2:$AD$921)-MIN($AD$2:$AD$921))*100,2))</f>
        <v>32.59</v>
      </c>
      <c r="AW103" s="8" t="n">
        <f aca="false">IF(MAX($AN$2:$AN$921)=MIN($AN$2:$AN$921),50,ROUND((AN103-MIN($AN$2:$AN$921))/(MAX($AN$2:$AN$921)-MIN($AN$2:$AN$921))*100,2))</f>
        <v>90</v>
      </c>
      <c r="AX103" s="8" t="n">
        <f aca="false">AQ103*100</f>
        <v>100</v>
      </c>
      <c r="AY103" s="8" t="n">
        <f aca="false">AR103*100</f>
        <v>100</v>
      </c>
      <c r="AZ103" s="8" t="n">
        <f aca="false">IFERROR(ROUND(AS103*Assumptions!$I$6+AW103*Assumptions!$I$7+AT103*Assumptions!$I$8+AU103*Assumptions!$I$9+AV103*Assumptions!$I$10+AX103*Assumptions!$I$11+AY103*Assumptions!$I$12,2),"")</f>
        <v>73.87</v>
      </c>
      <c r="BA103" s="0" t="str">
        <f aca="false">IF(AZ103="","",IF(AZ103&lt;=Assumptions!$I$18,"Below Expectation",IF(AZ103&lt;=Assumptions!$I$19,"Developing",IF(AZ103&lt;=Assumptions!$I$20,"Meets Expectation",IF(AZ103&lt;=Assumptions!$I$21,"Exceeds","Star Performer")))))</f>
        <v>Exceeds</v>
      </c>
      <c r="BB103" s="0" t="n">
        <f aca="false">IF(AZ103="",0,IF(AZ103&gt;=Assumptions!$I$26,1,0))</f>
        <v>1</v>
      </c>
      <c r="BC103" s="9" t="n">
        <f aca="false">IF(AL103="",2,AL103+2)</f>
        <v>2</v>
      </c>
      <c r="BD103" s="10" t="n">
        <f aca="false">IF(AM103="",ROUND(AVERAGE($AM$2:$AM$921),3),AM103)</f>
        <v>0.548</v>
      </c>
      <c r="BE103" s="9" t="n">
        <f aca="false">1-BD103</f>
        <v>0.452</v>
      </c>
    </row>
    <row r="104" customFormat="false" ht="14.25" hidden="true" customHeight="false" outlineLevel="0" collapsed="false">
      <c r="A104" s="4" t="n">
        <v>104</v>
      </c>
      <c r="B104" s="5" t="n">
        <v>10031251</v>
      </c>
      <c r="C104" s="5" t="s">
        <v>57</v>
      </c>
      <c r="D104" s="5" t="s">
        <v>721</v>
      </c>
      <c r="E104" s="5" t="s">
        <v>252</v>
      </c>
      <c r="F104" s="5" t="s">
        <v>223</v>
      </c>
      <c r="G104" s="5" t="s">
        <v>224</v>
      </c>
      <c r="H104" s="5" t="s">
        <v>223</v>
      </c>
      <c r="I104" s="5" t="s">
        <v>63</v>
      </c>
      <c r="J104" s="5" t="s">
        <v>100</v>
      </c>
      <c r="K104" s="5" t="s">
        <v>65</v>
      </c>
      <c r="L104" s="6" t="n">
        <v>40695</v>
      </c>
      <c r="M104" s="5" t="s">
        <v>722</v>
      </c>
      <c r="N104" s="6" t="n">
        <v>29437</v>
      </c>
      <c r="O104" s="5" t="s">
        <v>162</v>
      </c>
      <c r="P104" s="5" t="s">
        <v>162</v>
      </c>
      <c r="Q104" s="5" t="s">
        <v>241</v>
      </c>
      <c r="R104" s="5" t="s">
        <v>723</v>
      </c>
      <c r="S104" s="5" t="s">
        <v>301</v>
      </c>
      <c r="T104" s="6" t="n">
        <v>42767</v>
      </c>
      <c r="U104" s="6"/>
      <c r="V104" s="5" t="s">
        <v>83</v>
      </c>
      <c r="W104" s="5" t="s">
        <v>83</v>
      </c>
      <c r="X104" s="5" t="s">
        <v>83</v>
      </c>
      <c r="Y104" s="5" t="s">
        <v>141</v>
      </c>
      <c r="Z104" s="5" t="s">
        <v>83</v>
      </c>
      <c r="AA104" s="5" t="s">
        <v>724</v>
      </c>
      <c r="AB104" s="0" t="n">
        <f aca="false">IFERROR(VALUE(R104),0)</f>
        <v>7.3</v>
      </c>
      <c r="AC104" s="0" t="n">
        <f aca="false">IFERROR(VALUE(M104),"")</f>
        <v>45.1</v>
      </c>
      <c r="AD104" s="0" t="n">
        <f aca="false">IFERROR(VALUE(Q104),"")</f>
        <v>15</v>
      </c>
      <c r="AE104" s="0" t="n">
        <f aca="false">IFERROR(VALUE(S104),"")</f>
        <v>22.3</v>
      </c>
      <c r="AF104" s="0" t="n">
        <f aca="false">IF(V104="","",VLOOKUP(V104,Assumptions!$B$6:$C$9,2,FALSE()))</f>
        <v>4</v>
      </c>
      <c r="AG104" s="0" t="n">
        <f aca="false">IF(W104="","",VLOOKUP(W104,Assumptions!$B$6:$C$9,2,FALSE()))</f>
        <v>4</v>
      </c>
      <c r="AH104" s="0" t="n">
        <f aca="false">IF(X104="","",VLOOKUP(X104,Assumptions!$B$6:$C$9,2,FALSE()))</f>
        <v>4</v>
      </c>
      <c r="AI104" s="0" t="n">
        <f aca="false">IF(Y104="","",VLOOKUP(Y104,Assumptions!$B$6:$C$9,2,FALSE()))</f>
        <v>3</v>
      </c>
      <c r="AJ104" s="0" t="n">
        <f aca="false">IF(Z104="","",VLOOKUP(Z104,Assumptions!$B$6:$C$9,2,FALSE()))</f>
        <v>4</v>
      </c>
      <c r="AK104" s="7" t="n">
        <f aca="false">IFERROR(ROUND(AVERAGE(AF104:AJ104),3),"")</f>
        <v>3.8</v>
      </c>
      <c r="AL104" s="7" t="n">
        <f aca="false">IF(OR(AF104="",AJ104=""),"",AJ104-AF104)</f>
        <v>0</v>
      </c>
      <c r="AM104" s="7" t="n">
        <f aca="false">IF(COUNT(AF104:AJ104)&gt;=2,ROUND(_xlfn.STDEV.S(AF104:AJ104),3),"")</f>
        <v>0.447</v>
      </c>
      <c r="AN104" s="7" t="n">
        <f aca="false">ROUND((IF(AF104="",0,AF104)*Assumptions!$F$15)+(IF(AG104="",0,AG104)*Assumptions!$F$16)+(IF(AH104="",0,AH104)*Assumptions!$F$17)+(IF(AI104="",0,AI104)*Assumptions!$F$18)+(IF(AJ104="",0,AJ104)*Assumptions!$F$19),3)</f>
        <v>3.75</v>
      </c>
      <c r="AO104" s="0" t="str">
        <f aca="false">IF(AC104&lt;=20,"",IF(AC104&lt;=Assumptions!$F$6,"20-30",IF(AC104&lt;=Assumptions!$F$7,"30-40",IF(AC104&lt;=Assumptions!$F$8,"40-50",IF(AC104&lt;=Assumptions!$F$9,"50-60",IF(AC104&lt;=Assumptions!$F$10,"60+",""))))))</f>
        <v>40-50</v>
      </c>
      <c r="AP104" s="0" t="str">
        <f aca="false">IFERROR(VLOOKUP(O104,Assumptions!$B$14:$C$26,2,FALSE()),"Other")</f>
        <v>Manager</v>
      </c>
      <c r="AQ104" s="0" t="n">
        <f aca="false">IF(T104="",0,1)</f>
        <v>1</v>
      </c>
      <c r="AR104" s="0" t="n">
        <f aca="false">IF(U104="",0,1)</f>
        <v>0</v>
      </c>
      <c r="AS104" s="8" t="n">
        <f aca="false">IF(AK104="","",IF(MAX($AK$2:$AK$921)=MIN($AK$2:$AK$921),50,ROUND((AK104-MIN($AK$2:$AK$921))/(MAX($AK$2:$AK$921)-MIN($AK$2:$AK$921))*100,2)))</f>
        <v>91.43</v>
      </c>
      <c r="AT104" s="8" t="n">
        <f aca="false">IF(MAX($BC$2:$BC$921)=MIN($BC$2:$BC$921),50,ROUND((BC104-MIN($BC$2:$BC$921))/(MAX($BC$2:$BC$921)-MIN($BC$2:$BC$921))*100,2))</f>
        <v>50</v>
      </c>
      <c r="AU104" s="8" t="n">
        <f aca="false">IF(MAX($BE$2:$BE$921)=MIN($BE$2:$BE$921),50,ROUND((BE104-MIN($BE$2:$BE$921))/(MAX($BE$2:$BE$921)-MIN($BE$2:$BE$921))*100,2))</f>
        <v>74.19</v>
      </c>
      <c r="AV104" s="8" t="n">
        <f aca="false">IF(MAX($AD$2:$AD$921)=MIN($AD$2:$AD$921),50,ROUND((AD104-MIN($AD$2:$AD$921))/(MAX($AD$2:$AD$921)-MIN($AD$2:$AD$921))*100,2))</f>
        <v>40.47</v>
      </c>
      <c r="AW104" s="8" t="n">
        <f aca="false">IF(MAX($AN$2:$AN$921)=MIN($AN$2:$AN$921),50,ROUND((AN104-MIN($AN$2:$AN$921))/(MAX($AN$2:$AN$921)-MIN($AN$2:$AN$921))*100,2))</f>
        <v>93.75</v>
      </c>
      <c r="AX104" s="8" t="n">
        <f aca="false">AQ104*100</f>
        <v>100</v>
      </c>
      <c r="AY104" s="8" t="n">
        <f aca="false">AR104*100</f>
        <v>0</v>
      </c>
      <c r="AZ104" s="8" t="n">
        <f aca="false">IFERROR(ROUND(AS104*Assumptions!$I$6+AW104*Assumptions!$I$7+AT104*Assumptions!$I$8+AU104*Assumptions!$I$9+AV104*Assumptions!$I$10+AX104*Assumptions!$I$11+AY104*Assumptions!$I$12,2),"")</f>
        <v>73.85</v>
      </c>
      <c r="BA104" s="0" t="str">
        <f aca="false">IF(AZ104="","",IF(AZ104&lt;=Assumptions!$I$18,"Below Expectation",IF(AZ104&lt;=Assumptions!$I$19,"Developing",IF(AZ104&lt;=Assumptions!$I$20,"Meets Expectation",IF(AZ104&lt;=Assumptions!$I$21,"Exceeds","Star Performer")))))</f>
        <v>Exceeds</v>
      </c>
      <c r="BB104" s="0" t="n">
        <f aca="false">IF(AZ104="",0,IF(AZ104&gt;=Assumptions!$I$26,1,0))</f>
        <v>1</v>
      </c>
      <c r="BC104" s="9" t="n">
        <f aca="false">IF(AL104="",2,AL104+2)</f>
        <v>2</v>
      </c>
      <c r="BD104" s="10" t="n">
        <f aca="false">IF(AM104="",ROUND(AVERAGE($AM$2:$AM$921),3),AM104)</f>
        <v>0.447</v>
      </c>
      <c r="BE104" s="9" t="n">
        <f aca="false">1-BD104</f>
        <v>0.553</v>
      </c>
    </row>
    <row r="105" customFormat="false" ht="14.25" hidden="true" customHeight="false" outlineLevel="0" collapsed="false">
      <c r="A105" s="4" t="n">
        <v>143</v>
      </c>
      <c r="B105" s="5" t="n">
        <v>10045882</v>
      </c>
      <c r="C105" s="5" t="s">
        <v>57</v>
      </c>
      <c r="D105" s="5" t="s">
        <v>725</v>
      </c>
      <c r="E105" s="5" t="s">
        <v>275</v>
      </c>
      <c r="F105" s="5" t="s">
        <v>209</v>
      </c>
      <c r="G105" s="5" t="s">
        <v>210</v>
      </c>
      <c r="H105" s="5" t="s">
        <v>209</v>
      </c>
      <c r="I105" s="5" t="s">
        <v>63</v>
      </c>
      <c r="J105" s="5" t="s">
        <v>100</v>
      </c>
      <c r="K105" s="5" t="s">
        <v>65</v>
      </c>
      <c r="L105" s="6" t="n">
        <v>41890</v>
      </c>
      <c r="M105" s="5" t="s">
        <v>457</v>
      </c>
      <c r="N105" s="6" t="n">
        <v>32295</v>
      </c>
      <c r="O105" s="5" t="s">
        <v>262</v>
      </c>
      <c r="P105" s="5" t="s">
        <v>263</v>
      </c>
      <c r="Q105" s="5" t="s">
        <v>240</v>
      </c>
      <c r="R105" s="5" t="s">
        <v>726</v>
      </c>
      <c r="S105" s="5" t="s">
        <v>727</v>
      </c>
      <c r="T105" s="6" t="n">
        <v>43405</v>
      </c>
      <c r="U105" s="6" t="n">
        <v>45017</v>
      </c>
      <c r="V105" s="5" t="s">
        <v>141</v>
      </c>
      <c r="W105" s="5" t="s">
        <v>83</v>
      </c>
      <c r="X105" s="5" t="s">
        <v>83</v>
      </c>
      <c r="Y105" s="5" t="s">
        <v>83</v>
      </c>
      <c r="Z105" s="5" t="s">
        <v>141</v>
      </c>
      <c r="AA105" s="5" t="s">
        <v>728</v>
      </c>
      <c r="AB105" s="0" t="n">
        <f aca="false">IFERROR(VALUE(R105),0)</f>
        <v>5.5</v>
      </c>
      <c r="AC105" s="0" t="n">
        <f aca="false">IFERROR(VALUE(M105),"")</f>
        <v>38</v>
      </c>
      <c r="AD105" s="0" t="n">
        <f aca="false">IFERROR(VALUE(Q105),"")</f>
        <v>11.9</v>
      </c>
      <c r="AE105" s="0" t="n">
        <f aca="false">IFERROR(VALUE(S105),"")</f>
        <v>17.2</v>
      </c>
      <c r="AF105" s="0" t="n">
        <f aca="false">IF(V105="","",VLOOKUP(V105,Assumptions!$B$6:$C$9,2,FALSE()))</f>
        <v>3</v>
      </c>
      <c r="AG105" s="0" t="n">
        <f aca="false">IF(W105="","",VLOOKUP(W105,Assumptions!$B$6:$C$9,2,FALSE()))</f>
        <v>4</v>
      </c>
      <c r="AH105" s="0" t="n">
        <f aca="false">IF(X105="","",VLOOKUP(X105,Assumptions!$B$6:$C$9,2,FALSE()))</f>
        <v>4</v>
      </c>
      <c r="AI105" s="0" t="n">
        <f aca="false">IF(Y105="","",VLOOKUP(Y105,Assumptions!$B$6:$C$9,2,FALSE()))</f>
        <v>4</v>
      </c>
      <c r="AJ105" s="0" t="n">
        <f aca="false">IF(Z105="","",VLOOKUP(Z105,Assumptions!$B$6:$C$9,2,FALSE()))</f>
        <v>3</v>
      </c>
      <c r="AK105" s="7" t="n">
        <f aca="false">IFERROR(ROUND(AVERAGE(AF105:AJ105),3),"")</f>
        <v>3.6</v>
      </c>
      <c r="AL105" s="7" t="n">
        <f aca="false">IF(OR(AF105="",AJ105=""),"",AJ105-AF105)</f>
        <v>0</v>
      </c>
      <c r="AM105" s="7" t="n">
        <f aca="false">IF(COUNT(AF105:AJ105)&gt;=2,ROUND(_xlfn.STDEV.S(AF105:AJ105),3),"")</f>
        <v>0.548</v>
      </c>
      <c r="AN105" s="7" t="n">
        <f aca="false">ROUND((IF(AF105="",0,AF105)*Assumptions!$F$15)+(IF(AG105="",0,AG105)*Assumptions!$F$16)+(IF(AH105="",0,AH105)*Assumptions!$F$17)+(IF(AI105="",0,AI105)*Assumptions!$F$18)+(IF(AJ105="",0,AJ105)*Assumptions!$F$19),3)</f>
        <v>3.6</v>
      </c>
      <c r="AO105" s="0" t="str">
        <f aca="false">IF(AC105&lt;=20,"",IF(AC105&lt;=Assumptions!$F$6,"20-30",IF(AC105&lt;=Assumptions!$F$7,"30-40",IF(AC105&lt;=Assumptions!$F$8,"40-50",IF(AC105&lt;=Assumptions!$F$9,"50-60",IF(AC105&lt;=Assumptions!$F$10,"60+",""))))))</f>
        <v>30-40</v>
      </c>
      <c r="AP105" s="0" t="str">
        <f aca="false">IFERROR(VLOOKUP(O105,Assumptions!$B$14:$C$26,2,FALSE()),"Other")</f>
        <v>Manager</v>
      </c>
      <c r="AQ105" s="0" t="n">
        <f aca="false">IF(T105="",0,1)</f>
        <v>1</v>
      </c>
      <c r="AR105" s="0" t="n">
        <f aca="false">IF(U105="",0,1)</f>
        <v>1</v>
      </c>
      <c r="AS105" s="8" t="n">
        <f aca="false">IF(AK105="","",IF(MAX($AK$2:$AK$921)=MIN($AK$2:$AK$921),50,ROUND((AK105-MIN($AK$2:$AK$921))/(MAX($AK$2:$AK$921)-MIN($AK$2:$AK$921))*100,2)))</f>
        <v>82.85</v>
      </c>
      <c r="AT105" s="8" t="n">
        <f aca="false">IF(MAX($BC$2:$BC$921)=MIN($BC$2:$BC$921),50,ROUND((BC105-MIN($BC$2:$BC$921))/(MAX($BC$2:$BC$921)-MIN($BC$2:$BC$921))*100,2))</f>
        <v>50</v>
      </c>
      <c r="AU105" s="8" t="n">
        <f aca="false">IF(MAX($BE$2:$BE$921)=MIN($BE$2:$BE$921),50,ROUND((BE105-MIN($BE$2:$BE$921))/(MAX($BE$2:$BE$921)-MIN($BE$2:$BE$921))*100,2))</f>
        <v>68.36</v>
      </c>
      <c r="AV105" s="8" t="n">
        <f aca="false">IF(MAX($AD$2:$AD$921)=MIN($AD$2:$AD$921),50,ROUND((AD105-MIN($AD$2:$AD$921))/(MAX($AD$2:$AD$921)-MIN($AD$2:$AD$921))*100,2))</f>
        <v>32.05</v>
      </c>
      <c r="AW105" s="8" t="n">
        <f aca="false">IF(MAX($AN$2:$AN$921)=MIN($AN$2:$AN$921),50,ROUND((AN105-MIN($AN$2:$AN$921))/(MAX($AN$2:$AN$921)-MIN($AN$2:$AN$921))*100,2))</f>
        <v>90</v>
      </c>
      <c r="AX105" s="8" t="n">
        <f aca="false">AQ105*100</f>
        <v>100</v>
      </c>
      <c r="AY105" s="8" t="n">
        <f aca="false">AR105*100</f>
        <v>100</v>
      </c>
      <c r="AZ105" s="8" t="n">
        <f aca="false">IFERROR(ROUND(AS105*Assumptions!$I$6+AW105*Assumptions!$I$7+AT105*Assumptions!$I$8+AU105*Assumptions!$I$9+AV105*Assumptions!$I$10+AX105*Assumptions!$I$11+AY105*Assumptions!$I$12,2),"")</f>
        <v>73.81</v>
      </c>
      <c r="BA105" s="0" t="str">
        <f aca="false">IF(AZ105="","",IF(AZ105&lt;=Assumptions!$I$18,"Below Expectation",IF(AZ105&lt;=Assumptions!$I$19,"Developing",IF(AZ105&lt;=Assumptions!$I$20,"Meets Expectation",IF(AZ105&lt;=Assumptions!$I$21,"Exceeds","Star Performer")))))</f>
        <v>Exceeds</v>
      </c>
      <c r="BB105" s="0" t="n">
        <f aca="false">IF(AZ105="",0,IF(AZ105&gt;=Assumptions!$I$26,1,0))</f>
        <v>1</v>
      </c>
      <c r="BC105" s="9" t="n">
        <f aca="false">IF(AL105="",2,AL105+2)</f>
        <v>2</v>
      </c>
      <c r="BD105" s="10" t="n">
        <f aca="false">IF(AM105="",ROUND(AVERAGE($AM$2:$AM$921),3),AM105)</f>
        <v>0.548</v>
      </c>
      <c r="BE105" s="9" t="n">
        <f aca="false">1-BD105</f>
        <v>0.452</v>
      </c>
    </row>
    <row r="106" customFormat="false" ht="14.25" hidden="true" customHeight="false" outlineLevel="0" collapsed="false">
      <c r="A106" s="4" t="n">
        <v>113</v>
      </c>
      <c r="B106" s="5" t="n">
        <v>10035080</v>
      </c>
      <c r="C106" s="5" t="s">
        <v>149</v>
      </c>
      <c r="D106" s="5" t="s">
        <v>729</v>
      </c>
      <c r="E106" s="5" t="s">
        <v>149</v>
      </c>
      <c r="F106" s="5" t="s">
        <v>730</v>
      </c>
      <c r="G106" s="5" t="s">
        <v>731</v>
      </c>
      <c r="H106" s="5" t="s">
        <v>732</v>
      </c>
      <c r="I106" s="5" t="s">
        <v>63</v>
      </c>
      <c r="J106" s="5" t="s">
        <v>100</v>
      </c>
      <c r="K106" s="5" t="s">
        <v>65</v>
      </c>
      <c r="L106" s="6" t="n">
        <v>41215</v>
      </c>
      <c r="M106" s="5" t="s">
        <v>733</v>
      </c>
      <c r="N106" s="6" t="n">
        <v>22015</v>
      </c>
      <c r="O106" s="5" t="s">
        <v>67</v>
      </c>
      <c r="P106" s="5" t="s">
        <v>68</v>
      </c>
      <c r="Q106" s="5" t="s">
        <v>734</v>
      </c>
      <c r="R106" s="5" t="s">
        <v>91</v>
      </c>
      <c r="S106" s="5" t="s">
        <v>735</v>
      </c>
      <c r="T106" s="6"/>
      <c r="U106" s="6" t="n">
        <v>44317</v>
      </c>
      <c r="V106" s="5" t="s">
        <v>141</v>
      </c>
      <c r="W106" s="5" t="s">
        <v>141</v>
      </c>
      <c r="X106" s="5" t="s">
        <v>83</v>
      </c>
      <c r="Y106" s="5" t="s">
        <v>83</v>
      </c>
      <c r="Z106" s="5" t="s">
        <v>83</v>
      </c>
      <c r="AA106" s="5" t="s">
        <v>736</v>
      </c>
      <c r="AB106" s="0" t="n">
        <f aca="false">IFERROR(VALUE(R106),0)</f>
        <v>29.6</v>
      </c>
      <c r="AC106" s="0" t="n">
        <f aca="false">IFERROR(VALUE(M106),"")</f>
        <v>66.1</v>
      </c>
      <c r="AD106" s="0" t="n">
        <f aca="false">IFERROR(VALUE(Q106),"")</f>
        <v>13.7</v>
      </c>
      <c r="AE106" s="0" t="n">
        <f aca="false">IFERROR(VALUE(S106),"")</f>
        <v>43.1</v>
      </c>
      <c r="AF106" s="0" t="n">
        <f aca="false">IF(V106="","",VLOOKUP(V106,Assumptions!$B$6:$C$9,2,FALSE()))</f>
        <v>3</v>
      </c>
      <c r="AG106" s="0" t="n">
        <f aca="false">IF(W106="","",VLOOKUP(W106,Assumptions!$B$6:$C$9,2,FALSE()))</f>
        <v>3</v>
      </c>
      <c r="AH106" s="0" t="n">
        <f aca="false">IF(X106="","",VLOOKUP(X106,Assumptions!$B$6:$C$9,2,FALSE()))</f>
        <v>4</v>
      </c>
      <c r="AI106" s="0" t="n">
        <f aca="false">IF(Y106="","",VLOOKUP(Y106,Assumptions!$B$6:$C$9,2,FALSE()))</f>
        <v>4</v>
      </c>
      <c r="AJ106" s="0" t="n">
        <f aca="false">IF(Z106="","",VLOOKUP(Z106,Assumptions!$B$6:$C$9,2,FALSE()))</f>
        <v>4</v>
      </c>
      <c r="AK106" s="7" t="n">
        <f aca="false">IFERROR(ROUND(AVERAGE(AF106:AJ106),3),"")</f>
        <v>3.6</v>
      </c>
      <c r="AL106" s="7" t="n">
        <f aca="false">IF(OR(AF106="",AJ106=""),"",AJ106-AF106)</f>
        <v>1</v>
      </c>
      <c r="AM106" s="7" t="n">
        <f aca="false">IF(COUNT(AF106:AJ106)&gt;=2,ROUND(_xlfn.STDEV.S(AF106:AJ106),3),"")</f>
        <v>0.548</v>
      </c>
      <c r="AN106" s="7" t="n">
        <f aca="false">ROUND((IF(AF106="",0,AF106)*Assumptions!$F$15)+(IF(AG106="",0,AG106)*Assumptions!$F$16)+(IF(AH106="",0,AH106)*Assumptions!$F$17)+(IF(AI106="",0,AI106)*Assumptions!$F$18)+(IF(AJ106="",0,AJ106)*Assumptions!$F$19),3)</f>
        <v>3.75</v>
      </c>
      <c r="AO106" s="0" t="str">
        <f aca="false">IF(AC106&lt;=20,"",IF(AC106&lt;=Assumptions!$F$6,"20-30",IF(AC106&lt;=Assumptions!$F$7,"30-40",IF(AC106&lt;=Assumptions!$F$8,"40-50",IF(AC106&lt;=Assumptions!$F$9,"50-60",IF(AC106&lt;=Assumptions!$F$10,"60+",""))))))</f>
        <v>60+</v>
      </c>
      <c r="AP106" s="0" t="str">
        <f aca="false">IFERROR(VLOOKUP(O106,Assumptions!$B$14:$C$26,2,FALSE()),"Other")</f>
        <v>Leadership</v>
      </c>
      <c r="AQ106" s="0" t="n">
        <f aca="false">IF(T106="",0,1)</f>
        <v>0</v>
      </c>
      <c r="AR106" s="0" t="n">
        <f aca="false">IF(U106="",0,1)</f>
        <v>1</v>
      </c>
      <c r="AS106" s="8" t="n">
        <f aca="false">IF(AK106="","",IF(MAX($AK$2:$AK$921)=MIN($AK$2:$AK$921),50,ROUND((AK106-MIN($AK$2:$AK$921))/(MAX($AK$2:$AK$921)-MIN($AK$2:$AK$921))*100,2)))</f>
        <v>82.85</v>
      </c>
      <c r="AT106" s="8" t="n">
        <f aca="false">IF(MAX($BC$2:$BC$921)=MIN($BC$2:$BC$921),50,ROUND((BC106-MIN($BC$2:$BC$921))/(MAX($BC$2:$BC$921)-MIN($BC$2:$BC$921))*100,2))</f>
        <v>75</v>
      </c>
      <c r="AU106" s="8" t="n">
        <f aca="false">IF(MAX($BE$2:$BE$921)=MIN($BE$2:$BE$921),50,ROUND((BE106-MIN($BE$2:$BE$921))/(MAX($BE$2:$BE$921)-MIN($BE$2:$BE$921))*100,2))</f>
        <v>68.36</v>
      </c>
      <c r="AV106" s="8" t="n">
        <f aca="false">IF(MAX($AD$2:$AD$921)=MIN($AD$2:$AD$921),50,ROUND((AD106-MIN($AD$2:$AD$921))/(MAX($AD$2:$AD$921)-MIN($AD$2:$AD$921))*100,2))</f>
        <v>36.94</v>
      </c>
      <c r="AW106" s="8" t="n">
        <f aca="false">IF(MAX($AN$2:$AN$921)=MIN($AN$2:$AN$921),50,ROUND((AN106-MIN($AN$2:$AN$921))/(MAX($AN$2:$AN$921)-MIN($AN$2:$AN$921))*100,2))</f>
        <v>93.75</v>
      </c>
      <c r="AX106" s="8" t="n">
        <f aca="false">AQ106*100</f>
        <v>0</v>
      </c>
      <c r="AY106" s="8" t="n">
        <f aca="false">AR106*100</f>
        <v>100</v>
      </c>
      <c r="AZ106" s="8" t="n">
        <f aca="false">IFERROR(ROUND(AS106*Assumptions!$I$6+AW106*Assumptions!$I$7+AT106*Assumptions!$I$8+AU106*Assumptions!$I$9+AV106*Assumptions!$I$10+AX106*Assumptions!$I$11+AY106*Assumptions!$I$12,2),"")</f>
        <v>73.8</v>
      </c>
      <c r="BA106" s="0" t="str">
        <f aca="false">IF(AZ106="","",IF(AZ106&lt;=Assumptions!$I$18,"Below Expectation",IF(AZ106&lt;=Assumptions!$I$19,"Developing",IF(AZ106&lt;=Assumptions!$I$20,"Meets Expectation",IF(AZ106&lt;=Assumptions!$I$21,"Exceeds","Star Performer")))))</f>
        <v>Exceeds</v>
      </c>
      <c r="BB106" s="0" t="n">
        <f aca="false">IF(AZ106="",0,IF(AZ106&gt;=Assumptions!$I$26,1,0))</f>
        <v>1</v>
      </c>
      <c r="BC106" s="9" t="n">
        <f aca="false">IF(AL106="",2,AL106+2)</f>
        <v>3</v>
      </c>
      <c r="BD106" s="10" t="n">
        <f aca="false">IF(AM106="",ROUND(AVERAGE($AM$2:$AM$921),3),AM106)</f>
        <v>0.548</v>
      </c>
      <c r="BE106" s="9" t="n">
        <f aca="false">1-BD106</f>
        <v>0.452</v>
      </c>
    </row>
    <row r="107" customFormat="false" ht="14.25" hidden="true" customHeight="false" outlineLevel="0" collapsed="false">
      <c r="A107" s="4" t="n">
        <v>331</v>
      </c>
      <c r="B107" s="5" t="n">
        <v>19505433</v>
      </c>
      <c r="C107" s="5"/>
      <c r="D107" s="5" t="s">
        <v>737</v>
      </c>
      <c r="E107" s="5" t="s">
        <v>257</v>
      </c>
      <c r="F107" s="5" t="s">
        <v>178</v>
      </c>
      <c r="G107" s="5" t="s">
        <v>177</v>
      </c>
      <c r="H107" s="5" t="s">
        <v>178</v>
      </c>
      <c r="I107" s="5" t="s">
        <v>63</v>
      </c>
      <c r="J107" s="5" t="s">
        <v>76</v>
      </c>
      <c r="K107" s="5" t="s">
        <v>65</v>
      </c>
      <c r="L107" s="6" t="n">
        <v>35156</v>
      </c>
      <c r="M107" s="5" t="s">
        <v>738</v>
      </c>
      <c r="N107" s="6" t="n">
        <v>27160</v>
      </c>
      <c r="O107" s="5" t="s">
        <v>122</v>
      </c>
      <c r="P107" s="5" t="s">
        <v>123</v>
      </c>
      <c r="Q107" s="5" t="s">
        <v>739</v>
      </c>
      <c r="R107" s="5" t="s">
        <v>740</v>
      </c>
      <c r="S107" s="5" t="s">
        <v>741</v>
      </c>
      <c r="T107" s="6" t="n">
        <v>42917</v>
      </c>
      <c r="U107" s="6"/>
      <c r="V107" s="5" t="s">
        <v>141</v>
      </c>
      <c r="W107" s="5" t="s">
        <v>83</v>
      </c>
      <c r="X107" s="5" t="s">
        <v>83</v>
      </c>
      <c r="Y107" s="5" t="s">
        <v>83</v>
      </c>
      <c r="Z107" s="5" t="s">
        <v>141</v>
      </c>
      <c r="AA107" s="5" t="s">
        <v>742</v>
      </c>
      <c r="AB107" s="0" t="n">
        <f aca="false">IFERROR(VALUE(R107),0)</f>
        <v>0.8</v>
      </c>
      <c r="AC107" s="0" t="n">
        <f aca="false">IFERROR(VALUE(M107),"")</f>
        <v>52</v>
      </c>
      <c r="AD107" s="0" t="n">
        <f aca="false">IFERROR(VALUE(Q107),"")</f>
        <v>30.2</v>
      </c>
      <c r="AE107" s="0" t="n">
        <f aca="false">IFERROR(VALUE(S107),"")</f>
        <v>30.1</v>
      </c>
      <c r="AF107" s="0" t="n">
        <f aca="false">IF(V107="","",VLOOKUP(V107,Assumptions!$B$6:$C$9,2,FALSE()))</f>
        <v>3</v>
      </c>
      <c r="AG107" s="0" t="n">
        <f aca="false">IF(W107="","",VLOOKUP(W107,Assumptions!$B$6:$C$9,2,FALSE()))</f>
        <v>4</v>
      </c>
      <c r="AH107" s="0" t="n">
        <f aca="false">IF(X107="","",VLOOKUP(X107,Assumptions!$B$6:$C$9,2,FALSE()))</f>
        <v>4</v>
      </c>
      <c r="AI107" s="0" t="n">
        <f aca="false">IF(Y107="","",VLOOKUP(Y107,Assumptions!$B$6:$C$9,2,FALSE()))</f>
        <v>4</v>
      </c>
      <c r="AJ107" s="0" t="n">
        <f aca="false">IF(Z107="","",VLOOKUP(Z107,Assumptions!$B$6:$C$9,2,FALSE()))</f>
        <v>3</v>
      </c>
      <c r="AK107" s="7" t="n">
        <f aca="false">IFERROR(ROUND(AVERAGE(AF107:AJ107),3),"")</f>
        <v>3.6</v>
      </c>
      <c r="AL107" s="7" t="n">
        <f aca="false">IF(OR(AF107="",AJ107=""),"",AJ107-AF107)</f>
        <v>0</v>
      </c>
      <c r="AM107" s="7" t="n">
        <f aca="false">IF(COUNT(AF107:AJ107)&gt;=2,ROUND(_xlfn.STDEV.S(AF107:AJ107),3),"")</f>
        <v>0.548</v>
      </c>
      <c r="AN107" s="7" t="n">
        <f aca="false">ROUND((IF(AF107="",0,AF107)*Assumptions!$F$15)+(IF(AG107="",0,AG107)*Assumptions!$F$16)+(IF(AH107="",0,AH107)*Assumptions!$F$17)+(IF(AI107="",0,AI107)*Assumptions!$F$18)+(IF(AJ107="",0,AJ107)*Assumptions!$F$19),3)</f>
        <v>3.6</v>
      </c>
      <c r="AO107" s="0" t="str">
        <f aca="false">IF(AC107&lt;=20,"",IF(AC107&lt;=Assumptions!$F$6,"20-30",IF(AC107&lt;=Assumptions!$F$7,"30-40",IF(AC107&lt;=Assumptions!$F$8,"40-50",IF(AC107&lt;=Assumptions!$F$9,"50-60",IF(AC107&lt;=Assumptions!$F$10,"60+",""))))))</f>
        <v>50-60</v>
      </c>
      <c r="AP107" s="0" t="str">
        <f aca="false">IFERROR(VLOOKUP(O107,Assumptions!$B$14:$C$26,2,FALSE()),"Other")</f>
        <v>Leadership</v>
      </c>
      <c r="AQ107" s="0" t="n">
        <f aca="false">IF(T107="",0,1)</f>
        <v>1</v>
      </c>
      <c r="AR107" s="0" t="n">
        <f aca="false">IF(U107="",0,1)</f>
        <v>0</v>
      </c>
      <c r="AS107" s="8" t="n">
        <f aca="false">IF(AK107="","",IF(MAX($AK$2:$AK$921)=MIN($AK$2:$AK$921),50,ROUND((AK107-MIN($AK$2:$AK$921))/(MAX($AK$2:$AK$921)-MIN($AK$2:$AK$921))*100,2)))</f>
        <v>82.85</v>
      </c>
      <c r="AT107" s="8" t="n">
        <f aca="false">IF(MAX($BC$2:$BC$921)=MIN($BC$2:$BC$921),50,ROUND((BC107-MIN($BC$2:$BC$921))/(MAX($BC$2:$BC$921)-MIN($BC$2:$BC$921))*100,2))</f>
        <v>50</v>
      </c>
      <c r="AU107" s="8" t="n">
        <f aca="false">IF(MAX($BE$2:$BE$921)=MIN($BE$2:$BE$921),50,ROUND((BE107-MIN($BE$2:$BE$921))/(MAX($BE$2:$BE$921)-MIN($BE$2:$BE$921))*100,2))</f>
        <v>68.36</v>
      </c>
      <c r="AV107" s="8" t="n">
        <f aca="false">IF(MAX($AD$2:$AD$921)=MIN($AD$2:$AD$921),50,ROUND((AD107-MIN($AD$2:$AD$921))/(MAX($AD$2:$AD$921)-MIN($AD$2:$AD$921))*100,2))</f>
        <v>81.79</v>
      </c>
      <c r="AW107" s="8" t="n">
        <f aca="false">IF(MAX($AN$2:$AN$921)=MIN($AN$2:$AN$921),50,ROUND((AN107-MIN($AN$2:$AN$921))/(MAX($AN$2:$AN$921)-MIN($AN$2:$AN$921))*100,2))</f>
        <v>90</v>
      </c>
      <c r="AX107" s="8" t="n">
        <f aca="false">AQ107*100</f>
        <v>100</v>
      </c>
      <c r="AY107" s="8" t="n">
        <f aca="false">AR107*100</f>
        <v>0</v>
      </c>
      <c r="AZ107" s="8" t="n">
        <f aca="false">IFERROR(ROUND(AS107*Assumptions!$I$6+AW107*Assumptions!$I$7+AT107*Assumptions!$I$8+AU107*Assumptions!$I$9+AV107*Assumptions!$I$10+AX107*Assumptions!$I$11+AY107*Assumptions!$I$12,2),"")</f>
        <v>73.79</v>
      </c>
      <c r="BA107" s="0" t="str">
        <f aca="false">IF(AZ107="","",IF(AZ107&lt;=Assumptions!$I$18,"Below Expectation",IF(AZ107&lt;=Assumptions!$I$19,"Developing",IF(AZ107&lt;=Assumptions!$I$20,"Meets Expectation",IF(AZ107&lt;=Assumptions!$I$21,"Exceeds","Star Performer")))))</f>
        <v>Exceeds</v>
      </c>
      <c r="BB107" s="0" t="n">
        <f aca="false">IF(AZ107="",0,IF(AZ107&gt;=Assumptions!$I$26,1,0))</f>
        <v>1</v>
      </c>
      <c r="BC107" s="9" t="n">
        <f aca="false">IF(AL107="",2,AL107+2)</f>
        <v>2</v>
      </c>
      <c r="BD107" s="10" t="n">
        <f aca="false">IF(AM107="",ROUND(AVERAGE($AM$2:$AM$921),3),AM107)</f>
        <v>0.548</v>
      </c>
      <c r="BE107" s="9" t="n">
        <f aca="false">1-BD107</f>
        <v>0.452</v>
      </c>
    </row>
    <row r="108" customFormat="false" ht="14.25" hidden="true" customHeight="false" outlineLevel="0" collapsed="false">
      <c r="A108" s="4" t="n">
        <v>86</v>
      </c>
      <c r="B108" s="5" t="n">
        <v>10026090</v>
      </c>
      <c r="C108" s="5" t="s">
        <v>57</v>
      </c>
      <c r="D108" s="5" t="s">
        <v>743</v>
      </c>
      <c r="E108" s="5" t="s">
        <v>500</v>
      </c>
      <c r="F108" s="5" t="s">
        <v>223</v>
      </c>
      <c r="G108" s="5" t="s">
        <v>224</v>
      </c>
      <c r="H108" s="5" t="s">
        <v>223</v>
      </c>
      <c r="I108" s="5" t="s">
        <v>63</v>
      </c>
      <c r="J108" s="5" t="s">
        <v>100</v>
      </c>
      <c r="K108" s="5" t="s">
        <v>65</v>
      </c>
      <c r="L108" s="6" t="n">
        <v>39454</v>
      </c>
      <c r="M108" s="5" t="s">
        <v>744</v>
      </c>
      <c r="N108" s="6" t="n">
        <v>29880</v>
      </c>
      <c r="O108" s="5" t="s">
        <v>162</v>
      </c>
      <c r="P108" s="5" t="s">
        <v>162</v>
      </c>
      <c r="Q108" s="5" t="s">
        <v>745</v>
      </c>
      <c r="R108" s="5" t="s">
        <v>271</v>
      </c>
      <c r="S108" s="5" t="s">
        <v>697</v>
      </c>
      <c r="T108" s="6" t="n">
        <v>43451</v>
      </c>
      <c r="U108" s="6" t="n">
        <v>44470</v>
      </c>
      <c r="V108" s="5" t="s">
        <v>141</v>
      </c>
      <c r="W108" s="5" t="s">
        <v>141</v>
      </c>
      <c r="X108" s="5" t="s">
        <v>141</v>
      </c>
      <c r="Y108" s="5" t="s">
        <v>141</v>
      </c>
      <c r="Z108" s="5" t="s">
        <v>83</v>
      </c>
      <c r="AA108" s="5" t="s">
        <v>746</v>
      </c>
      <c r="AB108" s="0" t="n">
        <f aca="false">IFERROR(VALUE(R108),0)</f>
        <v>2.1</v>
      </c>
      <c r="AC108" s="0" t="n">
        <f aca="false">IFERROR(VALUE(M108),"")</f>
        <v>44.7</v>
      </c>
      <c r="AD108" s="0" t="n">
        <f aca="false">IFERROR(VALUE(Q108),"")</f>
        <v>18.5</v>
      </c>
      <c r="AE108" s="0" t="n">
        <f aca="false">IFERROR(VALUE(S108),"")</f>
        <v>21.3</v>
      </c>
      <c r="AF108" s="0" t="n">
        <f aca="false">IF(V108="","",VLOOKUP(V108,Assumptions!$B$6:$C$9,2,FALSE()))</f>
        <v>3</v>
      </c>
      <c r="AG108" s="0" t="n">
        <f aca="false">IF(W108="","",VLOOKUP(W108,Assumptions!$B$6:$C$9,2,FALSE()))</f>
        <v>3</v>
      </c>
      <c r="AH108" s="0" t="n">
        <f aca="false">IF(X108="","",VLOOKUP(X108,Assumptions!$B$6:$C$9,2,FALSE()))</f>
        <v>3</v>
      </c>
      <c r="AI108" s="0" t="n">
        <f aca="false">IF(Y108="","",VLOOKUP(Y108,Assumptions!$B$6:$C$9,2,FALSE()))</f>
        <v>3</v>
      </c>
      <c r="AJ108" s="0" t="n">
        <f aca="false">IF(Z108="","",VLOOKUP(Z108,Assumptions!$B$6:$C$9,2,FALSE()))</f>
        <v>4</v>
      </c>
      <c r="AK108" s="7" t="n">
        <f aca="false">IFERROR(ROUND(AVERAGE(AF108:AJ108),3),"")</f>
        <v>3.2</v>
      </c>
      <c r="AL108" s="7" t="n">
        <f aca="false">IF(OR(AF108="",AJ108=""),"",AJ108-AF108)</f>
        <v>1</v>
      </c>
      <c r="AM108" s="7" t="n">
        <f aca="false">IF(COUNT(AF108:AJ108)&gt;=2,ROUND(_xlfn.STDEV.S(AF108:AJ108),3),"")</f>
        <v>0.447</v>
      </c>
      <c r="AN108" s="7" t="n">
        <f aca="false">ROUND((IF(AF108="",0,AF108)*Assumptions!$F$15)+(IF(AG108="",0,AG108)*Assumptions!$F$16)+(IF(AH108="",0,AH108)*Assumptions!$F$17)+(IF(AI108="",0,AI108)*Assumptions!$F$18)+(IF(AJ108="",0,AJ108)*Assumptions!$F$19),3)</f>
        <v>3.3</v>
      </c>
      <c r="AO108" s="0" t="str">
        <f aca="false">IF(AC108&lt;=20,"",IF(AC108&lt;=Assumptions!$F$6,"20-30",IF(AC108&lt;=Assumptions!$F$7,"30-40",IF(AC108&lt;=Assumptions!$F$8,"40-50",IF(AC108&lt;=Assumptions!$F$9,"50-60",IF(AC108&lt;=Assumptions!$F$10,"60+",""))))))</f>
        <v>40-50</v>
      </c>
      <c r="AP108" s="0" t="str">
        <f aca="false">IFERROR(VLOOKUP(O108,Assumptions!$B$14:$C$26,2,FALSE()),"Other")</f>
        <v>Manager</v>
      </c>
      <c r="AQ108" s="0" t="n">
        <f aca="false">IF(T108="",0,1)</f>
        <v>1</v>
      </c>
      <c r="AR108" s="0" t="n">
        <f aca="false">IF(U108="",0,1)</f>
        <v>1</v>
      </c>
      <c r="AS108" s="8" t="n">
        <f aca="false">IF(AK108="","",IF(MAX($AK$2:$AK$921)=MIN($AK$2:$AK$921),50,ROUND((AK108-MIN($AK$2:$AK$921))/(MAX($AK$2:$AK$921)-MIN($AK$2:$AK$921))*100,2)))</f>
        <v>65.71</v>
      </c>
      <c r="AT108" s="8" t="n">
        <f aca="false">IF(MAX($BC$2:$BC$921)=MIN($BC$2:$BC$921),50,ROUND((BC108-MIN($BC$2:$BC$921))/(MAX($BC$2:$BC$921)-MIN($BC$2:$BC$921))*100,2))</f>
        <v>75</v>
      </c>
      <c r="AU108" s="8" t="n">
        <f aca="false">IF(MAX($BE$2:$BE$921)=MIN($BE$2:$BE$921),50,ROUND((BE108-MIN($BE$2:$BE$921))/(MAX($BE$2:$BE$921)-MIN($BE$2:$BE$921))*100,2))</f>
        <v>74.19</v>
      </c>
      <c r="AV108" s="8" t="n">
        <f aca="false">IF(MAX($AD$2:$AD$921)=MIN($AD$2:$AD$921),50,ROUND((AD108-MIN($AD$2:$AD$921))/(MAX($AD$2:$AD$921)-MIN($AD$2:$AD$921))*100,2))</f>
        <v>49.99</v>
      </c>
      <c r="AW108" s="8" t="n">
        <f aca="false">IF(MAX($AN$2:$AN$921)=MIN($AN$2:$AN$921),50,ROUND((AN108-MIN($AN$2:$AN$921))/(MAX($AN$2:$AN$921)-MIN($AN$2:$AN$921))*100,2))</f>
        <v>82.5</v>
      </c>
      <c r="AX108" s="8" t="n">
        <f aca="false">AQ108*100</f>
        <v>100</v>
      </c>
      <c r="AY108" s="8" t="n">
        <f aca="false">AR108*100</f>
        <v>100</v>
      </c>
      <c r="AZ108" s="8" t="n">
        <f aca="false">IFERROR(ROUND(AS108*Assumptions!$I$6+AW108*Assumptions!$I$7+AT108*Assumptions!$I$8+AU108*Assumptions!$I$9+AV108*Assumptions!$I$10+AX108*Assumptions!$I$11+AY108*Assumptions!$I$12,2),"")</f>
        <v>73.59</v>
      </c>
      <c r="BA108" s="0" t="str">
        <f aca="false">IF(AZ108="","",IF(AZ108&lt;=Assumptions!$I$18,"Below Expectation",IF(AZ108&lt;=Assumptions!$I$19,"Developing",IF(AZ108&lt;=Assumptions!$I$20,"Meets Expectation",IF(AZ108&lt;=Assumptions!$I$21,"Exceeds","Star Performer")))))</f>
        <v>Exceeds</v>
      </c>
      <c r="BB108" s="0" t="n">
        <f aca="false">IF(AZ108="",0,IF(AZ108&gt;=Assumptions!$I$26,1,0))</f>
        <v>1</v>
      </c>
      <c r="BC108" s="9" t="n">
        <f aca="false">IF(AL108="",2,AL108+2)</f>
        <v>3</v>
      </c>
      <c r="BD108" s="10" t="n">
        <f aca="false">IF(AM108="",ROUND(AVERAGE($AM$2:$AM$921),3),AM108)</f>
        <v>0.447</v>
      </c>
      <c r="BE108" s="9" t="n">
        <f aca="false">1-BD108</f>
        <v>0.553</v>
      </c>
    </row>
    <row r="109" customFormat="false" ht="14.25" hidden="true" customHeight="false" outlineLevel="0" collapsed="false">
      <c r="A109" s="4" t="n">
        <v>144</v>
      </c>
      <c r="B109" s="5" t="n">
        <v>10045977</v>
      </c>
      <c r="C109" s="5" t="s">
        <v>57</v>
      </c>
      <c r="D109" s="5" t="s">
        <v>747</v>
      </c>
      <c r="E109" s="5" t="s">
        <v>275</v>
      </c>
      <c r="F109" s="5" t="s">
        <v>387</v>
      </c>
      <c r="G109" s="5" t="s">
        <v>388</v>
      </c>
      <c r="H109" s="5" t="s">
        <v>387</v>
      </c>
      <c r="I109" s="5" t="s">
        <v>63</v>
      </c>
      <c r="J109" s="5" t="s">
        <v>100</v>
      </c>
      <c r="K109" s="5" t="s">
        <v>309</v>
      </c>
      <c r="L109" s="6" t="n">
        <v>41897</v>
      </c>
      <c r="M109" s="5" t="s">
        <v>748</v>
      </c>
      <c r="N109" s="6" t="n">
        <v>33355</v>
      </c>
      <c r="O109" s="5" t="s">
        <v>332</v>
      </c>
      <c r="P109" s="5" t="s">
        <v>333</v>
      </c>
      <c r="Q109" s="5" t="s">
        <v>714</v>
      </c>
      <c r="R109" s="5" t="s">
        <v>740</v>
      </c>
      <c r="S109" s="5" t="s">
        <v>374</v>
      </c>
      <c r="T109" s="6" t="n">
        <v>43435</v>
      </c>
      <c r="U109" s="6"/>
      <c r="V109" s="5" t="s">
        <v>83</v>
      </c>
      <c r="W109" s="5" t="s">
        <v>141</v>
      </c>
      <c r="X109" s="5" t="s">
        <v>83</v>
      </c>
      <c r="Y109" s="5" t="s">
        <v>83</v>
      </c>
      <c r="Z109" s="5" t="s">
        <v>83</v>
      </c>
      <c r="AA109" s="5" t="s">
        <v>749</v>
      </c>
      <c r="AB109" s="0" t="n">
        <f aca="false">IFERROR(VALUE(R109),0)</f>
        <v>0.8</v>
      </c>
      <c r="AC109" s="0" t="n">
        <f aca="false">IFERROR(VALUE(M109),"")</f>
        <v>35.1</v>
      </c>
      <c r="AD109" s="0" t="n">
        <f aca="false">IFERROR(VALUE(Q109),"")</f>
        <v>11.8</v>
      </c>
      <c r="AE109" s="0" t="n">
        <f aca="false">IFERROR(VALUE(S109),"")</f>
        <v>12.4</v>
      </c>
      <c r="AF109" s="0" t="n">
        <f aca="false">IF(V109="","",VLOOKUP(V109,Assumptions!$B$6:$C$9,2,FALSE()))</f>
        <v>4</v>
      </c>
      <c r="AG109" s="0" t="n">
        <f aca="false">IF(W109="","",VLOOKUP(W109,Assumptions!$B$6:$C$9,2,FALSE()))</f>
        <v>3</v>
      </c>
      <c r="AH109" s="0" t="n">
        <f aca="false">IF(X109="","",VLOOKUP(X109,Assumptions!$B$6:$C$9,2,FALSE()))</f>
        <v>4</v>
      </c>
      <c r="AI109" s="0" t="n">
        <f aca="false">IF(Y109="","",VLOOKUP(Y109,Assumptions!$B$6:$C$9,2,FALSE()))</f>
        <v>4</v>
      </c>
      <c r="AJ109" s="0" t="n">
        <f aca="false">IF(Z109="","",VLOOKUP(Z109,Assumptions!$B$6:$C$9,2,FALSE()))</f>
        <v>4</v>
      </c>
      <c r="AK109" s="7" t="n">
        <f aca="false">IFERROR(ROUND(AVERAGE(AF109:AJ109),3),"")</f>
        <v>3.8</v>
      </c>
      <c r="AL109" s="7" t="n">
        <f aca="false">IF(OR(AF109="",AJ109=""),"",AJ109-AF109)</f>
        <v>0</v>
      </c>
      <c r="AM109" s="7" t="n">
        <f aca="false">IF(COUNT(AF109:AJ109)&gt;=2,ROUND(_xlfn.STDEV.S(AF109:AJ109),3),"")</f>
        <v>0.447</v>
      </c>
      <c r="AN109" s="7" t="n">
        <f aca="false">ROUND((IF(AF109="",0,AF109)*Assumptions!$F$15)+(IF(AG109="",0,AG109)*Assumptions!$F$16)+(IF(AH109="",0,AH109)*Assumptions!$F$17)+(IF(AI109="",0,AI109)*Assumptions!$F$18)+(IF(AJ109="",0,AJ109)*Assumptions!$F$19),3)</f>
        <v>3.85</v>
      </c>
      <c r="AO109" s="0" t="str">
        <f aca="false">IF(AC109&lt;=20,"",IF(AC109&lt;=Assumptions!$F$6,"20-30",IF(AC109&lt;=Assumptions!$F$7,"30-40",IF(AC109&lt;=Assumptions!$F$8,"40-50",IF(AC109&lt;=Assumptions!$F$9,"50-60",IF(AC109&lt;=Assumptions!$F$10,"60+",""))))))</f>
        <v>30-40</v>
      </c>
      <c r="AP109" s="0" t="str">
        <f aca="false">IFERROR(VLOOKUP(O109,Assumptions!$B$14:$C$26,2,FALSE()),"Other")</f>
        <v>Manager</v>
      </c>
      <c r="AQ109" s="0" t="n">
        <f aca="false">IF(T109="",0,1)</f>
        <v>1</v>
      </c>
      <c r="AR109" s="0" t="n">
        <f aca="false">IF(U109="",0,1)</f>
        <v>0</v>
      </c>
      <c r="AS109" s="8" t="n">
        <f aca="false">IF(AK109="","",IF(MAX($AK$2:$AK$921)=MIN($AK$2:$AK$921),50,ROUND((AK109-MIN($AK$2:$AK$921))/(MAX($AK$2:$AK$921)-MIN($AK$2:$AK$921))*100,2)))</f>
        <v>91.43</v>
      </c>
      <c r="AT109" s="8" t="n">
        <f aca="false">IF(MAX($BC$2:$BC$921)=MIN($BC$2:$BC$921),50,ROUND((BC109-MIN($BC$2:$BC$921))/(MAX($BC$2:$BC$921)-MIN($BC$2:$BC$921))*100,2))</f>
        <v>50</v>
      </c>
      <c r="AU109" s="8" t="n">
        <f aca="false">IF(MAX($BE$2:$BE$921)=MIN($BE$2:$BE$921),50,ROUND((BE109-MIN($BE$2:$BE$921))/(MAX($BE$2:$BE$921)-MIN($BE$2:$BE$921))*100,2))</f>
        <v>74.19</v>
      </c>
      <c r="AV109" s="8" t="n">
        <f aca="false">IF(MAX($AD$2:$AD$921)=MIN($AD$2:$AD$921),50,ROUND((AD109-MIN($AD$2:$AD$921))/(MAX($AD$2:$AD$921)-MIN($AD$2:$AD$921))*100,2))</f>
        <v>31.77</v>
      </c>
      <c r="AW109" s="8" t="n">
        <f aca="false">IF(MAX($AN$2:$AN$921)=MIN($AN$2:$AN$921),50,ROUND((AN109-MIN($AN$2:$AN$921))/(MAX($AN$2:$AN$921)-MIN($AN$2:$AN$921))*100,2))</f>
        <v>96.25</v>
      </c>
      <c r="AX109" s="8" t="n">
        <f aca="false">AQ109*100</f>
        <v>100</v>
      </c>
      <c r="AY109" s="8" t="n">
        <f aca="false">AR109*100</f>
        <v>0</v>
      </c>
      <c r="AZ109" s="8" t="n">
        <f aca="false">IFERROR(ROUND(AS109*Assumptions!$I$6+AW109*Assumptions!$I$7+AT109*Assumptions!$I$8+AU109*Assumptions!$I$9+AV109*Assumptions!$I$10+AX109*Assumptions!$I$11+AY109*Assumptions!$I$12,2),"")</f>
        <v>73.48</v>
      </c>
      <c r="BA109" s="0" t="str">
        <f aca="false">IF(AZ109="","",IF(AZ109&lt;=Assumptions!$I$18,"Below Expectation",IF(AZ109&lt;=Assumptions!$I$19,"Developing",IF(AZ109&lt;=Assumptions!$I$20,"Meets Expectation",IF(AZ109&lt;=Assumptions!$I$21,"Exceeds","Star Performer")))))</f>
        <v>Exceeds</v>
      </c>
      <c r="BB109" s="0" t="n">
        <f aca="false">IF(AZ109="",0,IF(AZ109&gt;=Assumptions!$I$26,1,0))</f>
        <v>1</v>
      </c>
      <c r="BC109" s="9" t="n">
        <f aca="false">IF(AL109="",2,AL109+2)</f>
        <v>2</v>
      </c>
      <c r="BD109" s="10" t="n">
        <f aca="false">IF(AM109="",ROUND(AVERAGE($AM$2:$AM$921),3),AM109)</f>
        <v>0.447</v>
      </c>
      <c r="BE109" s="9" t="n">
        <f aca="false">1-BD109</f>
        <v>0.553</v>
      </c>
    </row>
    <row r="110" customFormat="false" ht="14.25" hidden="true" customHeight="false" outlineLevel="0" collapsed="false">
      <c r="A110" s="4" t="n">
        <v>24</v>
      </c>
      <c r="B110" s="5" t="n">
        <v>1053501</v>
      </c>
      <c r="C110" s="5" t="s">
        <v>85</v>
      </c>
      <c r="D110" s="5" t="s">
        <v>750</v>
      </c>
      <c r="E110" s="5" t="s">
        <v>751</v>
      </c>
      <c r="F110" s="5" t="s">
        <v>292</v>
      </c>
      <c r="G110" s="5" t="s">
        <v>293</v>
      </c>
      <c r="H110" s="5" t="s">
        <v>292</v>
      </c>
      <c r="I110" s="5" t="s">
        <v>63</v>
      </c>
      <c r="J110" s="5" t="s">
        <v>76</v>
      </c>
      <c r="K110" s="5" t="s">
        <v>65</v>
      </c>
      <c r="L110" s="6" t="n">
        <v>34317</v>
      </c>
      <c r="M110" s="5" t="s">
        <v>752</v>
      </c>
      <c r="N110" s="6" t="n">
        <v>25355</v>
      </c>
      <c r="O110" s="5" t="s">
        <v>122</v>
      </c>
      <c r="P110" s="5" t="s">
        <v>123</v>
      </c>
      <c r="Q110" s="5" t="s">
        <v>753</v>
      </c>
      <c r="R110" s="5" t="s">
        <v>629</v>
      </c>
      <c r="S110" s="5" t="s">
        <v>625</v>
      </c>
      <c r="T110" s="6" t="n">
        <v>41000</v>
      </c>
      <c r="U110" s="6" t="n">
        <v>44440</v>
      </c>
      <c r="V110" s="5" t="s">
        <v>141</v>
      </c>
      <c r="W110" s="5" t="s">
        <v>141</v>
      </c>
      <c r="X110" s="5" t="s">
        <v>141</v>
      </c>
      <c r="Y110" s="5" t="s">
        <v>141</v>
      </c>
      <c r="Z110" s="5" t="s">
        <v>141</v>
      </c>
      <c r="AA110" s="5" t="s">
        <v>754</v>
      </c>
      <c r="AB110" s="0" t="n">
        <f aca="false">IFERROR(VALUE(R110),0)</f>
        <v>2.1</v>
      </c>
      <c r="AC110" s="0" t="n">
        <f aca="false">IFERROR(VALUE(M110),"")</f>
        <v>57</v>
      </c>
      <c r="AD110" s="0" t="n">
        <f aca="false">IFERROR(VALUE(Q110),"")</f>
        <v>32.5</v>
      </c>
      <c r="AE110" s="0" t="n">
        <f aca="false">IFERROR(VALUE(S110),"")</f>
        <v>34.6</v>
      </c>
      <c r="AF110" s="0" t="n">
        <f aca="false">IF(V110="","",VLOOKUP(V110,Assumptions!$B$6:$C$9,2,FALSE()))</f>
        <v>3</v>
      </c>
      <c r="AG110" s="0" t="n">
        <f aca="false">IF(W110="","",VLOOKUP(W110,Assumptions!$B$6:$C$9,2,FALSE()))</f>
        <v>3</v>
      </c>
      <c r="AH110" s="0" t="n">
        <f aca="false">IF(X110="","",VLOOKUP(X110,Assumptions!$B$6:$C$9,2,FALSE()))</f>
        <v>3</v>
      </c>
      <c r="AI110" s="0" t="n">
        <f aca="false">IF(Y110="","",VLOOKUP(Y110,Assumptions!$B$6:$C$9,2,FALSE()))</f>
        <v>3</v>
      </c>
      <c r="AJ110" s="0" t="n">
        <f aca="false">IF(Z110="","",VLOOKUP(Z110,Assumptions!$B$6:$C$9,2,FALSE()))</f>
        <v>3</v>
      </c>
      <c r="AK110" s="7" t="n">
        <f aca="false">IFERROR(ROUND(AVERAGE(AF110:AJ110),3),"")</f>
        <v>3</v>
      </c>
      <c r="AL110" s="7" t="n">
        <f aca="false">IF(OR(AF110="",AJ110=""),"",AJ110-AF110)</f>
        <v>0</v>
      </c>
      <c r="AM110" s="7" t="n">
        <f aca="false">IF(COUNT(AF110:AJ110)&gt;=2,ROUND(_xlfn.STDEV.S(AF110:AJ110),3),"")</f>
        <v>0</v>
      </c>
      <c r="AN110" s="7" t="n">
        <f aca="false">ROUND((IF(AF110="",0,AF110)*Assumptions!$F$15)+(IF(AG110="",0,AG110)*Assumptions!$F$16)+(IF(AH110="",0,AH110)*Assumptions!$F$17)+(IF(AI110="",0,AI110)*Assumptions!$F$18)+(IF(AJ110="",0,AJ110)*Assumptions!$F$19),3)</f>
        <v>3</v>
      </c>
      <c r="AO110" s="0" t="str">
        <f aca="false">IF(AC110&lt;=20,"",IF(AC110&lt;=Assumptions!$F$6,"20-30",IF(AC110&lt;=Assumptions!$F$7,"30-40",IF(AC110&lt;=Assumptions!$F$8,"40-50",IF(AC110&lt;=Assumptions!$F$9,"50-60",IF(AC110&lt;=Assumptions!$F$10,"60+",""))))))</f>
        <v>50-60</v>
      </c>
      <c r="AP110" s="0" t="str">
        <f aca="false">IFERROR(VLOOKUP(O110,Assumptions!$B$14:$C$26,2,FALSE()),"Other")</f>
        <v>Leadership</v>
      </c>
      <c r="AQ110" s="0" t="n">
        <f aca="false">IF(T110="",0,1)</f>
        <v>1</v>
      </c>
      <c r="AR110" s="0" t="n">
        <f aca="false">IF(U110="",0,1)</f>
        <v>1</v>
      </c>
      <c r="AS110" s="8" t="n">
        <f aca="false">IF(AK110="","",IF(MAX($AK$2:$AK$921)=MIN($AK$2:$AK$921),50,ROUND((AK110-MIN($AK$2:$AK$921))/(MAX($AK$2:$AK$921)-MIN($AK$2:$AK$921))*100,2)))</f>
        <v>57.14</v>
      </c>
      <c r="AT110" s="8" t="n">
        <f aca="false">IF(MAX($BC$2:$BC$921)=MIN($BC$2:$BC$921),50,ROUND((BC110-MIN($BC$2:$BC$921))/(MAX($BC$2:$BC$921)-MIN($BC$2:$BC$921))*100,2))</f>
        <v>50</v>
      </c>
      <c r="AU110" s="8" t="n">
        <f aca="false">IF(MAX($BE$2:$BE$921)=MIN($BE$2:$BE$921),50,ROUND((BE110-MIN($BE$2:$BE$921))/(MAX($BE$2:$BE$921)-MIN($BE$2:$BE$921))*100,2))</f>
        <v>100</v>
      </c>
      <c r="AV110" s="8" t="n">
        <f aca="false">IF(MAX($AD$2:$AD$921)=MIN($AD$2:$AD$921),50,ROUND((AD110-MIN($AD$2:$AD$921))/(MAX($AD$2:$AD$921)-MIN($AD$2:$AD$921))*100,2))</f>
        <v>88.04</v>
      </c>
      <c r="AW110" s="8" t="n">
        <f aca="false">IF(MAX($AN$2:$AN$921)=MIN($AN$2:$AN$921),50,ROUND((AN110-MIN($AN$2:$AN$921))/(MAX($AN$2:$AN$921)-MIN($AN$2:$AN$921))*100,2))</f>
        <v>75</v>
      </c>
      <c r="AX110" s="8" t="n">
        <f aca="false">AQ110*100</f>
        <v>100</v>
      </c>
      <c r="AY110" s="8" t="n">
        <f aca="false">AR110*100</f>
        <v>100</v>
      </c>
      <c r="AZ110" s="8" t="n">
        <f aca="false">IFERROR(ROUND(AS110*Assumptions!$I$6+AW110*Assumptions!$I$7+AT110*Assumptions!$I$8+AU110*Assumptions!$I$9+AV110*Assumptions!$I$10+AX110*Assumptions!$I$11+AY110*Assumptions!$I$12,2),"")</f>
        <v>73.45</v>
      </c>
      <c r="BA110" s="0" t="str">
        <f aca="false">IF(AZ110="","",IF(AZ110&lt;=Assumptions!$I$18,"Below Expectation",IF(AZ110&lt;=Assumptions!$I$19,"Developing",IF(AZ110&lt;=Assumptions!$I$20,"Meets Expectation",IF(AZ110&lt;=Assumptions!$I$21,"Exceeds","Star Performer")))))</f>
        <v>Exceeds</v>
      </c>
      <c r="BB110" s="0" t="n">
        <f aca="false">IF(AZ110="",0,IF(AZ110&gt;=Assumptions!$I$26,1,0))</f>
        <v>1</v>
      </c>
      <c r="BC110" s="9" t="n">
        <f aca="false">IF(AL110="",2,AL110+2)</f>
        <v>2</v>
      </c>
      <c r="BD110" s="10" t="n">
        <f aca="false">IF(AM110="",ROUND(AVERAGE($AM$2:$AM$921),3),AM110)</f>
        <v>0</v>
      </c>
      <c r="BE110" s="9" t="n">
        <f aca="false">1-BD110</f>
        <v>1</v>
      </c>
    </row>
    <row r="111" customFormat="false" ht="14.25" hidden="true" customHeight="false" outlineLevel="0" collapsed="false">
      <c r="A111" s="4" t="n">
        <v>446</v>
      </c>
      <c r="B111" s="5" t="n">
        <v>55002969</v>
      </c>
      <c r="C111" s="5" t="s">
        <v>106</v>
      </c>
      <c r="D111" s="5" t="s">
        <v>755</v>
      </c>
      <c r="E111" s="5" t="s">
        <v>127</v>
      </c>
      <c r="F111" s="5" t="s">
        <v>756</v>
      </c>
      <c r="G111" s="5" t="s">
        <v>129</v>
      </c>
      <c r="H111" s="5" t="s">
        <v>130</v>
      </c>
      <c r="I111" s="5" t="s">
        <v>63</v>
      </c>
      <c r="J111" s="5" t="s">
        <v>112</v>
      </c>
      <c r="K111" s="5" t="s">
        <v>65</v>
      </c>
      <c r="L111" s="6" t="n">
        <v>41750</v>
      </c>
      <c r="M111" s="5" t="s">
        <v>757</v>
      </c>
      <c r="N111" s="6" t="n">
        <v>27680</v>
      </c>
      <c r="O111" s="5" t="s">
        <v>122</v>
      </c>
      <c r="P111" s="5" t="s">
        <v>398</v>
      </c>
      <c r="Q111" s="5" t="s">
        <v>686</v>
      </c>
      <c r="R111" s="5" t="s">
        <v>460</v>
      </c>
      <c r="S111" s="5" t="s">
        <v>758</v>
      </c>
      <c r="T111" s="6"/>
      <c r="U111" s="6" t="n">
        <v>43556</v>
      </c>
      <c r="V111" s="5" t="s">
        <v>141</v>
      </c>
      <c r="W111" s="5" t="s">
        <v>141</v>
      </c>
      <c r="X111" s="5" t="s">
        <v>83</v>
      </c>
      <c r="Y111" s="5" t="s">
        <v>83</v>
      </c>
      <c r="Z111" s="5" t="s">
        <v>83</v>
      </c>
      <c r="AA111" s="5" t="s">
        <v>759</v>
      </c>
      <c r="AB111" s="0" t="n">
        <f aca="false">IFERROR(VALUE(R111),0)</f>
        <v>15.8</v>
      </c>
      <c r="AC111" s="0" t="n">
        <f aca="false">IFERROR(VALUE(M111),"")</f>
        <v>50.7</v>
      </c>
      <c r="AD111" s="0" t="n">
        <f aca="false">IFERROR(VALUE(Q111),"")</f>
        <v>12.1</v>
      </c>
      <c r="AE111" s="0" t="n">
        <f aca="false">IFERROR(VALUE(S111),"")</f>
        <v>27.9</v>
      </c>
      <c r="AF111" s="0" t="n">
        <f aca="false">IF(V111="","",VLOOKUP(V111,Assumptions!$B$6:$C$9,2,FALSE()))</f>
        <v>3</v>
      </c>
      <c r="AG111" s="0" t="n">
        <f aca="false">IF(W111="","",VLOOKUP(W111,Assumptions!$B$6:$C$9,2,FALSE()))</f>
        <v>3</v>
      </c>
      <c r="AH111" s="0" t="n">
        <f aca="false">IF(X111="","",VLOOKUP(X111,Assumptions!$B$6:$C$9,2,FALSE()))</f>
        <v>4</v>
      </c>
      <c r="AI111" s="0" t="n">
        <f aca="false">IF(Y111="","",VLOOKUP(Y111,Assumptions!$B$6:$C$9,2,FALSE()))</f>
        <v>4</v>
      </c>
      <c r="AJ111" s="0" t="n">
        <f aca="false">IF(Z111="","",VLOOKUP(Z111,Assumptions!$B$6:$C$9,2,FALSE()))</f>
        <v>4</v>
      </c>
      <c r="AK111" s="7" t="n">
        <f aca="false">IFERROR(ROUND(AVERAGE(AF111:AJ111),3),"")</f>
        <v>3.6</v>
      </c>
      <c r="AL111" s="7" t="n">
        <f aca="false">IF(OR(AF111="",AJ111=""),"",AJ111-AF111)</f>
        <v>1</v>
      </c>
      <c r="AM111" s="7" t="n">
        <f aca="false">IF(COUNT(AF111:AJ111)&gt;=2,ROUND(_xlfn.STDEV.S(AF111:AJ111),3),"")</f>
        <v>0.548</v>
      </c>
      <c r="AN111" s="7" t="n">
        <f aca="false">ROUND((IF(AF111="",0,AF111)*Assumptions!$F$15)+(IF(AG111="",0,AG111)*Assumptions!$F$16)+(IF(AH111="",0,AH111)*Assumptions!$F$17)+(IF(AI111="",0,AI111)*Assumptions!$F$18)+(IF(AJ111="",0,AJ111)*Assumptions!$F$19),3)</f>
        <v>3.75</v>
      </c>
      <c r="AO111" s="0" t="str">
        <f aca="false">IF(AC111&lt;=20,"",IF(AC111&lt;=Assumptions!$F$6,"20-30",IF(AC111&lt;=Assumptions!$F$7,"30-40",IF(AC111&lt;=Assumptions!$F$8,"40-50",IF(AC111&lt;=Assumptions!$F$9,"50-60",IF(AC111&lt;=Assumptions!$F$10,"60+",""))))))</f>
        <v>50-60</v>
      </c>
      <c r="AP111" s="0" t="str">
        <f aca="false">IFERROR(VLOOKUP(O111,Assumptions!$B$14:$C$26,2,FALSE()),"Other")</f>
        <v>Leadership</v>
      </c>
      <c r="AQ111" s="0" t="n">
        <f aca="false">IF(T111="",0,1)</f>
        <v>0</v>
      </c>
      <c r="AR111" s="0" t="n">
        <f aca="false">IF(U111="",0,1)</f>
        <v>1</v>
      </c>
      <c r="AS111" s="8" t="n">
        <f aca="false">IF(AK111="","",IF(MAX($AK$2:$AK$921)=MIN($AK$2:$AK$921),50,ROUND((AK111-MIN($AK$2:$AK$921))/(MAX($AK$2:$AK$921)-MIN($AK$2:$AK$921))*100,2)))</f>
        <v>82.85</v>
      </c>
      <c r="AT111" s="8" t="n">
        <f aca="false">IF(MAX($BC$2:$BC$921)=MIN($BC$2:$BC$921),50,ROUND((BC111-MIN($BC$2:$BC$921))/(MAX($BC$2:$BC$921)-MIN($BC$2:$BC$921))*100,2))</f>
        <v>75</v>
      </c>
      <c r="AU111" s="8" t="n">
        <f aca="false">IF(MAX($BE$2:$BE$921)=MIN($BE$2:$BE$921),50,ROUND((BE111-MIN($BE$2:$BE$921))/(MAX($BE$2:$BE$921)-MIN($BE$2:$BE$921))*100,2))</f>
        <v>68.36</v>
      </c>
      <c r="AV111" s="8" t="n">
        <f aca="false">IF(MAX($AD$2:$AD$921)=MIN($AD$2:$AD$921),50,ROUND((AD111-MIN($AD$2:$AD$921))/(MAX($AD$2:$AD$921)-MIN($AD$2:$AD$921))*100,2))</f>
        <v>32.59</v>
      </c>
      <c r="AW111" s="8" t="n">
        <f aca="false">IF(MAX($AN$2:$AN$921)=MIN($AN$2:$AN$921),50,ROUND((AN111-MIN($AN$2:$AN$921))/(MAX($AN$2:$AN$921)-MIN($AN$2:$AN$921))*100,2))</f>
        <v>93.75</v>
      </c>
      <c r="AX111" s="8" t="n">
        <f aca="false">AQ111*100</f>
        <v>0</v>
      </c>
      <c r="AY111" s="8" t="n">
        <f aca="false">AR111*100</f>
        <v>100</v>
      </c>
      <c r="AZ111" s="8" t="n">
        <f aca="false">IFERROR(ROUND(AS111*Assumptions!$I$6+AW111*Assumptions!$I$7+AT111*Assumptions!$I$8+AU111*Assumptions!$I$9+AV111*Assumptions!$I$10+AX111*Assumptions!$I$11+AY111*Assumptions!$I$12,2),"")</f>
        <v>73.37</v>
      </c>
      <c r="BA111" s="0" t="str">
        <f aca="false">IF(AZ111="","",IF(AZ111&lt;=Assumptions!$I$18,"Below Expectation",IF(AZ111&lt;=Assumptions!$I$19,"Developing",IF(AZ111&lt;=Assumptions!$I$20,"Meets Expectation",IF(AZ111&lt;=Assumptions!$I$21,"Exceeds","Star Performer")))))</f>
        <v>Exceeds</v>
      </c>
      <c r="BB111" s="0" t="n">
        <f aca="false">IF(AZ111="",0,IF(AZ111&gt;=Assumptions!$I$26,1,0))</f>
        <v>1</v>
      </c>
      <c r="BC111" s="9" t="n">
        <f aca="false">IF(AL111="",2,AL111+2)</f>
        <v>3</v>
      </c>
      <c r="BD111" s="10" t="n">
        <f aca="false">IF(AM111="",ROUND(AVERAGE($AM$2:$AM$921),3),AM111)</f>
        <v>0.548</v>
      </c>
      <c r="BE111" s="9" t="n">
        <f aca="false">1-BD111</f>
        <v>0.452</v>
      </c>
    </row>
    <row r="112" customFormat="false" ht="14.25" hidden="false" customHeight="false" outlineLevel="0" collapsed="false">
      <c r="A112" s="4" t="n">
        <v>444</v>
      </c>
      <c r="B112" s="5" t="n">
        <v>55001007</v>
      </c>
      <c r="C112" s="5" t="s">
        <v>106</v>
      </c>
      <c r="D112" s="5" t="s">
        <v>760</v>
      </c>
      <c r="E112" s="5" t="s">
        <v>108</v>
      </c>
      <c r="F112" s="5" t="s">
        <v>407</v>
      </c>
      <c r="G112" s="5" t="s">
        <v>408</v>
      </c>
      <c r="H112" s="5" t="s">
        <v>409</v>
      </c>
      <c r="I112" s="5" t="s">
        <v>63</v>
      </c>
      <c r="J112" s="5" t="s">
        <v>112</v>
      </c>
      <c r="K112" s="5" t="s">
        <v>65</v>
      </c>
      <c r="L112" s="6" t="n">
        <v>41386</v>
      </c>
      <c r="M112" s="5" t="s">
        <v>761</v>
      </c>
      <c r="N112" s="6" t="n">
        <v>30281</v>
      </c>
      <c r="O112" s="5" t="s">
        <v>262</v>
      </c>
      <c r="P112" s="5" t="s">
        <v>263</v>
      </c>
      <c r="Q112" s="5" t="s">
        <v>762</v>
      </c>
      <c r="R112" s="5" t="s">
        <v>723</v>
      </c>
      <c r="S112" s="5" t="s">
        <v>763</v>
      </c>
      <c r="T112" s="6"/>
      <c r="U112" s="6" t="n">
        <v>44287</v>
      </c>
      <c r="V112" s="5" t="s">
        <v>83</v>
      </c>
      <c r="W112" s="5" t="s">
        <v>83</v>
      </c>
      <c r="X112" s="5" t="s">
        <v>83</v>
      </c>
      <c r="Y112" s="5" t="s">
        <v>141</v>
      </c>
      <c r="Z112" s="5" t="s">
        <v>83</v>
      </c>
      <c r="AA112" s="5" t="s">
        <v>764</v>
      </c>
      <c r="AB112" s="0" t="n">
        <f aca="false">IFERROR(VALUE(R112),0)</f>
        <v>7.3</v>
      </c>
      <c r="AC112" s="0" t="n">
        <f aca="false">IFERROR(VALUE(M112),"")</f>
        <v>43.6</v>
      </c>
      <c r="AD112" s="0" t="n">
        <f aca="false">IFERROR(VALUE(Q112),"")</f>
        <v>13.1</v>
      </c>
      <c r="AE112" s="0" t="n">
        <f aca="false">IFERROR(VALUE(S112),"")</f>
        <v>20.4</v>
      </c>
      <c r="AF112" s="0" t="n">
        <f aca="false">IF(V112="","",VLOOKUP(V112,Assumptions!$B$6:$C$9,2,FALSE()))</f>
        <v>4</v>
      </c>
      <c r="AG112" s="0" t="n">
        <f aca="false">IF(W112="","",VLOOKUP(W112,Assumptions!$B$6:$C$9,2,FALSE()))</f>
        <v>4</v>
      </c>
      <c r="AH112" s="0" t="n">
        <f aca="false">IF(X112="","",VLOOKUP(X112,Assumptions!$B$6:$C$9,2,FALSE()))</f>
        <v>4</v>
      </c>
      <c r="AI112" s="0" t="n">
        <f aca="false">IF(Y112="","",VLOOKUP(Y112,Assumptions!$B$6:$C$9,2,FALSE()))</f>
        <v>3</v>
      </c>
      <c r="AJ112" s="0" t="n">
        <f aca="false">IF(Z112="","",VLOOKUP(Z112,Assumptions!$B$6:$C$9,2,FALSE()))</f>
        <v>4</v>
      </c>
      <c r="AK112" s="7" t="n">
        <f aca="false">IFERROR(ROUND(AVERAGE(AF112:AJ112),3),"")</f>
        <v>3.8</v>
      </c>
      <c r="AL112" s="7" t="n">
        <f aca="false">IF(OR(AF112="",AJ112=""),"",AJ112-AF112)</f>
        <v>0</v>
      </c>
      <c r="AM112" s="7" t="n">
        <f aca="false">IF(COUNT(AF112:AJ112)&gt;=2,ROUND(_xlfn.STDEV.S(AF112:AJ112),3),"")</f>
        <v>0.447</v>
      </c>
      <c r="AN112" s="7" t="n">
        <f aca="false">ROUND((IF(AF112="",0,AF112)*Assumptions!$F$15)+(IF(AG112="",0,AG112)*Assumptions!$F$16)+(IF(AH112="",0,AH112)*Assumptions!$F$17)+(IF(AI112="",0,AI112)*Assumptions!$F$18)+(IF(AJ112="",0,AJ112)*Assumptions!$F$19),3)</f>
        <v>3.75</v>
      </c>
      <c r="AO112" s="0" t="str">
        <f aca="false">IF(AC112&lt;=20,"",IF(AC112&lt;=Assumptions!$F$6,"20-30",IF(AC112&lt;=Assumptions!$F$7,"30-40",IF(AC112&lt;=Assumptions!$F$8,"40-50",IF(AC112&lt;=Assumptions!$F$9,"50-60",IF(AC112&lt;=Assumptions!$F$10,"60+",""))))))</f>
        <v>40-50</v>
      </c>
      <c r="AP112" s="0" t="str">
        <f aca="false">IFERROR(VLOOKUP(O112,Assumptions!$B$14:$C$26,2,FALSE()),"Other")</f>
        <v>Manager</v>
      </c>
      <c r="AQ112" s="0" t="n">
        <f aca="false">IF(T112="",0,1)</f>
        <v>0</v>
      </c>
      <c r="AR112" s="0" t="n">
        <f aca="false">IF(U112="",0,1)</f>
        <v>1</v>
      </c>
      <c r="AS112" s="8" t="n">
        <f aca="false">IF(AK112="","",IF(MAX($AK$2:$AK$921)=MIN($AK$2:$AK$921),50,ROUND((AK112-MIN($AK$2:$AK$921))/(MAX($AK$2:$AK$921)-MIN($AK$2:$AK$921))*100,2)))</f>
        <v>91.43</v>
      </c>
      <c r="AT112" s="8" t="n">
        <f aca="false">IF(MAX($BC$2:$BC$921)=MIN($BC$2:$BC$921),50,ROUND((BC112-MIN($BC$2:$BC$921))/(MAX($BC$2:$BC$921)-MIN($BC$2:$BC$921))*100,2))</f>
        <v>50</v>
      </c>
      <c r="AU112" s="8" t="n">
        <f aca="false">IF(MAX($BE$2:$BE$921)=MIN($BE$2:$BE$921),50,ROUND((BE112-MIN($BE$2:$BE$921))/(MAX($BE$2:$BE$921)-MIN($BE$2:$BE$921))*100,2))</f>
        <v>74.19</v>
      </c>
      <c r="AV112" s="8" t="n">
        <f aca="false">IF(MAX($AD$2:$AD$921)=MIN($AD$2:$AD$921),50,ROUND((AD112-MIN($AD$2:$AD$921))/(MAX($AD$2:$AD$921)-MIN($AD$2:$AD$921))*100,2))</f>
        <v>35.31</v>
      </c>
      <c r="AW112" s="8" t="n">
        <f aca="false">IF(MAX($AN$2:$AN$921)=MIN($AN$2:$AN$921),50,ROUND((AN112-MIN($AN$2:$AN$921))/(MAX($AN$2:$AN$921)-MIN($AN$2:$AN$921))*100,2))</f>
        <v>93.75</v>
      </c>
      <c r="AX112" s="8" t="n">
        <f aca="false">AQ112*100</f>
        <v>0</v>
      </c>
      <c r="AY112" s="8" t="n">
        <f aca="false">AR112*100</f>
        <v>100</v>
      </c>
      <c r="AZ112" s="8" t="n">
        <f aca="false">IFERROR(ROUND(AS112*Assumptions!$I$6+AW112*Assumptions!$I$7+AT112*Assumptions!$I$8+AU112*Assumptions!$I$9+AV112*Assumptions!$I$10+AX112*Assumptions!$I$11+AY112*Assumptions!$I$12,2),"")</f>
        <v>73.34</v>
      </c>
      <c r="BA112" s="0" t="str">
        <f aca="false">IF(AZ112="","",IF(AZ112&lt;=Assumptions!$I$18,"Below Expectation",IF(AZ112&lt;=Assumptions!$I$19,"Developing",IF(AZ112&lt;=Assumptions!$I$20,"Meets Expectation",IF(AZ112&lt;=Assumptions!$I$21,"Exceeds","Star Performer")))))</f>
        <v>Exceeds</v>
      </c>
      <c r="BB112" s="0" t="n">
        <f aca="false">IF(AZ112="",0,IF(AZ112&gt;=Assumptions!$I$26,1,0))</f>
        <v>1</v>
      </c>
      <c r="BC112" s="9" t="n">
        <f aca="false">IF(AL112="",2,AL112+2)</f>
        <v>2</v>
      </c>
      <c r="BD112" s="10" t="n">
        <f aca="false">IF(AM112="",ROUND(AVERAGE($AM$2:$AM$921),3),AM112)</f>
        <v>0.447</v>
      </c>
      <c r="BE112" s="9" t="n">
        <f aca="false">1-BD112</f>
        <v>0.553</v>
      </c>
    </row>
    <row r="113" customFormat="false" ht="14.25" hidden="true" customHeight="false" outlineLevel="0" collapsed="false">
      <c r="A113" s="4" t="n">
        <v>4</v>
      </c>
      <c r="B113" s="5" t="n">
        <v>12714</v>
      </c>
      <c r="C113" s="5" t="s">
        <v>57</v>
      </c>
      <c r="D113" s="5" t="s">
        <v>765</v>
      </c>
      <c r="E113" s="5" t="s">
        <v>252</v>
      </c>
      <c r="F113" s="5" t="s">
        <v>209</v>
      </c>
      <c r="G113" s="5" t="s">
        <v>210</v>
      </c>
      <c r="H113" s="5" t="s">
        <v>209</v>
      </c>
      <c r="I113" s="5" t="s">
        <v>63</v>
      </c>
      <c r="J113" s="5" t="s">
        <v>100</v>
      </c>
      <c r="K113" s="5" t="s">
        <v>65</v>
      </c>
      <c r="L113" s="6" t="n">
        <v>34608</v>
      </c>
      <c r="M113" s="5" t="s">
        <v>766</v>
      </c>
      <c r="N113" s="6" t="n">
        <v>26942</v>
      </c>
      <c r="O113" s="5" t="s">
        <v>262</v>
      </c>
      <c r="P113" s="5" t="s">
        <v>263</v>
      </c>
      <c r="Q113" s="5" t="s">
        <v>767</v>
      </c>
      <c r="R113" s="5" t="s">
        <v>768</v>
      </c>
      <c r="S113" s="5" t="s">
        <v>769</v>
      </c>
      <c r="T113" s="6" t="n">
        <v>41000</v>
      </c>
      <c r="U113" s="6" t="n">
        <v>44470</v>
      </c>
      <c r="V113" s="5" t="s">
        <v>141</v>
      </c>
      <c r="W113" s="5" t="s">
        <v>141</v>
      </c>
      <c r="X113" s="5" t="s">
        <v>141</v>
      </c>
      <c r="Y113" s="5" t="s">
        <v>83</v>
      </c>
      <c r="Z113" s="5" t="s">
        <v>141</v>
      </c>
      <c r="AA113" s="5" t="s">
        <v>770</v>
      </c>
      <c r="AB113" s="0" t="n">
        <f aca="false">IFERROR(VALUE(R113),0)</f>
        <v>3.4</v>
      </c>
      <c r="AC113" s="0" t="n">
        <f aca="false">IFERROR(VALUE(M113),"")</f>
        <v>52.8</v>
      </c>
      <c r="AD113" s="0" t="n">
        <f aca="false">IFERROR(VALUE(Q113),"")</f>
        <v>31.8</v>
      </c>
      <c r="AE113" s="0" t="n">
        <f aca="false">IFERROR(VALUE(S113),"")</f>
        <v>35</v>
      </c>
      <c r="AF113" s="0" t="n">
        <f aca="false">IF(V113="","",VLOOKUP(V113,Assumptions!$B$6:$C$9,2,FALSE()))</f>
        <v>3</v>
      </c>
      <c r="AG113" s="0" t="n">
        <f aca="false">IF(W113="","",VLOOKUP(W113,Assumptions!$B$6:$C$9,2,FALSE()))</f>
        <v>3</v>
      </c>
      <c r="AH113" s="0" t="n">
        <f aca="false">IF(X113="","",VLOOKUP(X113,Assumptions!$B$6:$C$9,2,FALSE()))</f>
        <v>3</v>
      </c>
      <c r="AI113" s="0" t="n">
        <f aca="false">IF(Y113="","",VLOOKUP(Y113,Assumptions!$B$6:$C$9,2,FALSE()))</f>
        <v>4</v>
      </c>
      <c r="AJ113" s="0" t="n">
        <f aca="false">IF(Z113="","",VLOOKUP(Z113,Assumptions!$B$6:$C$9,2,FALSE()))</f>
        <v>3</v>
      </c>
      <c r="AK113" s="7" t="n">
        <f aca="false">IFERROR(ROUND(AVERAGE(AF113:AJ113),3),"")</f>
        <v>3.2</v>
      </c>
      <c r="AL113" s="7" t="n">
        <f aca="false">IF(OR(AF113="",AJ113=""),"",AJ113-AF113)</f>
        <v>0</v>
      </c>
      <c r="AM113" s="7" t="n">
        <f aca="false">IF(COUNT(AF113:AJ113)&gt;=2,ROUND(_xlfn.STDEV.S(AF113:AJ113),3),"")</f>
        <v>0.447</v>
      </c>
      <c r="AN113" s="7" t="n">
        <f aca="false">ROUND((IF(AF113="",0,AF113)*Assumptions!$F$15)+(IF(AG113="",0,AG113)*Assumptions!$F$16)+(IF(AH113="",0,AH113)*Assumptions!$F$17)+(IF(AI113="",0,AI113)*Assumptions!$F$18)+(IF(AJ113="",0,AJ113)*Assumptions!$F$19),3)</f>
        <v>3.25</v>
      </c>
      <c r="AO113" s="0" t="str">
        <f aca="false">IF(AC113&lt;=20,"",IF(AC113&lt;=Assumptions!$F$6,"20-30",IF(AC113&lt;=Assumptions!$F$7,"30-40",IF(AC113&lt;=Assumptions!$F$8,"40-50",IF(AC113&lt;=Assumptions!$F$9,"50-60",IF(AC113&lt;=Assumptions!$F$10,"60+",""))))))</f>
        <v>50-60</v>
      </c>
      <c r="AP113" s="0" t="str">
        <f aca="false">IFERROR(VLOOKUP(O113,Assumptions!$B$14:$C$26,2,FALSE()),"Other")</f>
        <v>Manager</v>
      </c>
      <c r="AQ113" s="0" t="n">
        <f aca="false">IF(T113="",0,1)</f>
        <v>1</v>
      </c>
      <c r="AR113" s="0" t="n">
        <f aca="false">IF(U113="",0,1)</f>
        <v>1</v>
      </c>
      <c r="AS113" s="8" t="n">
        <f aca="false">IF(AK113="","",IF(MAX($AK$2:$AK$921)=MIN($AK$2:$AK$921),50,ROUND((AK113-MIN($AK$2:$AK$921))/(MAX($AK$2:$AK$921)-MIN($AK$2:$AK$921))*100,2)))</f>
        <v>65.71</v>
      </c>
      <c r="AT113" s="8" t="n">
        <f aca="false">IF(MAX($BC$2:$BC$921)=MIN($BC$2:$BC$921),50,ROUND((BC113-MIN($BC$2:$BC$921))/(MAX($BC$2:$BC$921)-MIN($BC$2:$BC$921))*100,2))</f>
        <v>50</v>
      </c>
      <c r="AU113" s="8" t="n">
        <f aca="false">IF(MAX($BE$2:$BE$921)=MIN($BE$2:$BE$921),50,ROUND((BE113-MIN($BE$2:$BE$921))/(MAX($BE$2:$BE$921)-MIN($BE$2:$BE$921))*100,2))</f>
        <v>74.19</v>
      </c>
      <c r="AV113" s="8" t="n">
        <f aca="false">IF(MAX($AD$2:$AD$921)=MIN($AD$2:$AD$921),50,ROUND((AD113-MIN($AD$2:$AD$921))/(MAX($AD$2:$AD$921)-MIN($AD$2:$AD$921))*100,2))</f>
        <v>86.14</v>
      </c>
      <c r="AW113" s="8" t="n">
        <f aca="false">IF(MAX($AN$2:$AN$921)=MIN($AN$2:$AN$921),50,ROUND((AN113-MIN($AN$2:$AN$921))/(MAX($AN$2:$AN$921)-MIN($AN$2:$AN$921))*100,2))</f>
        <v>81.25</v>
      </c>
      <c r="AX113" s="8" t="n">
        <f aca="false">AQ113*100</f>
        <v>100</v>
      </c>
      <c r="AY113" s="8" t="n">
        <f aca="false">AR113*100</f>
        <v>100</v>
      </c>
      <c r="AZ113" s="8" t="n">
        <f aca="false">IFERROR(ROUND(AS113*Assumptions!$I$6+AW113*Assumptions!$I$7+AT113*Assumptions!$I$8+AU113*Assumptions!$I$9+AV113*Assumptions!$I$10+AX113*Assumptions!$I$11+AY113*Assumptions!$I$12,2),"")</f>
        <v>73.21</v>
      </c>
      <c r="BA113" s="0" t="str">
        <f aca="false">IF(AZ113="","",IF(AZ113&lt;=Assumptions!$I$18,"Below Expectation",IF(AZ113&lt;=Assumptions!$I$19,"Developing",IF(AZ113&lt;=Assumptions!$I$20,"Meets Expectation",IF(AZ113&lt;=Assumptions!$I$21,"Exceeds","Star Performer")))))</f>
        <v>Exceeds</v>
      </c>
      <c r="BB113" s="0" t="n">
        <f aca="false">IF(AZ113="",0,IF(AZ113&gt;=Assumptions!$I$26,1,0))</f>
        <v>1</v>
      </c>
      <c r="BC113" s="9" t="n">
        <f aca="false">IF(AL113="",2,AL113+2)</f>
        <v>2</v>
      </c>
      <c r="BD113" s="10" t="n">
        <f aca="false">IF(AM113="",ROUND(AVERAGE($AM$2:$AM$921),3),AM113)</f>
        <v>0.447</v>
      </c>
      <c r="BE113" s="9" t="n">
        <f aca="false">1-BD113</f>
        <v>0.553</v>
      </c>
    </row>
    <row r="114" customFormat="false" ht="14.25" hidden="true" customHeight="false" outlineLevel="0" collapsed="false">
      <c r="A114" s="4" t="n">
        <v>40</v>
      </c>
      <c r="B114" s="5" t="n">
        <v>10004431</v>
      </c>
      <c r="C114" s="5" t="s">
        <v>85</v>
      </c>
      <c r="D114" s="5" t="s">
        <v>771</v>
      </c>
      <c r="E114" s="5" t="s">
        <v>772</v>
      </c>
      <c r="F114" s="5" t="s">
        <v>292</v>
      </c>
      <c r="G114" s="5" t="s">
        <v>293</v>
      </c>
      <c r="H114" s="5" t="s">
        <v>292</v>
      </c>
      <c r="I114" s="5" t="s">
        <v>63</v>
      </c>
      <c r="J114" s="5" t="s">
        <v>76</v>
      </c>
      <c r="K114" s="5" t="s">
        <v>65</v>
      </c>
      <c r="L114" s="6" t="n">
        <v>38245</v>
      </c>
      <c r="M114" s="5" t="s">
        <v>752</v>
      </c>
      <c r="N114" s="6" t="n">
        <v>25356</v>
      </c>
      <c r="O114" s="5" t="s">
        <v>122</v>
      </c>
      <c r="P114" s="5" t="s">
        <v>123</v>
      </c>
      <c r="Q114" s="5" t="s">
        <v>155</v>
      </c>
      <c r="R114" s="5" t="s">
        <v>317</v>
      </c>
      <c r="S114" s="5" t="s">
        <v>659</v>
      </c>
      <c r="T114" s="6" t="n">
        <v>40634</v>
      </c>
      <c r="U114" s="6" t="n">
        <v>39173</v>
      </c>
      <c r="V114" s="5" t="s">
        <v>141</v>
      </c>
      <c r="W114" s="5" t="s">
        <v>141</v>
      </c>
      <c r="X114" s="5" t="s">
        <v>83</v>
      </c>
      <c r="Y114" s="5" t="s">
        <v>83</v>
      </c>
      <c r="Z114" s="5" t="s">
        <v>141</v>
      </c>
      <c r="AA114" s="5" t="s">
        <v>773</v>
      </c>
      <c r="AB114" s="0" t="n">
        <f aca="false">IFERROR(VALUE(R114),0)</f>
        <v>12.2</v>
      </c>
      <c r="AC114" s="0" t="n">
        <f aca="false">IFERROR(VALUE(M114),"")</f>
        <v>57</v>
      </c>
      <c r="AD114" s="0" t="n">
        <f aca="false">IFERROR(VALUE(Q114),"")</f>
        <v>21.8</v>
      </c>
      <c r="AE114" s="0" t="n">
        <f aca="false">IFERROR(VALUE(S114),"")</f>
        <v>33.1</v>
      </c>
      <c r="AF114" s="0" t="n">
        <f aca="false">IF(V114="","",VLOOKUP(V114,Assumptions!$B$6:$C$9,2,FALSE()))</f>
        <v>3</v>
      </c>
      <c r="AG114" s="0" t="n">
        <f aca="false">IF(W114="","",VLOOKUP(W114,Assumptions!$B$6:$C$9,2,FALSE()))</f>
        <v>3</v>
      </c>
      <c r="AH114" s="0" t="n">
        <f aca="false">IF(X114="","",VLOOKUP(X114,Assumptions!$B$6:$C$9,2,FALSE()))</f>
        <v>4</v>
      </c>
      <c r="AI114" s="0" t="n">
        <f aca="false">IF(Y114="","",VLOOKUP(Y114,Assumptions!$B$6:$C$9,2,FALSE()))</f>
        <v>4</v>
      </c>
      <c r="AJ114" s="0" t="n">
        <f aca="false">IF(Z114="","",VLOOKUP(Z114,Assumptions!$B$6:$C$9,2,FALSE()))</f>
        <v>3</v>
      </c>
      <c r="AK114" s="7" t="n">
        <f aca="false">IFERROR(ROUND(AVERAGE(AF114:AJ114),3),"")</f>
        <v>3.4</v>
      </c>
      <c r="AL114" s="7" t="n">
        <f aca="false">IF(OR(AF114="",AJ114=""),"",AJ114-AF114)</f>
        <v>0</v>
      </c>
      <c r="AM114" s="7" t="n">
        <f aca="false">IF(COUNT(AF114:AJ114)&gt;=2,ROUND(_xlfn.STDEV.S(AF114:AJ114),3),"")</f>
        <v>0.548</v>
      </c>
      <c r="AN114" s="7" t="n">
        <f aca="false">ROUND((IF(AF114="",0,AF114)*Assumptions!$F$15)+(IF(AG114="",0,AG114)*Assumptions!$F$16)+(IF(AH114="",0,AH114)*Assumptions!$F$17)+(IF(AI114="",0,AI114)*Assumptions!$F$18)+(IF(AJ114="",0,AJ114)*Assumptions!$F$19),3)</f>
        <v>3.45</v>
      </c>
      <c r="AO114" s="0" t="str">
        <f aca="false">IF(AC114&lt;=20,"",IF(AC114&lt;=Assumptions!$F$6,"20-30",IF(AC114&lt;=Assumptions!$F$7,"30-40",IF(AC114&lt;=Assumptions!$F$8,"40-50",IF(AC114&lt;=Assumptions!$F$9,"50-60",IF(AC114&lt;=Assumptions!$F$10,"60+",""))))))</f>
        <v>50-60</v>
      </c>
      <c r="AP114" s="0" t="str">
        <f aca="false">IFERROR(VLOOKUP(O114,Assumptions!$B$14:$C$26,2,FALSE()),"Other")</f>
        <v>Leadership</v>
      </c>
      <c r="AQ114" s="0" t="n">
        <f aca="false">IF(T114="",0,1)</f>
        <v>1</v>
      </c>
      <c r="AR114" s="0" t="n">
        <f aca="false">IF(U114="",0,1)</f>
        <v>1</v>
      </c>
      <c r="AS114" s="8" t="n">
        <f aca="false">IF(AK114="","",IF(MAX($AK$2:$AK$921)=MIN($AK$2:$AK$921),50,ROUND((AK114-MIN($AK$2:$AK$921))/(MAX($AK$2:$AK$921)-MIN($AK$2:$AK$921))*100,2)))</f>
        <v>74.28</v>
      </c>
      <c r="AT114" s="8" t="n">
        <f aca="false">IF(MAX($BC$2:$BC$921)=MIN($BC$2:$BC$921),50,ROUND((BC114-MIN($BC$2:$BC$921))/(MAX($BC$2:$BC$921)-MIN($BC$2:$BC$921))*100,2))</f>
        <v>50</v>
      </c>
      <c r="AU114" s="8" t="n">
        <f aca="false">IF(MAX($BE$2:$BE$921)=MIN($BE$2:$BE$921),50,ROUND((BE114-MIN($BE$2:$BE$921))/(MAX($BE$2:$BE$921)-MIN($BE$2:$BE$921))*100,2))</f>
        <v>68.36</v>
      </c>
      <c r="AV114" s="8" t="n">
        <f aca="false">IF(MAX($AD$2:$AD$921)=MIN($AD$2:$AD$921),50,ROUND((AD114-MIN($AD$2:$AD$921))/(MAX($AD$2:$AD$921)-MIN($AD$2:$AD$921))*100,2))</f>
        <v>58.96</v>
      </c>
      <c r="AW114" s="8" t="n">
        <f aca="false">IF(MAX($AN$2:$AN$921)=MIN($AN$2:$AN$921),50,ROUND((AN114-MIN($AN$2:$AN$921))/(MAX($AN$2:$AN$921)-MIN($AN$2:$AN$921))*100,2))</f>
        <v>86.25</v>
      </c>
      <c r="AX114" s="8" t="n">
        <f aca="false">AQ114*100</f>
        <v>100</v>
      </c>
      <c r="AY114" s="8" t="n">
        <f aca="false">AR114*100</f>
        <v>100</v>
      </c>
      <c r="AZ114" s="8" t="n">
        <f aca="false">IFERROR(ROUND(AS114*Assumptions!$I$6+AW114*Assumptions!$I$7+AT114*Assumptions!$I$8+AU114*Assumptions!$I$9+AV114*Assumptions!$I$10+AX114*Assumptions!$I$11+AY114*Assumptions!$I$12,2),"")</f>
        <v>73.18</v>
      </c>
      <c r="BA114" s="0" t="str">
        <f aca="false">IF(AZ114="","",IF(AZ114&lt;=Assumptions!$I$18,"Below Expectation",IF(AZ114&lt;=Assumptions!$I$19,"Developing",IF(AZ114&lt;=Assumptions!$I$20,"Meets Expectation",IF(AZ114&lt;=Assumptions!$I$21,"Exceeds","Star Performer")))))</f>
        <v>Exceeds</v>
      </c>
      <c r="BB114" s="0" t="n">
        <f aca="false">IF(AZ114="",0,IF(AZ114&gt;=Assumptions!$I$26,1,0))</f>
        <v>1</v>
      </c>
      <c r="BC114" s="9" t="n">
        <f aca="false">IF(AL114="",2,AL114+2)</f>
        <v>2</v>
      </c>
      <c r="BD114" s="10" t="n">
        <f aca="false">IF(AM114="",ROUND(AVERAGE($AM$2:$AM$921),3),AM114)</f>
        <v>0.548</v>
      </c>
      <c r="BE114" s="9" t="n">
        <f aca="false">1-BD114</f>
        <v>0.452</v>
      </c>
    </row>
    <row r="115" customFormat="false" ht="14.25" hidden="true" customHeight="false" outlineLevel="0" collapsed="false">
      <c r="A115" s="4" t="n">
        <v>340</v>
      </c>
      <c r="B115" s="5" t="n">
        <v>37100027</v>
      </c>
      <c r="C115" s="5" t="s">
        <v>85</v>
      </c>
      <c r="D115" s="5" t="s">
        <v>774</v>
      </c>
      <c r="E115" s="5" t="s">
        <v>775</v>
      </c>
      <c r="F115" s="5" t="s">
        <v>258</v>
      </c>
      <c r="G115" s="5" t="s">
        <v>259</v>
      </c>
      <c r="H115" s="5" t="s">
        <v>260</v>
      </c>
      <c r="I115" s="5" t="s">
        <v>63</v>
      </c>
      <c r="J115" s="5" t="s">
        <v>76</v>
      </c>
      <c r="K115" s="5" t="s">
        <v>65</v>
      </c>
      <c r="L115" s="6" t="n">
        <v>36815</v>
      </c>
      <c r="M115" s="5" t="s">
        <v>776</v>
      </c>
      <c r="N115" s="6" t="n">
        <v>26715</v>
      </c>
      <c r="O115" s="5" t="s">
        <v>162</v>
      </c>
      <c r="P115" s="5" t="s">
        <v>162</v>
      </c>
      <c r="Q115" s="5" t="s">
        <v>124</v>
      </c>
      <c r="R115" s="5" t="s">
        <v>491</v>
      </c>
      <c r="S115" s="5" t="s">
        <v>739</v>
      </c>
      <c r="T115" s="6" t="n">
        <v>41365</v>
      </c>
      <c r="U115" s="6" t="n">
        <v>46113</v>
      </c>
      <c r="V115" s="5" t="s">
        <v>83</v>
      </c>
      <c r="W115" s="5" t="s">
        <v>83</v>
      </c>
      <c r="X115" s="5" t="s">
        <v>83</v>
      </c>
      <c r="Y115" s="5" t="s">
        <v>141</v>
      </c>
      <c r="Z115" s="5" t="s">
        <v>141</v>
      </c>
      <c r="AA115" s="5" t="s">
        <v>777</v>
      </c>
      <c r="AB115" s="0" t="n">
        <f aca="false">IFERROR(VALUE(R115),0)</f>
        <v>4.7</v>
      </c>
      <c r="AC115" s="0" t="n">
        <f aca="false">IFERROR(VALUE(M115),"")</f>
        <v>53.3</v>
      </c>
      <c r="AD115" s="0" t="n">
        <f aca="false">IFERROR(VALUE(Q115),"")</f>
        <v>25.7</v>
      </c>
      <c r="AE115" s="0" t="n">
        <f aca="false">IFERROR(VALUE(S115),"")</f>
        <v>30.2</v>
      </c>
      <c r="AF115" s="0" t="n">
        <f aca="false">IF(V115="","",VLOOKUP(V115,Assumptions!$B$6:$C$9,2,FALSE()))</f>
        <v>4</v>
      </c>
      <c r="AG115" s="0" t="n">
        <f aca="false">IF(W115="","",VLOOKUP(W115,Assumptions!$B$6:$C$9,2,FALSE()))</f>
        <v>4</v>
      </c>
      <c r="AH115" s="0" t="n">
        <f aca="false">IF(X115="","",VLOOKUP(X115,Assumptions!$B$6:$C$9,2,FALSE()))</f>
        <v>4</v>
      </c>
      <c r="AI115" s="0" t="n">
        <f aca="false">IF(Y115="","",VLOOKUP(Y115,Assumptions!$B$6:$C$9,2,FALSE()))</f>
        <v>3</v>
      </c>
      <c r="AJ115" s="0" t="n">
        <f aca="false">IF(Z115="","",VLOOKUP(Z115,Assumptions!$B$6:$C$9,2,FALSE()))</f>
        <v>3</v>
      </c>
      <c r="AK115" s="7" t="n">
        <f aca="false">IFERROR(ROUND(AVERAGE(AF115:AJ115),3),"")</f>
        <v>3.6</v>
      </c>
      <c r="AL115" s="7" t="n">
        <f aca="false">IF(OR(AF115="",AJ115=""),"",AJ115-AF115)</f>
        <v>-1</v>
      </c>
      <c r="AM115" s="7" t="n">
        <f aca="false">IF(COUNT(AF115:AJ115)&gt;=2,ROUND(_xlfn.STDEV.S(AF115:AJ115),3),"")</f>
        <v>0.548</v>
      </c>
      <c r="AN115" s="7" t="n">
        <f aca="false">ROUND((IF(AF115="",0,AF115)*Assumptions!$F$15)+(IF(AG115="",0,AG115)*Assumptions!$F$16)+(IF(AH115="",0,AH115)*Assumptions!$F$17)+(IF(AI115="",0,AI115)*Assumptions!$F$18)+(IF(AJ115="",0,AJ115)*Assumptions!$F$19),3)</f>
        <v>3.45</v>
      </c>
      <c r="AO115" s="0" t="str">
        <f aca="false">IF(AC115&lt;=20,"",IF(AC115&lt;=Assumptions!$F$6,"20-30",IF(AC115&lt;=Assumptions!$F$7,"30-40",IF(AC115&lt;=Assumptions!$F$8,"40-50",IF(AC115&lt;=Assumptions!$F$9,"50-60",IF(AC115&lt;=Assumptions!$F$10,"60+",""))))))</f>
        <v>50-60</v>
      </c>
      <c r="AP115" s="0" t="str">
        <f aca="false">IFERROR(VLOOKUP(O115,Assumptions!$B$14:$C$26,2,FALSE()),"Other")</f>
        <v>Manager</v>
      </c>
      <c r="AQ115" s="0" t="n">
        <f aca="false">IF(T115="",0,1)</f>
        <v>1</v>
      </c>
      <c r="AR115" s="0" t="n">
        <f aca="false">IF(U115="",0,1)</f>
        <v>1</v>
      </c>
      <c r="AS115" s="8" t="n">
        <f aca="false">IF(AK115="","",IF(MAX($AK$2:$AK$921)=MIN($AK$2:$AK$921),50,ROUND((AK115-MIN($AK$2:$AK$921))/(MAX($AK$2:$AK$921)-MIN($AK$2:$AK$921))*100,2)))</f>
        <v>82.85</v>
      </c>
      <c r="AT115" s="8" t="n">
        <f aca="false">IF(MAX($BC$2:$BC$921)=MIN($BC$2:$BC$921),50,ROUND((BC115-MIN($BC$2:$BC$921))/(MAX($BC$2:$BC$921)-MIN($BC$2:$BC$921))*100,2))</f>
        <v>25</v>
      </c>
      <c r="AU115" s="8" t="n">
        <f aca="false">IF(MAX($BE$2:$BE$921)=MIN($BE$2:$BE$921),50,ROUND((BE115-MIN($BE$2:$BE$921))/(MAX($BE$2:$BE$921)-MIN($BE$2:$BE$921))*100,2))</f>
        <v>68.36</v>
      </c>
      <c r="AV115" s="8" t="n">
        <f aca="false">IF(MAX($AD$2:$AD$921)=MIN($AD$2:$AD$921),50,ROUND((AD115-MIN($AD$2:$AD$921))/(MAX($AD$2:$AD$921)-MIN($AD$2:$AD$921))*100,2))</f>
        <v>69.56</v>
      </c>
      <c r="AW115" s="8" t="n">
        <f aca="false">IF(MAX($AN$2:$AN$921)=MIN($AN$2:$AN$921),50,ROUND((AN115-MIN($AN$2:$AN$921))/(MAX($AN$2:$AN$921)-MIN($AN$2:$AN$921))*100,2))</f>
        <v>86.25</v>
      </c>
      <c r="AX115" s="8" t="n">
        <f aca="false">AQ115*100</f>
        <v>100</v>
      </c>
      <c r="AY115" s="8" t="n">
        <f aca="false">AR115*100</f>
        <v>100</v>
      </c>
      <c r="AZ115" s="8" t="n">
        <f aca="false">IFERROR(ROUND(AS115*Assumptions!$I$6+AW115*Assumptions!$I$7+AT115*Assumptions!$I$8+AU115*Assumptions!$I$9+AV115*Assumptions!$I$10+AX115*Assumptions!$I$11+AY115*Assumptions!$I$12,2),"")</f>
        <v>73.07</v>
      </c>
      <c r="BA115" s="0" t="str">
        <f aca="false">IF(AZ115="","",IF(AZ115&lt;=Assumptions!$I$18,"Below Expectation",IF(AZ115&lt;=Assumptions!$I$19,"Developing",IF(AZ115&lt;=Assumptions!$I$20,"Meets Expectation",IF(AZ115&lt;=Assumptions!$I$21,"Exceeds","Star Performer")))))</f>
        <v>Exceeds</v>
      </c>
      <c r="BB115" s="0" t="n">
        <f aca="false">IF(AZ115="",0,IF(AZ115&gt;=Assumptions!$I$26,1,0))</f>
        <v>1</v>
      </c>
      <c r="BC115" s="9" t="n">
        <f aca="false">IF(AL115="",2,AL115+2)</f>
        <v>1</v>
      </c>
      <c r="BD115" s="10" t="n">
        <f aca="false">IF(AM115="",ROUND(AVERAGE($AM$2:$AM$921),3),AM115)</f>
        <v>0.548</v>
      </c>
      <c r="BE115" s="9" t="n">
        <f aca="false">1-BD115</f>
        <v>0.452</v>
      </c>
    </row>
    <row r="116" customFormat="false" ht="14.25" hidden="true" customHeight="false" outlineLevel="0" collapsed="false">
      <c r="A116" s="4" t="n">
        <v>232</v>
      </c>
      <c r="B116" s="5" t="n">
        <v>10059401</v>
      </c>
      <c r="C116" s="5" t="s">
        <v>149</v>
      </c>
      <c r="D116" s="5" t="s">
        <v>778</v>
      </c>
      <c r="E116" s="5" t="s">
        <v>779</v>
      </c>
      <c r="F116" s="5" t="s">
        <v>245</v>
      </c>
      <c r="G116" s="5" t="s">
        <v>246</v>
      </c>
      <c r="H116" s="5" t="s">
        <v>245</v>
      </c>
      <c r="I116" s="5" t="s">
        <v>63</v>
      </c>
      <c r="J116" s="5" t="s">
        <v>100</v>
      </c>
      <c r="K116" s="5" t="s">
        <v>65</v>
      </c>
      <c r="L116" s="6" t="n">
        <v>42933</v>
      </c>
      <c r="M116" s="5" t="s">
        <v>780</v>
      </c>
      <c r="N116" s="6" t="n">
        <v>33943</v>
      </c>
      <c r="O116" s="5" t="s">
        <v>162</v>
      </c>
      <c r="P116" s="5" t="s">
        <v>162</v>
      </c>
      <c r="Q116" s="5" t="s">
        <v>181</v>
      </c>
      <c r="R116" s="5" t="s">
        <v>156</v>
      </c>
      <c r="S116" s="5" t="s">
        <v>240</v>
      </c>
      <c r="T116" s="6" t="n">
        <v>43586</v>
      </c>
      <c r="U116" s="6" t="n">
        <v>45748</v>
      </c>
      <c r="V116" s="5" t="s">
        <v>83</v>
      </c>
      <c r="W116" s="5" t="s">
        <v>141</v>
      </c>
      <c r="X116" s="5" t="s">
        <v>141</v>
      </c>
      <c r="Y116" s="5" t="s">
        <v>83</v>
      </c>
      <c r="Z116" s="5" t="s">
        <v>83</v>
      </c>
      <c r="AA116" s="5" t="s">
        <v>781</v>
      </c>
      <c r="AB116" s="0" t="n">
        <f aca="false">IFERROR(VALUE(R116),0)</f>
        <v>2.11</v>
      </c>
      <c r="AC116" s="0" t="n">
        <f aca="false">IFERROR(VALUE(M116),"")</f>
        <v>33.6</v>
      </c>
      <c r="AD116" s="0" t="n">
        <f aca="false">IFERROR(VALUE(Q116),"")</f>
        <v>8.1</v>
      </c>
      <c r="AE116" s="0" t="n">
        <f aca="false">IFERROR(VALUE(S116),"")</f>
        <v>11.9</v>
      </c>
      <c r="AF116" s="0" t="n">
        <f aca="false">IF(V116="","",VLOOKUP(V116,Assumptions!$B$6:$C$9,2,FALSE()))</f>
        <v>4</v>
      </c>
      <c r="AG116" s="0" t="n">
        <f aca="false">IF(W116="","",VLOOKUP(W116,Assumptions!$B$6:$C$9,2,FALSE()))</f>
        <v>3</v>
      </c>
      <c r="AH116" s="0" t="n">
        <f aca="false">IF(X116="","",VLOOKUP(X116,Assumptions!$B$6:$C$9,2,FALSE()))</f>
        <v>3</v>
      </c>
      <c r="AI116" s="0" t="n">
        <f aca="false">IF(Y116="","",VLOOKUP(Y116,Assumptions!$B$6:$C$9,2,FALSE()))</f>
        <v>4</v>
      </c>
      <c r="AJ116" s="0" t="n">
        <f aca="false">IF(Z116="","",VLOOKUP(Z116,Assumptions!$B$6:$C$9,2,FALSE()))</f>
        <v>4</v>
      </c>
      <c r="AK116" s="7" t="n">
        <f aca="false">IFERROR(ROUND(AVERAGE(AF116:AJ116),3),"")</f>
        <v>3.6</v>
      </c>
      <c r="AL116" s="7" t="n">
        <f aca="false">IF(OR(AF116="",AJ116=""),"",AJ116-AF116)</f>
        <v>0</v>
      </c>
      <c r="AM116" s="7" t="n">
        <f aca="false">IF(COUNT(AF116:AJ116)&gt;=2,ROUND(_xlfn.STDEV.S(AF116:AJ116),3),"")</f>
        <v>0.548</v>
      </c>
      <c r="AN116" s="7" t="n">
        <f aca="false">ROUND((IF(AF116="",0,AF116)*Assumptions!$F$15)+(IF(AG116="",0,AG116)*Assumptions!$F$16)+(IF(AH116="",0,AH116)*Assumptions!$F$17)+(IF(AI116="",0,AI116)*Assumptions!$F$18)+(IF(AJ116="",0,AJ116)*Assumptions!$F$19),3)</f>
        <v>3.65</v>
      </c>
      <c r="AO116" s="0" t="str">
        <f aca="false">IF(AC116&lt;=20,"",IF(AC116&lt;=Assumptions!$F$6,"20-30",IF(AC116&lt;=Assumptions!$F$7,"30-40",IF(AC116&lt;=Assumptions!$F$8,"40-50",IF(AC116&lt;=Assumptions!$F$9,"50-60",IF(AC116&lt;=Assumptions!$F$10,"60+",""))))))</f>
        <v>30-40</v>
      </c>
      <c r="AP116" s="0" t="str">
        <f aca="false">IFERROR(VLOOKUP(O116,Assumptions!$B$14:$C$26,2,FALSE()),"Other")</f>
        <v>Manager</v>
      </c>
      <c r="AQ116" s="0" t="n">
        <f aca="false">IF(T116="",0,1)</f>
        <v>1</v>
      </c>
      <c r="AR116" s="0" t="n">
        <f aca="false">IF(U116="",0,1)</f>
        <v>1</v>
      </c>
      <c r="AS116" s="8" t="n">
        <f aca="false">IF(AK116="","",IF(MAX($AK$2:$AK$921)=MIN($AK$2:$AK$921),50,ROUND((AK116-MIN($AK$2:$AK$921))/(MAX($AK$2:$AK$921)-MIN($AK$2:$AK$921))*100,2)))</f>
        <v>82.85</v>
      </c>
      <c r="AT116" s="8" t="n">
        <f aca="false">IF(MAX($BC$2:$BC$921)=MIN($BC$2:$BC$921),50,ROUND((BC116-MIN($BC$2:$BC$921))/(MAX($BC$2:$BC$921)-MIN($BC$2:$BC$921))*100,2))</f>
        <v>50</v>
      </c>
      <c r="AU116" s="8" t="n">
        <f aca="false">IF(MAX($BE$2:$BE$921)=MIN($BE$2:$BE$921),50,ROUND((BE116-MIN($BE$2:$BE$921))/(MAX($BE$2:$BE$921)-MIN($BE$2:$BE$921))*100,2))</f>
        <v>68.36</v>
      </c>
      <c r="AV116" s="8" t="n">
        <f aca="false">IF(MAX($AD$2:$AD$921)=MIN($AD$2:$AD$921),50,ROUND((AD116-MIN($AD$2:$AD$921))/(MAX($AD$2:$AD$921)-MIN($AD$2:$AD$921))*100,2))</f>
        <v>21.72</v>
      </c>
      <c r="AW116" s="8" t="n">
        <f aca="false">IF(MAX($AN$2:$AN$921)=MIN($AN$2:$AN$921),50,ROUND((AN116-MIN($AN$2:$AN$921))/(MAX($AN$2:$AN$921)-MIN($AN$2:$AN$921))*100,2))</f>
        <v>91.25</v>
      </c>
      <c r="AX116" s="8" t="n">
        <f aca="false">AQ116*100</f>
        <v>100</v>
      </c>
      <c r="AY116" s="8" t="n">
        <f aca="false">AR116*100</f>
        <v>100</v>
      </c>
      <c r="AZ116" s="8" t="n">
        <f aca="false">IFERROR(ROUND(AS116*Assumptions!$I$6+AW116*Assumptions!$I$7+AT116*Assumptions!$I$8+AU116*Assumptions!$I$9+AV116*Assumptions!$I$10+AX116*Assumptions!$I$11+AY116*Assumptions!$I$12,2),"")</f>
        <v>73.03</v>
      </c>
      <c r="BA116" s="0" t="str">
        <f aca="false">IF(AZ116="","",IF(AZ116&lt;=Assumptions!$I$18,"Below Expectation",IF(AZ116&lt;=Assumptions!$I$19,"Developing",IF(AZ116&lt;=Assumptions!$I$20,"Meets Expectation",IF(AZ116&lt;=Assumptions!$I$21,"Exceeds","Star Performer")))))</f>
        <v>Exceeds</v>
      </c>
      <c r="BB116" s="0" t="n">
        <f aca="false">IF(AZ116="",0,IF(AZ116&gt;=Assumptions!$I$26,1,0))</f>
        <v>1</v>
      </c>
      <c r="BC116" s="9" t="n">
        <f aca="false">IF(AL116="",2,AL116+2)</f>
        <v>2</v>
      </c>
      <c r="BD116" s="10" t="n">
        <f aca="false">IF(AM116="",ROUND(AVERAGE($AM$2:$AM$921),3),AM116)</f>
        <v>0.548</v>
      </c>
      <c r="BE116" s="9" t="n">
        <f aca="false">1-BD116</f>
        <v>0.452</v>
      </c>
    </row>
    <row r="117" customFormat="false" ht="14.25" hidden="true" customHeight="false" outlineLevel="0" collapsed="false">
      <c r="A117" s="4" t="n">
        <v>348</v>
      </c>
      <c r="B117" s="5" t="n">
        <v>37100256</v>
      </c>
      <c r="C117" s="5"/>
      <c r="D117" s="5" t="s">
        <v>782</v>
      </c>
      <c r="E117" s="5" t="s">
        <v>257</v>
      </c>
      <c r="F117" s="5" t="s">
        <v>783</v>
      </c>
      <c r="G117" s="5" t="s">
        <v>784</v>
      </c>
      <c r="H117" s="5" t="s">
        <v>783</v>
      </c>
      <c r="I117" s="5" t="s">
        <v>63</v>
      </c>
      <c r="J117" s="5" t="s">
        <v>76</v>
      </c>
      <c r="K117" s="5" t="s">
        <v>65</v>
      </c>
      <c r="L117" s="6" t="n">
        <v>38099</v>
      </c>
      <c r="M117" s="5" t="s">
        <v>785</v>
      </c>
      <c r="N117" s="6" t="n">
        <v>30253</v>
      </c>
      <c r="O117" s="5" t="s">
        <v>162</v>
      </c>
      <c r="P117" s="5" t="s">
        <v>162</v>
      </c>
      <c r="Q117" s="5" t="s">
        <v>786</v>
      </c>
      <c r="R117" s="5" t="s">
        <v>115</v>
      </c>
      <c r="S117" s="5" t="s">
        <v>786</v>
      </c>
      <c r="T117" s="6" t="n">
        <v>43191</v>
      </c>
      <c r="U117" s="6" t="n">
        <v>44287</v>
      </c>
      <c r="V117" s="5" t="s">
        <v>83</v>
      </c>
      <c r="W117" s="5" t="s">
        <v>141</v>
      </c>
      <c r="X117" s="5" t="s">
        <v>141</v>
      </c>
      <c r="Y117" s="5" t="s">
        <v>141</v>
      </c>
      <c r="Z117" s="5" t="s">
        <v>83</v>
      </c>
      <c r="AA117" s="5" t="s">
        <v>787</v>
      </c>
      <c r="AB117" s="0" t="n">
        <f aca="false">IFERROR(VALUE(R117),0)</f>
        <v>0</v>
      </c>
      <c r="AC117" s="0" t="n">
        <f aca="false">IFERROR(VALUE(M117),"")</f>
        <v>43.7</v>
      </c>
      <c r="AD117" s="0" t="n">
        <f aca="false">IFERROR(VALUE(Q117),"")</f>
        <v>22.1</v>
      </c>
      <c r="AE117" s="0" t="n">
        <f aca="false">IFERROR(VALUE(S117),"")</f>
        <v>22.1</v>
      </c>
      <c r="AF117" s="0" t="n">
        <f aca="false">IF(V117="","",VLOOKUP(V117,Assumptions!$B$6:$C$9,2,FALSE()))</f>
        <v>4</v>
      </c>
      <c r="AG117" s="0" t="n">
        <f aca="false">IF(W117="","",VLOOKUP(W117,Assumptions!$B$6:$C$9,2,FALSE()))</f>
        <v>3</v>
      </c>
      <c r="AH117" s="0" t="n">
        <f aca="false">IF(X117="","",VLOOKUP(X117,Assumptions!$B$6:$C$9,2,FALSE()))</f>
        <v>3</v>
      </c>
      <c r="AI117" s="0" t="n">
        <f aca="false">IF(Y117="","",VLOOKUP(Y117,Assumptions!$B$6:$C$9,2,FALSE()))</f>
        <v>3</v>
      </c>
      <c r="AJ117" s="0" t="n">
        <f aca="false">IF(Z117="","",VLOOKUP(Z117,Assumptions!$B$6:$C$9,2,FALSE()))</f>
        <v>4</v>
      </c>
      <c r="AK117" s="7" t="n">
        <f aca="false">IFERROR(ROUND(AVERAGE(AF117:AJ117),3),"")</f>
        <v>3.4</v>
      </c>
      <c r="AL117" s="7" t="n">
        <f aca="false">IF(OR(AF117="",AJ117=""),"",AJ117-AF117)</f>
        <v>0</v>
      </c>
      <c r="AM117" s="7" t="n">
        <f aca="false">IF(COUNT(AF117:AJ117)&gt;=2,ROUND(_xlfn.STDEV.S(AF117:AJ117),3),"")</f>
        <v>0.548</v>
      </c>
      <c r="AN117" s="7" t="n">
        <f aca="false">ROUND((IF(AF117="",0,AF117)*Assumptions!$F$15)+(IF(AG117="",0,AG117)*Assumptions!$F$16)+(IF(AH117="",0,AH117)*Assumptions!$F$17)+(IF(AI117="",0,AI117)*Assumptions!$F$18)+(IF(AJ117="",0,AJ117)*Assumptions!$F$19),3)</f>
        <v>3.4</v>
      </c>
      <c r="AO117" s="0" t="str">
        <f aca="false">IF(AC117&lt;=20,"",IF(AC117&lt;=Assumptions!$F$6,"20-30",IF(AC117&lt;=Assumptions!$F$7,"30-40",IF(AC117&lt;=Assumptions!$F$8,"40-50",IF(AC117&lt;=Assumptions!$F$9,"50-60",IF(AC117&lt;=Assumptions!$F$10,"60+",""))))))</f>
        <v>40-50</v>
      </c>
      <c r="AP117" s="0" t="str">
        <f aca="false">IFERROR(VLOOKUP(O117,Assumptions!$B$14:$C$26,2,FALSE()),"Other")</f>
        <v>Manager</v>
      </c>
      <c r="AQ117" s="0" t="n">
        <f aca="false">IF(T117="",0,1)</f>
        <v>1</v>
      </c>
      <c r="AR117" s="0" t="n">
        <f aca="false">IF(U117="",0,1)</f>
        <v>1</v>
      </c>
      <c r="AS117" s="8" t="n">
        <f aca="false">IF(AK117="","",IF(MAX($AK$2:$AK$921)=MIN($AK$2:$AK$921),50,ROUND((AK117-MIN($AK$2:$AK$921))/(MAX($AK$2:$AK$921)-MIN($AK$2:$AK$921))*100,2)))</f>
        <v>74.28</v>
      </c>
      <c r="AT117" s="8" t="n">
        <f aca="false">IF(MAX($BC$2:$BC$921)=MIN($BC$2:$BC$921),50,ROUND((BC117-MIN($BC$2:$BC$921))/(MAX($BC$2:$BC$921)-MIN($BC$2:$BC$921))*100,2))</f>
        <v>50</v>
      </c>
      <c r="AU117" s="8" t="n">
        <f aca="false">IF(MAX($BE$2:$BE$921)=MIN($BE$2:$BE$921),50,ROUND((BE117-MIN($BE$2:$BE$921))/(MAX($BE$2:$BE$921)-MIN($BE$2:$BE$921))*100,2))</f>
        <v>68.36</v>
      </c>
      <c r="AV117" s="8" t="n">
        <f aca="false">IF(MAX($AD$2:$AD$921)=MIN($AD$2:$AD$921),50,ROUND((AD117-MIN($AD$2:$AD$921))/(MAX($AD$2:$AD$921)-MIN($AD$2:$AD$921))*100,2))</f>
        <v>59.77</v>
      </c>
      <c r="AW117" s="8" t="n">
        <f aca="false">IF(MAX($AN$2:$AN$921)=MIN($AN$2:$AN$921),50,ROUND((AN117-MIN($AN$2:$AN$921))/(MAX($AN$2:$AN$921)-MIN($AN$2:$AN$921))*100,2))</f>
        <v>85</v>
      </c>
      <c r="AX117" s="8" t="n">
        <f aca="false">AQ117*100</f>
        <v>100</v>
      </c>
      <c r="AY117" s="8" t="n">
        <f aca="false">AR117*100</f>
        <v>100</v>
      </c>
      <c r="AZ117" s="8" t="n">
        <f aca="false">IFERROR(ROUND(AS117*Assumptions!$I$6+AW117*Assumptions!$I$7+AT117*Assumptions!$I$8+AU117*Assumptions!$I$9+AV117*Assumptions!$I$10+AX117*Assumptions!$I$11+AY117*Assumptions!$I$12,2),"")</f>
        <v>73.02</v>
      </c>
      <c r="BA117" s="0" t="str">
        <f aca="false">IF(AZ117="","",IF(AZ117&lt;=Assumptions!$I$18,"Below Expectation",IF(AZ117&lt;=Assumptions!$I$19,"Developing",IF(AZ117&lt;=Assumptions!$I$20,"Meets Expectation",IF(AZ117&lt;=Assumptions!$I$21,"Exceeds","Star Performer")))))</f>
        <v>Exceeds</v>
      </c>
      <c r="BB117" s="0" t="n">
        <f aca="false">IF(AZ117="",0,IF(AZ117&gt;=Assumptions!$I$26,1,0))</f>
        <v>1</v>
      </c>
      <c r="BC117" s="9" t="n">
        <f aca="false">IF(AL117="",2,AL117+2)</f>
        <v>2</v>
      </c>
      <c r="BD117" s="10" t="n">
        <f aca="false">IF(AM117="",ROUND(AVERAGE($AM$2:$AM$921),3),AM117)</f>
        <v>0.548</v>
      </c>
      <c r="BE117" s="9" t="n">
        <f aca="false">1-BD117</f>
        <v>0.452</v>
      </c>
    </row>
    <row r="118" customFormat="false" ht="14.25" hidden="true" customHeight="false" outlineLevel="0" collapsed="false">
      <c r="A118" s="4" t="n">
        <v>163</v>
      </c>
      <c r="B118" s="5" t="n">
        <v>10051368</v>
      </c>
      <c r="C118" s="5" t="s">
        <v>85</v>
      </c>
      <c r="D118" s="5" t="s">
        <v>788</v>
      </c>
      <c r="E118" s="5" t="s">
        <v>87</v>
      </c>
      <c r="F118" s="5" t="s">
        <v>199</v>
      </c>
      <c r="G118" s="5" t="s">
        <v>200</v>
      </c>
      <c r="H118" s="5" t="s">
        <v>201</v>
      </c>
      <c r="I118" s="5" t="s">
        <v>63</v>
      </c>
      <c r="J118" s="5" t="s">
        <v>76</v>
      </c>
      <c r="K118" s="5" t="s">
        <v>65</v>
      </c>
      <c r="L118" s="6" t="n">
        <v>42240</v>
      </c>
      <c r="M118" s="5" t="s">
        <v>789</v>
      </c>
      <c r="N118" s="6" t="n">
        <v>30223</v>
      </c>
      <c r="O118" s="5" t="s">
        <v>162</v>
      </c>
      <c r="P118" s="5" t="s">
        <v>162</v>
      </c>
      <c r="Q118" s="5" t="s">
        <v>790</v>
      </c>
      <c r="R118" s="5" t="s">
        <v>791</v>
      </c>
      <c r="S118" s="5" t="s">
        <v>792</v>
      </c>
      <c r="T118" s="6"/>
      <c r="U118" s="6" t="n">
        <v>46113</v>
      </c>
      <c r="V118" s="5" t="s">
        <v>83</v>
      </c>
      <c r="W118" s="5" t="s">
        <v>83</v>
      </c>
      <c r="X118" s="5" t="s">
        <v>141</v>
      </c>
      <c r="Y118" s="5" t="s">
        <v>83</v>
      </c>
      <c r="Z118" s="5" t="s">
        <v>83</v>
      </c>
      <c r="AA118" s="5" t="s">
        <v>793</v>
      </c>
      <c r="AB118" s="0" t="n">
        <f aca="false">IFERROR(VALUE(R118),0)</f>
        <v>8.5</v>
      </c>
      <c r="AC118" s="0" t="n">
        <f aca="false">IFERROR(VALUE(M118),"")</f>
        <v>43.8</v>
      </c>
      <c r="AD118" s="0" t="n">
        <f aca="false">IFERROR(VALUE(Q118),"")</f>
        <v>10.9</v>
      </c>
      <c r="AE118" s="0" t="n">
        <f aca="false">IFERROR(VALUE(S118),"")</f>
        <v>19.2</v>
      </c>
      <c r="AF118" s="0" t="n">
        <f aca="false">IF(V118="","",VLOOKUP(V118,Assumptions!$B$6:$C$9,2,FALSE()))</f>
        <v>4</v>
      </c>
      <c r="AG118" s="0" t="n">
        <f aca="false">IF(W118="","",VLOOKUP(W118,Assumptions!$B$6:$C$9,2,FALSE()))</f>
        <v>4</v>
      </c>
      <c r="AH118" s="0" t="n">
        <f aca="false">IF(X118="","",VLOOKUP(X118,Assumptions!$B$6:$C$9,2,FALSE()))</f>
        <v>3</v>
      </c>
      <c r="AI118" s="0" t="n">
        <f aca="false">IF(Y118="","",VLOOKUP(Y118,Assumptions!$B$6:$C$9,2,FALSE()))</f>
        <v>4</v>
      </c>
      <c r="AJ118" s="0" t="n">
        <f aca="false">IF(Z118="","",VLOOKUP(Z118,Assumptions!$B$6:$C$9,2,FALSE()))</f>
        <v>4</v>
      </c>
      <c r="AK118" s="7" t="n">
        <f aca="false">IFERROR(ROUND(AVERAGE(AF118:AJ118),3),"")</f>
        <v>3.8</v>
      </c>
      <c r="AL118" s="7" t="n">
        <f aca="false">IF(OR(AF118="",AJ118=""),"",AJ118-AF118)</f>
        <v>0</v>
      </c>
      <c r="AM118" s="7" t="n">
        <f aca="false">IF(COUNT(AF118:AJ118)&gt;=2,ROUND(_xlfn.STDEV.S(AF118:AJ118),3),"")</f>
        <v>0.447</v>
      </c>
      <c r="AN118" s="7" t="n">
        <f aca="false">ROUND((IF(AF118="",0,AF118)*Assumptions!$F$15)+(IF(AG118="",0,AG118)*Assumptions!$F$16)+(IF(AH118="",0,AH118)*Assumptions!$F$17)+(IF(AI118="",0,AI118)*Assumptions!$F$18)+(IF(AJ118="",0,AJ118)*Assumptions!$F$19),3)</f>
        <v>3.8</v>
      </c>
      <c r="AO118" s="0" t="str">
        <f aca="false">IF(AC118&lt;=20,"",IF(AC118&lt;=Assumptions!$F$6,"20-30",IF(AC118&lt;=Assumptions!$F$7,"30-40",IF(AC118&lt;=Assumptions!$F$8,"40-50",IF(AC118&lt;=Assumptions!$F$9,"50-60",IF(AC118&lt;=Assumptions!$F$10,"60+",""))))))</f>
        <v>40-50</v>
      </c>
      <c r="AP118" s="0" t="str">
        <f aca="false">IFERROR(VLOOKUP(O118,Assumptions!$B$14:$C$26,2,FALSE()),"Other")</f>
        <v>Manager</v>
      </c>
      <c r="AQ118" s="0" t="n">
        <f aca="false">IF(T118="",0,1)</f>
        <v>0</v>
      </c>
      <c r="AR118" s="0" t="n">
        <f aca="false">IF(U118="",0,1)</f>
        <v>1</v>
      </c>
      <c r="AS118" s="8" t="n">
        <f aca="false">IF(AK118="","",IF(MAX($AK$2:$AK$921)=MIN($AK$2:$AK$921),50,ROUND((AK118-MIN($AK$2:$AK$921))/(MAX($AK$2:$AK$921)-MIN($AK$2:$AK$921))*100,2)))</f>
        <v>91.43</v>
      </c>
      <c r="AT118" s="8" t="n">
        <f aca="false">IF(MAX($BC$2:$BC$921)=MIN($BC$2:$BC$921),50,ROUND((BC118-MIN($BC$2:$BC$921))/(MAX($BC$2:$BC$921)-MIN($BC$2:$BC$921))*100,2))</f>
        <v>50</v>
      </c>
      <c r="AU118" s="8" t="n">
        <f aca="false">IF(MAX($BE$2:$BE$921)=MIN($BE$2:$BE$921),50,ROUND((BE118-MIN($BE$2:$BE$921))/(MAX($BE$2:$BE$921)-MIN($BE$2:$BE$921))*100,2))</f>
        <v>74.19</v>
      </c>
      <c r="AV118" s="8" t="n">
        <f aca="false">IF(MAX($AD$2:$AD$921)=MIN($AD$2:$AD$921),50,ROUND((AD118-MIN($AD$2:$AD$921))/(MAX($AD$2:$AD$921)-MIN($AD$2:$AD$921))*100,2))</f>
        <v>29.33</v>
      </c>
      <c r="AW118" s="8" t="n">
        <f aca="false">IF(MAX($AN$2:$AN$921)=MIN($AN$2:$AN$921),50,ROUND((AN118-MIN($AN$2:$AN$921))/(MAX($AN$2:$AN$921)-MIN($AN$2:$AN$921))*100,2))</f>
        <v>95</v>
      </c>
      <c r="AX118" s="8" t="n">
        <f aca="false">AQ118*100</f>
        <v>0</v>
      </c>
      <c r="AY118" s="8" t="n">
        <f aca="false">AR118*100</f>
        <v>100</v>
      </c>
      <c r="AZ118" s="8" t="n">
        <f aca="false">IFERROR(ROUND(AS118*Assumptions!$I$6+AW118*Assumptions!$I$7+AT118*Assumptions!$I$8+AU118*Assumptions!$I$9+AV118*Assumptions!$I$10+AX118*Assumptions!$I$11+AY118*Assumptions!$I$12,2),"")</f>
        <v>72.99</v>
      </c>
      <c r="BA118" s="0" t="str">
        <f aca="false">IF(AZ118="","",IF(AZ118&lt;=Assumptions!$I$18,"Below Expectation",IF(AZ118&lt;=Assumptions!$I$19,"Developing",IF(AZ118&lt;=Assumptions!$I$20,"Meets Expectation",IF(AZ118&lt;=Assumptions!$I$21,"Exceeds","Star Performer")))))</f>
        <v>Exceeds</v>
      </c>
      <c r="BB118" s="0" t="n">
        <f aca="false">IF(AZ118="",0,IF(AZ118&gt;=Assumptions!$I$26,1,0))</f>
        <v>1</v>
      </c>
      <c r="BC118" s="9" t="n">
        <f aca="false">IF(AL118="",2,AL118+2)</f>
        <v>2</v>
      </c>
      <c r="BD118" s="10" t="n">
        <f aca="false">IF(AM118="",ROUND(AVERAGE($AM$2:$AM$921),3),AM118)</f>
        <v>0.447</v>
      </c>
      <c r="BE118" s="9" t="n">
        <f aca="false">1-BD118</f>
        <v>0.553</v>
      </c>
    </row>
    <row r="119" customFormat="false" ht="14.25" hidden="true" customHeight="false" outlineLevel="0" collapsed="false">
      <c r="A119" s="4" t="n">
        <v>15</v>
      </c>
      <c r="B119" s="5" t="n">
        <v>42014</v>
      </c>
      <c r="C119" s="5" t="s">
        <v>57</v>
      </c>
      <c r="D119" s="5" t="s">
        <v>794</v>
      </c>
      <c r="E119" s="5" t="s">
        <v>500</v>
      </c>
      <c r="F119" s="5" t="s">
        <v>436</v>
      </c>
      <c r="G119" s="5" t="s">
        <v>437</v>
      </c>
      <c r="H119" s="5" t="s">
        <v>438</v>
      </c>
      <c r="I119" s="5" t="s">
        <v>63</v>
      </c>
      <c r="J119" s="5" t="s">
        <v>100</v>
      </c>
      <c r="K119" s="5" t="s">
        <v>65</v>
      </c>
      <c r="L119" s="6" t="n">
        <v>37530</v>
      </c>
      <c r="M119" s="5" t="s">
        <v>795</v>
      </c>
      <c r="N119" s="6" t="n">
        <v>27762</v>
      </c>
      <c r="O119" s="5" t="s">
        <v>122</v>
      </c>
      <c r="P119" s="5" t="s">
        <v>123</v>
      </c>
      <c r="Q119" s="5" t="s">
        <v>796</v>
      </c>
      <c r="R119" s="5" t="s">
        <v>92</v>
      </c>
      <c r="S119" s="5" t="s">
        <v>621</v>
      </c>
      <c r="T119" s="6" t="n">
        <v>42917</v>
      </c>
      <c r="U119" s="6"/>
      <c r="V119" s="5" t="s">
        <v>141</v>
      </c>
      <c r="W119" s="5" t="s">
        <v>141</v>
      </c>
      <c r="X119" s="5" t="s">
        <v>141</v>
      </c>
      <c r="Y119" s="5" t="s">
        <v>83</v>
      </c>
      <c r="Z119" s="5" t="s">
        <v>83</v>
      </c>
      <c r="AA119" s="5" t="s">
        <v>797</v>
      </c>
      <c r="AB119" s="0" t="n">
        <f aca="false">IFERROR(VALUE(R119),0)</f>
        <v>0.5</v>
      </c>
      <c r="AC119" s="0" t="n">
        <f aca="false">IFERROR(VALUE(M119),"")</f>
        <v>50.5</v>
      </c>
      <c r="AD119" s="0" t="n">
        <f aca="false">IFERROR(VALUE(Q119),"")</f>
        <v>23.8</v>
      </c>
      <c r="AE119" s="0" t="n">
        <f aca="false">IFERROR(VALUE(S119),"")</f>
        <v>24.1</v>
      </c>
      <c r="AF119" s="0" t="n">
        <f aca="false">IF(V119="","",VLOOKUP(V119,Assumptions!$B$6:$C$9,2,FALSE()))</f>
        <v>3</v>
      </c>
      <c r="AG119" s="0" t="n">
        <f aca="false">IF(W119="","",VLOOKUP(W119,Assumptions!$B$6:$C$9,2,FALSE()))</f>
        <v>3</v>
      </c>
      <c r="AH119" s="0" t="n">
        <f aca="false">IF(X119="","",VLOOKUP(X119,Assumptions!$B$6:$C$9,2,FALSE()))</f>
        <v>3</v>
      </c>
      <c r="AI119" s="0" t="n">
        <f aca="false">IF(Y119="","",VLOOKUP(Y119,Assumptions!$B$6:$C$9,2,FALSE()))</f>
        <v>4</v>
      </c>
      <c r="AJ119" s="0" t="n">
        <f aca="false">IF(Z119="","",VLOOKUP(Z119,Assumptions!$B$6:$C$9,2,FALSE()))</f>
        <v>4</v>
      </c>
      <c r="AK119" s="7" t="n">
        <f aca="false">IFERROR(ROUND(AVERAGE(AF119:AJ119),3),"")</f>
        <v>3.4</v>
      </c>
      <c r="AL119" s="7" t="n">
        <f aca="false">IF(OR(AF119="",AJ119=""),"",AJ119-AF119)</f>
        <v>1</v>
      </c>
      <c r="AM119" s="7" t="n">
        <f aca="false">IF(COUNT(AF119:AJ119)&gt;=2,ROUND(_xlfn.STDEV.S(AF119:AJ119),3),"")</f>
        <v>0.548</v>
      </c>
      <c r="AN119" s="7" t="n">
        <f aca="false">ROUND((IF(AF119="",0,AF119)*Assumptions!$F$15)+(IF(AG119="",0,AG119)*Assumptions!$F$16)+(IF(AH119="",0,AH119)*Assumptions!$F$17)+(IF(AI119="",0,AI119)*Assumptions!$F$18)+(IF(AJ119="",0,AJ119)*Assumptions!$F$19),3)</f>
        <v>3.55</v>
      </c>
      <c r="AO119" s="0" t="str">
        <f aca="false">IF(AC119&lt;=20,"",IF(AC119&lt;=Assumptions!$F$6,"20-30",IF(AC119&lt;=Assumptions!$F$7,"30-40",IF(AC119&lt;=Assumptions!$F$8,"40-50",IF(AC119&lt;=Assumptions!$F$9,"50-60",IF(AC119&lt;=Assumptions!$F$10,"60+",""))))))</f>
        <v>50-60</v>
      </c>
      <c r="AP119" s="0" t="str">
        <f aca="false">IFERROR(VLOOKUP(O119,Assumptions!$B$14:$C$26,2,FALSE()),"Other")</f>
        <v>Leadership</v>
      </c>
      <c r="AQ119" s="0" t="n">
        <f aca="false">IF(T119="",0,1)</f>
        <v>1</v>
      </c>
      <c r="AR119" s="0" t="n">
        <f aca="false">IF(U119="",0,1)</f>
        <v>0</v>
      </c>
      <c r="AS119" s="8" t="n">
        <f aca="false">IF(AK119="","",IF(MAX($AK$2:$AK$921)=MIN($AK$2:$AK$921),50,ROUND((AK119-MIN($AK$2:$AK$921))/(MAX($AK$2:$AK$921)-MIN($AK$2:$AK$921))*100,2)))</f>
        <v>74.28</v>
      </c>
      <c r="AT119" s="8" t="n">
        <f aca="false">IF(MAX($BC$2:$BC$921)=MIN($BC$2:$BC$921),50,ROUND((BC119-MIN($BC$2:$BC$921))/(MAX($BC$2:$BC$921)-MIN($BC$2:$BC$921))*100,2))</f>
        <v>75</v>
      </c>
      <c r="AU119" s="8" t="n">
        <f aca="false">IF(MAX($BE$2:$BE$921)=MIN($BE$2:$BE$921),50,ROUND((BE119-MIN($BE$2:$BE$921))/(MAX($BE$2:$BE$921)-MIN($BE$2:$BE$921))*100,2))</f>
        <v>68.36</v>
      </c>
      <c r="AV119" s="8" t="n">
        <f aca="false">IF(MAX($AD$2:$AD$921)=MIN($AD$2:$AD$921),50,ROUND((AD119-MIN($AD$2:$AD$921))/(MAX($AD$2:$AD$921)-MIN($AD$2:$AD$921))*100,2))</f>
        <v>64.39</v>
      </c>
      <c r="AW119" s="8" t="n">
        <f aca="false">IF(MAX($AN$2:$AN$921)=MIN($AN$2:$AN$921),50,ROUND((AN119-MIN($AN$2:$AN$921))/(MAX($AN$2:$AN$921)-MIN($AN$2:$AN$921))*100,2))</f>
        <v>88.75</v>
      </c>
      <c r="AX119" s="8" t="n">
        <f aca="false">AQ119*100</f>
        <v>100</v>
      </c>
      <c r="AY119" s="8" t="n">
        <f aca="false">AR119*100</f>
        <v>0</v>
      </c>
      <c r="AZ119" s="8" t="n">
        <f aca="false">IFERROR(ROUND(AS119*Assumptions!$I$6+AW119*Assumptions!$I$7+AT119*Assumptions!$I$8+AU119*Assumptions!$I$9+AV119*Assumptions!$I$10+AX119*Assumptions!$I$11+AY119*Assumptions!$I$12,2),"")</f>
        <v>72.98</v>
      </c>
      <c r="BA119" s="0" t="str">
        <f aca="false">IF(AZ119="","",IF(AZ119&lt;=Assumptions!$I$18,"Below Expectation",IF(AZ119&lt;=Assumptions!$I$19,"Developing",IF(AZ119&lt;=Assumptions!$I$20,"Meets Expectation",IF(AZ119&lt;=Assumptions!$I$21,"Exceeds","Star Performer")))))</f>
        <v>Exceeds</v>
      </c>
      <c r="BB119" s="0" t="n">
        <f aca="false">IF(AZ119="",0,IF(AZ119&gt;=Assumptions!$I$26,1,0))</f>
        <v>1</v>
      </c>
      <c r="BC119" s="9" t="n">
        <f aca="false">IF(AL119="",2,AL119+2)</f>
        <v>3</v>
      </c>
      <c r="BD119" s="10" t="n">
        <f aca="false">IF(AM119="",ROUND(AVERAGE($AM$2:$AM$921),3),AM119)</f>
        <v>0.548</v>
      </c>
      <c r="BE119" s="9" t="n">
        <f aca="false">1-BD119</f>
        <v>0.452</v>
      </c>
    </row>
    <row r="120" customFormat="false" ht="14.25" hidden="true" customHeight="false" outlineLevel="0" collapsed="false">
      <c r="A120" s="4" t="n">
        <v>19</v>
      </c>
      <c r="B120" s="5" t="n">
        <v>602804</v>
      </c>
      <c r="C120" s="5"/>
      <c r="D120" s="5" t="s">
        <v>798</v>
      </c>
      <c r="E120" s="5" t="s">
        <v>257</v>
      </c>
      <c r="F120" s="5" t="s">
        <v>62</v>
      </c>
      <c r="G120" s="5" t="s">
        <v>61</v>
      </c>
      <c r="H120" s="5" t="s">
        <v>62</v>
      </c>
      <c r="I120" s="5" t="s">
        <v>63</v>
      </c>
      <c r="J120" s="5" t="s">
        <v>76</v>
      </c>
      <c r="K120" s="5" t="s">
        <v>65</v>
      </c>
      <c r="L120" s="6" t="n">
        <v>32883</v>
      </c>
      <c r="M120" s="5" t="s">
        <v>799</v>
      </c>
      <c r="N120" s="6" t="n">
        <v>25042</v>
      </c>
      <c r="O120" s="5" t="s">
        <v>89</v>
      </c>
      <c r="P120" s="5" t="s">
        <v>90</v>
      </c>
      <c r="Q120" s="5" t="s">
        <v>800</v>
      </c>
      <c r="R120" s="5" t="s">
        <v>801</v>
      </c>
      <c r="S120" s="5" t="s">
        <v>802</v>
      </c>
      <c r="T120" s="6" t="n">
        <v>40269</v>
      </c>
      <c r="U120" s="6" t="n">
        <v>44440</v>
      </c>
      <c r="V120" s="5" t="s">
        <v>83</v>
      </c>
      <c r="W120" s="5" t="s">
        <v>141</v>
      </c>
      <c r="X120" s="5" t="s">
        <v>141</v>
      </c>
      <c r="Y120" s="5" t="s">
        <v>83</v>
      </c>
      <c r="Z120" s="5" t="s">
        <v>141</v>
      </c>
      <c r="AA120" s="5" t="s">
        <v>803</v>
      </c>
      <c r="AB120" s="0" t="n">
        <f aca="false">IFERROR(VALUE(R120),0)</f>
        <v>1.5</v>
      </c>
      <c r="AC120" s="0" t="n">
        <f aca="false">IFERROR(VALUE(M120),"")</f>
        <v>57.1</v>
      </c>
      <c r="AD120" s="0" t="n">
        <f aca="false">IFERROR(VALUE(Q120),"")</f>
        <v>36.4</v>
      </c>
      <c r="AE120" s="0" t="n">
        <f aca="false">IFERROR(VALUE(S120),"")</f>
        <v>37.9</v>
      </c>
      <c r="AF120" s="0" t="n">
        <f aca="false">IF(V120="","",VLOOKUP(V120,Assumptions!$B$6:$C$9,2,FALSE()))</f>
        <v>4</v>
      </c>
      <c r="AG120" s="0" t="n">
        <f aca="false">IF(W120="","",VLOOKUP(W120,Assumptions!$B$6:$C$9,2,FALSE()))</f>
        <v>3</v>
      </c>
      <c r="AH120" s="0" t="n">
        <f aca="false">IF(X120="","",VLOOKUP(X120,Assumptions!$B$6:$C$9,2,FALSE()))</f>
        <v>3</v>
      </c>
      <c r="AI120" s="0" t="n">
        <f aca="false">IF(Y120="","",VLOOKUP(Y120,Assumptions!$B$6:$C$9,2,FALSE()))</f>
        <v>4</v>
      </c>
      <c r="AJ120" s="0" t="n">
        <f aca="false">IF(Z120="","",VLOOKUP(Z120,Assumptions!$B$6:$C$9,2,FALSE()))</f>
        <v>3</v>
      </c>
      <c r="AK120" s="7" t="n">
        <f aca="false">IFERROR(ROUND(AVERAGE(AF120:AJ120),3),"")</f>
        <v>3.4</v>
      </c>
      <c r="AL120" s="7" t="n">
        <f aca="false">IF(OR(AF120="",AJ120=""),"",AJ120-AF120)</f>
        <v>-1</v>
      </c>
      <c r="AM120" s="7" t="n">
        <f aca="false">IF(COUNT(AF120:AJ120)&gt;=2,ROUND(_xlfn.STDEV.S(AF120:AJ120),3),"")</f>
        <v>0.548</v>
      </c>
      <c r="AN120" s="7" t="n">
        <f aca="false">ROUND((IF(AF120="",0,AF120)*Assumptions!$F$15)+(IF(AG120="",0,AG120)*Assumptions!$F$16)+(IF(AH120="",0,AH120)*Assumptions!$F$17)+(IF(AI120="",0,AI120)*Assumptions!$F$18)+(IF(AJ120="",0,AJ120)*Assumptions!$F$19),3)</f>
        <v>3.35</v>
      </c>
      <c r="AO120" s="0" t="str">
        <f aca="false">IF(AC120&lt;=20,"",IF(AC120&lt;=Assumptions!$F$6,"20-30",IF(AC120&lt;=Assumptions!$F$7,"30-40",IF(AC120&lt;=Assumptions!$F$8,"40-50",IF(AC120&lt;=Assumptions!$F$9,"50-60",IF(AC120&lt;=Assumptions!$F$10,"60+",""))))))</f>
        <v>50-60</v>
      </c>
      <c r="AP120" s="0" t="str">
        <f aca="false">IFERROR(VLOOKUP(O120,Assumptions!$B$14:$C$26,2,FALSE()),"Other")</f>
        <v>Leadership</v>
      </c>
      <c r="AQ120" s="0" t="n">
        <f aca="false">IF(T120="",0,1)</f>
        <v>1</v>
      </c>
      <c r="AR120" s="0" t="n">
        <f aca="false">IF(U120="",0,1)</f>
        <v>1</v>
      </c>
      <c r="AS120" s="8" t="n">
        <f aca="false">IF(AK120="","",IF(MAX($AK$2:$AK$921)=MIN($AK$2:$AK$921),50,ROUND((AK120-MIN($AK$2:$AK$921))/(MAX($AK$2:$AK$921)-MIN($AK$2:$AK$921))*100,2)))</f>
        <v>74.28</v>
      </c>
      <c r="AT120" s="8" t="n">
        <f aca="false">IF(MAX($BC$2:$BC$921)=MIN($BC$2:$BC$921),50,ROUND((BC120-MIN($BC$2:$BC$921))/(MAX($BC$2:$BC$921)-MIN($BC$2:$BC$921))*100,2))</f>
        <v>25</v>
      </c>
      <c r="AU120" s="8" t="n">
        <f aca="false">IF(MAX($BE$2:$BE$921)=MIN($BE$2:$BE$921),50,ROUND((BE120-MIN($BE$2:$BE$921))/(MAX($BE$2:$BE$921)-MIN($BE$2:$BE$921))*100,2))</f>
        <v>68.36</v>
      </c>
      <c r="AV120" s="8" t="n">
        <f aca="false">IF(MAX($AD$2:$AD$921)=MIN($AD$2:$AD$921),50,ROUND((AD120-MIN($AD$2:$AD$921))/(MAX($AD$2:$AD$921)-MIN($AD$2:$AD$921))*100,2))</f>
        <v>98.64</v>
      </c>
      <c r="AW120" s="8" t="n">
        <f aca="false">IF(MAX($AN$2:$AN$921)=MIN($AN$2:$AN$921),50,ROUND((AN120-MIN($AN$2:$AN$921))/(MAX($AN$2:$AN$921)-MIN($AN$2:$AN$921))*100,2))</f>
        <v>83.75</v>
      </c>
      <c r="AX120" s="8" t="n">
        <f aca="false">AQ120*100</f>
        <v>100</v>
      </c>
      <c r="AY120" s="8" t="n">
        <f aca="false">AR120*100</f>
        <v>100</v>
      </c>
      <c r="AZ120" s="8" t="n">
        <f aca="false">IFERROR(ROUND(AS120*Assumptions!$I$6+AW120*Assumptions!$I$7+AT120*Assumptions!$I$8+AU120*Assumptions!$I$9+AV120*Assumptions!$I$10+AX120*Assumptions!$I$11+AY120*Assumptions!$I$12,2),"")</f>
        <v>72.9</v>
      </c>
      <c r="BA120" s="0" t="str">
        <f aca="false">IF(AZ120="","",IF(AZ120&lt;=Assumptions!$I$18,"Below Expectation",IF(AZ120&lt;=Assumptions!$I$19,"Developing",IF(AZ120&lt;=Assumptions!$I$20,"Meets Expectation",IF(AZ120&lt;=Assumptions!$I$21,"Exceeds","Star Performer")))))</f>
        <v>Exceeds</v>
      </c>
      <c r="BB120" s="0" t="n">
        <f aca="false">IF(AZ120="",0,IF(AZ120&gt;=Assumptions!$I$26,1,0))</f>
        <v>1</v>
      </c>
      <c r="BC120" s="9" t="n">
        <f aca="false">IF(AL120="",2,AL120+2)</f>
        <v>1</v>
      </c>
      <c r="BD120" s="10" t="n">
        <f aca="false">IF(AM120="",ROUND(AVERAGE($AM$2:$AM$921),3),AM120)</f>
        <v>0.548</v>
      </c>
      <c r="BE120" s="9" t="n">
        <f aca="false">1-BD120</f>
        <v>0.452</v>
      </c>
    </row>
    <row r="121" customFormat="false" ht="14.25" hidden="true" customHeight="false" outlineLevel="0" collapsed="false">
      <c r="A121" s="4" t="n">
        <v>206</v>
      </c>
      <c r="B121" s="5" t="n">
        <v>10056245</v>
      </c>
      <c r="C121" s="5" t="s">
        <v>85</v>
      </c>
      <c r="D121" s="5" t="s">
        <v>804</v>
      </c>
      <c r="E121" s="5" t="s">
        <v>805</v>
      </c>
      <c r="F121" s="5" t="s">
        <v>267</v>
      </c>
      <c r="G121" s="5" t="s">
        <v>268</v>
      </c>
      <c r="H121" s="5" t="s">
        <v>267</v>
      </c>
      <c r="I121" s="5" t="s">
        <v>63</v>
      </c>
      <c r="J121" s="5" t="s">
        <v>76</v>
      </c>
      <c r="K121" s="5" t="s">
        <v>65</v>
      </c>
      <c r="L121" s="6" t="n">
        <v>42716</v>
      </c>
      <c r="M121" s="5" t="s">
        <v>806</v>
      </c>
      <c r="N121" s="6" t="n">
        <v>30490</v>
      </c>
      <c r="O121" s="5" t="s">
        <v>262</v>
      </c>
      <c r="P121" s="5" t="s">
        <v>263</v>
      </c>
      <c r="Q121" s="5" t="s">
        <v>425</v>
      </c>
      <c r="R121" s="5" t="s">
        <v>807</v>
      </c>
      <c r="S121" s="5" t="s">
        <v>272</v>
      </c>
      <c r="T121" s="6"/>
      <c r="U121" s="6" t="n">
        <v>44652</v>
      </c>
      <c r="V121" s="5" t="s">
        <v>83</v>
      </c>
      <c r="W121" s="5" t="s">
        <v>141</v>
      </c>
      <c r="X121" s="5" t="s">
        <v>83</v>
      </c>
      <c r="Y121" s="5" t="s">
        <v>83</v>
      </c>
      <c r="Z121" s="5" t="s">
        <v>83</v>
      </c>
      <c r="AA121" s="5" t="s">
        <v>808</v>
      </c>
      <c r="AB121" s="0" t="n">
        <f aca="false">IFERROR(VALUE(R121),0)</f>
        <v>7.6</v>
      </c>
      <c r="AC121" s="0" t="n">
        <f aca="false">IFERROR(VALUE(M121),"")</f>
        <v>42.11</v>
      </c>
      <c r="AD121" s="0" t="n">
        <f aca="false">IFERROR(VALUE(Q121),"")</f>
        <v>9.5</v>
      </c>
      <c r="AE121" s="0" t="n">
        <f aca="false">IFERROR(VALUE(S121),"")</f>
        <v>16.11</v>
      </c>
      <c r="AF121" s="0" t="n">
        <f aca="false">IF(V121="","",VLOOKUP(V121,Assumptions!$B$6:$C$9,2,FALSE()))</f>
        <v>4</v>
      </c>
      <c r="AG121" s="0" t="n">
        <f aca="false">IF(W121="","",VLOOKUP(W121,Assumptions!$B$6:$C$9,2,FALSE()))</f>
        <v>3</v>
      </c>
      <c r="AH121" s="0" t="n">
        <f aca="false">IF(X121="","",VLOOKUP(X121,Assumptions!$B$6:$C$9,2,FALSE()))</f>
        <v>4</v>
      </c>
      <c r="AI121" s="0" t="n">
        <f aca="false">IF(Y121="","",VLOOKUP(Y121,Assumptions!$B$6:$C$9,2,FALSE()))</f>
        <v>4</v>
      </c>
      <c r="AJ121" s="0" t="n">
        <f aca="false">IF(Z121="","",VLOOKUP(Z121,Assumptions!$B$6:$C$9,2,FALSE()))</f>
        <v>4</v>
      </c>
      <c r="AK121" s="7" t="n">
        <f aca="false">IFERROR(ROUND(AVERAGE(AF121:AJ121),3),"")</f>
        <v>3.8</v>
      </c>
      <c r="AL121" s="7" t="n">
        <f aca="false">IF(OR(AF121="",AJ121=""),"",AJ121-AF121)</f>
        <v>0</v>
      </c>
      <c r="AM121" s="7" t="n">
        <f aca="false">IF(COUNT(AF121:AJ121)&gt;=2,ROUND(_xlfn.STDEV.S(AF121:AJ121),3),"")</f>
        <v>0.447</v>
      </c>
      <c r="AN121" s="7" t="n">
        <f aca="false">ROUND((IF(AF121="",0,AF121)*Assumptions!$F$15)+(IF(AG121="",0,AG121)*Assumptions!$F$16)+(IF(AH121="",0,AH121)*Assumptions!$F$17)+(IF(AI121="",0,AI121)*Assumptions!$F$18)+(IF(AJ121="",0,AJ121)*Assumptions!$F$19),3)</f>
        <v>3.85</v>
      </c>
      <c r="AO121" s="0" t="str">
        <f aca="false">IF(AC121&lt;=20,"",IF(AC121&lt;=Assumptions!$F$6,"20-30",IF(AC121&lt;=Assumptions!$F$7,"30-40",IF(AC121&lt;=Assumptions!$F$8,"40-50",IF(AC121&lt;=Assumptions!$F$9,"50-60",IF(AC121&lt;=Assumptions!$F$10,"60+",""))))))</f>
        <v>40-50</v>
      </c>
      <c r="AP121" s="0" t="str">
        <f aca="false">IFERROR(VLOOKUP(O121,Assumptions!$B$14:$C$26,2,FALSE()),"Other")</f>
        <v>Manager</v>
      </c>
      <c r="AQ121" s="0" t="n">
        <f aca="false">IF(T121="",0,1)</f>
        <v>0</v>
      </c>
      <c r="AR121" s="0" t="n">
        <f aca="false">IF(U121="",0,1)</f>
        <v>1</v>
      </c>
      <c r="AS121" s="8" t="n">
        <f aca="false">IF(AK121="","",IF(MAX($AK$2:$AK$921)=MIN($AK$2:$AK$921),50,ROUND((AK121-MIN($AK$2:$AK$921))/(MAX($AK$2:$AK$921)-MIN($AK$2:$AK$921))*100,2)))</f>
        <v>91.43</v>
      </c>
      <c r="AT121" s="8" t="n">
        <f aca="false">IF(MAX($BC$2:$BC$921)=MIN($BC$2:$BC$921),50,ROUND((BC121-MIN($BC$2:$BC$921))/(MAX($BC$2:$BC$921)-MIN($BC$2:$BC$921))*100,2))</f>
        <v>50</v>
      </c>
      <c r="AU121" s="8" t="n">
        <f aca="false">IF(MAX($BE$2:$BE$921)=MIN($BE$2:$BE$921),50,ROUND((BE121-MIN($BE$2:$BE$921))/(MAX($BE$2:$BE$921)-MIN($BE$2:$BE$921))*100,2))</f>
        <v>74.19</v>
      </c>
      <c r="AV121" s="8" t="n">
        <f aca="false">IF(MAX($AD$2:$AD$921)=MIN($AD$2:$AD$921),50,ROUND((AD121-MIN($AD$2:$AD$921))/(MAX($AD$2:$AD$921)-MIN($AD$2:$AD$921))*100,2))</f>
        <v>25.52</v>
      </c>
      <c r="AW121" s="8" t="n">
        <f aca="false">IF(MAX($AN$2:$AN$921)=MIN($AN$2:$AN$921),50,ROUND((AN121-MIN($AN$2:$AN$921))/(MAX($AN$2:$AN$921)-MIN($AN$2:$AN$921))*100,2))</f>
        <v>96.25</v>
      </c>
      <c r="AX121" s="8" t="n">
        <f aca="false">AQ121*100</f>
        <v>0</v>
      </c>
      <c r="AY121" s="8" t="n">
        <f aca="false">AR121*100</f>
        <v>100</v>
      </c>
      <c r="AZ121" s="8" t="n">
        <f aca="false">IFERROR(ROUND(AS121*Assumptions!$I$6+AW121*Assumptions!$I$7+AT121*Assumptions!$I$8+AU121*Assumptions!$I$9+AV121*Assumptions!$I$10+AX121*Assumptions!$I$11+AY121*Assumptions!$I$12,2),"")</f>
        <v>72.86</v>
      </c>
      <c r="BA121" s="0" t="str">
        <f aca="false">IF(AZ121="","",IF(AZ121&lt;=Assumptions!$I$18,"Below Expectation",IF(AZ121&lt;=Assumptions!$I$19,"Developing",IF(AZ121&lt;=Assumptions!$I$20,"Meets Expectation",IF(AZ121&lt;=Assumptions!$I$21,"Exceeds","Star Performer")))))</f>
        <v>Exceeds</v>
      </c>
      <c r="BB121" s="0" t="n">
        <f aca="false">IF(AZ121="",0,IF(AZ121&gt;=Assumptions!$I$26,1,0))</f>
        <v>1</v>
      </c>
      <c r="BC121" s="9" t="n">
        <f aca="false">IF(AL121="",2,AL121+2)</f>
        <v>2</v>
      </c>
      <c r="BD121" s="10" t="n">
        <f aca="false">IF(AM121="",ROUND(AVERAGE($AM$2:$AM$921),3),AM121)</f>
        <v>0.447</v>
      </c>
      <c r="BE121" s="9" t="n">
        <f aca="false">1-BD121</f>
        <v>0.553</v>
      </c>
    </row>
    <row r="122" customFormat="false" ht="14.25" hidden="true" customHeight="false" outlineLevel="0" collapsed="false">
      <c r="A122" s="4" t="n">
        <v>29</v>
      </c>
      <c r="B122" s="5" t="n">
        <v>2027908</v>
      </c>
      <c r="C122" s="5" t="s">
        <v>85</v>
      </c>
      <c r="D122" s="5" t="s">
        <v>809</v>
      </c>
      <c r="E122" s="5" t="s">
        <v>185</v>
      </c>
      <c r="F122" s="5" t="s">
        <v>62</v>
      </c>
      <c r="G122" s="5" t="s">
        <v>61</v>
      </c>
      <c r="H122" s="5" t="s">
        <v>62</v>
      </c>
      <c r="I122" s="5" t="s">
        <v>63</v>
      </c>
      <c r="J122" s="5" t="s">
        <v>76</v>
      </c>
      <c r="K122" s="5" t="s">
        <v>65</v>
      </c>
      <c r="L122" s="6" t="n">
        <v>35136</v>
      </c>
      <c r="M122" s="5" t="s">
        <v>810</v>
      </c>
      <c r="N122" s="6" t="n">
        <v>24823</v>
      </c>
      <c r="O122" s="5" t="s">
        <v>89</v>
      </c>
      <c r="P122" s="5" t="s">
        <v>90</v>
      </c>
      <c r="Q122" s="5" t="s">
        <v>739</v>
      </c>
      <c r="R122" s="5" t="s">
        <v>439</v>
      </c>
      <c r="S122" s="5" t="s">
        <v>247</v>
      </c>
      <c r="T122" s="6" t="n">
        <v>41000</v>
      </c>
      <c r="U122" s="6" t="n">
        <v>44440</v>
      </c>
      <c r="V122" s="5" t="s">
        <v>141</v>
      </c>
      <c r="W122" s="5" t="s">
        <v>141</v>
      </c>
      <c r="X122" s="5" t="s">
        <v>141</v>
      </c>
      <c r="Y122" s="5" t="s">
        <v>141</v>
      </c>
      <c r="Z122" s="5" t="s">
        <v>141</v>
      </c>
      <c r="AA122" s="5" t="s">
        <v>811</v>
      </c>
      <c r="AB122" s="0" t="n">
        <f aca="false">IFERROR(VALUE(R122),0)</f>
        <v>7.1</v>
      </c>
      <c r="AC122" s="0" t="n">
        <f aca="false">IFERROR(VALUE(M122),"")</f>
        <v>58.5</v>
      </c>
      <c r="AD122" s="0" t="n">
        <f aca="false">IFERROR(VALUE(Q122),"")</f>
        <v>30.2</v>
      </c>
      <c r="AE122" s="0" t="n">
        <f aca="false">IFERROR(VALUE(S122),"")</f>
        <v>37.3</v>
      </c>
      <c r="AF122" s="0" t="n">
        <f aca="false">IF(V122="","",VLOOKUP(V122,Assumptions!$B$6:$C$9,2,FALSE()))</f>
        <v>3</v>
      </c>
      <c r="AG122" s="0" t="n">
        <f aca="false">IF(W122="","",VLOOKUP(W122,Assumptions!$B$6:$C$9,2,FALSE()))</f>
        <v>3</v>
      </c>
      <c r="AH122" s="0" t="n">
        <f aca="false">IF(X122="","",VLOOKUP(X122,Assumptions!$B$6:$C$9,2,FALSE()))</f>
        <v>3</v>
      </c>
      <c r="AI122" s="0" t="n">
        <f aca="false">IF(Y122="","",VLOOKUP(Y122,Assumptions!$B$6:$C$9,2,FALSE()))</f>
        <v>3</v>
      </c>
      <c r="AJ122" s="0" t="n">
        <f aca="false">IF(Z122="","",VLOOKUP(Z122,Assumptions!$B$6:$C$9,2,FALSE()))</f>
        <v>3</v>
      </c>
      <c r="AK122" s="7" t="n">
        <f aca="false">IFERROR(ROUND(AVERAGE(AF122:AJ122),3),"")</f>
        <v>3</v>
      </c>
      <c r="AL122" s="7" t="n">
        <f aca="false">IF(OR(AF122="",AJ122=""),"",AJ122-AF122)</f>
        <v>0</v>
      </c>
      <c r="AM122" s="7" t="n">
        <f aca="false">IF(COUNT(AF122:AJ122)&gt;=2,ROUND(_xlfn.STDEV.S(AF122:AJ122),3),"")</f>
        <v>0</v>
      </c>
      <c r="AN122" s="7" t="n">
        <f aca="false">ROUND((IF(AF122="",0,AF122)*Assumptions!$F$15)+(IF(AG122="",0,AG122)*Assumptions!$F$16)+(IF(AH122="",0,AH122)*Assumptions!$F$17)+(IF(AI122="",0,AI122)*Assumptions!$F$18)+(IF(AJ122="",0,AJ122)*Assumptions!$F$19),3)</f>
        <v>3</v>
      </c>
      <c r="AO122" s="0" t="str">
        <f aca="false">IF(AC122&lt;=20,"",IF(AC122&lt;=Assumptions!$F$6,"20-30",IF(AC122&lt;=Assumptions!$F$7,"30-40",IF(AC122&lt;=Assumptions!$F$8,"40-50",IF(AC122&lt;=Assumptions!$F$9,"50-60",IF(AC122&lt;=Assumptions!$F$10,"60+",""))))))</f>
        <v>50-60</v>
      </c>
      <c r="AP122" s="0" t="str">
        <f aca="false">IFERROR(VLOOKUP(O122,Assumptions!$B$14:$C$26,2,FALSE()),"Other")</f>
        <v>Leadership</v>
      </c>
      <c r="AQ122" s="0" t="n">
        <f aca="false">IF(T122="",0,1)</f>
        <v>1</v>
      </c>
      <c r="AR122" s="0" t="n">
        <f aca="false">IF(U122="",0,1)</f>
        <v>1</v>
      </c>
      <c r="AS122" s="8" t="n">
        <f aca="false">IF(AK122="","",IF(MAX($AK$2:$AK$921)=MIN($AK$2:$AK$921),50,ROUND((AK122-MIN($AK$2:$AK$921))/(MAX($AK$2:$AK$921)-MIN($AK$2:$AK$921))*100,2)))</f>
        <v>57.14</v>
      </c>
      <c r="AT122" s="8" t="n">
        <f aca="false">IF(MAX($BC$2:$BC$921)=MIN($BC$2:$BC$921),50,ROUND((BC122-MIN($BC$2:$BC$921))/(MAX($BC$2:$BC$921)-MIN($BC$2:$BC$921))*100,2))</f>
        <v>50</v>
      </c>
      <c r="AU122" s="8" t="n">
        <f aca="false">IF(MAX($BE$2:$BE$921)=MIN($BE$2:$BE$921),50,ROUND((BE122-MIN($BE$2:$BE$921))/(MAX($BE$2:$BE$921)-MIN($BE$2:$BE$921))*100,2))</f>
        <v>100</v>
      </c>
      <c r="AV122" s="8" t="n">
        <f aca="false">IF(MAX($AD$2:$AD$921)=MIN($AD$2:$AD$921),50,ROUND((AD122-MIN($AD$2:$AD$921))/(MAX($AD$2:$AD$921)-MIN($AD$2:$AD$921))*100,2))</f>
        <v>81.79</v>
      </c>
      <c r="AW122" s="8" t="n">
        <f aca="false">IF(MAX($AN$2:$AN$921)=MIN($AN$2:$AN$921),50,ROUND((AN122-MIN($AN$2:$AN$921))/(MAX($AN$2:$AN$921)-MIN($AN$2:$AN$921))*100,2))</f>
        <v>75</v>
      </c>
      <c r="AX122" s="8" t="n">
        <f aca="false">AQ122*100</f>
        <v>100</v>
      </c>
      <c r="AY122" s="8" t="n">
        <f aca="false">AR122*100</f>
        <v>100</v>
      </c>
      <c r="AZ122" s="8" t="n">
        <f aca="false">IFERROR(ROUND(AS122*Assumptions!$I$6+AW122*Assumptions!$I$7+AT122*Assumptions!$I$8+AU122*Assumptions!$I$9+AV122*Assumptions!$I$10+AX122*Assumptions!$I$11+AY122*Assumptions!$I$12,2),"")</f>
        <v>72.82</v>
      </c>
      <c r="BA122" s="0" t="str">
        <f aca="false">IF(AZ122="","",IF(AZ122&lt;=Assumptions!$I$18,"Below Expectation",IF(AZ122&lt;=Assumptions!$I$19,"Developing",IF(AZ122&lt;=Assumptions!$I$20,"Meets Expectation",IF(AZ122&lt;=Assumptions!$I$21,"Exceeds","Star Performer")))))</f>
        <v>Exceeds</v>
      </c>
      <c r="BB122" s="0" t="n">
        <f aca="false">IF(AZ122="",0,IF(AZ122&gt;=Assumptions!$I$26,1,0))</f>
        <v>1</v>
      </c>
      <c r="BC122" s="9" t="n">
        <f aca="false">IF(AL122="",2,AL122+2)</f>
        <v>2</v>
      </c>
      <c r="BD122" s="10" t="n">
        <f aca="false">IF(AM122="",ROUND(AVERAGE($AM$2:$AM$921),3),AM122)</f>
        <v>0</v>
      </c>
      <c r="BE122" s="9" t="n">
        <f aca="false">1-BD122</f>
        <v>1</v>
      </c>
    </row>
    <row r="123" customFormat="false" ht="14.25" hidden="true" customHeight="false" outlineLevel="0" collapsed="false">
      <c r="A123" s="4" t="n">
        <v>223</v>
      </c>
      <c r="B123" s="5" t="n">
        <v>10058149</v>
      </c>
      <c r="C123" s="5" t="s">
        <v>57</v>
      </c>
      <c r="D123" s="5" t="s">
        <v>812</v>
      </c>
      <c r="E123" s="5" t="s">
        <v>208</v>
      </c>
      <c r="F123" s="5" t="s">
        <v>387</v>
      </c>
      <c r="G123" s="5" t="s">
        <v>388</v>
      </c>
      <c r="H123" s="5" t="s">
        <v>387</v>
      </c>
      <c r="I123" s="5" t="s">
        <v>63</v>
      </c>
      <c r="J123" s="5" t="s">
        <v>100</v>
      </c>
      <c r="K123" s="5" t="s">
        <v>65</v>
      </c>
      <c r="L123" s="6" t="n">
        <v>42849</v>
      </c>
      <c r="M123" s="5" t="s">
        <v>813</v>
      </c>
      <c r="N123" s="6" t="n">
        <v>34265</v>
      </c>
      <c r="O123" s="5" t="s">
        <v>332</v>
      </c>
      <c r="P123" s="5" t="s">
        <v>333</v>
      </c>
      <c r="Q123" s="5" t="s">
        <v>444</v>
      </c>
      <c r="R123" s="5" t="s">
        <v>554</v>
      </c>
      <c r="S123" s="5" t="s">
        <v>296</v>
      </c>
      <c r="T123" s="6"/>
      <c r="U123" s="6" t="n">
        <v>44958</v>
      </c>
      <c r="V123" s="5" t="s">
        <v>83</v>
      </c>
      <c r="W123" s="5" t="s">
        <v>141</v>
      </c>
      <c r="X123" s="5" t="s">
        <v>83</v>
      </c>
      <c r="Y123" s="5" t="s">
        <v>83</v>
      </c>
      <c r="Z123" s="5" t="s">
        <v>83</v>
      </c>
      <c r="AA123" s="5" t="s">
        <v>814</v>
      </c>
      <c r="AB123" s="0" t="n">
        <f aca="false">IFERROR(VALUE(R123),0)</f>
        <v>4.2</v>
      </c>
      <c r="AC123" s="0" t="n">
        <f aca="false">IFERROR(VALUE(M123),"")</f>
        <v>32.7</v>
      </c>
      <c r="AD123" s="0" t="n">
        <f aca="false">IFERROR(VALUE(Q123),"")</f>
        <v>9.1</v>
      </c>
      <c r="AE123" s="0" t="n">
        <f aca="false">IFERROR(VALUE(S123),"")</f>
        <v>13.3</v>
      </c>
      <c r="AF123" s="0" t="n">
        <f aca="false">IF(V123="","",VLOOKUP(V123,Assumptions!$B$6:$C$9,2,FALSE()))</f>
        <v>4</v>
      </c>
      <c r="AG123" s="0" t="n">
        <f aca="false">IF(W123="","",VLOOKUP(W123,Assumptions!$B$6:$C$9,2,FALSE()))</f>
        <v>3</v>
      </c>
      <c r="AH123" s="0" t="n">
        <f aca="false">IF(X123="","",VLOOKUP(X123,Assumptions!$B$6:$C$9,2,FALSE()))</f>
        <v>4</v>
      </c>
      <c r="AI123" s="0" t="n">
        <f aca="false">IF(Y123="","",VLOOKUP(Y123,Assumptions!$B$6:$C$9,2,FALSE()))</f>
        <v>4</v>
      </c>
      <c r="AJ123" s="0" t="n">
        <f aca="false">IF(Z123="","",VLOOKUP(Z123,Assumptions!$B$6:$C$9,2,FALSE()))</f>
        <v>4</v>
      </c>
      <c r="AK123" s="7" t="n">
        <f aca="false">IFERROR(ROUND(AVERAGE(AF123:AJ123),3),"")</f>
        <v>3.8</v>
      </c>
      <c r="AL123" s="7" t="n">
        <f aca="false">IF(OR(AF123="",AJ123=""),"",AJ123-AF123)</f>
        <v>0</v>
      </c>
      <c r="AM123" s="7" t="n">
        <f aca="false">IF(COUNT(AF123:AJ123)&gt;=2,ROUND(_xlfn.STDEV.S(AF123:AJ123),3),"")</f>
        <v>0.447</v>
      </c>
      <c r="AN123" s="7" t="n">
        <f aca="false">ROUND((IF(AF123="",0,AF123)*Assumptions!$F$15)+(IF(AG123="",0,AG123)*Assumptions!$F$16)+(IF(AH123="",0,AH123)*Assumptions!$F$17)+(IF(AI123="",0,AI123)*Assumptions!$F$18)+(IF(AJ123="",0,AJ123)*Assumptions!$F$19),3)</f>
        <v>3.85</v>
      </c>
      <c r="AO123" s="0" t="str">
        <f aca="false">IF(AC123&lt;=20,"",IF(AC123&lt;=Assumptions!$F$6,"20-30",IF(AC123&lt;=Assumptions!$F$7,"30-40",IF(AC123&lt;=Assumptions!$F$8,"40-50",IF(AC123&lt;=Assumptions!$F$9,"50-60",IF(AC123&lt;=Assumptions!$F$10,"60+",""))))))</f>
        <v>30-40</v>
      </c>
      <c r="AP123" s="0" t="str">
        <f aca="false">IFERROR(VLOOKUP(O123,Assumptions!$B$14:$C$26,2,FALSE()),"Other")</f>
        <v>Manager</v>
      </c>
      <c r="AQ123" s="0" t="n">
        <f aca="false">IF(T123="",0,1)</f>
        <v>0</v>
      </c>
      <c r="AR123" s="0" t="n">
        <f aca="false">IF(U123="",0,1)</f>
        <v>1</v>
      </c>
      <c r="AS123" s="8" t="n">
        <f aca="false">IF(AK123="","",IF(MAX($AK$2:$AK$921)=MIN($AK$2:$AK$921),50,ROUND((AK123-MIN($AK$2:$AK$921))/(MAX($AK$2:$AK$921)-MIN($AK$2:$AK$921))*100,2)))</f>
        <v>91.43</v>
      </c>
      <c r="AT123" s="8" t="n">
        <f aca="false">IF(MAX($BC$2:$BC$921)=MIN($BC$2:$BC$921),50,ROUND((BC123-MIN($BC$2:$BC$921))/(MAX($BC$2:$BC$921)-MIN($BC$2:$BC$921))*100,2))</f>
        <v>50</v>
      </c>
      <c r="AU123" s="8" t="n">
        <f aca="false">IF(MAX($BE$2:$BE$921)=MIN($BE$2:$BE$921),50,ROUND((BE123-MIN($BE$2:$BE$921))/(MAX($BE$2:$BE$921)-MIN($BE$2:$BE$921))*100,2))</f>
        <v>74.19</v>
      </c>
      <c r="AV123" s="8" t="n">
        <f aca="false">IF(MAX($AD$2:$AD$921)=MIN($AD$2:$AD$921),50,ROUND((AD123-MIN($AD$2:$AD$921))/(MAX($AD$2:$AD$921)-MIN($AD$2:$AD$921))*100,2))</f>
        <v>24.44</v>
      </c>
      <c r="AW123" s="8" t="n">
        <f aca="false">IF(MAX($AN$2:$AN$921)=MIN($AN$2:$AN$921),50,ROUND((AN123-MIN($AN$2:$AN$921))/(MAX($AN$2:$AN$921)-MIN($AN$2:$AN$921))*100,2))</f>
        <v>96.25</v>
      </c>
      <c r="AX123" s="8" t="n">
        <f aca="false">AQ123*100</f>
        <v>0</v>
      </c>
      <c r="AY123" s="8" t="n">
        <f aca="false">AR123*100</f>
        <v>100</v>
      </c>
      <c r="AZ123" s="8" t="n">
        <f aca="false">IFERROR(ROUND(AS123*Assumptions!$I$6+AW123*Assumptions!$I$7+AT123*Assumptions!$I$8+AU123*Assumptions!$I$9+AV123*Assumptions!$I$10+AX123*Assumptions!$I$11+AY123*Assumptions!$I$12,2),"")</f>
        <v>72.75</v>
      </c>
      <c r="BA123" s="0" t="str">
        <f aca="false">IF(AZ123="","",IF(AZ123&lt;=Assumptions!$I$18,"Below Expectation",IF(AZ123&lt;=Assumptions!$I$19,"Developing",IF(AZ123&lt;=Assumptions!$I$20,"Meets Expectation",IF(AZ123&lt;=Assumptions!$I$21,"Exceeds","Star Performer")))))</f>
        <v>Exceeds</v>
      </c>
      <c r="BB123" s="0" t="n">
        <f aca="false">IF(AZ123="",0,IF(AZ123&gt;=Assumptions!$I$26,1,0))</f>
        <v>1</v>
      </c>
      <c r="BC123" s="9" t="n">
        <f aca="false">IF(AL123="",2,AL123+2)</f>
        <v>2</v>
      </c>
      <c r="BD123" s="10" t="n">
        <f aca="false">IF(AM123="",ROUND(AVERAGE($AM$2:$AM$921),3),AM123)</f>
        <v>0.447</v>
      </c>
      <c r="BE123" s="9" t="n">
        <f aca="false">1-BD123</f>
        <v>0.553</v>
      </c>
    </row>
    <row r="124" customFormat="false" ht="14.25" hidden="false" customHeight="false" outlineLevel="0" collapsed="false">
      <c r="A124" s="4" t="n">
        <v>7</v>
      </c>
      <c r="B124" s="5" t="n">
        <v>21414</v>
      </c>
      <c r="C124" s="5" t="s">
        <v>106</v>
      </c>
      <c r="D124" s="5" t="s">
        <v>815</v>
      </c>
      <c r="E124" s="5" t="s">
        <v>305</v>
      </c>
      <c r="F124" s="5" t="s">
        <v>816</v>
      </c>
      <c r="G124" s="5" t="s">
        <v>817</v>
      </c>
      <c r="H124" s="5" t="s">
        <v>816</v>
      </c>
      <c r="I124" s="5" t="s">
        <v>63</v>
      </c>
      <c r="J124" s="5" t="s">
        <v>112</v>
      </c>
      <c r="K124" s="5" t="s">
        <v>65</v>
      </c>
      <c r="L124" s="6" t="n">
        <v>35293</v>
      </c>
      <c r="M124" s="5" t="s">
        <v>818</v>
      </c>
      <c r="N124" s="6" t="n">
        <v>25204</v>
      </c>
      <c r="O124" s="5" t="s">
        <v>332</v>
      </c>
      <c r="P124" s="5" t="s">
        <v>333</v>
      </c>
      <c r="Q124" s="5" t="s">
        <v>819</v>
      </c>
      <c r="R124" s="5" t="s">
        <v>820</v>
      </c>
      <c r="S124" s="5" t="s">
        <v>821</v>
      </c>
      <c r="T124" s="6" t="n">
        <v>40634</v>
      </c>
      <c r="U124" s="6" t="n">
        <v>39173</v>
      </c>
      <c r="V124" s="5" t="s">
        <v>141</v>
      </c>
      <c r="W124" s="5" t="s">
        <v>141</v>
      </c>
      <c r="X124" s="5" t="s">
        <v>141</v>
      </c>
      <c r="Y124" s="5" t="s">
        <v>141</v>
      </c>
      <c r="Z124" s="5" t="s">
        <v>141</v>
      </c>
      <c r="AA124" s="5" t="s">
        <v>822</v>
      </c>
      <c r="AB124" s="0" t="n">
        <f aca="false">IFERROR(VALUE(R124),0)</f>
        <v>2.4</v>
      </c>
      <c r="AC124" s="0" t="n">
        <f aca="false">IFERROR(VALUE(M124),"")</f>
        <v>57.5</v>
      </c>
      <c r="AD124" s="0" t="n">
        <f aca="false">IFERROR(VALUE(Q124),"")</f>
        <v>29.9</v>
      </c>
      <c r="AE124" s="0" t="n">
        <f aca="false">IFERROR(VALUE(S124),"")</f>
        <v>32.1</v>
      </c>
      <c r="AF124" s="0" t="n">
        <f aca="false">IF(V124="","",VLOOKUP(V124,Assumptions!$B$6:$C$9,2,FALSE()))</f>
        <v>3</v>
      </c>
      <c r="AG124" s="0" t="n">
        <f aca="false">IF(W124="","",VLOOKUP(W124,Assumptions!$B$6:$C$9,2,FALSE()))</f>
        <v>3</v>
      </c>
      <c r="AH124" s="0" t="n">
        <f aca="false">IF(X124="","",VLOOKUP(X124,Assumptions!$B$6:$C$9,2,FALSE()))</f>
        <v>3</v>
      </c>
      <c r="AI124" s="0" t="n">
        <f aca="false">IF(Y124="","",VLOOKUP(Y124,Assumptions!$B$6:$C$9,2,FALSE()))</f>
        <v>3</v>
      </c>
      <c r="AJ124" s="0" t="n">
        <f aca="false">IF(Z124="","",VLOOKUP(Z124,Assumptions!$B$6:$C$9,2,FALSE()))</f>
        <v>3</v>
      </c>
      <c r="AK124" s="7" t="n">
        <f aca="false">IFERROR(ROUND(AVERAGE(AF124:AJ124),3),"")</f>
        <v>3</v>
      </c>
      <c r="AL124" s="7" t="n">
        <f aca="false">IF(OR(AF124="",AJ124=""),"",AJ124-AF124)</f>
        <v>0</v>
      </c>
      <c r="AM124" s="7" t="n">
        <f aca="false">IF(COUNT(AF124:AJ124)&gt;=2,ROUND(_xlfn.STDEV.S(AF124:AJ124),3),"")</f>
        <v>0</v>
      </c>
      <c r="AN124" s="7" t="n">
        <f aca="false">ROUND((IF(AF124="",0,AF124)*Assumptions!$F$15)+(IF(AG124="",0,AG124)*Assumptions!$F$16)+(IF(AH124="",0,AH124)*Assumptions!$F$17)+(IF(AI124="",0,AI124)*Assumptions!$F$18)+(IF(AJ124="",0,AJ124)*Assumptions!$F$19),3)</f>
        <v>3</v>
      </c>
      <c r="AO124" s="0" t="str">
        <f aca="false">IF(AC124&lt;=20,"",IF(AC124&lt;=Assumptions!$F$6,"20-30",IF(AC124&lt;=Assumptions!$F$7,"30-40",IF(AC124&lt;=Assumptions!$F$8,"40-50",IF(AC124&lt;=Assumptions!$F$9,"50-60",IF(AC124&lt;=Assumptions!$F$10,"60+",""))))))</f>
        <v>50-60</v>
      </c>
      <c r="AP124" s="0" t="str">
        <f aca="false">IFERROR(VLOOKUP(O124,Assumptions!$B$14:$C$26,2,FALSE()),"Other")</f>
        <v>Manager</v>
      </c>
      <c r="AQ124" s="0" t="n">
        <f aca="false">IF(T124="",0,1)</f>
        <v>1</v>
      </c>
      <c r="AR124" s="0" t="n">
        <f aca="false">IF(U124="",0,1)</f>
        <v>1</v>
      </c>
      <c r="AS124" s="8" t="n">
        <f aca="false">IF(AK124="","",IF(MAX($AK$2:$AK$921)=MIN($AK$2:$AK$921),50,ROUND((AK124-MIN($AK$2:$AK$921))/(MAX($AK$2:$AK$921)-MIN($AK$2:$AK$921))*100,2)))</f>
        <v>57.14</v>
      </c>
      <c r="AT124" s="8" t="n">
        <f aca="false">IF(MAX($BC$2:$BC$921)=MIN($BC$2:$BC$921),50,ROUND((BC124-MIN($BC$2:$BC$921))/(MAX($BC$2:$BC$921)-MIN($BC$2:$BC$921))*100,2))</f>
        <v>50</v>
      </c>
      <c r="AU124" s="8" t="n">
        <f aca="false">IF(MAX($BE$2:$BE$921)=MIN($BE$2:$BE$921),50,ROUND((BE124-MIN($BE$2:$BE$921))/(MAX($BE$2:$BE$921)-MIN($BE$2:$BE$921))*100,2))</f>
        <v>100</v>
      </c>
      <c r="AV124" s="8" t="n">
        <f aca="false">IF(MAX($AD$2:$AD$921)=MIN($AD$2:$AD$921),50,ROUND((AD124-MIN($AD$2:$AD$921))/(MAX($AD$2:$AD$921)-MIN($AD$2:$AD$921))*100,2))</f>
        <v>80.97</v>
      </c>
      <c r="AW124" s="8" t="n">
        <f aca="false">IF(MAX($AN$2:$AN$921)=MIN($AN$2:$AN$921),50,ROUND((AN124-MIN($AN$2:$AN$921))/(MAX($AN$2:$AN$921)-MIN($AN$2:$AN$921))*100,2))</f>
        <v>75</v>
      </c>
      <c r="AX124" s="8" t="n">
        <f aca="false">AQ124*100</f>
        <v>100</v>
      </c>
      <c r="AY124" s="8" t="n">
        <f aca="false">AR124*100</f>
        <v>100</v>
      </c>
      <c r="AZ124" s="8" t="n">
        <f aca="false">IFERROR(ROUND(AS124*Assumptions!$I$6+AW124*Assumptions!$I$7+AT124*Assumptions!$I$8+AU124*Assumptions!$I$9+AV124*Assumptions!$I$10+AX124*Assumptions!$I$11+AY124*Assumptions!$I$12,2),"")</f>
        <v>72.74</v>
      </c>
      <c r="BA124" s="0" t="str">
        <f aca="false">IF(AZ124="","",IF(AZ124&lt;=Assumptions!$I$18,"Below Expectation",IF(AZ124&lt;=Assumptions!$I$19,"Developing",IF(AZ124&lt;=Assumptions!$I$20,"Meets Expectation",IF(AZ124&lt;=Assumptions!$I$21,"Exceeds","Star Performer")))))</f>
        <v>Exceeds</v>
      </c>
      <c r="BB124" s="0" t="n">
        <f aca="false">IF(AZ124="",0,IF(AZ124&gt;=Assumptions!$I$26,1,0))</f>
        <v>1</v>
      </c>
      <c r="BC124" s="9" t="n">
        <f aca="false">IF(AL124="",2,AL124+2)</f>
        <v>2</v>
      </c>
      <c r="BD124" s="10" t="n">
        <f aca="false">IF(AM124="",ROUND(AVERAGE($AM$2:$AM$921),3),AM124)</f>
        <v>0</v>
      </c>
      <c r="BE124" s="9" t="n">
        <f aca="false">1-BD124</f>
        <v>1</v>
      </c>
    </row>
    <row r="125" customFormat="false" ht="14.25" hidden="true" customHeight="false" outlineLevel="0" collapsed="false">
      <c r="A125" s="4" t="n">
        <v>217</v>
      </c>
      <c r="B125" s="5" t="n">
        <v>10057082</v>
      </c>
      <c r="C125" s="5" t="s">
        <v>85</v>
      </c>
      <c r="D125" s="5" t="s">
        <v>823</v>
      </c>
      <c r="E125" s="5" t="s">
        <v>315</v>
      </c>
      <c r="F125" s="5" t="s">
        <v>705</v>
      </c>
      <c r="G125" s="5" t="s">
        <v>706</v>
      </c>
      <c r="H125" s="5" t="s">
        <v>707</v>
      </c>
      <c r="I125" s="5" t="s">
        <v>63</v>
      </c>
      <c r="J125" s="5" t="s">
        <v>76</v>
      </c>
      <c r="K125" s="5" t="s">
        <v>65</v>
      </c>
      <c r="L125" s="6" t="n">
        <v>42786</v>
      </c>
      <c r="M125" s="5" t="s">
        <v>432</v>
      </c>
      <c r="N125" s="6" t="n">
        <v>32541</v>
      </c>
      <c r="O125" s="5" t="s">
        <v>332</v>
      </c>
      <c r="P125" s="5" t="s">
        <v>333</v>
      </c>
      <c r="Q125" s="5" t="s">
        <v>569</v>
      </c>
      <c r="R125" s="5" t="s">
        <v>219</v>
      </c>
      <c r="S125" s="5" t="s">
        <v>702</v>
      </c>
      <c r="T125" s="6"/>
      <c r="U125" s="6" t="n">
        <v>44440</v>
      </c>
      <c r="V125" s="5" t="s">
        <v>83</v>
      </c>
      <c r="W125" s="5" t="s">
        <v>83</v>
      </c>
      <c r="X125" s="5" t="s">
        <v>141</v>
      </c>
      <c r="Y125" s="5" t="s">
        <v>83</v>
      </c>
      <c r="Z125" s="5" t="s">
        <v>83</v>
      </c>
      <c r="AA125" s="5" t="s">
        <v>824</v>
      </c>
      <c r="AB125" s="0" t="n">
        <f aca="false">IFERROR(VALUE(R125),0)</f>
        <v>2.9</v>
      </c>
      <c r="AC125" s="0" t="n">
        <f aca="false">IFERROR(VALUE(M125),"")</f>
        <v>37.4</v>
      </c>
      <c r="AD125" s="0" t="n">
        <f aca="false">IFERROR(VALUE(Q125),"")</f>
        <v>9.3</v>
      </c>
      <c r="AE125" s="0" t="n">
        <f aca="false">IFERROR(VALUE(S125),"")</f>
        <v>12</v>
      </c>
      <c r="AF125" s="0" t="n">
        <f aca="false">IF(V125="","",VLOOKUP(V125,Assumptions!$B$6:$C$9,2,FALSE()))</f>
        <v>4</v>
      </c>
      <c r="AG125" s="0" t="n">
        <f aca="false">IF(W125="","",VLOOKUP(W125,Assumptions!$B$6:$C$9,2,FALSE()))</f>
        <v>4</v>
      </c>
      <c r="AH125" s="0" t="n">
        <f aca="false">IF(X125="","",VLOOKUP(X125,Assumptions!$B$6:$C$9,2,FALSE()))</f>
        <v>3</v>
      </c>
      <c r="AI125" s="0" t="n">
        <f aca="false">IF(Y125="","",VLOOKUP(Y125,Assumptions!$B$6:$C$9,2,FALSE()))</f>
        <v>4</v>
      </c>
      <c r="AJ125" s="0" t="n">
        <f aca="false">IF(Z125="","",VLOOKUP(Z125,Assumptions!$B$6:$C$9,2,FALSE()))</f>
        <v>4</v>
      </c>
      <c r="AK125" s="7" t="n">
        <f aca="false">IFERROR(ROUND(AVERAGE(AF125:AJ125),3),"")</f>
        <v>3.8</v>
      </c>
      <c r="AL125" s="7" t="n">
        <f aca="false">IF(OR(AF125="",AJ125=""),"",AJ125-AF125)</f>
        <v>0</v>
      </c>
      <c r="AM125" s="7" t="n">
        <f aca="false">IF(COUNT(AF125:AJ125)&gt;=2,ROUND(_xlfn.STDEV.S(AF125:AJ125),3),"")</f>
        <v>0.447</v>
      </c>
      <c r="AN125" s="7" t="n">
        <f aca="false">ROUND((IF(AF125="",0,AF125)*Assumptions!$F$15)+(IF(AG125="",0,AG125)*Assumptions!$F$16)+(IF(AH125="",0,AH125)*Assumptions!$F$17)+(IF(AI125="",0,AI125)*Assumptions!$F$18)+(IF(AJ125="",0,AJ125)*Assumptions!$F$19),3)</f>
        <v>3.8</v>
      </c>
      <c r="AO125" s="0" t="str">
        <f aca="false">IF(AC125&lt;=20,"",IF(AC125&lt;=Assumptions!$F$6,"20-30",IF(AC125&lt;=Assumptions!$F$7,"30-40",IF(AC125&lt;=Assumptions!$F$8,"40-50",IF(AC125&lt;=Assumptions!$F$9,"50-60",IF(AC125&lt;=Assumptions!$F$10,"60+",""))))))</f>
        <v>30-40</v>
      </c>
      <c r="AP125" s="0" t="str">
        <f aca="false">IFERROR(VLOOKUP(O125,Assumptions!$B$14:$C$26,2,FALSE()),"Other")</f>
        <v>Manager</v>
      </c>
      <c r="AQ125" s="0" t="n">
        <f aca="false">IF(T125="",0,1)</f>
        <v>0</v>
      </c>
      <c r="AR125" s="0" t="n">
        <f aca="false">IF(U125="",0,1)</f>
        <v>1</v>
      </c>
      <c r="AS125" s="8" t="n">
        <f aca="false">IF(AK125="","",IF(MAX($AK$2:$AK$921)=MIN($AK$2:$AK$921),50,ROUND((AK125-MIN($AK$2:$AK$921))/(MAX($AK$2:$AK$921)-MIN($AK$2:$AK$921))*100,2)))</f>
        <v>91.43</v>
      </c>
      <c r="AT125" s="8" t="n">
        <f aca="false">IF(MAX($BC$2:$BC$921)=MIN($BC$2:$BC$921),50,ROUND((BC125-MIN($BC$2:$BC$921))/(MAX($BC$2:$BC$921)-MIN($BC$2:$BC$921))*100,2))</f>
        <v>50</v>
      </c>
      <c r="AU125" s="8" t="n">
        <f aca="false">IF(MAX($BE$2:$BE$921)=MIN($BE$2:$BE$921),50,ROUND((BE125-MIN($BE$2:$BE$921))/(MAX($BE$2:$BE$921)-MIN($BE$2:$BE$921))*100,2))</f>
        <v>74.19</v>
      </c>
      <c r="AV125" s="8" t="n">
        <f aca="false">IF(MAX($AD$2:$AD$921)=MIN($AD$2:$AD$921),50,ROUND((AD125-MIN($AD$2:$AD$921))/(MAX($AD$2:$AD$921)-MIN($AD$2:$AD$921))*100,2))</f>
        <v>24.98</v>
      </c>
      <c r="AW125" s="8" t="n">
        <f aca="false">IF(MAX($AN$2:$AN$921)=MIN($AN$2:$AN$921),50,ROUND((AN125-MIN($AN$2:$AN$921))/(MAX($AN$2:$AN$921)-MIN($AN$2:$AN$921))*100,2))</f>
        <v>95</v>
      </c>
      <c r="AX125" s="8" t="n">
        <f aca="false">AQ125*100</f>
        <v>0</v>
      </c>
      <c r="AY125" s="8" t="n">
        <f aca="false">AR125*100</f>
        <v>100</v>
      </c>
      <c r="AZ125" s="8" t="n">
        <f aca="false">IFERROR(ROUND(AS125*Assumptions!$I$6+AW125*Assumptions!$I$7+AT125*Assumptions!$I$8+AU125*Assumptions!$I$9+AV125*Assumptions!$I$10+AX125*Assumptions!$I$11+AY125*Assumptions!$I$12,2),"")</f>
        <v>72.56</v>
      </c>
      <c r="BA125" s="0" t="str">
        <f aca="false">IF(AZ125="","",IF(AZ125&lt;=Assumptions!$I$18,"Below Expectation",IF(AZ125&lt;=Assumptions!$I$19,"Developing",IF(AZ125&lt;=Assumptions!$I$20,"Meets Expectation",IF(AZ125&lt;=Assumptions!$I$21,"Exceeds","Star Performer")))))</f>
        <v>Exceeds</v>
      </c>
      <c r="BB125" s="0" t="n">
        <f aca="false">IF(AZ125="",0,IF(AZ125&gt;=Assumptions!$I$26,1,0))</f>
        <v>1</v>
      </c>
      <c r="BC125" s="9" t="n">
        <f aca="false">IF(AL125="",2,AL125+2)</f>
        <v>2</v>
      </c>
      <c r="BD125" s="10" t="n">
        <f aca="false">IF(AM125="",ROUND(AVERAGE($AM$2:$AM$921),3),AM125)</f>
        <v>0.447</v>
      </c>
      <c r="BE125" s="9" t="n">
        <f aca="false">1-BD125</f>
        <v>0.553</v>
      </c>
    </row>
    <row r="126" customFormat="false" ht="14.25" hidden="false" customHeight="false" outlineLevel="0" collapsed="false">
      <c r="A126" s="4" t="n">
        <v>192</v>
      </c>
      <c r="B126" s="5" t="n">
        <v>10055203</v>
      </c>
      <c r="C126" s="5" t="s">
        <v>106</v>
      </c>
      <c r="D126" s="5" t="s">
        <v>825</v>
      </c>
      <c r="E126" s="5" t="s">
        <v>305</v>
      </c>
      <c r="F126" s="5" t="s">
        <v>209</v>
      </c>
      <c r="G126" s="5" t="s">
        <v>210</v>
      </c>
      <c r="H126" s="5" t="s">
        <v>209</v>
      </c>
      <c r="I126" s="5" t="s">
        <v>63</v>
      </c>
      <c r="J126" s="5" t="s">
        <v>112</v>
      </c>
      <c r="K126" s="5" t="s">
        <v>65</v>
      </c>
      <c r="L126" s="6" t="n">
        <v>42590</v>
      </c>
      <c r="M126" s="5" t="s">
        <v>826</v>
      </c>
      <c r="N126" s="6" t="n">
        <v>33240</v>
      </c>
      <c r="O126" s="5" t="s">
        <v>262</v>
      </c>
      <c r="P126" s="5" t="s">
        <v>263</v>
      </c>
      <c r="Q126" s="5" t="s">
        <v>546</v>
      </c>
      <c r="R126" s="5" t="s">
        <v>115</v>
      </c>
      <c r="S126" s="5" t="s">
        <v>546</v>
      </c>
      <c r="T126" s="6"/>
      <c r="U126" s="6" t="n">
        <v>45292</v>
      </c>
      <c r="V126" s="5" t="s">
        <v>83</v>
      </c>
      <c r="W126" s="5" t="s">
        <v>83</v>
      </c>
      <c r="X126" s="5" t="s">
        <v>141</v>
      </c>
      <c r="Y126" s="5" t="s">
        <v>83</v>
      </c>
      <c r="Z126" s="5" t="s">
        <v>83</v>
      </c>
      <c r="AA126" s="5" t="s">
        <v>827</v>
      </c>
      <c r="AB126" s="0" t="n">
        <f aca="false">IFERROR(VALUE(R126),0)</f>
        <v>0</v>
      </c>
      <c r="AC126" s="0" t="n">
        <f aca="false">IFERROR(VALUE(M126),"")</f>
        <v>35.5</v>
      </c>
      <c r="AD126" s="0" t="n">
        <f aca="false">IFERROR(VALUE(Q126),"")</f>
        <v>9.1</v>
      </c>
      <c r="AE126" s="0" t="n">
        <f aca="false">IFERROR(VALUE(S126),"")</f>
        <v>9.1</v>
      </c>
      <c r="AF126" s="0" t="n">
        <f aca="false">IF(V126="","",VLOOKUP(V126,Assumptions!$B$6:$C$9,2,FALSE()))</f>
        <v>4</v>
      </c>
      <c r="AG126" s="0" t="n">
        <f aca="false">IF(W126="","",VLOOKUP(W126,Assumptions!$B$6:$C$9,2,FALSE()))</f>
        <v>4</v>
      </c>
      <c r="AH126" s="0" t="n">
        <f aca="false">IF(X126="","",VLOOKUP(X126,Assumptions!$B$6:$C$9,2,FALSE()))</f>
        <v>3</v>
      </c>
      <c r="AI126" s="0" t="n">
        <f aca="false">IF(Y126="","",VLOOKUP(Y126,Assumptions!$B$6:$C$9,2,FALSE()))</f>
        <v>4</v>
      </c>
      <c r="AJ126" s="0" t="n">
        <f aca="false">IF(Z126="","",VLOOKUP(Z126,Assumptions!$B$6:$C$9,2,FALSE()))</f>
        <v>4</v>
      </c>
      <c r="AK126" s="7" t="n">
        <f aca="false">IFERROR(ROUND(AVERAGE(AF126:AJ126),3),"")</f>
        <v>3.8</v>
      </c>
      <c r="AL126" s="7" t="n">
        <f aca="false">IF(OR(AF126="",AJ126=""),"",AJ126-AF126)</f>
        <v>0</v>
      </c>
      <c r="AM126" s="7" t="n">
        <f aca="false">IF(COUNT(AF126:AJ126)&gt;=2,ROUND(_xlfn.STDEV.S(AF126:AJ126),3),"")</f>
        <v>0.447</v>
      </c>
      <c r="AN126" s="7" t="n">
        <f aca="false">ROUND((IF(AF126="",0,AF126)*Assumptions!$F$15)+(IF(AG126="",0,AG126)*Assumptions!$F$16)+(IF(AH126="",0,AH126)*Assumptions!$F$17)+(IF(AI126="",0,AI126)*Assumptions!$F$18)+(IF(AJ126="",0,AJ126)*Assumptions!$F$19),3)</f>
        <v>3.8</v>
      </c>
      <c r="AO126" s="0" t="str">
        <f aca="false">IF(AC126&lt;=20,"",IF(AC126&lt;=Assumptions!$F$6,"20-30",IF(AC126&lt;=Assumptions!$F$7,"30-40",IF(AC126&lt;=Assumptions!$F$8,"40-50",IF(AC126&lt;=Assumptions!$F$9,"50-60",IF(AC126&lt;=Assumptions!$F$10,"60+",""))))))</f>
        <v>30-40</v>
      </c>
      <c r="AP126" s="0" t="str">
        <f aca="false">IFERROR(VLOOKUP(O126,Assumptions!$B$14:$C$26,2,FALSE()),"Other")</f>
        <v>Manager</v>
      </c>
      <c r="AQ126" s="0" t="n">
        <f aca="false">IF(T126="",0,1)</f>
        <v>0</v>
      </c>
      <c r="AR126" s="0" t="n">
        <f aca="false">IF(U126="",0,1)</f>
        <v>1</v>
      </c>
      <c r="AS126" s="8" t="n">
        <f aca="false">IF(AK126="","",IF(MAX($AK$2:$AK$921)=MIN($AK$2:$AK$921),50,ROUND((AK126-MIN($AK$2:$AK$921))/(MAX($AK$2:$AK$921)-MIN($AK$2:$AK$921))*100,2)))</f>
        <v>91.43</v>
      </c>
      <c r="AT126" s="8" t="n">
        <f aca="false">IF(MAX($BC$2:$BC$921)=MIN($BC$2:$BC$921),50,ROUND((BC126-MIN($BC$2:$BC$921))/(MAX($BC$2:$BC$921)-MIN($BC$2:$BC$921))*100,2))</f>
        <v>50</v>
      </c>
      <c r="AU126" s="8" t="n">
        <f aca="false">IF(MAX($BE$2:$BE$921)=MIN($BE$2:$BE$921),50,ROUND((BE126-MIN($BE$2:$BE$921))/(MAX($BE$2:$BE$921)-MIN($BE$2:$BE$921))*100,2))</f>
        <v>74.19</v>
      </c>
      <c r="AV126" s="8" t="n">
        <f aca="false">IF(MAX($AD$2:$AD$921)=MIN($AD$2:$AD$921),50,ROUND((AD126-MIN($AD$2:$AD$921))/(MAX($AD$2:$AD$921)-MIN($AD$2:$AD$921))*100,2))</f>
        <v>24.44</v>
      </c>
      <c r="AW126" s="8" t="n">
        <f aca="false">IF(MAX($AN$2:$AN$921)=MIN($AN$2:$AN$921),50,ROUND((AN126-MIN($AN$2:$AN$921))/(MAX($AN$2:$AN$921)-MIN($AN$2:$AN$921))*100,2))</f>
        <v>95</v>
      </c>
      <c r="AX126" s="8" t="n">
        <f aca="false">AQ126*100</f>
        <v>0</v>
      </c>
      <c r="AY126" s="8" t="n">
        <f aca="false">AR126*100</f>
        <v>100</v>
      </c>
      <c r="AZ126" s="8" t="n">
        <f aca="false">IFERROR(ROUND(AS126*Assumptions!$I$6+AW126*Assumptions!$I$7+AT126*Assumptions!$I$8+AU126*Assumptions!$I$9+AV126*Assumptions!$I$10+AX126*Assumptions!$I$11+AY126*Assumptions!$I$12,2),"")</f>
        <v>72.5</v>
      </c>
      <c r="BA126" s="0" t="str">
        <f aca="false">IF(AZ126="","",IF(AZ126&lt;=Assumptions!$I$18,"Below Expectation",IF(AZ126&lt;=Assumptions!$I$19,"Developing",IF(AZ126&lt;=Assumptions!$I$20,"Meets Expectation",IF(AZ126&lt;=Assumptions!$I$21,"Exceeds","Star Performer")))))</f>
        <v>Exceeds</v>
      </c>
      <c r="BB126" s="0" t="n">
        <f aca="false">IF(AZ126="",0,IF(AZ126&gt;=Assumptions!$I$26,1,0))</f>
        <v>1</v>
      </c>
      <c r="BC126" s="9" t="n">
        <f aca="false">IF(AL126="",2,AL126+2)</f>
        <v>2</v>
      </c>
      <c r="BD126" s="10" t="n">
        <f aca="false">IF(AM126="",ROUND(AVERAGE($AM$2:$AM$921),3),AM126)</f>
        <v>0.447</v>
      </c>
      <c r="BE126" s="9" t="n">
        <f aca="false">1-BD126</f>
        <v>0.553</v>
      </c>
    </row>
    <row r="127" customFormat="false" ht="14.25" hidden="true" customHeight="false" outlineLevel="0" collapsed="false">
      <c r="A127" s="4" t="n">
        <v>194</v>
      </c>
      <c r="B127" s="5" t="n">
        <v>10055618</v>
      </c>
      <c r="C127" s="5" t="s">
        <v>57</v>
      </c>
      <c r="D127" s="5" t="s">
        <v>828</v>
      </c>
      <c r="E127" s="5" t="s">
        <v>208</v>
      </c>
      <c r="F127" s="5" t="s">
        <v>387</v>
      </c>
      <c r="G127" s="5" t="s">
        <v>388</v>
      </c>
      <c r="H127" s="5" t="s">
        <v>387</v>
      </c>
      <c r="I127" s="5" t="s">
        <v>63</v>
      </c>
      <c r="J127" s="5" t="s">
        <v>100</v>
      </c>
      <c r="K127" s="5" t="s">
        <v>65</v>
      </c>
      <c r="L127" s="6" t="n">
        <v>42632</v>
      </c>
      <c r="M127" s="5" t="s">
        <v>829</v>
      </c>
      <c r="N127" s="6" t="n">
        <v>31275</v>
      </c>
      <c r="O127" s="5" t="s">
        <v>262</v>
      </c>
      <c r="P127" s="5" t="s">
        <v>263</v>
      </c>
      <c r="Q127" s="5" t="s">
        <v>418</v>
      </c>
      <c r="R127" s="5" t="s">
        <v>487</v>
      </c>
      <c r="S127" s="5" t="s">
        <v>830</v>
      </c>
      <c r="T127" s="6"/>
      <c r="U127" s="6" t="n">
        <v>45748</v>
      </c>
      <c r="V127" s="5" t="s">
        <v>141</v>
      </c>
      <c r="W127" s="5" t="s">
        <v>83</v>
      </c>
      <c r="X127" s="5" t="s">
        <v>141</v>
      </c>
      <c r="Y127" s="5" t="s">
        <v>83</v>
      </c>
      <c r="Z127" s="5" t="s">
        <v>83</v>
      </c>
      <c r="AA127" s="5" t="s">
        <v>831</v>
      </c>
      <c r="AB127" s="0" t="n">
        <f aca="false">IFERROR(VALUE(R127),0)</f>
        <v>6.4</v>
      </c>
      <c r="AC127" s="0" t="n">
        <f aca="false">IFERROR(VALUE(M127),"")</f>
        <v>40.9</v>
      </c>
      <c r="AD127" s="0" t="n">
        <f aca="false">IFERROR(VALUE(Q127),"")</f>
        <v>9.8</v>
      </c>
      <c r="AE127" s="0" t="n">
        <f aca="false">IFERROR(VALUE(S127),"")</f>
        <v>16</v>
      </c>
      <c r="AF127" s="0" t="n">
        <f aca="false">IF(V127="","",VLOOKUP(V127,Assumptions!$B$6:$C$9,2,FALSE()))</f>
        <v>3</v>
      </c>
      <c r="AG127" s="0" t="n">
        <f aca="false">IF(W127="","",VLOOKUP(W127,Assumptions!$B$6:$C$9,2,FALSE()))</f>
        <v>4</v>
      </c>
      <c r="AH127" s="0" t="n">
        <f aca="false">IF(X127="","",VLOOKUP(X127,Assumptions!$B$6:$C$9,2,FALSE()))</f>
        <v>3</v>
      </c>
      <c r="AI127" s="0" t="n">
        <f aca="false">IF(Y127="","",VLOOKUP(Y127,Assumptions!$B$6:$C$9,2,FALSE()))</f>
        <v>4</v>
      </c>
      <c r="AJ127" s="0" t="n">
        <f aca="false">IF(Z127="","",VLOOKUP(Z127,Assumptions!$B$6:$C$9,2,FALSE()))</f>
        <v>4</v>
      </c>
      <c r="AK127" s="7" t="n">
        <f aca="false">IFERROR(ROUND(AVERAGE(AF127:AJ127),3),"")</f>
        <v>3.6</v>
      </c>
      <c r="AL127" s="7" t="n">
        <f aca="false">IF(OR(AF127="",AJ127=""),"",AJ127-AF127)</f>
        <v>1</v>
      </c>
      <c r="AM127" s="7" t="n">
        <f aca="false">IF(COUNT(AF127:AJ127)&gt;=2,ROUND(_xlfn.STDEV.S(AF127:AJ127),3),"")</f>
        <v>0.548</v>
      </c>
      <c r="AN127" s="7" t="n">
        <f aca="false">ROUND((IF(AF127="",0,AF127)*Assumptions!$F$15)+(IF(AG127="",0,AG127)*Assumptions!$F$16)+(IF(AH127="",0,AH127)*Assumptions!$F$17)+(IF(AI127="",0,AI127)*Assumptions!$F$18)+(IF(AJ127="",0,AJ127)*Assumptions!$F$19),3)</f>
        <v>3.7</v>
      </c>
      <c r="AO127" s="0" t="str">
        <f aca="false">IF(AC127&lt;=20,"",IF(AC127&lt;=Assumptions!$F$6,"20-30",IF(AC127&lt;=Assumptions!$F$7,"30-40",IF(AC127&lt;=Assumptions!$F$8,"40-50",IF(AC127&lt;=Assumptions!$F$9,"50-60",IF(AC127&lt;=Assumptions!$F$10,"60+",""))))))</f>
        <v>40-50</v>
      </c>
      <c r="AP127" s="0" t="str">
        <f aca="false">IFERROR(VLOOKUP(O127,Assumptions!$B$14:$C$26,2,FALSE()),"Other")</f>
        <v>Manager</v>
      </c>
      <c r="AQ127" s="0" t="n">
        <f aca="false">IF(T127="",0,1)</f>
        <v>0</v>
      </c>
      <c r="AR127" s="0" t="n">
        <f aca="false">IF(U127="",0,1)</f>
        <v>1</v>
      </c>
      <c r="AS127" s="8" t="n">
        <f aca="false">IF(AK127="","",IF(MAX($AK$2:$AK$921)=MIN($AK$2:$AK$921),50,ROUND((AK127-MIN($AK$2:$AK$921))/(MAX($AK$2:$AK$921)-MIN($AK$2:$AK$921))*100,2)))</f>
        <v>82.85</v>
      </c>
      <c r="AT127" s="8" t="n">
        <f aca="false">IF(MAX($BC$2:$BC$921)=MIN($BC$2:$BC$921),50,ROUND((BC127-MIN($BC$2:$BC$921))/(MAX($BC$2:$BC$921)-MIN($BC$2:$BC$921))*100,2))</f>
        <v>75</v>
      </c>
      <c r="AU127" s="8" t="n">
        <f aca="false">IF(MAX($BE$2:$BE$921)=MIN($BE$2:$BE$921),50,ROUND((BE127-MIN($BE$2:$BE$921))/(MAX($BE$2:$BE$921)-MIN($BE$2:$BE$921))*100,2))</f>
        <v>68.36</v>
      </c>
      <c r="AV127" s="8" t="n">
        <f aca="false">IF(MAX($AD$2:$AD$921)=MIN($AD$2:$AD$921),50,ROUND((AD127-MIN($AD$2:$AD$921))/(MAX($AD$2:$AD$921)-MIN($AD$2:$AD$921))*100,2))</f>
        <v>26.34</v>
      </c>
      <c r="AW127" s="8" t="n">
        <f aca="false">IF(MAX($AN$2:$AN$921)=MIN($AN$2:$AN$921),50,ROUND((AN127-MIN($AN$2:$AN$921))/(MAX($AN$2:$AN$921)-MIN($AN$2:$AN$921))*100,2))</f>
        <v>92.5</v>
      </c>
      <c r="AX127" s="8" t="n">
        <f aca="false">AQ127*100</f>
        <v>0</v>
      </c>
      <c r="AY127" s="8" t="n">
        <f aca="false">AR127*100</f>
        <v>100</v>
      </c>
      <c r="AZ127" s="8" t="n">
        <f aca="false">IFERROR(ROUND(AS127*Assumptions!$I$6+AW127*Assumptions!$I$7+AT127*Assumptions!$I$8+AU127*Assumptions!$I$9+AV127*Assumptions!$I$10+AX127*Assumptions!$I$11+AY127*Assumptions!$I$12,2),"")</f>
        <v>72.49</v>
      </c>
      <c r="BA127" s="0" t="str">
        <f aca="false">IF(AZ127="","",IF(AZ127&lt;=Assumptions!$I$18,"Below Expectation",IF(AZ127&lt;=Assumptions!$I$19,"Developing",IF(AZ127&lt;=Assumptions!$I$20,"Meets Expectation",IF(AZ127&lt;=Assumptions!$I$21,"Exceeds","Star Performer")))))</f>
        <v>Exceeds</v>
      </c>
      <c r="BB127" s="0" t="n">
        <f aca="false">IF(AZ127="",0,IF(AZ127&gt;=Assumptions!$I$26,1,0))</f>
        <v>1</v>
      </c>
      <c r="BC127" s="9" t="n">
        <f aca="false">IF(AL127="",2,AL127+2)</f>
        <v>3</v>
      </c>
      <c r="BD127" s="10" t="n">
        <f aca="false">IF(AM127="",ROUND(AVERAGE($AM$2:$AM$921),3),AM127)</f>
        <v>0.548</v>
      </c>
      <c r="BE127" s="9" t="n">
        <f aca="false">1-BD127</f>
        <v>0.452</v>
      </c>
    </row>
    <row r="128" customFormat="false" ht="14.25" hidden="true" customHeight="false" outlineLevel="0" collapsed="false">
      <c r="A128" s="4" t="n">
        <v>234</v>
      </c>
      <c r="B128" s="5" t="n">
        <v>10059735</v>
      </c>
      <c r="C128" s="5" t="s">
        <v>85</v>
      </c>
      <c r="D128" s="5" t="s">
        <v>832</v>
      </c>
      <c r="E128" s="5" t="s">
        <v>235</v>
      </c>
      <c r="F128" s="5" t="s">
        <v>380</v>
      </c>
      <c r="G128" s="5" t="s">
        <v>379</v>
      </c>
      <c r="H128" s="5" t="s">
        <v>380</v>
      </c>
      <c r="I128" s="5" t="s">
        <v>63</v>
      </c>
      <c r="J128" s="5" t="s">
        <v>76</v>
      </c>
      <c r="K128" s="5" t="s">
        <v>309</v>
      </c>
      <c r="L128" s="6" t="n">
        <v>42948</v>
      </c>
      <c r="M128" s="5" t="s">
        <v>833</v>
      </c>
      <c r="N128" s="6" t="n">
        <v>35102</v>
      </c>
      <c r="O128" s="5" t="s">
        <v>332</v>
      </c>
      <c r="P128" s="5" t="s">
        <v>333</v>
      </c>
      <c r="Q128" s="5" t="s">
        <v>181</v>
      </c>
      <c r="R128" s="5" t="s">
        <v>115</v>
      </c>
      <c r="S128" s="5" t="s">
        <v>181</v>
      </c>
      <c r="T128" s="6"/>
      <c r="U128" s="6" t="n">
        <v>44652</v>
      </c>
      <c r="V128" s="5" t="s">
        <v>83</v>
      </c>
      <c r="W128" s="5" t="s">
        <v>141</v>
      </c>
      <c r="X128" s="5" t="s">
        <v>83</v>
      </c>
      <c r="Y128" s="5" t="s">
        <v>83</v>
      </c>
      <c r="Z128" s="5" t="s">
        <v>83</v>
      </c>
      <c r="AA128" s="5" t="s">
        <v>834</v>
      </c>
      <c r="AB128" s="0" t="n">
        <f aca="false">IFERROR(VALUE(R128),0)</f>
        <v>0</v>
      </c>
      <c r="AC128" s="0" t="n">
        <f aca="false">IFERROR(VALUE(M128),"")</f>
        <v>30.4</v>
      </c>
      <c r="AD128" s="0" t="n">
        <f aca="false">IFERROR(VALUE(Q128),"")</f>
        <v>8.1</v>
      </c>
      <c r="AE128" s="0" t="n">
        <f aca="false">IFERROR(VALUE(S128),"")</f>
        <v>8.1</v>
      </c>
      <c r="AF128" s="0" t="n">
        <f aca="false">IF(V128="","",VLOOKUP(V128,Assumptions!$B$6:$C$9,2,FALSE()))</f>
        <v>4</v>
      </c>
      <c r="AG128" s="0" t="n">
        <f aca="false">IF(W128="","",VLOOKUP(W128,Assumptions!$B$6:$C$9,2,FALSE()))</f>
        <v>3</v>
      </c>
      <c r="AH128" s="0" t="n">
        <f aca="false">IF(X128="","",VLOOKUP(X128,Assumptions!$B$6:$C$9,2,FALSE()))</f>
        <v>4</v>
      </c>
      <c r="AI128" s="0" t="n">
        <f aca="false">IF(Y128="","",VLOOKUP(Y128,Assumptions!$B$6:$C$9,2,FALSE()))</f>
        <v>4</v>
      </c>
      <c r="AJ128" s="0" t="n">
        <f aca="false">IF(Z128="","",VLOOKUP(Z128,Assumptions!$B$6:$C$9,2,FALSE()))</f>
        <v>4</v>
      </c>
      <c r="AK128" s="7" t="n">
        <f aca="false">IFERROR(ROUND(AVERAGE(AF128:AJ128),3),"")</f>
        <v>3.8</v>
      </c>
      <c r="AL128" s="7" t="n">
        <f aca="false">IF(OR(AF128="",AJ128=""),"",AJ128-AF128)</f>
        <v>0</v>
      </c>
      <c r="AM128" s="7" t="n">
        <f aca="false">IF(COUNT(AF128:AJ128)&gt;=2,ROUND(_xlfn.STDEV.S(AF128:AJ128),3),"")</f>
        <v>0.447</v>
      </c>
      <c r="AN128" s="7" t="n">
        <f aca="false">ROUND((IF(AF128="",0,AF128)*Assumptions!$F$15)+(IF(AG128="",0,AG128)*Assumptions!$F$16)+(IF(AH128="",0,AH128)*Assumptions!$F$17)+(IF(AI128="",0,AI128)*Assumptions!$F$18)+(IF(AJ128="",0,AJ128)*Assumptions!$F$19),3)</f>
        <v>3.85</v>
      </c>
      <c r="AO128" s="0" t="str">
        <f aca="false">IF(AC128&lt;=20,"",IF(AC128&lt;=Assumptions!$F$6,"20-30",IF(AC128&lt;=Assumptions!$F$7,"30-40",IF(AC128&lt;=Assumptions!$F$8,"40-50",IF(AC128&lt;=Assumptions!$F$9,"50-60",IF(AC128&lt;=Assumptions!$F$10,"60+",""))))))</f>
        <v>30-40</v>
      </c>
      <c r="AP128" s="0" t="str">
        <f aca="false">IFERROR(VLOOKUP(O128,Assumptions!$B$14:$C$26,2,FALSE()),"Other")</f>
        <v>Manager</v>
      </c>
      <c r="AQ128" s="0" t="n">
        <f aca="false">IF(T128="",0,1)</f>
        <v>0</v>
      </c>
      <c r="AR128" s="0" t="n">
        <f aca="false">IF(U128="",0,1)</f>
        <v>1</v>
      </c>
      <c r="AS128" s="8" t="n">
        <f aca="false">IF(AK128="","",IF(MAX($AK$2:$AK$921)=MIN($AK$2:$AK$921),50,ROUND((AK128-MIN($AK$2:$AK$921))/(MAX($AK$2:$AK$921)-MIN($AK$2:$AK$921))*100,2)))</f>
        <v>91.43</v>
      </c>
      <c r="AT128" s="8" t="n">
        <f aca="false">IF(MAX($BC$2:$BC$921)=MIN($BC$2:$BC$921),50,ROUND((BC128-MIN($BC$2:$BC$921))/(MAX($BC$2:$BC$921)-MIN($BC$2:$BC$921))*100,2))</f>
        <v>50</v>
      </c>
      <c r="AU128" s="8" t="n">
        <f aca="false">IF(MAX($BE$2:$BE$921)=MIN($BE$2:$BE$921),50,ROUND((BE128-MIN($BE$2:$BE$921))/(MAX($BE$2:$BE$921)-MIN($BE$2:$BE$921))*100,2))</f>
        <v>74.19</v>
      </c>
      <c r="AV128" s="8" t="n">
        <f aca="false">IF(MAX($AD$2:$AD$921)=MIN($AD$2:$AD$921),50,ROUND((AD128-MIN($AD$2:$AD$921))/(MAX($AD$2:$AD$921)-MIN($AD$2:$AD$921))*100,2))</f>
        <v>21.72</v>
      </c>
      <c r="AW128" s="8" t="n">
        <f aca="false">IF(MAX($AN$2:$AN$921)=MIN($AN$2:$AN$921),50,ROUND((AN128-MIN($AN$2:$AN$921))/(MAX($AN$2:$AN$921)-MIN($AN$2:$AN$921))*100,2))</f>
        <v>96.25</v>
      </c>
      <c r="AX128" s="8" t="n">
        <f aca="false">AQ128*100</f>
        <v>0</v>
      </c>
      <c r="AY128" s="8" t="n">
        <f aca="false">AR128*100</f>
        <v>100</v>
      </c>
      <c r="AZ128" s="8" t="n">
        <f aca="false">IFERROR(ROUND(AS128*Assumptions!$I$6+AW128*Assumptions!$I$7+AT128*Assumptions!$I$8+AU128*Assumptions!$I$9+AV128*Assumptions!$I$10+AX128*Assumptions!$I$11+AY128*Assumptions!$I$12,2),"")</f>
        <v>72.48</v>
      </c>
      <c r="BA128" s="0" t="str">
        <f aca="false">IF(AZ128="","",IF(AZ128&lt;=Assumptions!$I$18,"Below Expectation",IF(AZ128&lt;=Assumptions!$I$19,"Developing",IF(AZ128&lt;=Assumptions!$I$20,"Meets Expectation",IF(AZ128&lt;=Assumptions!$I$21,"Exceeds","Star Performer")))))</f>
        <v>Exceeds</v>
      </c>
      <c r="BB128" s="0" t="n">
        <f aca="false">IF(AZ128="",0,IF(AZ128&gt;=Assumptions!$I$26,1,0))</f>
        <v>1</v>
      </c>
      <c r="BC128" s="9" t="n">
        <f aca="false">IF(AL128="",2,AL128+2)</f>
        <v>2</v>
      </c>
      <c r="BD128" s="10" t="n">
        <f aca="false">IF(AM128="",ROUND(AVERAGE($AM$2:$AM$921),3),AM128)</f>
        <v>0.447</v>
      </c>
      <c r="BE128" s="9" t="n">
        <f aca="false">1-BD128</f>
        <v>0.553</v>
      </c>
    </row>
    <row r="129" customFormat="false" ht="14.25" hidden="true" customHeight="false" outlineLevel="0" collapsed="false">
      <c r="A129" s="4" t="n">
        <v>32</v>
      </c>
      <c r="B129" s="5" t="n">
        <v>2089207</v>
      </c>
      <c r="C129" s="5" t="s">
        <v>85</v>
      </c>
      <c r="D129" s="5" t="s">
        <v>835</v>
      </c>
      <c r="E129" s="5" t="s">
        <v>836</v>
      </c>
      <c r="F129" s="5" t="s">
        <v>236</v>
      </c>
      <c r="G129" s="5" t="s">
        <v>237</v>
      </c>
      <c r="H129" s="5" t="s">
        <v>238</v>
      </c>
      <c r="I129" s="5" t="s">
        <v>63</v>
      </c>
      <c r="J129" s="5" t="s">
        <v>76</v>
      </c>
      <c r="K129" s="5" t="s">
        <v>65</v>
      </c>
      <c r="L129" s="6" t="n">
        <v>35753</v>
      </c>
      <c r="M129" s="5" t="s">
        <v>837</v>
      </c>
      <c r="N129" s="6" t="n">
        <v>26317</v>
      </c>
      <c r="O129" s="5" t="s">
        <v>162</v>
      </c>
      <c r="P129" s="5" t="s">
        <v>162</v>
      </c>
      <c r="Q129" s="5" t="s">
        <v>838</v>
      </c>
      <c r="R129" s="5" t="s">
        <v>335</v>
      </c>
      <c r="S129" s="5" t="s">
        <v>821</v>
      </c>
      <c r="T129" s="6" t="n">
        <v>39173</v>
      </c>
      <c r="U129" s="6" t="n">
        <v>41365</v>
      </c>
      <c r="V129" s="5" t="s">
        <v>141</v>
      </c>
      <c r="W129" s="5" t="s">
        <v>141</v>
      </c>
      <c r="X129" s="5" t="s">
        <v>141</v>
      </c>
      <c r="Y129" s="5" t="s">
        <v>141</v>
      </c>
      <c r="Z129" s="5" t="s">
        <v>141</v>
      </c>
      <c r="AA129" s="5" t="s">
        <v>839</v>
      </c>
      <c r="AB129" s="0" t="n">
        <f aca="false">IFERROR(VALUE(R129),0)</f>
        <v>3.7</v>
      </c>
      <c r="AC129" s="0" t="n">
        <f aca="false">IFERROR(VALUE(M129),"")</f>
        <v>54.4</v>
      </c>
      <c r="AD129" s="0" t="n">
        <f aca="false">IFERROR(VALUE(Q129),"")</f>
        <v>28.6</v>
      </c>
      <c r="AE129" s="0" t="n">
        <f aca="false">IFERROR(VALUE(S129),"")</f>
        <v>32.1</v>
      </c>
      <c r="AF129" s="0" t="n">
        <f aca="false">IF(V129="","",VLOOKUP(V129,Assumptions!$B$6:$C$9,2,FALSE()))</f>
        <v>3</v>
      </c>
      <c r="AG129" s="0" t="n">
        <f aca="false">IF(W129="","",VLOOKUP(W129,Assumptions!$B$6:$C$9,2,FALSE()))</f>
        <v>3</v>
      </c>
      <c r="AH129" s="0" t="n">
        <f aca="false">IF(X129="","",VLOOKUP(X129,Assumptions!$B$6:$C$9,2,FALSE()))</f>
        <v>3</v>
      </c>
      <c r="AI129" s="0" t="n">
        <f aca="false">IF(Y129="","",VLOOKUP(Y129,Assumptions!$B$6:$C$9,2,FALSE()))</f>
        <v>3</v>
      </c>
      <c r="AJ129" s="0" t="n">
        <f aca="false">IF(Z129="","",VLOOKUP(Z129,Assumptions!$B$6:$C$9,2,FALSE()))</f>
        <v>3</v>
      </c>
      <c r="AK129" s="7" t="n">
        <f aca="false">IFERROR(ROUND(AVERAGE(AF129:AJ129),3),"")</f>
        <v>3</v>
      </c>
      <c r="AL129" s="7" t="n">
        <f aca="false">IF(OR(AF129="",AJ129=""),"",AJ129-AF129)</f>
        <v>0</v>
      </c>
      <c r="AM129" s="7" t="n">
        <f aca="false">IF(COUNT(AF129:AJ129)&gt;=2,ROUND(_xlfn.STDEV.S(AF129:AJ129),3),"")</f>
        <v>0</v>
      </c>
      <c r="AN129" s="7" t="n">
        <f aca="false">ROUND((IF(AF129="",0,AF129)*Assumptions!$F$15)+(IF(AG129="",0,AG129)*Assumptions!$F$16)+(IF(AH129="",0,AH129)*Assumptions!$F$17)+(IF(AI129="",0,AI129)*Assumptions!$F$18)+(IF(AJ129="",0,AJ129)*Assumptions!$F$19),3)</f>
        <v>3</v>
      </c>
      <c r="AO129" s="0" t="str">
        <f aca="false">IF(AC129&lt;=20,"",IF(AC129&lt;=Assumptions!$F$6,"20-30",IF(AC129&lt;=Assumptions!$F$7,"30-40",IF(AC129&lt;=Assumptions!$F$8,"40-50",IF(AC129&lt;=Assumptions!$F$9,"50-60",IF(AC129&lt;=Assumptions!$F$10,"60+",""))))))</f>
        <v>50-60</v>
      </c>
      <c r="AP129" s="0" t="str">
        <f aca="false">IFERROR(VLOOKUP(O129,Assumptions!$B$14:$C$26,2,FALSE()),"Other")</f>
        <v>Manager</v>
      </c>
      <c r="AQ129" s="0" t="n">
        <f aca="false">IF(T129="",0,1)</f>
        <v>1</v>
      </c>
      <c r="AR129" s="0" t="n">
        <f aca="false">IF(U129="",0,1)</f>
        <v>1</v>
      </c>
      <c r="AS129" s="8" t="n">
        <f aca="false">IF(AK129="","",IF(MAX($AK$2:$AK$921)=MIN($AK$2:$AK$921),50,ROUND((AK129-MIN($AK$2:$AK$921))/(MAX($AK$2:$AK$921)-MIN($AK$2:$AK$921))*100,2)))</f>
        <v>57.14</v>
      </c>
      <c r="AT129" s="8" t="n">
        <f aca="false">IF(MAX($BC$2:$BC$921)=MIN($BC$2:$BC$921),50,ROUND((BC129-MIN($BC$2:$BC$921))/(MAX($BC$2:$BC$921)-MIN($BC$2:$BC$921))*100,2))</f>
        <v>50</v>
      </c>
      <c r="AU129" s="8" t="n">
        <f aca="false">IF(MAX($BE$2:$BE$921)=MIN($BE$2:$BE$921),50,ROUND((BE129-MIN($BE$2:$BE$921))/(MAX($BE$2:$BE$921)-MIN($BE$2:$BE$921))*100,2))</f>
        <v>100</v>
      </c>
      <c r="AV129" s="8" t="n">
        <f aca="false">IF(MAX($AD$2:$AD$921)=MIN($AD$2:$AD$921),50,ROUND((AD129-MIN($AD$2:$AD$921))/(MAX($AD$2:$AD$921)-MIN($AD$2:$AD$921))*100,2))</f>
        <v>77.44</v>
      </c>
      <c r="AW129" s="8" t="n">
        <f aca="false">IF(MAX($AN$2:$AN$921)=MIN($AN$2:$AN$921),50,ROUND((AN129-MIN($AN$2:$AN$921))/(MAX($AN$2:$AN$921)-MIN($AN$2:$AN$921))*100,2))</f>
        <v>75</v>
      </c>
      <c r="AX129" s="8" t="n">
        <f aca="false">AQ129*100</f>
        <v>100</v>
      </c>
      <c r="AY129" s="8" t="n">
        <f aca="false">AR129*100</f>
        <v>100</v>
      </c>
      <c r="AZ129" s="8" t="n">
        <f aca="false">IFERROR(ROUND(AS129*Assumptions!$I$6+AW129*Assumptions!$I$7+AT129*Assumptions!$I$8+AU129*Assumptions!$I$9+AV129*Assumptions!$I$10+AX129*Assumptions!$I$11+AY129*Assumptions!$I$12,2),"")</f>
        <v>72.39</v>
      </c>
      <c r="BA129" s="0" t="str">
        <f aca="false">IF(AZ129="","",IF(AZ129&lt;=Assumptions!$I$18,"Below Expectation",IF(AZ129&lt;=Assumptions!$I$19,"Developing",IF(AZ129&lt;=Assumptions!$I$20,"Meets Expectation",IF(AZ129&lt;=Assumptions!$I$21,"Exceeds","Star Performer")))))</f>
        <v>Exceeds</v>
      </c>
      <c r="BB129" s="0" t="n">
        <f aca="false">IF(AZ129="",0,IF(AZ129&gt;=Assumptions!$I$26,1,0))</f>
        <v>1</v>
      </c>
      <c r="BC129" s="9" t="n">
        <f aca="false">IF(AL129="",2,AL129+2)</f>
        <v>2</v>
      </c>
      <c r="BD129" s="10" t="n">
        <f aca="false">IF(AM129="",ROUND(AVERAGE($AM$2:$AM$921),3),AM129)</f>
        <v>0</v>
      </c>
      <c r="BE129" s="9" t="n">
        <f aca="false">1-BD129</f>
        <v>1</v>
      </c>
    </row>
    <row r="130" customFormat="false" ht="14.25" hidden="true" customHeight="false" outlineLevel="0" collapsed="false">
      <c r="A130" s="4" t="n">
        <v>240</v>
      </c>
      <c r="B130" s="5" t="n">
        <v>10060630</v>
      </c>
      <c r="C130" s="5" t="s">
        <v>666</v>
      </c>
      <c r="D130" s="5" t="s">
        <v>840</v>
      </c>
      <c r="E130" s="5" t="s">
        <v>841</v>
      </c>
      <c r="F130" s="5" t="s">
        <v>380</v>
      </c>
      <c r="G130" s="5" t="s">
        <v>379</v>
      </c>
      <c r="H130" s="5" t="s">
        <v>380</v>
      </c>
      <c r="I130" s="5" t="s">
        <v>63</v>
      </c>
      <c r="J130" s="5" t="s">
        <v>100</v>
      </c>
      <c r="K130" s="5" t="s">
        <v>65</v>
      </c>
      <c r="L130" s="6" t="n">
        <v>43038</v>
      </c>
      <c r="M130" s="5" t="s">
        <v>842</v>
      </c>
      <c r="N130" s="6" t="n">
        <v>32818</v>
      </c>
      <c r="O130" s="5" t="s">
        <v>262</v>
      </c>
      <c r="P130" s="5" t="s">
        <v>263</v>
      </c>
      <c r="Q130" s="5" t="s">
        <v>843</v>
      </c>
      <c r="R130" s="5" t="s">
        <v>352</v>
      </c>
      <c r="S130" s="5" t="s">
        <v>762</v>
      </c>
      <c r="T130" s="6"/>
      <c r="U130" s="6" t="n">
        <v>46113</v>
      </c>
      <c r="V130" s="5" t="s">
        <v>83</v>
      </c>
      <c r="W130" s="5" t="s">
        <v>83</v>
      </c>
      <c r="X130" s="5" t="s">
        <v>141</v>
      </c>
      <c r="Y130" s="5" t="s">
        <v>83</v>
      </c>
      <c r="Z130" s="5" t="s">
        <v>83</v>
      </c>
      <c r="AA130" s="5" t="s">
        <v>844</v>
      </c>
      <c r="AB130" s="0" t="n">
        <f aca="false">IFERROR(VALUE(R130),0)</f>
        <v>4.6</v>
      </c>
      <c r="AC130" s="0" t="n">
        <f aca="false">IFERROR(VALUE(M130),"")</f>
        <v>36.7</v>
      </c>
      <c r="AD130" s="0" t="n">
        <f aca="false">IFERROR(VALUE(Q130),"")</f>
        <v>8.7</v>
      </c>
      <c r="AE130" s="0" t="n">
        <f aca="false">IFERROR(VALUE(S130),"")</f>
        <v>13.1</v>
      </c>
      <c r="AF130" s="0" t="n">
        <f aca="false">IF(V130="","",VLOOKUP(V130,Assumptions!$B$6:$C$9,2,FALSE()))</f>
        <v>4</v>
      </c>
      <c r="AG130" s="0" t="n">
        <f aca="false">IF(W130="","",VLOOKUP(W130,Assumptions!$B$6:$C$9,2,FALSE()))</f>
        <v>4</v>
      </c>
      <c r="AH130" s="0" t="n">
        <f aca="false">IF(X130="","",VLOOKUP(X130,Assumptions!$B$6:$C$9,2,FALSE()))</f>
        <v>3</v>
      </c>
      <c r="AI130" s="0" t="n">
        <f aca="false">IF(Y130="","",VLOOKUP(Y130,Assumptions!$B$6:$C$9,2,FALSE()))</f>
        <v>4</v>
      </c>
      <c r="AJ130" s="0" t="n">
        <f aca="false">IF(Z130="","",VLOOKUP(Z130,Assumptions!$B$6:$C$9,2,FALSE()))</f>
        <v>4</v>
      </c>
      <c r="AK130" s="7" t="n">
        <f aca="false">IFERROR(ROUND(AVERAGE(AF130:AJ130),3),"")</f>
        <v>3.8</v>
      </c>
      <c r="AL130" s="7" t="n">
        <f aca="false">IF(OR(AF130="",AJ130=""),"",AJ130-AF130)</f>
        <v>0</v>
      </c>
      <c r="AM130" s="7" t="n">
        <f aca="false">IF(COUNT(AF130:AJ130)&gt;=2,ROUND(_xlfn.STDEV.S(AF130:AJ130),3),"")</f>
        <v>0.447</v>
      </c>
      <c r="AN130" s="7" t="n">
        <f aca="false">ROUND((IF(AF130="",0,AF130)*Assumptions!$F$15)+(IF(AG130="",0,AG130)*Assumptions!$F$16)+(IF(AH130="",0,AH130)*Assumptions!$F$17)+(IF(AI130="",0,AI130)*Assumptions!$F$18)+(IF(AJ130="",0,AJ130)*Assumptions!$F$19),3)</f>
        <v>3.8</v>
      </c>
      <c r="AO130" s="0" t="str">
        <f aca="false">IF(AC130&lt;=20,"",IF(AC130&lt;=Assumptions!$F$6,"20-30",IF(AC130&lt;=Assumptions!$F$7,"30-40",IF(AC130&lt;=Assumptions!$F$8,"40-50",IF(AC130&lt;=Assumptions!$F$9,"50-60",IF(AC130&lt;=Assumptions!$F$10,"60+",""))))))</f>
        <v>30-40</v>
      </c>
      <c r="AP130" s="0" t="str">
        <f aca="false">IFERROR(VLOOKUP(O130,Assumptions!$B$14:$C$26,2,FALSE()),"Other")</f>
        <v>Manager</v>
      </c>
      <c r="AQ130" s="0" t="n">
        <f aca="false">IF(T130="",0,1)</f>
        <v>0</v>
      </c>
      <c r="AR130" s="0" t="n">
        <f aca="false">IF(U130="",0,1)</f>
        <v>1</v>
      </c>
      <c r="AS130" s="8" t="n">
        <f aca="false">IF(AK130="","",IF(MAX($AK$2:$AK$921)=MIN($AK$2:$AK$921),50,ROUND((AK130-MIN($AK$2:$AK$921))/(MAX($AK$2:$AK$921)-MIN($AK$2:$AK$921))*100,2)))</f>
        <v>91.43</v>
      </c>
      <c r="AT130" s="8" t="n">
        <f aca="false">IF(MAX($BC$2:$BC$921)=MIN($BC$2:$BC$921),50,ROUND((BC130-MIN($BC$2:$BC$921))/(MAX($BC$2:$BC$921)-MIN($BC$2:$BC$921))*100,2))</f>
        <v>50</v>
      </c>
      <c r="AU130" s="8" t="n">
        <f aca="false">IF(MAX($BE$2:$BE$921)=MIN($BE$2:$BE$921),50,ROUND((BE130-MIN($BE$2:$BE$921))/(MAX($BE$2:$BE$921)-MIN($BE$2:$BE$921))*100,2))</f>
        <v>74.19</v>
      </c>
      <c r="AV130" s="8" t="n">
        <f aca="false">IF(MAX($AD$2:$AD$921)=MIN($AD$2:$AD$921),50,ROUND((AD130-MIN($AD$2:$AD$921))/(MAX($AD$2:$AD$921)-MIN($AD$2:$AD$921))*100,2))</f>
        <v>23.35</v>
      </c>
      <c r="AW130" s="8" t="n">
        <f aca="false">IF(MAX($AN$2:$AN$921)=MIN($AN$2:$AN$921),50,ROUND((AN130-MIN($AN$2:$AN$921))/(MAX($AN$2:$AN$921)-MIN($AN$2:$AN$921))*100,2))</f>
        <v>95</v>
      </c>
      <c r="AX130" s="8" t="n">
        <f aca="false">AQ130*100</f>
        <v>0</v>
      </c>
      <c r="AY130" s="8" t="n">
        <f aca="false">AR130*100</f>
        <v>100</v>
      </c>
      <c r="AZ130" s="8" t="n">
        <f aca="false">IFERROR(ROUND(AS130*Assumptions!$I$6+AW130*Assumptions!$I$7+AT130*Assumptions!$I$8+AU130*Assumptions!$I$9+AV130*Assumptions!$I$10+AX130*Assumptions!$I$11+AY130*Assumptions!$I$12,2),"")</f>
        <v>72.39</v>
      </c>
      <c r="BA130" s="0" t="str">
        <f aca="false">IF(AZ130="","",IF(AZ130&lt;=Assumptions!$I$18,"Below Expectation",IF(AZ130&lt;=Assumptions!$I$19,"Developing",IF(AZ130&lt;=Assumptions!$I$20,"Meets Expectation",IF(AZ130&lt;=Assumptions!$I$21,"Exceeds","Star Performer")))))</f>
        <v>Exceeds</v>
      </c>
      <c r="BB130" s="0" t="n">
        <f aca="false">IF(AZ130="",0,IF(AZ130&gt;=Assumptions!$I$26,1,0))</f>
        <v>1</v>
      </c>
      <c r="BC130" s="9" t="n">
        <f aca="false">IF(AL130="",2,AL130+2)</f>
        <v>2</v>
      </c>
      <c r="BD130" s="10" t="n">
        <f aca="false">IF(AM130="",ROUND(AVERAGE($AM$2:$AM$921),3),AM130)</f>
        <v>0.447</v>
      </c>
      <c r="BE130" s="9" t="n">
        <f aca="false">1-BD130</f>
        <v>0.553</v>
      </c>
    </row>
    <row r="131" customFormat="false" ht="14.25" hidden="true" customHeight="false" outlineLevel="0" collapsed="false">
      <c r="A131" s="4" t="n">
        <v>258</v>
      </c>
      <c r="B131" s="5" t="n">
        <v>10066671</v>
      </c>
      <c r="C131" s="5" t="s">
        <v>85</v>
      </c>
      <c r="D131" s="5" t="s">
        <v>845</v>
      </c>
      <c r="E131" s="5" t="s">
        <v>137</v>
      </c>
      <c r="F131" s="5" t="s">
        <v>595</v>
      </c>
      <c r="G131" s="5" t="s">
        <v>596</v>
      </c>
      <c r="H131" s="5" t="s">
        <v>597</v>
      </c>
      <c r="I131" s="5" t="s">
        <v>63</v>
      </c>
      <c r="J131" s="5" t="s">
        <v>76</v>
      </c>
      <c r="K131" s="5" t="s">
        <v>65</v>
      </c>
      <c r="L131" s="6" t="n">
        <v>43465</v>
      </c>
      <c r="M131" s="5" t="s">
        <v>846</v>
      </c>
      <c r="N131" s="6" t="n">
        <v>32692</v>
      </c>
      <c r="O131" s="5" t="s">
        <v>262</v>
      </c>
      <c r="P131" s="5" t="s">
        <v>263</v>
      </c>
      <c r="Q131" s="5" t="s">
        <v>847</v>
      </c>
      <c r="R131" s="5" t="s">
        <v>487</v>
      </c>
      <c r="S131" s="5" t="s">
        <v>312</v>
      </c>
      <c r="T131" s="6"/>
      <c r="U131" s="6" t="n">
        <v>46113</v>
      </c>
      <c r="V131" s="5" t="s">
        <v>83</v>
      </c>
      <c r="W131" s="5" t="s">
        <v>141</v>
      </c>
      <c r="X131" s="5" t="s">
        <v>83</v>
      </c>
      <c r="Y131" s="5" t="s">
        <v>83</v>
      </c>
      <c r="Z131" s="5" t="s">
        <v>83</v>
      </c>
      <c r="AA131" s="5" t="s">
        <v>848</v>
      </c>
      <c r="AB131" s="0" t="n">
        <f aca="false">IFERROR(VALUE(R131),0)</f>
        <v>6.4</v>
      </c>
      <c r="AC131" s="0" t="n">
        <f aca="false">IFERROR(VALUE(M131),"")</f>
        <v>36.11</v>
      </c>
      <c r="AD131" s="0" t="n">
        <f aca="false">IFERROR(VALUE(Q131),"")</f>
        <v>7.5</v>
      </c>
      <c r="AE131" s="0" t="n">
        <f aca="false">IFERROR(VALUE(S131),"")</f>
        <v>13.9</v>
      </c>
      <c r="AF131" s="0" t="n">
        <f aca="false">IF(V131="","",VLOOKUP(V131,Assumptions!$B$6:$C$9,2,FALSE()))</f>
        <v>4</v>
      </c>
      <c r="AG131" s="0" t="n">
        <f aca="false">IF(W131="","",VLOOKUP(W131,Assumptions!$B$6:$C$9,2,FALSE()))</f>
        <v>3</v>
      </c>
      <c r="AH131" s="0" t="n">
        <f aca="false">IF(X131="","",VLOOKUP(X131,Assumptions!$B$6:$C$9,2,FALSE()))</f>
        <v>4</v>
      </c>
      <c r="AI131" s="0" t="n">
        <f aca="false">IF(Y131="","",VLOOKUP(Y131,Assumptions!$B$6:$C$9,2,FALSE()))</f>
        <v>4</v>
      </c>
      <c r="AJ131" s="0" t="n">
        <f aca="false">IF(Z131="","",VLOOKUP(Z131,Assumptions!$B$6:$C$9,2,FALSE()))</f>
        <v>4</v>
      </c>
      <c r="AK131" s="7" t="n">
        <f aca="false">IFERROR(ROUND(AVERAGE(AF131:AJ131),3),"")</f>
        <v>3.8</v>
      </c>
      <c r="AL131" s="7" t="n">
        <f aca="false">IF(OR(AF131="",AJ131=""),"",AJ131-AF131)</f>
        <v>0</v>
      </c>
      <c r="AM131" s="7" t="n">
        <f aca="false">IF(COUNT(AF131:AJ131)&gt;=2,ROUND(_xlfn.STDEV.S(AF131:AJ131),3),"")</f>
        <v>0.447</v>
      </c>
      <c r="AN131" s="7" t="n">
        <f aca="false">ROUND((IF(AF131="",0,AF131)*Assumptions!$F$15)+(IF(AG131="",0,AG131)*Assumptions!$F$16)+(IF(AH131="",0,AH131)*Assumptions!$F$17)+(IF(AI131="",0,AI131)*Assumptions!$F$18)+(IF(AJ131="",0,AJ131)*Assumptions!$F$19),3)</f>
        <v>3.85</v>
      </c>
      <c r="AO131" s="0" t="str">
        <f aca="false">IF(AC131&lt;=20,"",IF(AC131&lt;=Assumptions!$F$6,"20-30",IF(AC131&lt;=Assumptions!$F$7,"30-40",IF(AC131&lt;=Assumptions!$F$8,"40-50",IF(AC131&lt;=Assumptions!$F$9,"50-60",IF(AC131&lt;=Assumptions!$F$10,"60+",""))))))</f>
        <v>30-40</v>
      </c>
      <c r="AP131" s="0" t="str">
        <f aca="false">IFERROR(VLOOKUP(O131,Assumptions!$B$14:$C$26,2,FALSE()),"Other")</f>
        <v>Manager</v>
      </c>
      <c r="AQ131" s="0" t="n">
        <f aca="false">IF(T131="",0,1)</f>
        <v>0</v>
      </c>
      <c r="AR131" s="0" t="n">
        <f aca="false">IF(U131="",0,1)</f>
        <v>1</v>
      </c>
      <c r="AS131" s="8" t="n">
        <f aca="false">IF(AK131="","",IF(MAX($AK$2:$AK$921)=MIN($AK$2:$AK$921),50,ROUND((AK131-MIN($AK$2:$AK$921))/(MAX($AK$2:$AK$921)-MIN($AK$2:$AK$921))*100,2)))</f>
        <v>91.43</v>
      </c>
      <c r="AT131" s="8" t="n">
        <f aca="false">IF(MAX($BC$2:$BC$921)=MIN($BC$2:$BC$921),50,ROUND((BC131-MIN($BC$2:$BC$921))/(MAX($BC$2:$BC$921)-MIN($BC$2:$BC$921))*100,2))</f>
        <v>50</v>
      </c>
      <c r="AU131" s="8" t="n">
        <f aca="false">IF(MAX($BE$2:$BE$921)=MIN($BE$2:$BE$921),50,ROUND((BE131-MIN($BE$2:$BE$921))/(MAX($BE$2:$BE$921)-MIN($BE$2:$BE$921))*100,2))</f>
        <v>74.19</v>
      </c>
      <c r="AV131" s="8" t="n">
        <f aca="false">IF(MAX($AD$2:$AD$921)=MIN($AD$2:$AD$921),50,ROUND((AD131-MIN($AD$2:$AD$921))/(MAX($AD$2:$AD$921)-MIN($AD$2:$AD$921))*100,2))</f>
        <v>20.09</v>
      </c>
      <c r="AW131" s="8" t="n">
        <f aca="false">IF(MAX($AN$2:$AN$921)=MIN($AN$2:$AN$921),50,ROUND((AN131-MIN($AN$2:$AN$921))/(MAX($AN$2:$AN$921)-MIN($AN$2:$AN$921))*100,2))</f>
        <v>96.25</v>
      </c>
      <c r="AX131" s="8" t="n">
        <f aca="false">AQ131*100</f>
        <v>0</v>
      </c>
      <c r="AY131" s="8" t="n">
        <f aca="false">AR131*100</f>
        <v>100</v>
      </c>
      <c r="AZ131" s="8" t="n">
        <f aca="false">IFERROR(ROUND(AS131*Assumptions!$I$6+AW131*Assumptions!$I$7+AT131*Assumptions!$I$8+AU131*Assumptions!$I$9+AV131*Assumptions!$I$10+AX131*Assumptions!$I$11+AY131*Assumptions!$I$12,2),"")</f>
        <v>72.32</v>
      </c>
      <c r="BA131" s="0" t="str">
        <f aca="false">IF(AZ131="","",IF(AZ131&lt;=Assumptions!$I$18,"Below Expectation",IF(AZ131&lt;=Assumptions!$I$19,"Developing",IF(AZ131&lt;=Assumptions!$I$20,"Meets Expectation",IF(AZ131&lt;=Assumptions!$I$21,"Exceeds","Star Performer")))))</f>
        <v>Exceeds</v>
      </c>
      <c r="BB131" s="0" t="n">
        <f aca="false">IF(AZ131="",0,IF(AZ131&gt;=Assumptions!$I$26,1,0))</f>
        <v>1</v>
      </c>
      <c r="BC131" s="9" t="n">
        <f aca="false">IF(AL131="",2,AL131+2)</f>
        <v>2</v>
      </c>
      <c r="BD131" s="10" t="n">
        <f aca="false">IF(AM131="",ROUND(AVERAGE($AM$2:$AM$921),3),AM131)</f>
        <v>0.447</v>
      </c>
      <c r="BE131" s="9" t="n">
        <f aca="false">1-BD131</f>
        <v>0.553</v>
      </c>
    </row>
    <row r="132" customFormat="false" ht="14.25" hidden="true" customHeight="false" outlineLevel="0" collapsed="false">
      <c r="A132" s="4" t="n">
        <v>33</v>
      </c>
      <c r="B132" s="5" t="n">
        <v>2111008</v>
      </c>
      <c r="C132" s="5" t="s">
        <v>85</v>
      </c>
      <c r="D132" s="5" t="s">
        <v>849</v>
      </c>
      <c r="E132" s="5" t="s">
        <v>850</v>
      </c>
      <c r="F132" s="5" t="s">
        <v>62</v>
      </c>
      <c r="G132" s="5" t="s">
        <v>61</v>
      </c>
      <c r="H132" s="5" t="s">
        <v>62</v>
      </c>
      <c r="I132" s="5" t="s">
        <v>63</v>
      </c>
      <c r="J132" s="5" t="s">
        <v>76</v>
      </c>
      <c r="K132" s="5" t="s">
        <v>65</v>
      </c>
      <c r="L132" s="6" t="n">
        <v>35840</v>
      </c>
      <c r="M132" s="5" t="s">
        <v>851</v>
      </c>
      <c r="N132" s="6" t="n">
        <v>25006</v>
      </c>
      <c r="O132" s="5" t="s">
        <v>89</v>
      </c>
      <c r="P132" s="5" t="s">
        <v>90</v>
      </c>
      <c r="Q132" s="5" t="s">
        <v>524</v>
      </c>
      <c r="R132" s="5" t="s">
        <v>392</v>
      </c>
      <c r="S132" s="5" t="s">
        <v>852</v>
      </c>
      <c r="T132" s="6" t="n">
        <v>42887</v>
      </c>
      <c r="U132" s="6" t="n">
        <v>44440</v>
      </c>
      <c r="V132" s="5" t="s">
        <v>141</v>
      </c>
      <c r="W132" s="5" t="s">
        <v>141</v>
      </c>
      <c r="X132" s="5" t="s">
        <v>141</v>
      </c>
      <c r="Y132" s="5" t="s">
        <v>141</v>
      </c>
      <c r="Z132" s="5" t="s">
        <v>141</v>
      </c>
      <c r="AA132" s="5" t="s">
        <v>853</v>
      </c>
      <c r="AB132" s="0" t="n">
        <f aca="false">IFERROR(VALUE(R132),0)</f>
        <v>7.8</v>
      </c>
      <c r="AC132" s="0" t="n">
        <f aca="false">IFERROR(VALUE(M132),"")</f>
        <v>57.11</v>
      </c>
      <c r="AD132" s="0" t="n">
        <f aca="false">IFERROR(VALUE(Q132),"")</f>
        <v>28.3</v>
      </c>
      <c r="AE132" s="0" t="n">
        <f aca="false">IFERROR(VALUE(S132),"")</f>
        <v>35.11</v>
      </c>
      <c r="AF132" s="0" t="n">
        <f aca="false">IF(V132="","",VLOOKUP(V132,Assumptions!$B$6:$C$9,2,FALSE()))</f>
        <v>3</v>
      </c>
      <c r="AG132" s="0" t="n">
        <f aca="false">IF(W132="","",VLOOKUP(W132,Assumptions!$B$6:$C$9,2,FALSE()))</f>
        <v>3</v>
      </c>
      <c r="AH132" s="0" t="n">
        <f aca="false">IF(X132="","",VLOOKUP(X132,Assumptions!$B$6:$C$9,2,FALSE()))</f>
        <v>3</v>
      </c>
      <c r="AI132" s="0" t="n">
        <f aca="false">IF(Y132="","",VLOOKUP(Y132,Assumptions!$B$6:$C$9,2,FALSE()))</f>
        <v>3</v>
      </c>
      <c r="AJ132" s="0" t="n">
        <f aca="false">IF(Z132="","",VLOOKUP(Z132,Assumptions!$B$6:$C$9,2,FALSE()))</f>
        <v>3</v>
      </c>
      <c r="AK132" s="7" t="n">
        <f aca="false">IFERROR(ROUND(AVERAGE(AF132:AJ132),3),"")</f>
        <v>3</v>
      </c>
      <c r="AL132" s="7" t="n">
        <f aca="false">IF(OR(AF132="",AJ132=""),"",AJ132-AF132)</f>
        <v>0</v>
      </c>
      <c r="AM132" s="7" t="n">
        <f aca="false">IF(COUNT(AF132:AJ132)&gt;=2,ROUND(_xlfn.STDEV.S(AF132:AJ132),3),"")</f>
        <v>0</v>
      </c>
      <c r="AN132" s="7" t="n">
        <f aca="false">ROUND((IF(AF132="",0,AF132)*Assumptions!$F$15)+(IF(AG132="",0,AG132)*Assumptions!$F$16)+(IF(AH132="",0,AH132)*Assumptions!$F$17)+(IF(AI132="",0,AI132)*Assumptions!$F$18)+(IF(AJ132="",0,AJ132)*Assumptions!$F$19),3)</f>
        <v>3</v>
      </c>
      <c r="AO132" s="0" t="str">
        <f aca="false">IF(AC132&lt;=20,"",IF(AC132&lt;=Assumptions!$F$6,"20-30",IF(AC132&lt;=Assumptions!$F$7,"30-40",IF(AC132&lt;=Assumptions!$F$8,"40-50",IF(AC132&lt;=Assumptions!$F$9,"50-60",IF(AC132&lt;=Assumptions!$F$10,"60+",""))))))</f>
        <v>50-60</v>
      </c>
      <c r="AP132" s="0" t="str">
        <f aca="false">IFERROR(VLOOKUP(O132,Assumptions!$B$14:$C$26,2,FALSE()),"Other")</f>
        <v>Leadership</v>
      </c>
      <c r="AQ132" s="0" t="n">
        <f aca="false">IF(T132="",0,1)</f>
        <v>1</v>
      </c>
      <c r="AR132" s="0" t="n">
        <f aca="false">IF(U132="",0,1)</f>
        <v>1</v>
      </c>
      <c r="AS132" s="8" t="n">
        <f aca="false">IF(AK132="","",IF(MAX($AK$2:$AK$921)=MIN($AK$2:$AK$921),50,ROUND((AK132-MIN($AK$2:$AK$921))/(MAX($AK$2:$AK$921)-MIN($AK$2:$AK$921))*100,2)))</f>
        <v>57.14</v>
      </c>
      <c r="AT132" s="8" t="n">
        <f aca="false">IF(MAX($BC$2:$BC$921)=MIN($BC$2:$BC$921),50,ROUND((BC132-MIN($BC$2:$BC$921))/(MAX($BC$2:$BC$921)-MIN($BC$2:$BC$921))*100,2))</f>
        <v>50</v>
      </c>
      <c r="AU132" s="8" t="n">
        <f aca="false">IF(MAX($BE$2:$BE$921)=MIN($BE$2:$BE$921),50,ROUND((BE132-MIN($BE$2:$BE$921))/(MAX($BE$2:$BE$921)-MIN($BE$2:$BE$921))*100,2))</f>
        <v>100</v>
      </c>
      <c r="AV132" s="8" t="n">
        <f aca="false">IF(MAX($AD$2:$AD$921)=MIN($AD$2:$AD$921),50,ROUND((AD132-MIN($AD$2:$AD$921))/(MAX($AD$2:$AD$921)-MIN($AD$2:$AD$921))*100,2))</f>
        <v>76.62</v>
      </c>
      <c r="AW132" s="8" t="n">
        <f aca="false">IF(MAX($AN$2:$AN$921)=MIN($AN$2:$AN$921),50,ROUND((AN132-MIN($AN$2:$AN$921))/(MAX($AN$2:$AN$921)-MIN($AN$2:$AN$921))*100,2))</f>
        <v>75</v>
      </c>
      <c r="AX132" s="8" t="n">
        <f aca="false">AQ132*100</f>
        <v>100</v>
      </c>
      <c r="AY132" s="8" t="n">
        <f aca="false">AR132*100</f>
        <v>100</v>
      </c>
      <c r="AZ132" s="8" t="n">
        <f aca="false">IFERROR(ROUND(AS132*Assumptions!$I$6+AW132*Assumptions!$I$7+AT132*Assumptions!$I$8+AU132*Assumptions!$I$9+AV132*Assumptions!$I$10+AX132*Assumptions!$I$11+AY132*Assumptions!$I$12,2),"")</f>
        <v>72.3</v>
      </c>
      <c r="BA132" s="0" t="str">
        <f aca="false">IF(AZ132="","",IF(AZ132&lt;=Assumptions!$I$18,"Below Expectation",IF(AZ132&lt;=Assumptions!$I$19,"Developing",IF(AZ132&lt;=Assumptions!$I$20,"Meets Expectation",IF(AZ132&lt;=Assumptions!$I$21,"Exceeds","Star Performer")))))</f>
        <v>Exceeds</v>
      </c>
      <c r="BB132" s="0" t="n">
        <f aca="false">IF(AZ132="",0,IF(AZ132&gt;=Assumptions!$I$26,1,0))</f>
        <v>1</v>
      </c>
      <c r="BC132" s="9" t="n">
        <f aca="false">IF(AL132="",2,AL132+2)</f>
        <v>2</v>
      </c>
      <c r="BD132" s="10" t="n">
        <f aca="false">IF(AM132="",ROUND(AVERAGE($AM$2:$AM$921),3),AM132)</f>
        <v>0</v>
      </c>
      <c r="BE132" s="9" t="n">
        <f aca="false">1-BD132</f>
        <v>1</v>
      </c>
    </row>
    <row r="133" customFormat="false" ht="14.25" hidden="true" customHeight="false" outlineLevel="0" collapsed="false">
      <c r="A133" s="4" t="n">
        <v>356</v>
      </c>
      <c r="B133" s="5" t="n">
        <v>37101424</v>
      </c>
      <c r="C133" s="5" t="s">
        <v>85</v>
      </c>
      <c r="D133" s="5" t="s">
        <v>854</v>
      </c>
      <c r="E133" s="5" t="s">
        <v>137</v>
      </c>
      <c r="F133" s="5" t="s">
        <v>267</v>
      </c>
      <c r="G133" s="5" t="s">
        <v>268</v>
      </c>
      <c r="H133" s="5" t="s">
        <v>267</v>
      </c>
      <c r="I133" s="5" t="s">
        <v>63</v>
      </c>
      <c r="J133" s="5" t="s">
        <v>76</v>
      </c>
      <c r="K133" s="5" t="s">
        <v>65</v>
      </c>
      <c r="L133" s="6" t="n">
        <v>39160</v>
      </c>
      <c r="M133" s="5" t="s">
        <v>855</v>
      </c>
      <c r="N133" s="6" t="n">
        <v>29748</v>
      </c>
      <c r="O133" s="5" t="s">
        <v>162</v>
      </c>
      <c r="P133" s="5" t="s">
        <v>162</v>
      </c>
      <c r="Q133" s="5" t="s">
        <v>792</v>
      </c>
      <c r="R133" s="5" t="s">
        <v>219</v>
      </c>
      <c r="S133" s="5" t="s">
        <v>856</v>
      </c>
      <c r="T133" s="6" t="n">
        <v>41365</v>
      </c>
      <c r="U133" s="6" t="n">
        <v>46113</v>
      </c>
      <c r="V133" s="5" t="s">
        <v>141</v>
      </c>
      <c r="W133" s="5" t="s">
        <v>83</v>
      </c>
      <c r="X133" s="5" t="s">
        <v>141</v>
      </c>
      <c r="Y133" s="5" t="s">
        <v>83</v>
      </c>
      <c r="Z133" s="5" t="s">
        <v>141</v>
      </c>
      <c r="AA133" s="5" t="s">
        <v>857</v>
      </c>
      <c r="AB133" s="0" t="n">
        <f aca="false">IFERROR(VALUE(R133),0)</f>
        <v>2.9</v>
      </c>
      <c r="AC133" s="0" t="n">
        <f aca="false">IFERROR(VALUE(M133),"")</f>
        <v>44.11</v>
      </c>
      <c r="AD133" s="0" t="n">
        <f aca="false">IFERROR(VALUE(Q133),"")</f>
        <v>19.2</v>
      </c>
      <c r="AE133" s="0" t="n">
        <f aca="false">IFERROR(VALUE(S133),"")</f>
        <v>21.11</v>
      </c>
      <c r="AF133" s="0" t="n">
        <f aca="false">IF(V133="","",VLOOKUP(V133,Assumptions!$B$6:$C$9,2,FALSE()))</f>
        <v>3</v>
      </c>
      <c r="AG133" s="0" t="n">
        <f aca="false">IF(W133="","",VLOOKUP(W133,Assumptions!$B$6:$C$9,2,FALSE()))</f>
        <v>4</v>
      </c>
      <c r="AH133" s="0" t="n">
        <f aca="false">IF(X133="","",VLOOKUP(X133,Assumptions!$B$6:$C$9,2,FALSE()))</f>
        <v>3</v>
      </c>
      <c r="AI133" s="0" t="n">
        <f aca="false">IF(Y133="","",VLOOKUP(Y133,Assumptions!$B$6:$C$9,2,FALSE()))</f>
        <v>4</v>
      </c>
      <c r="AJ133" s="0" t="n">
        <f aca="false">IF(Z133="","",VLOOKUP(Z133,Assumptions!$B$6:$C$9,2,FALSE()))</f>
        <v>3</v>
      </c>
      <c r="AK133" s="7" t="n">
        <f aca="false">IFERROR(ROUND(AVERAGE(AF133:AJ133),3),"")</f>
        <v>3.4</v>
      </c>
      <c r="AL133" s="7" t="n">
        <f aca="false">IF(OR(AF133="",AJ133=""),"",AJ133-AF133)</f>
        <v>0</v>
      </c>
      <c r="AM133" s="7" t="n">
        <f aca="false">IF(COUNT(AF133:AJ133)&gt;=2,ROUND(_xlfn.STDEV.S(AF133:AJ133),3),"")</f>
        <v>0.548</v>
      </c>
      <c r="AN133" s="7" t="n">
        <f aca="false">ROUND((IF(AF133="",0,AF133)*Assumptions!$F$15)+(IF(AG133="",0,AG133)*Assumptions!$F$16)+(IF(AH133="",0,AH133)*Assumptions!$F$17)+(IF(AI133="",0,AI133)*Assumptions!$F$18)+(IF(AJ133="",0,AJ133)*Assumptions!$F$19),3)</f>
        <v>3.4</v>
      </c>
      <c r="AO133" s="0" t="str">
        <f aca="false">IF(AC133&lt;=20,"",IF(AC133&lt;=Assumptions!$F$6,"20-30",IF(AC133&lt;=Assumptions!$F$7,"30-40",IF(AC133&lt;=Assumptions!$F$8,"40-50",IF(AC133&lt;=Assumptions!$F$9,"50-60",IF(AC133&lt;=Assumptions!$F$10,"60+",""))))))</f>
        <v>40-50</v>
      </c>
      <c r="AP133" s="0" t="str">
        <f aca="false">IFERROR(VLOOKUP(O133,Assumptions!$B$14:$C$26,2,FALSE()),"Other")</f>
        <v>Manager</v>
      </c>
      <c r="AQ133" s="0" t="n">
        <f aca="false">IF(T133="",0,1)</f>
        <v>1</v>
      </c>
      <c r="AR133" s="0" t="n">
        <f aca="false">IF(U133="",0,1)</f>
        <v>1</v>
      </c>
      <c r="AS133" s="8" t="n">
        <f aca="false">IF(AK133="","",IF(MAX($AK$2:$AK$921)=MIN($AK$2:$AK$921),50,ROUND((AK133-MIN($AK$2:$AK$921))/(MAX($AK$2:$AK$921)-MIN($AK$2:$AK$921))*100,2)))</f>
        <v>74.28</v>
      </c>
      <c r="AT133" s="8" t="n">
        <f aca="false">IF(MAX($BC$2:$BC$921)=MIN($BC$2:$BC$921),50,ROUND((BC133-MIN($BC$2:$BC$921))/(MAX($BC$2:$BC$921)-MIN($BC$2:$BC$921))*100,2))</f>
        <v>50</v>
      </c>
      <c r="AU133" s="8" t="n">
        <f aca="false">IF(MAX($BE$2:$BE$921)=MIN($BE$2:$BE$921),50,ROUND((BE133-MIN($BE$2:$BE$921))/(MAX($BE$2:$BE$921)-MIN($BE$2:$BE$921))*100,2))</f>
        <v>68.36</v>
      </c>
      <c r="AV133" s="8" t="n">
        <f aca="false">IF(MAX($AD$2:$AD$921)=MIN($AD$2:$AD$921),50,ROUND((AD133-MIN($AD$2:$AD$921))/(MAX($AD$2:$AD$921)-MIN($AD$2:$AD$921))*100,2))</f>
        <v>51.89</v>
      </c>
      <c r="AW133" s="8" t="n">
        <f aca="false">IF(MAX($AN$2:$AN$921)=MIN($AN$2:$AN$921),50,ROUND((AN133-MIN($AN$2:$AN$921))/(MAX($AN$2:$AN$921)-MIN($AN$2:$AN$921))*100,2))</f>
        <v>85</v>
      </c>
      <c r="AX133" s="8" t="n">
        <f aca="false">AQ133*100</f>
        <v>100</v>
      </c>
      <c r="AY133" s="8" t="n">
        <f aca="false">AR133*100</f>
        <v>100</v>
      </c>
      <c r="AZ133" s="8" t="n">
        <f aca="false">IFERROR(ROUND(AS133*Assumptions!$I$6+AW133*Assumptions!$I$7+AT133*Assumptions!$I$8+AU133*Assumptions!$I$9+AV133*Assumptions!$I$10+AX133*Assumptions!$I$11+AY133*Assumptions!$I$12,2),"")</f>
        <v>72.23</v>
      </c>
      <c r="BA133" s="0" t="str">
        <f aca="false">IF(AZ133="","",IF(AZ133&lt;=Assumptions!$I$18,"Below Expectation",IF(AZ133&lt;=Assumptions!$I$19,"Developing",IF(AZ133&lt;=Assumptions!$I$20,"Meets Expectation",IF(AZ133&lt;=Assumptions!$I$21,"Exceeds","Star Performer")))))</f>
        <v>Exceeds</v>
      </c>
      <c r="BB133" s="0" t="n">
        <f aca="false">IF(AZ133="",0,IF(AZ133&gt;=Assumptions!$I$26,1,0))</f>
        <v>1</v>
      </c>
      <c r="BC133" s="9" t="n">
        <f aca="false">IF(AL133="",2,AL133+2)</f>
        <v>2</v>
      </c>
      <c r="BD133" s="10" t="n">
        <f aca="false">IF(AM133="",ROUND(AVERAGE($AM$2:$AM$921),3),AM133)</f>
        <v>0.548</v>
      </c>
      <c r="BE133" s="9" t="n">
        <f aca="false">1-BD133</f>
        <v>0.452</v>
      </c>
    </row>
    <row r="134" customFormat="false" ht="14.25" hidden="true" customHeight="false" outlineLevel="0" collapsed="false">
      <c r="A134" s="4" t="n">
        <v>473</v>
      </c>
      <c r="B134" s="5" t="n">
        <v>55042141</v>
      </c>
      <c r="C134" s="5" t="s">
        <v>858</v>
      </c>
      <c r="D134" s="5" t="s">
        <v>859</v>
      </c>
      <c r="E134" s="5" t="s">
        <v>860</v>
      </c>
      <c r="F134" s="5" t="s">
        <v>861</v>
      </c>
      <c r="G134" s="5" t="s">
        <v>862</v>
      </c>
      <c r="H134" s="5" t="s">
        <v>861</v>
      </c>
      <c r="I134" s="5" t="s">
        <v>63</v>
      </c>
      <c r="J134" s="5" t="s">
        <v>100</v>
      </c>
      <c r="K134" s="5" t="s">
        <v>309</v>
      </c>
      <c r="L134" s="6" t="n">
        <v>44410</v>
      </c>
      <c r="M134" s="5" t="s">
        <v>833</v>
      </c>
      <c r="N134" s="6" t="n">
        <v>35084</v>
      </c>
      <c r="O134" s="5" t="s">
        <v>332</v>
      </c>
      <c r="P134" s="5" t="s">
        <v>333</v>
      </c>
      <c r="Q134" s="5" t="s">
        <v>523</v>
      </c>
      <c r="R134" s="5" t="s">
        <v>115</v>
      </c>
      <c r="S134" s="5" t="s">
        <v>523</v>
      </c>
      <c r="T134" s="6"/>
      <c r="U134" s="6" t="n">
        <v>46113</v>
      </c>
      <c r="V134" s="5" t="s">
        <v>631</v>
      </c>
      <c r="W134" s="5" t="s">
        <v>83</v>
      </c>
      <c r="X134" s="5" t="s">
        <v>83</v>
      </c>
      <c r="Y134" s="5" t="s">
        <v>83</v>
      </c>
      <c r="Z134" s="5" t="s">
        <v>83</v>
      </c>
      <c r="AA134" s="5" t="s">
        <v>863</v>
      </c>
      <c r="AB134" s="0" t="n">
        <f aca="false">IFERROR(VALUE(R134),0)</f>
        <v>0</v>
      </c>
      <c r="AC134" s="0" t="n">
        <f aca="false">IFERROR(VALUE(M134),"")</f>
        <v>30.4</v>
      </c>
      <c r="AD134" s="0" t="n">
        <f aca="false">IFERROR(VALUE(Q134),"")</f>
        <v>4.1</v>
      </c>
      <c r="AE134" s="0" t="n">
        <f aca="false">IFERROR(VALUE(S134),"")</f>
        <v>4.1</v>
      </c>
      <c r="AF134" s="0" t="n">
        <f aca="false">IF(V134="","",VLOOKUP(V134,Assumptions!$B$6:$C$9,2,FALSE()))</f>
        <v>2</v>
      </c>
      <c r="AG134" s="0" t="n">
        <f aca="false">IF(W134="","",VLOOKUP(W134,Assumptions!$B$6:$C$9,2,FALSE()))</f>
        <v>4</v>
      </c>
      <c r="AH134" s="0" t="n">
        <f aca="false">IF(X134="","",VLOOKUP(X134,Assumptions!$B$6:$C$9,2,FALSE()))</f>
        <v>4</v>
      </c>
      <c r="AI134" s="0" t="n">
        <f aca="false">IF(Y134="","",VLOOKUP(Y134,Assumptions!$B$6:$C$9,2,FALSE()))</f>
        <v>4</v>
      </c>
      <c r="AJ134" s="0" t="n">
        <f aca="false">IF(Z134="","",VLOOKUP(Z134,Assumptions!$B$6:$C$9,2,FALSE()))</f>
        <v>4</v>
      </c>
      <c r="AK134" s="7" t="n">
        <f aca="false">IFERROR(ROUND(AVERAGE(AF134:AJ134),3),"")</f>
        <v>3.6</v>
      </c>
      <c r="AL134" s="7" t="n">
        <f aca="false">IF(OR(AF134="",AJ134=""),"",AJ134-AF134)</f>
        <v>2</v>
      </c>
      <c r="AM134" s="7" t="n">
        <f aca="false">IF(COUNT(AF134:AJ134)&gt;=2,ROUND(_xlfn.STDEV.S(AF134:AJ134),3),"")</f>
        <v>0.894</v>
      </c>
      <c r="AN134" s="7" t="n">
        <f aca="false">ROUND((IF(AF134="",0,AF134)*Assumptions!$F$15)+(IF(AG134="",0,AG134)*Assumptions!$F$16)+(IF(AH134="",0,AH134)*Assumptions!$F$17)+(IF(AI134="",0,AI134)*Assumptions!$F$18)+(IF(AJ134="",0,AJ134)*Assumptions!$F$19),3)</f>
        <v>3.8</v>
      </c>
      <c r="AO134" s="0" t="str">
        <f aca="false">IF(AC134&lt;=20,"",IF(AC134&lt;=Assumptions!$F$6,"20-30",IF(AC134&lt;=Assumptions!$F$7,"30-40",IF(AC134&lt;=Assumptions!$F$8,"40-50",IF(AC134&lt;=Assumptions!$F$9,"50-60",IF(AC134&lt;=Assumptions!$F$10,"60+",""))))))</f>
        <v>30-40</v>
      </c>
      <c r="AP134" s="0" t="str">
        <f aca="false">IFERROR(VLOOKUP(O134,Assumptions!$B$14:$C$26,2,FALSE()),"Other")</f>
        <v>Manager</v>
      </c>
      <c r="AQ134" s="0" t="n">
        <f aca="false">IF(T134="",0,1)</f>
        <v>0</v>
      </c>
      <c r="AR134" s="0" t="n">
        <f aca="false">IF(U134="",0,1)</f>
        <v>1</v>
      </c>
      <c r="AS134" s="8" t="n">
        <f aca="false">IF(AK134="","",IF(MAX($AK$2:$AK$921)=MIN($AK$2:$AK$921),50,ROUND((AK134-MIN($AK$2:$AK$921))/(MAX($AK$2:$AK$921)-MIN($AK$2:$AK$921))*100,2)))</f>
        <v>82.85</v>
      </c>
      <c r="AT134" s="8" t="n">
        <f aca="false">IF(MAX($BC$2:$BC$921)=MIN($BC$2:$BC$921),50,ROUND((BC134-MIN($BC$2:$BC$921))/(MAX($BC$2:$BC$921)-MIN($BC$2:$BC$921))*100,2))</f>
        <v>100</v>
      </c>
      <c r="AU134" s="8" t="n">
        <f aca="false">IF(MAX($BE$2:$BE$921)=MIN($BE$2:$BE$921),50,ROUND((BE134-MIN($BE$2:$BE$921))/(MAX($BE$2:$BE$921)-MIN($BE$2:$BE$921))*100,2))</f>
        <v>48.38</v>
      </c>
      <c r="AV134" s="8" t="n">
        <f aca="false">IF(MAX($AD$2:$AD$921)=MIN($AD$2:$AD$921),50,ROUND((AD134-MIN($AD$2:$AD$921))/(MAX($AD$2:$AD$921)-MIN($AD$2:$AD$921))*100,2))</f>
        <v>10.85</v>
      </c>
      <c r="AW134" s="8" t="n">
        <f aca="false">IF(MAX($AN$2:$AN$921)=MIN($AN$2:$AN$921),50,ROUND((AN134-MIN($AN$2:$AN$921))/(MAX($AN$2:$AN$921)-MIN($AN$2:$AN$921))*100,2))</f>
        <v>95</v>
      </c>
      <c r="AX134" s="8" t="n">
        <f aca="false">AQ134*100</f>
        <v>0</v>
      </c>
      <c r="AY134" s="8" t="n">
        <f aca="false">AR134*100</f>
        <v>100</v>
      </c>
      <c r="AZ134" s="8" t="n">
        <f aca="false">IFERROR(ROUND(AS134*Assumptions!$I$6+AW134*Assumptions!$I$7+AT134*Assumptions!$I$8+AU134*Assumptions!$I$9+AV134*Assumptions!$I$10+AX134*Assumptions!$I$11+AY134*Assumptions!$I$12,2),"")</f>
        <v>72.2</v>
      </c>
      <c r="BA134" s="0" t="str">
        <f aca="false">IF(AZ134="","",IF(AZ134&lt;=Assumptions!$I$18,"Below Expectation",IF(AZ134&lt;=Assumptions!$I$19,"Developing",IF(AZ134&lt;=Assumptions!$I$20,"Meets Expectation",IF(AZ134&lt;=Assumptions!$I$21,"Exceeds","Star Performer")))))</f>
        <v>Exceeds</v>
      </c>
      <c r="BB134" s="0" t="n">
        <f aca="false">IF(AZ134="",0,IF(AZ134&gt;=Assumptions!$I$26,1,0))</f>
        <v>1</v>
      </c>
      <c r="BC134" s="9" t="n">
        <f aca="false">IF(AL134="",2,AL134+2)</f>
        <v>4</v>
      </c>
      <c r="BD134" s="10" t="n">
        <f aca="false">IF(AM134="",ROUND(AVERAGE($AM$2:$AM$921),3),AM134)</f>
        <v>0.894</v>
      </c>
      <c r="BE134" s="9" t="n">
        <f aca="false">1-BD134</f>
        <v>0.106</v>
      </c>
    </row>
    <row r="135" customFormat="false" ht="14.25" hidden="true" customHeight="false" outlineLevel="0" collapsed="false">
      <c r="A135" s="4" t="n">
        <v>208</v>
      </c>
      <c r="B135" s="5" t="n">
        <v>10056418</v>
      </c>
      <c r="C135" s="5" t="s">
        <v>85</v>
      </c>
      <c r="D135" s="5" t="s">
        <v>864</v>
      </c>
      <c r="E135" s="5" t="s">
        <v>865</v>
      </c>
      <c r="F135" s="5" t="s">
        <v>866</v>
      </c>
      <c r="G135" s="5" t="s">
        <v>867</v>
      </c>
      <c r="H135" s="5" t="s">
        <v>866</v>
      </c>
      <c r="I135" s="5" t="s">
        <v>63</v>
      </c>
      <c r="J135" s="5" t="s">
        <v>76</v>
      </c>
      <c r="K135" s="5" t="s">
        <v>65</v>
      </c>
      <c r="L135" s="6" t="n">
        <v>42730</v>
      </c>
      <c r="M135" s="5" t="s">
        <v>868</v>
      </c>
      <c r="N135" s="6" t="n">
        <v>28362</v>
      </c>
      <c r="O135" s="5" t="s">
        <v>122</v>
      </c>
      <c r="P135" s="5" t="s">
        <v>123</v>
      </c>
      <c r="Q135" s="5" t="s">
        <v>425</v>
      </c>
      <c r="R135" s="5" t="s">
        <v>510</v>
      </c>
      <c r="S135" s="5" t="s">
        <v>522</v>
      </c>
      <c r="T135" s="6"/>
      <c r="U135" s="6" t="n">
        <v>46113</v>
      </c>
      <c r="V135" s="5" t="s">
        <v>141</v>
      </c>
      <c r="W135" s="5" t="s">
        <v>83</v>
      </c>
      <c r="X135" s="5" t="s">
        <v>83</v>
      </c>
      <c r="Y135" s="5" t="s">
        <v>141</v>
      </c>
      <c r="Z135" s="5" t="s">
        <v>83</v>
      </c>
      <c r="AA135" s="5" t="s">
        <v>869</v>
      </c>
      <c r="AB135" s="0" t="n">
        <f aca="false">IFERROR(VALUE(R135),0)</f>
        <v>14</v>
      </c>
      <c r="AC135" s="0" t="n">
        <f aca="false">IFERROR(VALUE(M135),"")</f>
        <v>48.9</v>
      </c>
      <c r="AD135" s="0" t="n">
        <f aca="false">IFERROR(VALUE(Q135),"")</f>
        <v>9.5</v>
      </c>
      <c r="AE135" s="0" t="n">
        <f aca="false">IFERROR(VALUE(S135),"")</f>
        <v>23.5</v>
      </c>
      <c r="AF135" s="0" t="n">
        <f aca="false">IF(V135="","",VLOOKUP(V135,Assumptions!$B$6:$C$9,2,FALSE()))</f>
        <v>3</v>
      </c>
      <c r="AG135" s="0" t="n">
        <f aca="false">IF(W135="","",VLOOKUP(W135,Assumptions!$B$6:$C$9,2,FALSE()))</f>
        <v>4</v>
      </c>
      <c r="AH135" s="0" t="n">
        <f aca="false">IF(X135="","",VLOOKUP(X135,Assumptions!$B$6:$C$9,2,FALSE()))</f>
        <v>4</v>
      </c>
      <c r="AI135" s="0" t="n">
        <f aca="false">IF(Y135="","",VLOOKUP(Y135,Assumptions!$B$6:$C$9,2,FALSE()))</f>
        <v>3</v>
      </c>
      <c r="AJ135" s="0" t="n">
        <f aca="false">IF(Z135="","",VLOOKUP(Z135,Assumptions!$B$6:$C$9,2,FALSE()))</f>
        <v>4</v>
      </c>
      <c r="AK135" s="7" t="n">
        <f aca="false">IFERROR(ROUND(AVERAGE(AF135:AJ135),3),"")</f>
        <v>3.6</v>
      </c>
      <c r="AL135" s="7" t="n">
        <f aca="false">IF(OR(AF135="",AJ135=""),"",AJ135-AF135)</f>
        <v>1</v>
      </c>
      <c r="AM135" s="7" t="n">
        <f aca="false">IF(COUNT(AF135:AJ135)&gt;=2,ROUND(_xlfn.STDEV.S(AF135:AJ135),3),"")</f>
        <v>0.548</v>
      </c>
      <c r="AN135" s="7" t="n">
        <f aca="false">ROUND((IF(AF135="",0,AF135)*Assumptions!$F$15)+(IF(AG135="",0,AG135)*Assumptions!$F$16)+(IF(AH135="",0,AH135)*Assumptions!$F$17)+(IF(AI135="",0,AI135)*Assumptions!$F$18)+(IF(AJ135="",0,AJ135)*Assumptions!$F$19),3)</f>
        <v>3.65</v>
      </c>
      <c r="AO135" s="0" t="str">
        <f aca="false">IF(AC135&lt;=20,"",IF(AC135&lt;=Assumptions!$F$6,"20-30",IF(AC135&lt;=Assumptions!$F$7,"30-40",IF(AC135&lt;=Assumptions!$F$8,"40-50",IF(AC135&lt;=Assumptions!$F$9,"50-60",IF(AC135&lt;=Assumptions!$F$10,"60+",""))))))</f>
        <v>40-50</v>
      </c>
      <c r="AP135" s="0" t="str">
        <f aca="false">IFERROR(VLOOKUP(O135,Assumptions!$B$14:$C$26,2,FALSE()),"Other")</f>
        <v>Leadership</v>
      </c>
      <c r="AQ135" s="0" t="n">
        <f aca="false">IF(T135="",0,1)</f>
        <v>0</v>
      </c>
      <c r="AR135" s="0" t="n">
        <f aca="false">IF(U135="",0,1)</f>
        <v>1</v>
      </c>
      <c r="AS135" s="8" t="n">
        <f aca="false">IF(AK135="","",IF(MAX($AK$2:$AK$921)=MIN($AK$2:$AK$921),50,ROUND((AK135-MIN($AK$2:$AK$921))/(MAX($AK$2:$AK$921)-MIN($AK$2:$AK$921))*100,2)))</f>
        <v>82.85</v>
      </c>
      <c r="AT135" s="8" t="n">
        <f aca="false">IF(MAX($BC$2:$BC$921)=MIN($BC$2:$BC$921),50,ROUND((BC135-MIN($BC$2:$BC$921))/(MAX($BC$2:$BC$921)-MIN($BC$2:$BC$921))*100,2))</f>
        <v>75</v>
      </c>
      <c r="AU135" s="8" t="n">
        <f aca="false">IF(MAX($BE$2:$BE$921)=MIN($BE$2:$BE$921),50,ROUND((BE135-MIN($BE$2:$BE$921))/(MAX($BE$2:$BE$921)-MIN($BE$2:$BE$921))*100,2))</f>
        <v>68.36</v>
      </c>
      <c r="AV135" s="8" t="n">
        <f aca="false">IF(MAX($AD$2:$AD$921)=MIN($AD$2:$AD$921),50,ROUND((AD135-MIN($AD$2:$AD$921))/(MAX($AD$2:$AD$921)-MIN($AD$2:$AD$921))*100,2))</f>
        <v>25.52</v>
      </c>
      <c r="AW135" s="8" t="n">
        <f aca="false">IF(MAX($AN$2:$AN$921)=MIN($AN$2:$AN$921),50,ROUND((AN135-MIN($AN$2:$AN$921))/(MAX($AN$2:$AN$921)-MIN($AN$2:$AN$921))*100,2))</f>
        <v>91.25</v>
      </c>
      <c r="AX135" s="8" t="n">
        <f aca="false">AQ135*100</f>
        <v>0</v>
      </c>
      <c r="AY135" s="8" t="n">
        <f aca="false">AR135*100</f>
        <v>100</v>
      </c>
      <c r="AZ135" s="8" t="n">
        <f aca="false">IFERROR(ROUND(AS135*Assumptions!$I$6+AW135*Assumptions!$I$7+AT135*Assumptions!$I$8+AU135*Assumptions!$I$9+AV135*Assumptions!$I$10+AX135*Assumptions!$I$11+AY135*Assumptions!$I$12,2),"")</f>
        <v>72.16</v>
      </c>
      <c r="BA135" s="0" t="str">
        <f aca="false">IF(AZ135="","",IF(AZ135&lt;=Assumptions!$I$18,"Below Expectation",IF(AZ135&lt;=Assumptions!$I$19,"Developing",IF(AZ135&lt;=Assumptions!$I$20,"Meets Expectation",IF(AZ135&lt;=Assumptions!$I$21,"Exceeds","Star Performer")))))</f>
        <v>Exceeds</v>
      </c>
      <c r="BB135" s="0" t="n">
        <f aca="false">IF(AZ135="",0,IF(AZ135&gt;=Assumptions!$I$26,1,0))</f>
        <v>1</v>
      </c>
      <c r="BC135" s="9" t="n">
        <f aca="false">IF(AL135="",2,AL135+2)</f>
        <v>3</v>
      </c>
      <c r="BD135" s="10" t="n">
        <f aca="false">IF(AM135="",ROUND(AVERAGE($AM$2:$AM$921),3),AM135)</f>
        <v>0.548</v>
      </c>
      <c r="BE135" s="9" t="n">
        <f aca="false">1-BD135</f>
        <v>0.452</v>
      </c>
    </row>
    <row r="136" customFormat="false" ht="14.25" hidden="true" customHeight="false" outlineLevel="0" collapsed="false">
      <c r="A136" s="4" t="n">
        <v>334</v>
      </c>
      <c r="B136" s="5" t="n">
        <v>30501933</v>
      </c>
      <c r="C136" s="5"/>
      <c r="D136" s="5" t="s">
        <v>870</v>
      </c>
      <c r="E136" s="5" t="s">
        <v>257</v>
      </c>
      <c r="F136" s="5" t="s">
        <v>380</v>
      </c>
      <c r="G136" s="5" t="s">
        <v>379</v>
      </c>
      <c r="H136" s="5" t="s">
        <v>380</v>
      </c>
      <c r="I136" s="5" t="s">
        <v>63</v>
      </c>
      <c r="J136" s="5" t="s">
        <v>76</v>
      </c>
      <c r="K136" s="5" t="s">
        <v>65</v>
      </c>
      <c r="L136" s="6" t="n">
        <v>38749</v>
      </c>
      <c r="M136" s="5" t="s">
        <v>722</v>
      </c>
      <c r="N136" s="6" t="n">
        <v>29434</v>
      </c>
      <c r="O136" s="5" t="s">
        <v>332</v>
      </c>
      <c r="P136" s="5" t="s">
        <v>333</v>
      </c>
      <c r="Q136" s="5" t="s">
        <v>763</v>
      </c>
      <c r="R136" s="5" t="s">
        <v>801</v>
      </c>
      <c r="S136" s="5" t="s">
        <v>871</v>
      </c>
      <c r="T136" s="6" t="n">
        <v>40634</v>
      </c>
      <c r="U136" s="6" t="n">
        <v>44287</v>
      </c>
      <c r="V136" s="5" t="s">
        <v>83</v>
      </c>
      <c r="W136" s="5" t="s">
        <v>141</v>
      </c>
      <c r="X136" s="5" t="s">
        <v>83</v>
      </c>
      <c r="Y136" s="5" t="s">
        <v>83</v>
      </c>
      <c r="Z136" s="5" t="s">
        <v>141</v>
      </c>
      <c r="AA136" s="5" t="s">
        <v>872</v>
      </c>
      <c r="AB136" s="0" t="n">
        <f aca="false">IFERROR(VALUE(R136),0)</f>
        <v>1.5</v>
      </c>
      <c r="AC136" s="0" t="n">
        <f aca="false">IFERROR(VALUE(M136),"")</f>
        <v>45.1</v>
      </c>
      <c r="AD136" s="0" t="n">
        <f aca="false">IFERROR(VALUE(Q136),"")</f>
        <v>20.4</v>
      </c>
      <c r="AE136" s="0" t="n">
        <f aca="false">IFERROR(VALUE(S136),"")</f>
        <v>21.9</v>
      </c>
      <c r="AF136" s="0" t="n">
        <f aca="false">IF(V136="","",VLOOKUP(V136,Assumptions!$B$6:$C$9,2,FALSE()))</f>
        <v>4</v>
      </c>
      <c r="AG136" s="0" t="n">
        <f aca="false">IF(W136="","",VLOOKUP(W136,Assumptions!$B$6:$C$9,2,FALSE()))</f>
        <v>3</v>
      </c>
      <c r="AH136" s="0" t="n">
        <f aca="false">IF(X136="","",VLOOKUP(X136,Assumptions!$B$6:$C$9,2,FALSE()))</f>
        <v>4</v>
      </c>
      <c r="AI136" s="0" t="n">
        <f aca="false">IF(Y136="","",VLOOKUP(Y136,Assumptions!$B$6:$C$9,2,FALSE()))</f>
        <v>4</v>
      </c>
      <c r="AJ136" s="0" t="n">
        <f aca="false">IF(Z136="","",VLOOKUP(Z136,Assumptions!$B$6:$C$9,2,FALSE()))</f>
        <v>3</v>
      </c>
      <c r="AK136" s="7" t="n">
        <f aca="false">IFERROR(ROUND(AVERAGE(AF136:AJ136),3),"")</f>
        <v>3.6</v>
      </c>
      <c r="AL136" s="7" t="n">
        <f aca="false">IF(OR(AF136="",AJ136=""),"",AJ136-AF136)</f>
        <v>-1</v>
      </c>
      <c r="AM136" s="7" t="n">
        <f aca="false">IF(COUNT(AF136:AJ136)&gt;=2,ROUND(_xlfn.STDEV.S(AF136:AJ136),3),"")</f>
        <v>0.548</v>
      </c>
      <c r="AN136" s="7" t="n">
        <f aca="false">ROUND((IF(AF136="",0,AF136)*Assumptions!$F$15)+(IF(AG136="",0,AG136)*Assumptions!$F$16)+(IF(AH136="",0,AH136)*Assumptions!$F$17)+(IF(AI136="",0,AI136)*Assumptions!$F$18)+(IF(AJ136="",0,AJ136)*Assumptions!$F$19),3)</f>
        <v>3.55</v>
      </c>
      <c r="AO136" s="0" t="str">
        <f aca="false">IF(AC136&lt;=20,"",IF(AC136&lt;=Assumptions!$F$6,"20-30",IF(AC136&lt;=Assumptions!$F$7,"30-40",IF(AC136&lt;=Assumptions!$F$8,"40-50",IF(AC136&lt;=Assumptions!$F$9,"50-60",IF(AC136&lt;=Assumptions!$F$10,"60+",""))))))</f>
        <v>40-50</v>
      </c>
      <c r="AP136" s="0" t="str">
        <f aca="false">IFERROR(VLOOKUP(O136,Assumptions!$B$14:$C$26,2,FALSE()),"Other")</f>
        <v>Manager</v>
      </c>
      <c r="AQ136" s="0" t="n">
        <f aca="false">IF(T136="",0,1)</f>
        <v>1</v>
      </c>
      <c r="AR136" s="0" t="n">
        <f aca="false">IF(U136="",0,1)</f>
        <v>1</v>
      </c>
      <c r="AS136" s="8" t="n">
        <f aca="false">IF(AK136="","",IF(MAX($AK$2:$AK$921)=MIN($AK$2:$AK$921),50,ROUND((AK136-MIN($AK$2:$AK$921))/(MAX($AK$2:$AK$921)-MIN($AK$2:$AK$921))*100,2)))</f>
        <v>82.85</v>
      </c>
      <c r="AT136" s="8" t="n">
        <f aca="false">IF(MAX($BC$2:$BC$921)=MIN($BC$2:$BC$921),50,ROUND((BC136-MIN($BC$2:$BC$921))/(MAX($BC$2:$BC$921)-MIN($BC$2:$BC$921))*100,2))</f>
        <v>25</v>
      </c>
      <c r="AU136" s="8" t="n">
        <f aca="false">IF(MAX($BE$2:$BE$921)=MIN($BE$2:$BE$921),50,ROUND((BE136-MIN($BE$2:$BE$921))/(MAX($BE$2:$BE$921)-MIN($BE$2:$BE$921))*100,2))</f>
        <v>68.36</v>
      </c>
      <c r="AV136" s="8" t="n">
        <f aca="false">IF(MAX($AD$2:$AD$921)=MIN($AD$2:$AD$921),50,ROUND((AD136-MIN($AD$2:$AD$921))/(MAX($AD$2:$AD$921)-MIN($AD$2:$AD$921))*100,2))</f>
        <v>55.15</v>
      </c>
      <c r="AW136" s="8" t="n">
        <f aca="false">IF(MAX($AN$2:$AN$921)=MIN($AN$2:$AN$921),50,ROUND((AN136-MIN($AN$2:$AN$921))/(MAX($AN$2:$AN$921)-MIN($AN$2:$AN$921))*100,2))</f>
        <v>88.75</v>
      </c>
      <c r="AX136" s="8" t="n">
        <f aca="false">AQ136*100</f>
        <v>100</v>
      </c>
      <c r="AY136" s="8" t="n">
        <f aca="false">AR136*100</f>
        <v>100</v>
      </c>
      <c r="AZ136" s="8" t="n">
        <f aca="false">IFERROR(ROUND(AS136*Assumptions!$I$6+AW136*Assumptions!$I$7+AT136*Assumptions!$I$8+AU136*Assumptions!$I$9+AV136*Assumptions!$I$10+AX136*Assumptions!$I$11+AY136*Assumptions!$I$12,2),"")</f>
        <v>72.12</v>
      </c>
      <c r="BA136" s="0" t="str">
        <f aca="false">IF(AZ136="","",IF(AZ136&lt;=Assumptions!$I$18,"Below Expectation",IF(AZ136&lt;=Assumptions!$I$19,"Developing",IF(AZ136&lt;=Assumptions!$I$20,"Meets Expectation",IF(AZ136&lt;=Assumptions!$I$21,"Exceeds","Star Performer")))))</f>
        <v>Exceeds</v>
      </c>
      <c r="BB136" s="0" t="n">
        <f aca="false">IF(AZ136="",0,IF(AZ136&gt;=Assumptions!$I$26,1,0))</f>
        <v>1</v>
      </c>
      <c r="BC136" s="9" t="n">
        <f aca="false">IF(AL136="",2,AL136+2)</f>
        <v>1</v>
      </c>
      <c r="BD136" s="10" t="n">
        <f aca="false">IF(AM136="",ROUND(AVERAGE($AM$2:$AM$921),3),AM136)</f>
        <v>0.548</v>
      </c>
      <c r="BE136" s="9" t="n">
        <f aca="false">1-BD136</f>
        <v>0.452</v>
      </c>
    </row>
    <row r="137" customFormat="false" ht="14.25" hidden="true" customHeight="false" outlineLevel="0" collapsed="false">
      <c r="A137" s="4" t="n">
        <v>229</v>
      </c>
      <c r="B137" s="5" t="n">
        <v>10058945</v>
      </c>
      <c r="C137" s="5" t="s">
        <v>85</v>
      </c>
      <c r="D137" s="5" t="s">
        <v>873</v>
      </c>
      <c r="E137" s="5" t="s">
        <v>850</v>
      </c>
      <c r="F137" s="5" t="s">
        <v>258</v>
      </c>
      <c r="G137" s="5" t="s">
        <v>259</v>
      </c>
      <c r="H137" s="5" t="s">
        <v>260</v>
      </c>
      <c r="I137" s="5" t="s">
        <v>63</v>
      </c>
      <c r="J137" s="5" t="s">
        <v>76</v>
      </c>
      <c r="K137" s="5" t="s">
        <v>65</v>
      </c>
      <c r="L137" s="6" t="n">
        <v>42912</v>
      </c>
      <c r="M137" s="5" t="s">
        <v>874</v>
      </c>
      <c r="N137" s="6" t="n">
        <v>28138</v>
      </c>
      <c r="O137" s="5" t="s">
        <v>162</v>
      </c>
      <c r="P137" s="5" t="s">
        <v>162</v>
      </c>
      <c r="Q137" s="5" t="s">
        <v>875</v>
      </c>
      <c r="R137" s="5" t="s">
        <v>312</v>
      </c>
      <c r="S137" s="5" t="s">
        <v>492</v>
      </c>
      <c r="T137" s="6"/>
      <c r="U137" s="6" t="n">
        <v>46113</v>
      </c>
      <c r="V137" s="5" t="s">
        <v>83</v>
      </c>
      <c r="W137" s="5" t="s">
        <v>83</v>
      </c>
      <c r="X137" s="5" t="s">
        <v>83</v>
      </c>
      <c r="Y137" s="5" t="s">
        <v>141</v>
      </c>
      <c r="Z137" s="5" t="s">
        <v>83</v>
      </c>
      <c r="AA137" s="5" t="s">
        <v>876</v>
      </c>
      <c r="AB137" s="0" t="n">
        <f aca="false">IFERROR(VALUE(R137),0)</f>
        <v>13.9</v>
      </c>
      <c r="AC137" s="0" t="n">
        <f aca="false">IFERROR(VALUE(M137),"")</f>
        <v>49.4</v>
      </c>
      <c r="AD137" s="0" t="n">
        <f aca="false">IFERROR(VALUE(Q137),"")</f>
        <v>8.11</v>
      </c>
      <c r="AE137" s="0" t="n">
        <f aca="false">IFERROR(VALUE(S137),"")</f>
        <v>22.8</v>
      </c>
      <c r="AF137" s="0" t="n">
        <f aca="false">IF(V137="","",VLOOKUP(V137,Assumptions!$B$6:$C$9,2,FALSE()))</f>
        <v>4</v>
      </c>
      <c r="AG137" s="0" t="n">
        <f aca="false">IF(W137="","",VLOOKUP(W137,Assumptions!$B$6:$C$9,2,FALSE()))</f>
        <v>4</v>
      </c>
      <c r="AH137" s="0" t="n">
        <f aca="false">IF(X137="","",VLOOKUP(X137,Assumptions!$B$6:$C$9,2,FALSE()))</f>
        <v>4</v>
      </c>
      <c r="AI137" s="0" t="n">
        <f aca="false">IF(Y137="","",VLOOKUP(Y137,Assumptions!$B$6:$C$9,2,FALSE()))</f>
        <v>3</v>
      </c>
      <c r="AJ137" s="0" t="n">
        <f aca="false">IF(Z137="","",VLOOKUP(Z137,Assumptions!$B$6:$C$9,2,FALSE()))</f>
        <v>4</v>
      </c>
      <c r="AK137" s="7" t="n">
        <f aca="false">IFERROR(ROUND(AVERAGE(AF137:AJ137),3),"")</f>
        <v>3.8</v>
      </c>
      <c r="AL137" s="7" t="n">
        <f aca="false">IF(OR(AF137="",AJ137=""),"",AJ137-AF137)</f>
        <v>0</v>
      </c>
      <c r="AM137" s="7" t="n">
        <f aca="false">IF(COUNT(AF137:AJ137)&gt;=2,ROUND(_xlfn.STDEV.S(AF137:AJ137),3),"")</f>
        <v>0.447</v>
      </c>
      <c r="AN137" s="7" t="n">
        <f aca="false">ROUND((IF(AF137="",0,AF137)*Assumptions!$F$15)+(IF(AG137="",0,AG137)*Assumptions!$F$16)+(IF(AH137="",0,AH137)*Assumptions!$F$17)+(IF(AI137="",0,AI137)*Assumptions!$F$18)+(IF(AJ137="",0,AJ137)*Assumptions!$F$19),3)</f>
        <v>3.75</v>
      </c>
      <c r="AO137" s="0" t="str">
        <f aca="false">IF(AC137&lt;=20,"",IF(AC137&lt;=Assumptions!$F$6,"20-30",IF(AC137&lt;=Assumptions!$F$7,"30-40",IF(AC137&lt;=Assumptions!$F$8,"40-50",IF(AC137&lt;=Assumptions!$F$9,"50-60",IF(AC137&lt;=Assumptions!$F$10,"60+",""))))))</f>
        <v>40-50</v>
      </c>
      <c r="AP137" s="0" t="str">
        <f aca="false">IFERROR(VLOOKUP(O137,Assumptions!$B$14:$C$26,2,FALSE()),"Other")</f>
        <v>Manager</v>
      </c>
      <c r="AQ137" s="0" t="n">
        <f aca="false">IF(T137="",0,1)</f>
        <v>0</v>
      </c>
      <c r="AR137" s="0" t="n">
        <f aca="false">IF(U137="",0,1)</f>
        <v>1</v>
      </c>
      <c r="AS137" s="8" t="n">
        <f aca="false">IF(AK137="","",IF(MAX($AK$2:$AK$921)=MIN($AK$2:$AK$921),50,ROUND((AK137-MIN($AK$2:$AK$921))/(MAX($AK$2:$AK$921)-MIN($AK$2:$AK$921))*100,2)))</f>
        <v>91.43</v>
      </c>
      <c r="AT137" s="8" t="n">
        <f aca="false">IF(MAX($BC$2:$BC$921)=MIN($BC$2:$BC$921),50,ROUND((BC137-MIN($BC$2:$BC$921))/(MAX($BC$2:$BC$921)-MIN($BC$2:$BC$921))*100,2))</f>
        <v>50</v>
      </c>
      <c r="AU137" s="8" t="n">
        <f aca="false">IF(MAX($BE$2:$BE$921)=MIN($BE$2:$BE$921),50,ROUND((BE137-MIN($BE$2:$BE$921))/(MAX($BE$2:$BE$921)-MIN($BE$2:$BE$921))*100,2))</f>
        <v>74.19</v>
      </c>
      <c r="AV137" s="8" t="n">
        <f aca="false">IF(MAX($AD$2:$AD$921)=MIN($AD$2:$AD$921),50,ROUND((AD137-MIN($AD$2:$AD$921))/(MAX($AD$2:$AD$921)-MIN($AD$2:$AD$921))*100,2))</f>
        <v>21.75</v>
      </c>
      <c r="AW137" s="8" t="n">
        <f aca="false">IF(MAX($AN$2:$AN$921)=MIN($AN$2:$AN$921),50,ROUND((AN137-MIN($AN$2:$AN$921))/(MAX($AN$2:$AN$921)-MIN($AN$2:$AN$921))*100,2))</f>
        <v>93.75</v>
      </c>
      <c r="AX137" s="8" t="n">
        <f aca="false">AQ137*100</f>
        <v>0</v>
      </c>
      <c r="AY137" s="8" t="n">
        <f aca="false">AR137*100</f>
        <v>100</v>
      </c>
      <c r="AZ137" s="8" t="n">
        <f aca="false">IFERROR(ROUND(AS137*Assumptions!$I$6+AW137*Assumptions!$I$7+AT137*Assumptions!$I$8+AU137*Assumptions!$I$9+AV137*Assumptions!$I$10+AX137*Assumptions!$I$11+AY137*Assumptions!$I$12,2),"")</f>
        <v>71.98</v>
      </c>
      <c r="BA137" s="0" t="str">
        <f aca="false">IF(AZ137="","",IF(AZ137&lt;=Assumptions!$I$18,"Below Expectation",IF(AZ137&lt;=Assumptions!$I$19,"Developing",IF(AZ137&lt;=Assumptions!$I$20,"Meets Expectation",IF(AZ137&lt;=Assumptions!$I$21,"Exceeds","Star Performer")))))</f>
        <v>Exceeds</v>
      </c>
      <c r="BB137" s="0" t="n">
        <f aca="false">IF(AZ137="",0,IF(AZ137&gt;=Assumptions!$I$26,1,0))</f>
        <v>1</v>
      </c>
      <c r="BC137" s="9" t="n">
        <f aca="false">IF(AL137="",2,AL137+2)</f>
        <v>2</v>
      </c>
      <c r="BD137" s="10" t="n">
        <f aca="false">IF(AM137="",ROUND(AVERAGE($AM$2:$AM$921),3),AM137)</f>
        <v>0.447</v>
      </c>
      <c r="BE137" s="9" t="n">
        <f aca="false">1-BD137</f>
        <v>0.553</v>
      </c>
    </row>
    <row r="138" customFormat="false" ht="14.25" hidden="true" customHeight="false" outlineLevel="0" collapsed="false">
      <c r="A138" s="4" t="n">
        <v>247</v>
      </c>
      <c r="B138" s="5" t="n">
        <v>10065554</v>
      </c>
      <c r="C138" s="5" t="s">
        <v>85</v>
      </c>
      <c r="D138" s="5" t="s">
        <v>877</v>
      </c>
      <c r="E138" s="5" t="s">
        <v>185</v>
      </c>
      <c r="F138" s="5" t="s">
        <v>380</v>
      </c>
      <c r="G138" s="5" t="s">
        <v>379</v>
      </c>
      <c r="H138" s="5" t="s">
        <v>380</v>
      </c>
      <c r="I138" s="5" t="s">
        <v>63</v>
      </c>
      <c r="J138" s="5" t="s">
        <v>76</v>
      </c>
      <c r="K138" s="5" t="s">
        <v>65</v>
      </c>
      <c r="L138" s="6" t="n">
        <v>43353</v>
      </c>
      <c r="M138" s="5" t="s">
        <v>852</v>
      </c>
      <c r="N138" s="6" t="n">
        <v>33034</v>
      </c>
      <c r="O138" s="5" t="s">
        <v>332</v>
      </c>
      <c r="P138" s="5" t="s">
        <v>333</v>
      </c>
      <c r="Q138" s="5" t="s">
        <v>392</v>
      </c>
      <c r="R138" s="5" t="s">
        <v>382</v>
      </c>
      <c r="S138" s="5" t="s">
        <v>878</v>
      </c>
      <c r="T138" s="6"/>
      <c r="U138" s="6" t="n">
        <v>44652</v>
      </c>
      <c r="V138" s="5" t="s">
        <v>83</v>
      </c>
      <c r="W138" s="5" t="s">
        <v>83</v>
      </c>
      <c r="X138" s="5" t="s">
        <v>83</v>
      </c>
      <c r="Y138" s="5" t="s">
        <v>141</v>
      </c>
      <c r="Z138" s="5" t="s">
        <v>83</v>
      </c>
      <c r="AA138" s="5" t="s">
        <v>879</v>
      </c>
      <c r="AB138" s="0" t="n">
        <f aca="false">IFERROR(VALUE(R138),0)</f>
        <v>5.4</v>
      </c>
      <c r="AC138" s="0" t="n">
        <f aca="false">IFERROR(VALUE(M138),"")</f>
        <v>35.11</v>
      </c>
      <c r="AD138" s="0" t="n">
        <f aca="false">IFERROR(VALUE(Q138),"")</f>
        <v>7.8</v>
      </c>
      <c r="AE138" s="0" t="n">
        <f aca="false">IFERROR(VALUE(S138),"")</f>
        <v>13</v>
      </c>
      <c r="AF138" s="0" t="n">
        <f aca="false">IF(V138="","",VLOOKUP(V138,Assumptions!$B$6:$C$9,2,FALSE()))</f>
        <v>4</v>
      </c>
      <c r="AG138" s="0" t="n">
        <f aca="false">IF(W138="","",VLOOKUP(W138,Assumptions!$B$6:$C$9,2,FALSE()))</f>
        <v>4</v>
      </c>
      <c r="AH138" s="0" t="n">
        <f aca="false">IF(X138="","",VLOOKUP(X138,Assumptions!$B$6:$C$9,2,FALSE()))</f>
        <v>4</v>
      </c>
      <c r="AI138" s="0" t="n">
        <f aca="false">IF(Y138="","",VLOOKUP(Y138,Assumptions!$B$6:$C$9,2,FALSE()))</f>
        <v>3</v>
      </c>
      <c r="AJ138" s="0" t="n">
        <f aca="false">IF(Z138="","",VLOOKUP(Z138,Assumptions!$B$6:$C$9,2,FALSE()))</f>
        <v>4</v>
      </c>
      <c r="AK138" s="7" t="n">
        <f aca="false">IFERROR(ROUND(AVERAGE(AF138:AJ138),3),"")</f>
        <v>3.8</v>
      </c>
      <c r="AL138" s="7" t="n">
        <f aca="false">IF(OR(AF138="",AJ138=""),"",AJ138-AF138)</f>
        <v>0</v>
      </c>
      <c r="AM138" s="7" t="n">
        <f aca="false">IF(COUNT(AF138:AJ138)&gt;=2,ROUND(_xlfn.STDEV.S(AF138:AJ138),3),"")</f>
        <v>0.447</v>
      </c>
      <c r="AN138" s="7" t="n">
        <f aca="false">ROUND((IF(AF138="",0,AF138)*Assumptions!$F$15)+(IF(AG138="",0,AG138)*Assumptions!$F$16)+(IF(AH138="",0,AH138)*Assumptions!$F$17)+(IF(AI138="",0,AI138)*Assumptions!$F$18)+(IF(AJ138="",0,AJ138)*Assumptions!$F$19),3)</f>
        <v>3.75</v>
      </c>
      <c r="AO138" s="0" t="str">
        <f aca="false">IF(AC138&lt;=20,"",IF(AC138&lt;=Assumptions!$F$6,"20-30",IF(AC138&lt;=Assumptions!$F$7,"30-40",IF(AC138&lt;=Assumptions!$F$8,"40-50",IF(AC138&lt;=Assumptions!$F$9,"50-60",IF(AC138&lt;=Assumptions!$F$10,"60+",""))))))</f>
        <v>30-40</v>
      </c>
      <c r="AP138" s="0" t="str">
        <f aca="false">IFERROR(VLOOKUP(O138,Assumptions!$B$14:$C$26,2,FALSE()),"Other")</f>
        <v>Manager</v>
      </c>
      <c r="AQ138" s="0" t="n">
        <f aca="false">IF(T138="",0,1)</f>
        <v>0</v>
      </c>
      <c r="AR138" s="0" t="n">
        <f aca="false">IF(U138="",0,1)</f>
        <v>1</v>
      </c>
      <c r="AS138" s="8" t="n">
        <f aca="false">IF(AK138="","",IF(MAX($AK$2:$AK$921)=MIN($AK$2:$AK$921),50,ROUND((AK138-MIN($AK$2:$AK$921))/(MAX($AK$2:$AK$921)-MIN($AK$2:$AK$921))*100,2)))</f>
        <v>91.43</v>
      </c>
      <c r="AT138" s="8" t="n">
        <f aca="false">IF(MAX($BC$2:$BC$921)=MIN($BC$2:$BC$921),50,ROUND((BC138-MIN($BC$2:$BC$921))/(MAX($BC$2:$BC$921)-MIN($BC$2:$BC$921))*100,2))</f>
        <v>50</v>
      </c>
      <c r="AU138" s="8" t="n">
        <f aca="false">IF(MAX($BE$2:$BE$921)=MIN($BE$2:$BE$921),50,ROUND((BE138-MIN($BE$2:$BE$921))/(MAX($BE$2:$BE$921)-MIN($BE$2:$BE$921))*100,2))</f>
        <v>74.19</v>
      </c>
      <c r="AV138" s="8" t="n">
        <f aca="false">IF(MAX($AD$2:$AD$921)=MIN($AD$2:$AD$921),50,ROUND((AD138-MIN($AD$2:$AD$921))/(MAX($AD$2:$AD$921)-MIN($AD$2:$AD$921))*100,2))</f>
        <v>20.9</v>
      </c>
      <c r="AW138" s="8" t="n">
        <f aca="false">IF(MAX($AN$2:$AN$921)=MIN($AN$2:$AN$921),50,ROUND((AN138-MIN($AN$2:$AN$921))/(MAX($AN$2:$AN$921)-MIN($AN$2:$AN$921))*100,2))</f>
        <v>93.75</v>
      </c>
      <c r="AX138" s="8" t="n">
        <f aca="false">AQ138*100</f>
        <v>0</v>
      </c>
      <c r="AY138" s="8" t="n">
        <f aca="false">AR138*100</f>
        <v>100</v>
      </c>
      <c r="AZ138" s="8" t="n">
        <f aca="false">IFERROR(ROUND(AS138*Assumptions!$I$6+AW138*Assumptions!$I$7+AT138*Assumptions!$I$8+AU138*Assumptions!$I$9+AV138*Assumptions!$I$10+AX138*Assumptions!$I$11+AY138*Assumptions!$I$12,2),"")</f>
        <v>71.9</v>
      </c>
      <c r="BA138" s="0" t="str">
        <f aca="false">IF(AZ138="","",IF(AZ138&lt;=Assumptions!$I$18,"Below Expectation",IF(AZ138&lt;=Assumptions!$I$19,"Developing",IF(AZ138&lt;=Assumptions!$I$20,"Meets Expectation",IF(AZ138&lt;=Assumptions!$I$21,"Exceeds","Star Performer")))))</f>
        <v>Exceeds</v>
      </c>
      <c r="BB138" s="0" t="n">
        <f aca="false">IF(AZ138="",0,IF(AZ138&gt;=Assumptions!$I$26,1,0))</f>
        <v>1</v>
      </c>
      <c r="BC138" s="9" t="n">
        <f aca="false">IF(AL138="",2,AL138+2)</f>
        <v>2</v>
      </c>
      <c r="BD138" s="10" t="n">
        <f aca="false">IF(AM138="",ROUND(AVERAGE($AM$2:$AM$921),3),AM138)</f>
        <v>0.447</v>
      </c>
      <c r="BE138" s="9" t="n">
        <f aca="false">1-BD138</f>
        <v>0.553</v>
      </c>
    </row>
    <row r="139" customFormat="false" ht="14.25" hidden="true" customHeight="false" outlineLevel="0" collapsed="false">
      <c r="A139" s="4" t="n">
        <v>251</v>
      </c>
      <c r="B139" s="5" t="n">
        <v>10066190</v>
      </c>
      <c r="C139" s="5" t="s">
        <v>526</v>
      </c>
      <c r="D139" s="5" t="s">
        <v>880</v>
      </c>
      <c r="E139" s="5" t="s">
        <v>881</v>
      </c>
      <c r="F139" s="5" t="s">
        <v>258</v>
      </c>
      <c r="G139" s="5" t="s">
        <v>259</v>
      </c>
      <c r="H139" s="5" t="s">
        <v>260</v>
      </c>
      <c r="I139" s="5" t="s">
        <v>63</v>
      </c>
      <c r="J139" s="5" t="s">
        <v>100</v>
      </c>
      <c r="K139" s="5" t="s">
        <v>65</v>
      </c>
      <c r="L139" s="6" t="n">
        <v>43416</v>
      </c>
      <c r="M139" s="5" t="s">
        <v>390</v>
      </c>
      <c r="N139" s="6" t="n">
        <v>31758</v>
      </c>
      <c r="O139" s="5" t="s">
        <v>262</v>
      </c>
      <c r="P139" s="5" t="s">
        <v>263</v>
      </c>
      <c r="Q139" s="5" t="s">
        <v>807</v>
      </c>
      <c r="R139" s="5" t="s">
        <v>71</v>
      </c>
      <c r="S139" s="5" t="s">
        <v>882</v>
      </c>
      <c r="T139" s="6"/>
      <c r="U139" s="6" t="n">
        <v>45292</v>
      </c>
      <c r="V139" s="5" t="s">
        <v>83</v>
      </c>
      <c r="W139" s="5" t="s">
        <v>83</v>
      </c>
      <c r="X139" s="5" t="s">
        <v>83</v>
      </c>
      <c r="Y139" s="5" t="s">
        <v>141</v>
      </c>
      <c r="Z139" s="5" t="s">
        <v>83</v>
      </c>
      <c r="AA139" s="5" t="s">
        <v>883</v>
      </c>
      <c r="AB139" s="0" t="n">
        <f aca="false">IFERROR(VALUE(R139),0)</f>
        <v>9.7</v>
      </c>
      <c r="AC139" s="0" t="n">
        <f aca="false">IFERROR(VALUE(M139),"")</f>
        <v>39.5</v>
      </c>
      <c r="AD139" s="0" t="n">
        <f aca="false">IFERROR(VALUE(Q139),"")</f>
        <v>7.6</v>
      </c>
      <c r="AE139" s="0" t="n">
        <f aca="false">IFERROR(VALUE(S139),"")</f>
        <v>17.1</v>
      </c>
      <c r="AF139" s="0" t="n">
        <f aca="false">IF(V139="","",VLOOKUP(V139,Assumptions!$B$6:$C$9,2,FALSE()))</f>
        <v>4</v>
      </c>
      <c r="AG139" s="0" t="n">
        <f aca="false">IF(W139="","",VLOOKUP(W139,Assumptions!$B$6:$C$9,2,FALSE()))</f>
        <v>4</v>
      </c>
      <c r="AH139" s="0" t="n">
        <f aca="false">IF(X139="","",VLOOKUP(X139,Assumptions!$B$6:$C$9,2,FALSE()))</f>
        <v>4</v>
      </c>
      <c r="AI139" s="0" t="n">
        <f aca="false">IF(Y139="","",VLOOKUP(Y139,Assumptions!$B$6:$C$9,2,FALSE()))</f>
        <v>3</v>
      </c>
      <c r="AJ139" s="0" t="n">
        <f aca="false">IF(Z139="","",VLOOKUP(Z139,Assumptions!$B$6:$C$9,2,FALSE()))</f>
        <v>4</v>
      </c>
      <c r="AK139" s="7" t="n">
        <f aca="false">IFERROR(ROUND(AVERAGE(AF139:AJ139),3),"")</f>
        <v>3.8</v>
      </c>
      <c r="AL139" s="7" t="n">
        <f aca="false">IF(OR(AF139="",AJ139=""),"",AJ139-AF139)</f>
        <v>0</v>
      </c>
      <c r="AM139" s="7" t="n">
        <f aca="false">IF(COUNT(AF139:AJ139)&gt;=2,ROUND(_xlfn.STDEV.S(AF139:AJ139),3),"")</f>
        <v>0.447</v>
      </c>
      <c r="AN139" s="7" t="n">
        <f aca="false">ROUND((IF(AF139="",0,AF139)*Assumptions!$F$15)+(IF(AG139="",0,AG139)*Assumptions!$F$16)+(IF(AH139="",0,AH139)*Assumptions!$F$17)+(IF(AI139="",0,AI139)*Assumptions!$F$18)+(IF(AJ139="",0,AJ139)*Assumptions!$F$19),3)</f>
        <v>3.75</v>
      </c>
      <c r="AO139" s="0" t="str">
        <f aca="false">IF(AC139&lt;=20,"",IF(AC139&lt;=Assumptions!$F$6,"20-30",IF(AC139&lt;=Assumptions!$F$7,"30-40",IF(AC139&lt;=Assumptions!$F$8,"40-50",IF(AC139&lt;=Assumptions!$F$9,"50-60",IF(AC139&lt;=Assumptions!$F$10,"60+",""))))))</f>
        <v>30-40</v>
      </c>
      <c r="AP139" s="0" t="str">
        <f aca="false">IFERROR(VLOOKUP(O139,Assumptions!$B$14:$C$26,2,FALSE()),"Other")</f>
        <v>Manager</v>
      </c>
      <c r="AQ139" s="0" t="n">
        <f aca="false">IF(T139="",0,1)</f>
        <v>0</v>
      </c>
      <c r="AR139" s="0" t="n">
        <f aca="false">IF(U139="",0,1)</f>
        <v>1</v>
      </c>
      <c r="AS139" s="8" t="n">
        <f aca="false">IF(AK139="","",IF(MAX($AK$2:$AK$921)=MIN($AK$2:$AK$921),50,ROUND((AK139-MIN($AK$2:$AK$921))/(MAX($AK$2:$AK$921)-MIN($AK$2:$AK$921))*100,2)))</f>
        <v>91.43</v>
      </c>
      <c r="AT139" s="8" t="n">
        <f aca="false">IF(MAX($BC$2:$BC$921)=MIN($BC$2:$BC$921),50,ROUND((BC139-MIN($BC$2:$BC$921))/(MAX($BC$2:$BC$921)-MIN($BC$2:$BC$921))*100,2))</f>
        <v>50</v>
      </c>
      <c r="AU139" s="8" t="n">
        <f aca="false">IF(MAX($BE$2:$BE$921)=MIN($BE$2:$BE$921),50,ROUND((BE139-MIN($BE$2:$BE$921))/(MAX($BE$2:$BE$921)-MIN($BE$2:$BE$921))*100,2))</f>
        <v>74.19</v>
      </c>
      <c r="AV139" s="8" t="n">
        <f aca="false">IF(MAX($AD$2:$AD$921)=MIN($AD$2:$AD$921),50,ROUND((AD139-MIN($AD$2:$AD$921))/(MAX($AD$2:$AD$921)-MIN($AD$2:$AD$921))*100,2))</f>
        <v>20.36</v>
      </c>
      <c r="AW139" s="8" t="n">
        <f aca="false">IF(MAX($AN$2:$AN$921)=MIN($AN$2:$AN$921),50,ROUND((AN139-MIN($AN$2:$AN$921))/(MAX($AN$2:$AN$921)-MIN($AN$2:$AN$921))*100,2))</f>
        <v>93.75</v>
      </c>
      <c r="AX139" s="8" t="n">
        <f aca="false">AQ139*100</f>
        <v>0</v>
      </c>
      <c r="AY139" s="8" t="n">
        <f aca="false">AR139*100</f>
        <v>100</v>
      </c>
      <c r="AZ139" s="8" t="n">
        <f aca="false">IFERROR(ROUND(AS139*Assumptions!$I$6+AW139*Assumptions!$I$7+AT139*Assumptions!$I$8+AU139*Assumptions!$I$9+AV139*Assumptions!$I$10+AX139*Assumptions!$I$11+AY139*Assumptions!$I$12,2),"")</f>
        <v>71.84</v>
      </c>
      <c r="BA139" s="0" t="str">
        <f aca="false">IF(AZ139="","",IF(AZ139&lt;=Assumptions!$I$18,"Below Expectation",IF(AZ139&lt;=Assumptions!$I$19,"Developing",IF(AZ139&lt;=Assumptions!$I$20,"Meets Expectation",IF(AZ139&lt;=Assumptions!$I$21,"Exceeds","Star Performer")))))</f>
        <v>Exceeds</v>
      </c>
      <c r="BB139" s="0" t="n">
        <f aca="false">IF(AZ139="",0,IF(AZ139&gt;=Assumptions!$I$26,1,0))</f>
        <v>1</v>
      </c>
      <c r="BC139" s="9" t="n">
        <f aca="false">IF(AL139="",2,AL139+2)</f>
        <v>2</v>
      </c>
      <c r="BD139" s="10" t="n">
        <f aca="false">IF(AM139="",ROUND(AVERAGE($AM$2:$AM$921),3),AM139)</f>
        <v>0.447</v>
      </c>
      <c r="BE139" s="9" t="n">
        <f aca="false">1-BD139</f>
        <v>0.553</v>
      </c>
    </row>
    <row r="140" customFormat="false" ht="14.25" hidden="false" customHeight="false" outlineLevel="0" collapsed="false">
      <c r="A140" s="4" t="n">
        <v>343</v>
      </c>
      <c r="B140" s="5" t="n">
        <v>37100140</v>
      </c>
      <c r="C140" s="5" t="s">
        <v>106</v>
      </c>
      <c r="D140" s="5" t="s">
        <v>884</v>
      </c>
      <c r="E140" s="5" t="s">
        <v>108</v>
      </c>
      <c r="F140" s="5" t="s">
        <v>885</v>
      </c>
      <c r="G140" s="5" t="s">
        <v>259</v>
      </c>
      <c r="H140" s="5" t="s">
        <v>260</v>
      </c>
      <c r="I140" s="5" t="s">
        <v>63</v>
      </c>
      <c r="J140" s="5" t="s">
        <v>112</v>
      </c>
      <c r="K140" s="5" t="s">
        <v>65</v>
      </c>
      <c r="L140" s="6" t="n">
        <v>37803</v>
      </c>
      <c r="M140" s="5" t="s">
        <v>886</v>
      </c>
      <c r="N140" s="6" t="n">
        <v>27998</v>
      </c>
      <c r="O140" s="5" t="s">
        <v>162</v>
      </c>
      <c r="P140" s="5" t="s">
        <v>162</v>
      </c>
      <c r="Q140" s="5" t="s">
        <v>555</v>
      </c>
      <c r="R140" s="5" t="s">
        <v>444</v>
      </c>
      <c r="S140" s="5" t="s">
        <v>887</v>
      </c>
      <c r="T140" s="6" t="n">
        <v>43009</v>
      </c>
      <c r="U140" s="6"/>
      <c r="V140" s="5" t="s">
        <v>83</v>
      </c>
      <c r="W140" s="5" t="s">
        <v>141</v>
      </c>
      <c r="X140" s="5" t="s">
        <v>141</v>
      </c>
      <c r="Y140" s="5" t="s">
        <v>83</v>
      </c>
      <c r="Z140" s="5" t="s">
        <v>83</v>
      </c>
      <c r="AA140" s="5" t="s">
        <v>888</v>
      </c>
      <c r="AB140" s="0" t="n">
        <f aca="false">IFERROR(VALUE(R140),0)</f>
        <v>9.1</v>
      </c>
      <c r="AC140" s="0" t="n">
        <f aca="false">IFERROR(VALUE(M140),"")</f>
        <v>49.9</v>
      </c>
      <c r="AD140" s="0" t="n">
        <f aca="false">IFERROR(VALUE(Q140),"")</f>
        <v>22.11</v>
      </c>
      <c r="AE140" s="0" t="n">
        <f aca="false">IFERROR(VALUE(S140),"")</f>
        <v>32</v>
      </c>
      <c r="AF140" s="0" t="n">
        <f aca="false">IF(V140="","",VLOOKUP(V140,Assumptions!$B$6:$C$9,2,FALSE()))</f>
        <v>4</v>
      </c>
      <c r="AG140" s="0" t="n">
        <f aca="false">IF(W140="","",VLOOKUP(W140,Assumptions!$B$6:$C$9,2,FALSE()))</f>
        <v>3</v>
      </c>
      <c r="AH140" s="0" t="n">
        <f aca="false">IF(X140="","",VLOOKUP(X140,Assumptions!$B$6:$C$9,2,FALSE()))</f>
        <v>3</v>
      </c>
      <c r="AI140" s="0" t="n">
        <f aca="false">IF(Y140="","",VLOOKUP(Y140,Assumptions!$B$6:$C$9,2,FALSE()))</f>
        <v>4</v>
      </c>
      <c r="AJ140" s="0" t="n">
        <f aca="false">IF(Z140="","",VLOOKUP(Z140,Assumptions!$B$6:$C$9,2,FALSE()))</f>
        <v>4</v>
      </c>
      <c r="AK140" s="7" t="n">
        <f aca="false">IFERROR(ROUND(AVERAGE(AF140:AJ140),3),"")</f>
        <v>3.6</v>
      </c>
      <c r="AL140" s="7" t="n">
        <f aca="false">IF(OR(AF140="",AJ140=""),"",AJ140-AF140)</f>
        <v>0</v>
      </c>
      <c r="AM140" s="7" t="n">
        <f aca="false">IF(COUNT(AF140:AJ140)&gt;=2,ROUND(_xlfn.STDEV.S(AF140:AJ140),3),"")</f>
        <v>0.548</v>
      </c>
      <c r="AN140" s="7" t="n">
        <f aca="false">ROUND((IF(AF140="",0,AF140)*Assumptions!$F$15)+(IF(AG140="",0,AG140)*Assumptions!$F$16)+(IF(AH140="",0,AH140)*Assumptions!$F$17)+(IF(AI140="",0,AI140)*Assumptions!$F$18)+(IF(AJ140="",0,AJ140)*Assumptions!$F$19),3)</f>
        <v>3.65</v>
      </c>
      <c r="AO140" s="0" t="str">
        <f aca="false">IF(AC140&lt;=20,"",IF(AC140&lt;=Assumptions!$F$6,"20-30",IF(AC140&lt;=Assumptions!$F$7,"30-40",IF(AC140&lt;=Assumptions!$F$8,"40-50",IF(AC140&lt;=Assumptions!$F$9,"50-60",IF(AC140&lt;=Assumptions!$F$10,"60+",""))))))</f>
        <v>40-50</v>
      </c>
      <c r="AP140" s="0" t="str">
        <f aca="false">IFERROR(VLOOKUP(O140,Assumptions!$B$14:$C$26,2,FALSE()),"Other")</f>
        <v>Manager</v>
      </c>
      <c r="AQ140" s="0" t="n">
        <f aca="false">IF(T140="",0,1)</f>
        <v>1</v>
      </c>
      <c r="AR140" s="0" t="n">
        <f aca="false">IF(U140="",0,1)</f>
        <v>0</v>
      </c>
      <c r="AS140" s="8" t="n">
        <f aca="false">IF(AK140="","",IF(MAX($AK$2:$AK$921)=MIN($AK$2:$AK$921),50,ROUND((AK140-MIN($AK$2:$AK$921))/(MAX($AK$2:$AK$921)-MIN($AK$2:$AK$921))*100,2)))</f>
        <v>82.85</v>
      </c>
      <c r="AT140" s="8" t="n">
        <f aca="false">IF(MAX($BC$2:$BC$921)=MIN($BC$2:$BC$921),50,ROUND((BC140-MIN($BC$2:$BC$921))/(MAX($BC$2:$BC$921)-MIN($BC$2:$BC$921))*100,2))</f>
        <v>50</v>
      </c>
      <c r="AU140" s="8" t="n">
        <f aca="false">IF(MAX($BE$2:$BE$921)=MIN($BE$2:$BE$921),50,ROUND((BE140-MIN($BE$2:$BE$921))/(MAX($BE$2:$BE$921)-MIN($BE$2:$BE$921))*100,2))</f>
        <v>68.36</v>
      </c>
      <c r="AV140" s="8" t="n">
        <f aca="false">IF(MAX($AD$2:$AD$921)=MIN($AD$2:$AD$921),50,ROUND((AD140-MIN($AD$2:$AD$921))/(MAX($AD$2:$AD$921)-MIN($AD$2:$AD$921))*100,2))</f>
        <v>59.8</v>
      </c>
      <c r="AW140" s="8" t="n">
        <f aca="false">IF(MAX($AN$2:$AN$921)=MIN($AN$2:$AN$921),50,ROUND((AN140-MIN($AN$2:$AN$921))/(MAX($AN$2:$AN$921)-MIN($AN$2:$AN$921))*100,2))</f>
        <v>91.25</v>
      </c>
      <c r="AX140" s="8" t="n">
        <f aca="false">AQ140*100</f>
        <v>100</v>
      </c>
      <c r="AY140" s="8" t="n">
        <f aca="false">AR140*100</f>
        <v>0</v>
      </c>
      <c r="AZ140" s="8" t="n">
        <f aca="false">IFERROR(ROUND(AS140*Assumptions!$I$6+AW140*Assumptions!$I$7+AT140*Assumptions!$I$8+AU140*Assumptions!$I$9+AV140*Assumptions!$I$10+AX140*Assumptions!$I$11+AY140*Assumptions!$I$12,2),"")</f>
        <v>71.84</v>
      </c>
      <c r="BA140" s="0" t="str">
        <f aca="false">IF(AZ140="","",IF(AZ140&lt;=Assumptions!$I$18,"Below Expectation",IF(AZ140&lt;=Assumptions!$I$19,"Developing",IF(AZ140&lt;=Assumptions!$I$20,"Meets Expectation",IF(AZ140&lt;=Assumptions!$I$21,"Exceeds","Star Performer")))))</f>
        <v>Exceeds</v>
      </c>
      <c r="BB140" s="0" t="n">
        <f aca="false">IF(AZ140="",0,IF(AZ140&gt;=Assumptions!$I$26,1,0))</f>
        <v>1</v>
      </c>
      <c r="BC140" s="9" t="n">
        <f aca="false">IF(AL140="",2,AL140+2)</f>
        <v>2</v>
      </c>
      <c r="BD140" s="10" t="n">
        <f aca="false">IF(AM140="",ROUND(AVERAGE($AM$2:$AM$921),3),AM140)</f>
        <v>0.548</v>
      </c>
      <c r="BE140" s="9" t="n">
        <f aca="false">1-BD140</f>
        <v>0.452</v>
      </c>
    </row>
    <row r="141" customFormat="false" ht="14.25" hidden="true" customHeight="false" outlineLevel="0" collapsed="false">
      <c r="A141" s="4" t="n">
        <v>357</v>
      </c>
      <c r="B141" s="5" t="n">
        <v>37101458</v>
      </c>
      <c r="C141" s="5" t="s">
        <v>85</v>
      </c>
      <c r="D141" s="5" t="s">
        <v>889</v>
      </c>
      <c r="E141" s="5" t="s">
        <v>315</v>
      </c>
      <c r="F141" s="5" t="s">
        <v>199</v>
      </c>
      <c r="G141" s="5" t="s">
        <v>200</v>
      </c>
      <c r="H141" s="5" t="s">
        <v>201</v>
      </c>
      <c r="I141" s="5" t="s">
        <v>63</v>
      </c>
      <c r="J141" s="5" t="s">
        <v>76</v>
      </c>
      <c r="K141" s="5" t="s">
        <v>65</v>
      </c>
      <c r="L141" s="6" t="n">
        <v>39164</v>
      </c>
      <c r="M141" s="5" t="s">
        <v>890</v>
      </c>
      <c r="N141" s="6" t="n">
        <v>28257</v>
      </c>
      <c r="O141" s="5" t="s">
        <v>162</v>
      </c>
      <c r="P141" s="5" t="s">
        <v>162</v>
      </c>
      <c r="Q141" s="5" t="s">
        <v>792</v>
      </c>
      <c r="R141" s="5" t="s">
        <v>425</v>
      </c>
      <c r="S141" s="5" t="s">
        <v>102</v>
      </c>
      <c r="T141" s="6" t="n">
        <v>40269</v>
      </c>
      <c r="U141" s="6" t="n">
        <v>46113</v>
      </c>
      <c r="V141" s="5" t="s">
        <v>83</v>
      </c>
      <c r="W141" s="5" t="s">
        <v>141</v>
      </c>
      <c r="X141" s="5" t="s">
        <v>83</v>
      </c>
      <c r="Y141" s="5" t="s">
        <v>83</v>
      </c>
      <c r="Z141" s="5" t="s">
        <v>141</v>
      </c>
      <c r="AA141" s="5" t="s">
        <v>891</v>
      </c>
      <c r="AB141" s="0" t="n">
        <f aca="false">IFERROR(VALUE(R141),0)</f>
        <v>9.5</v>
      </c>
      <c r="AC141" s="0" t="n">
        <f aca="false">IFERROR(VALUE(M141),"")</f>
        <v>49</v>
      </c>
      <c r="AD141" s="0" t="n">
        <f aca="false">IFERROR(VALUE(Q141),"")</f>
        <v>19.2</v>
      </c>
      <c r="AE141" s="0" t="n">
        <f aca="false">IFERROR(VALUE(S141),"")</f>
        <v>28.7</v>
      </c>
      <c r="AF141" s="0" t="n">
        <f aca="false">IF(V141="","",VLOOKUP(V141,Assumptions!$B$6:$C$9,2,FALSE()))</f>
        <v>4</v>
      </c>
      <c r="AG141" s="0" t="n">
        <f aca="false">IF(W141="","",VLOOKUP(W141,Assumptions!$B$6:$C$9,2,FALSE()))</f>
        <v>3</v>
      </c>
      <c r="AH141" s="0" t="n">
        <f aca="false">IF(X141="","",VLOOKUP(X141,Assumptions!$B$6:$C$9,2,FALSE()))</f>
        <v>4</v>
      </c>
      <c r="AI141" s="0" t="n">
        <f aca="false">IF(Y141="","",VLOOKUP(Y141,Assumptions!$B$6:$C$9,2,FALSE()))</f>
        <v>4</v>
      </c>
      <c r="AJ141" s="0" t="n">
        <f aca="false">IF(Z141="","",VLOOKUP(Z141,Assumptions!$B$6:$C$9,2,FALSE()))</f>
        <v>3</v>
      </c>
      <c r="AK141" s="7" t="n">
        <f aca="false">IFERROR(ROUND(AVERAGE(AF141:AJ141),3),"")</f>
        <v>3.6</v>
      </c>
      <c r="AL141" s="7" t="n">
        <f aca="false">IF(OR(AF141="",AJ141=""),"",AJ141-AF141)</f>
        <v>-1</v>
      </c>
      <c r="AM141" s="7" t="n">
        <f aca="false">IF(COUNT(AF141:AJ141)&gt;=2,ROUND(_xlfn.STDEV.S(AF141:AJ141),3),"")</f>
        <v>0.548</v>
      </c>
      <c r="AN141" s="7" t="n">
        <f aca="false">ROUND((IF(AF141="",0,AF141)*Assumptions!$F$15)+(IF(AG141="",0,AG141)*Assumptions!$F$16)+(IF(AH141="",0,AH141)*Assumptions!$F$17)+(IF(AI141="",0,AI141)*Assumptions!$F$18)+(IF(AJ141="",0,AJ141)*Assumptions!$F$19),3)</f>
        <v>3.55</v>
      </c>
      <c r="AO141" s="0" t="str">
        <f aca="false">IF(AC141&lt;=20,"",IF(AC141&lt;=Assumptions!$F$6,"20-30",IF(AC141&lt;=Assumptions!$F$7,"30-40",IF(AC141&lt;=Assumptions!$F$8,"40-50",IF(AC141&lt;=Assumptions!$F$9,"50-60",IF(AC141&lt;=Assumptions!$F$10,"60+",""))))))</f>
        <v>40-50</v>
      </c>
      <c r="AP141" s="0" t="str">
        <f aca="false">IFERROR(VLOOKUP(O141,Assumptions!$B$14:$C$26,2,FALSE()),"Other")</f>
        <v>Manager</v>
      </c>
      <c r="AQ141" s="0" t="n">
        <f aca="false">IF(T141="",0,1)</f>
        <v>1</v>
      </c>
      <c r="AR141" s="0" t="n">
        <f aca="false">IF(U141="",0,1)</f>
        <v>1</v>
      </c>
      <c r="AS141" s="8" t="n">
        <f aca="false">IF(AK141="","",IF(MAX($AK$2:$AK$921)=MIN($AK$2:$AK$921),50,ROUND((AK141-MIN($AK$2:$AK$921))/(MAX($AK$2:$AK$921)-MIN($AK$2:$AK$921))*100,2)))</f>
        <v>82.85</v>
      </c>
      <c r="AT141" s="8" t="n">
        <f aca="false">IF(MAX($BC$2:$BC$921)=MIN($BC$2:$BC$921),50,ROUND((BC141-MIN($BC$2:$BC$921))/(MAX($BC$2:$BC$921)-MIN($BC$2:$BC$921))*100,2))</f>
        <v>25</v>
      </c>
      <c r="AU141" s="8" t="n">
        <f aca="false">IF(MAX($BE$2:$BE$921)=MIN($BE$2:$BE$921),50,ROUND((BE141-MIN($BE$2:$BE$921))/(MAX($BE$2:$BE$921)-MIN($BE$2:$BE$921))*100,2))</f>
        <v>68.36</v>
      </c>
      <c r="AV141" s="8" t="n">
        <f aca="false">IF(MAX($AD$2:$AD$921)=MIN($AD$2:$AD$921),50,ROUND((AD141-MIN($AD$2:$AD$921))/(MAX($AD$2:$AD$921)-MIN($AD$2:$AD$921))*100,2))</f>
        <v>51.89</v>
      </c>
      <c r="AW141" s="8" t="n">
        <f aca="false">IF(MAX($AN$2:$AN$921)=MIN($AN$2:$AN$921),50,ROUND((AN141-MIN($AN$2:$AN$921))/(MAX($AN$2:$AN$921)-MIN($AN$2:$AN$921))*100,2))</f>
        <v>88.75</v>
      </c>
      <c r="AX141" s="8" t="n">
        <f aca="false">AQ141*100</f>
        <v>100</v>
      </c>
      <c r="AY141" s="8" t="n">
        <f aca="false">AR141*100</f>
        <v>100</v>
      </c>
      <c r="AZ141" s="8" t="n">
        <f aca="false">IFERROR(ROUND(AS141*Assumptions!$I$6+AW141*Assumptions!$I$7+AT141*Assumptions!$I$8+AU141*Assumptions!$I$9+AV141*Assumptions!$I$10+AX141*Assumptions!$I$11+AY141*Assumptions!$I$12,2),"")</f>
        <v>71.8</v>
      </c>
      <c r="BA141" s="0" t="str">
        <f aca="false">IF(AZ141="","",IF(AZ141&lt;=Assumptions!$I$18,"Below Expectation",IF(AZ141&lt;=Assumptions!$I$19,"Developing",IF(AZ141&lt;=Assumptions!$I$20,"Meets Expectation",IF(AZ141&lt;=Assumptions!$I$21,"Exceeds","Star Performer")))))</f>
        <v>Exceeds</v>
      </c>
      <c r="BB141" s="0" t="n">
        <f aca="false">IF(AZ141="",0,IF(AZ141&gt;=Assumptions!$I$26,1,0))</f>
        <v>1</v>
      </c>
      <c r="BC141" s="9" t="n">
        <f aca="false">IF(AL141="",2,AL141+2)</f>
        <v>1</v>
      </c>
      <c r="BD141" s="10" t="n">
        <f aca="false">IF(AM141="",ROUND(AVERAGE($AM$2:$AM$921),3),AM141)</f>
        <v>0.548</v>
      </c>
      <c r="BE141" s="9" t="n">
        <f aca="false">1-BD141</f>
        <v>0.452</v>
      </c>
    </row>
    <row r="142" customFormat="false" ht="14.25" hidden="true" customHeight="false" outlineLevel="0" collapsed="false">
      <c r="A142" s="4" t="n">
        <v>233</v>
      </c>
      <c r="B142" s="5" t="n">
        <v>10059455</v>
      </c>
      <c r="C142" s="5" t="s">
        <v>85</v>
      </c>
      <c r="D142" s="5" t="s">
        <v>892</v>
      </c>
      <c r="E142" s="5" t="s">
        <v>594</v>
      </c>
      <c r="F142" s="5" t="s">
        <v>380</v>
      </c>
      <c r="G142" s="5" t="s">
        <v>379</v>
      </c>
      <c r="H142" s="5" t="s">
        <v>380</v>
      </c>
      <c r="I142" s="5" t="s">
        <v>63</v>
      </c>
      <c r="J142" s="5" t="s">
        <v>76</v>
      </c>
      <c r="K142" s="5" t="s">
        <v>65</v>
      </c>
      <c r="L142" s="6" t="n">
        <v>42933</v>
      </c>
      <c r="M142" s="5" t="s">
        <v>610</v>
      </c>
      <c r="N142" s="6" t="n">
        <v>32823</v>
      </c>
      <c r="O142" s="5" t="s">
        <v>332</v>
      </c>
      <c r="P142" s="5" t="s">
        <v>333</v>
      </c>
      <c r="Q142" s="5" t="s">
        <v>181</v>
      </c>
      <c r="R142" s="5" t="s">
        <v>893</v>
      </c>
      <c r="S142" s="5" t="s">
        <v>270</v>
      </c>
      <c r="T142" s="6" t="n">
        <v>43709</v>
      </c>
      <c r="U142" s="6"/>
      <c r="V142" s="5" t="s">
        <v>141</v>
      </c>
      <c r="W142" s="5" t="s">
        <v>83</v>
      </c>
      <c r="X142" s="5" t="s">
        <v>83</v>
      </c>
      <c r="Y142" s="5" t="s">
        <v>141</v>
      </c>
      <c r="Z142" s="5" t="s">
        <v>83</v>
      </c>
      <c r="AA142" s="5" t="s">
        <v>894</v>
      </c>
      <c r="AB142" s="0" t="n">
        <f aca="false">IFERROR(VALUE(R142),0)</f>
        <v>5.3</v>
      </c>
      <c r="AC142" s="0" t="n">
        <f aca="false">IFERROR(VALUE(M142),"")</f>
        <v>36.6</v>
      </c>
      <c r="AD142" s="0" t="n">
        <f aca="false">IFERROR(VALUE(Q142),"")</f>
        <v>8.1</v>
      </c>
      <c r="AE142" s="0" t="n">
        <f aca="false">IFERROR(VALUE(S142),"")</f>
        <v>14.1</v>
      </c>
      <c r="AF142" s="0" t="n">
        <f aca="false">IF(V142="","",VLOOKUP(V142,Assumptions!$B$6:$C$9,2,FALSE()))</f>
        <v>3</v>
      </c>
      <c r="AG142" s="0" t="n">
        <f aca="false">IF(W142="","",VLOOKUP(W142,Assumptions!$B$6:$C$9,2,FALSE()))</f>
        <v>4</v>
      </c>
      <c r="AH142" s="0" t="n">
        <f aca="false">IF(X142="","",VLOOKUP(X142,Assumptions!$B$6:$C$9,2,FALSE()))</f>
        <v>4</v>
      </c>
      <c r="AI142" s="0" t="n">
        <f aca="false">IF(Y142="","",VLOOKUP(Y142,Assumptions!$B$6:$C$9,2,FALSE()))</f>
        <v>3</v>
      </c>
      <c r="AJ142" s="0" t="n">
        <f aca="false">IF(Z142="","",VLOOKUP(Z142,Assumptions!$B$6:$C$9,2,FALSE()))</f>
        <v>4</v>
      </c>
      <c r="AK142" s="7" t="n">
        <f aca="false">IFERROR(ROUND(AVERAGE(AF142:AJ142),3),"")</f>
        <v>3.6</v>
      </c>
      <c r="AL142" s="7" t="n">
        <f aca="false">IF(OR(AF142="",AJ142=""),"",AJ142-AF142)</f>
        <v>1</v>
      </c>
      <c r="AM142" s="7" t="n">
        <f aca="false">IF(COUNT(AF142:AJ142)&gt;=2,ROUND(_xlfn.STDEV.S(AF142:AJ142),3),"")</f>
        <v>0.548</v>
      </c>
      <c r="AN142" s="7" t="n">
        <f aca="false">ROUND((IF(AF142="",0,AF142)*Assumptions!$F$15)+(IF(AG142="",0,AG142)*Assumptions!$F$16)+(IF(AH142="",0,AH142)*Assumptions!$F$17)+(IF(AI142="",0,AI142)*Assumptions!$F$18)+(IF(AJ142="",0,AJ142)*Assumptions!$F$19),3)</f>
        <v>3.65</v>
      </c>
      <c r="AO142" s="0" t="str">
        <f aca="false">IF(AC142&lt;=20,"",IF(AC142&lt;=Assumptions!$F$6,"20-30",IF(AC142&lt;=Assumptions!$F$7,"30-40",IF(AC142&lt;=Assumptions!$F$8,"40-50",IF(AC142&lt;=Assumptions!$F$9,"50-60",IF(AC142&lt;=Assumptions!$F$10,"60+",""))))))</f>
        <v>30-40</v>
      </c>
      <c r="AP142" s="0" t="str">
        <f aca="false">IFERROR(VLOOKUP(O142,Assumptions!$B$14:$C$26,2,FALSE()),"Other")</f>
        <v>Manager</v>
      </c>
      <c r="AQ142" s="0" t="n">
        <f aca="false">IF(T142="",0,1)</f>
        <v>1</v>
      </c>
      <c r="AR142" s="0" t="n">
        <f aca="false">IF(U142="",0,1)</f>
        <v>0</v>
      </c>
      <c r="AS142" s="8" t="n">
        <f aca="false">IF(AK142="","",IF(MAX($AK$2:$AK$921)=MIN($AK$2:$AK$921),50,ROUND((AK142-MIN($AK$2:$AK$921))/(MAX($AK$2:$AK$921)-MIN($AK$2:$AK$921))*100,2)))</f>
        <v>82.85</v>
      </c>
      <c r="AT142" s="8" t="n">
        <f aca="false">IF(MAX($BC$2:$BC$921)=MIN($BC$2:$BC$921),50,ROUND((BC142-MIN($BC$2:$BC$921))/(MAX($BC$2:$BC$921)-MIN($BC$2:$BC$921))*100,2))</f>
        <v>75</v>
      </c>
      <c r="AU142" s="8" t="n">
        <f aca="false">IF(MAX($BE$2:$BE$921)=MIN($BE$2:$BE$921),50,ROUND((BE142-MIN($BE$2:$BE$921))/(MAX($BE$2:$BE$921)-MIN($BE$2:$BE$921))*100,2))</f>
        <v>68.36</v>
      </c>
      <c r="AV142" s="8" t="n">
        <f aca="false">IF(MAX($AD$2:$AD$921)=MIN($AD$2:$AD$921),50,ROUND((AD142-MIN($AD$2:$AD$921))/(MAX($AD$2:$AD$921)-MIN($AD$2:$AD$921))*100,2))</f>
        <v>21.72</v>
      </c>
      <c r="AW142" s="8" t="n">
        <f aca="false">IF(MAX($AN$2:$AN$921)=MIN($AN$2:$AN$921),50,ROUND((AN142-MIN($AN$2:$AN$921))/(MAX($AN$2:$AN$921)-MIN($AN$2:$AN$921))*100,2))</f>
        <v>91.25</v>
      </c>
      <c r="AX142" s="8" t="n">
        <f aca="false">AQ142*100</f>
        <v>100</v>
      </c>
      <c r="AY142" s="8" t="n">
        <f aca="false">AR142*100</f>
        <v>0</v>
      </c>
      <c r="AZ142" s="8" t="n">
        <f aca="false">IFERROR(ROUND(AS142*Assumptions!$I$6+AW142*Assumptions!$I$7+AT142*Assumptions!$I$8+AU142*Assumptions!$I$9+AV142*Assumptions!$I$10+AX142*Assumptions!$I$11+AY142*Assumptions!$I$12,2),"")</f>
        <v>71.78</v>
      </c>
      <c r="BA142" s="0" t="str">
        <f aca="false">IF(AZ142="","",IF(AZ142&lt;=Assumptions!$I$18,"Below Expectation",IF(AZ142&lt;=Assumptions!$I$19,"Developing",IF(AZ142&lt;=Assumptions!$I$20,"Meets Expectation",IF(AZ142&lt;=Assumptions!$I$21,"Exceeds","Star Performer")))))</f>
        <v>Exceeds</v>
      </c>
      <c r="BB142" s="0" t="n">
        <f aca="false">IF(AZ142="",0,IF(AZ142&gt;=Assumptions!$I$26,1,0))</f>
        <v>1</v>
      </c>
      <c r="BC142" s="9" t="n">
        <f aca="false">IF(AL142="",2,AL142+2)</f>
        <v>3</v>
      </c>
      <c r="BD142" s="10" t="n">
        <f aca="false">IF(AM142="",ROUND(AVERAGE($AM$2:$AM$921),3),AM142)</f>
        <v>0.548</v>
      </c>
      <c r="BE142" s="9" t="n">
        <f aca="false">1-BD142</f>
        <v>0.452</v>
      </c>
    </row>
    <row r="143" customFormat="false" ht="14.25" hidden="false" customHeight="false" outlineLevel="0" collapsed="false">
      <c r="A143" s="4" t="n">
        <v>283</v>
      </c>
      <c r="B143" s="5" t="n">
        <v>10068835</v>
      </c>
      <c r="C143" s="5" t="s">
        <v>106</v>
      </c>
      <c r="D143" s="5" t="s">
        <v>895</v>
      </c>
      <c r="E143" s="5" t="s">
        <v>108</v>
      </c>
      <c r="F143" s="5" t="s">
        <v>483</v>
      </c>
      <c r="G143" s="5" t="s">
        <v>484</v>
      </c>
      <c r="H143" s="5" t="s">
        <v>483</v>
      </c>
      <c r="I143" s="5" t="s">
        <v>63</v>
      </c>
      <c r="J143" s="5" t="s">
        <v>112</v>
      </c>
      <c r="K143" s="5" t="s">
        <v>65</v>
      </c>
      <c r="L143" s="6" t="n">
        <v>43661</v>
      </c>
      <c r="M143" s="5" t="s">
        <v>896</v>
      </c>
      <c r="N143" s="6" t="n">
        <v>34826</v>
      </c>
      <c r="O143" s="5" t="s">
        <v>332</v>
      </c>
      <c r="P143" s="5" t="s">
        <v>333</v>
      </c>
      <c r="Q143" s="5" t="s">
        <v>604</v>
      </c>
      <c r="R143" s="5" t="s">
        <v>115</v>
      </c>
      <c r="S143" s="5" t="s">
        <v>604</v>
      </c>
      <c r="T143" s="6"/>
      <c r="U143" s="6" t="n">
        <v>45992</v>
      </c>
      <c r="V143" s="5" t="s">
        <v>141</v>
      </c>
      <c r="W143" s="5" t="s">
        <v>141</v>
      </c>
      <c r="X143" s="5" t="s">
        <v>83</v>
      </c>
      <c r="Y143" s="5" t="s">
        <v>83</v>
      </c>
      <c r="Z143" s="5" t="s">
        <v>83</v>
      </c>
      <c r="AA143" s="5" t="s">
        <v>897</v>
      </c>
      <c r="AB143" s="0" t="n">
        <f aca="false">IFERROR(VALUE(R143),0)</f>
        <v>0</v>
      </c>
      <c r="AC143" s="0" t="n">
        <f aca="false">IFERROR(VALUE(M143),"")</f>
        <v>31.1</v>
      </c>
      <c r="AD143" s="0" t="n">
        <f aca="false">IFERROR(VALUE(Q143),"")</f>
        <v>6.1</v>
      </c>
      <c r="AE143" s="0" t="n">
        <f aca="false">IFERROR(VALUE(S143),"")</f>
        <v>6.1</v>
      </c>
      <c r="AF143" s="0" t="n">
        <f aca="false">IF(V143="","",VLOOKUP(V143,Assumptions!$B$6:$C$9,2,FALSE()))</f>
        <v>3</v>
      </c>
      <c r="AG143" s="0" t="n">
        <f aca="false">IF(W143="","",VLOOKUP(W143,Assumptions!$B$6:$C$9,2,FALSE()))</f>
        <v>3</v>
      </c>
      <c r="AH143" s="0" t="n">
        <f aca="false">IF(X143="","",VLOOKUP(X143,Assumptions!$B$6:$C$9,2,FALSE()))</f>
        <v>4</v>
      </c>
      <c r="AI143" s="0" t="n">
        <f aca="false">IF(Y143="","",VLOOKUP(Y143,Assumptions!$B$6:$C$9,2,FALSE()))</f>
        <v>4</v>
      </c>
      <c r="AJ143" s="0" t="n">
        <f aca="false">IF(Z143="","",VLOOKUP(Z143,Assumptions!$B$6:$C$9,2,FALSE()))</f>
        <v>4</v>
      </c>
      <c r="AK143" s="7" t="n">
        <f aca="false">IFERROR(ROUND(AVERAGE(AF143:AJ143),3),"")</f>
        <v>3.6</v>
      </c>
      <c r="AL143" s="7" t="n">
        <f aca="false">IF(OR(AF143="",AJ143=""),"",AJ143-AF143)</f>
        <v>1</v>
      </c>
      <c r="AM143" s="7" t="n">
        <f aca="false">IF(COUNT(AF143:AJ143)&gt;=2,ROUND(_xlfn.STDEV.S(AF143:AJ143),3),"")</f>
        <v>0.548</v>
      </c>
      <c r="AN143" s="7" t="n">
        <f aca="false">ROUND((IF(AF143="",0,AF143)*Assumptions!$F$15)+(IF(AG143="",0,AG143)*Assumptions!$F$16)+(IF(AH143="",0,AH143)*Assumptions!$F$17)+(IF(AI143="",0,AI143)*Assumptions!$F$18)+(IF(AJ143="",0,AJ143)*Assumptions!$F$19),3)</f>
        <v>3.75</v>
      </c>
      <c r="AO143" s="0" t="str">
        <f aca="false">IF(AC143&lt;=20,"",IF(AC143&lt;=Assumptions!$F$6,"20-30",IF(AC143&lt;=Assumptions!$F$7,"30-40",IF(AC143&lt;=Assumptions!$F$8,"40-50",IF(AC143&lt;=Assumptions!$F$9,"50-60",IF(AC143&lt;=Assumptions!$F$10,"60+",""))))))</f>
        <v>30-40</v>
      </c>
      <c r="AP143" s="0" t="str">
        <f aca="false">IFERROR(VLOOKUP(O143,Assumptions!$B$14:$C$26,2,FALSE()),"Other")</f>
        <v>Manager</v>
      </c>
      <c r="AQ143" s="0" t="n">
        <f aca="false">IF(T143="",0,1)</f>
        <v>0</v>
      </c>
      <c r="AR143" s="0" t="n">
        <f aca="false">IF(U143="",0,1)</f>
        <v>1</v>
      </c>
      <c r="AS143" s="8" t="n">
        <f aca="false">IF(AK143="","",IF(MAX($AK$2:$AK$921)=MIN($AK$2:$AK$921),50,ROUND((AK143-MIN($AK$2:$AK$921))/(MAX($AK$2:$AK$921)-MIN($AK$2:$AK$921))*100,2)))</f>
        <v>82.85</v>
      </c>
      <c r="AT143" s="8" t="n">
        <f aca="false">IF(MAX($BC$2:$BC$921)=MIN($BC$2:$BC$921),50,ROUND((BC143-MIN($BC$2:$BC$921))/(MAX($BC$2:$BC$921)-MIN($BC$2:$BC$921))*100,2))</f>
        <v>75</v>
      </c>
      <c r="AU143" s="8" t="n">
        <f aca="false">IF(MAX($BE$2:$BE$921)=MIN($BE$2:$BE$921),50,ROUND((BE143-MIN($BE$2:$BE$921))/(MAX($BE$2:$BE$921)-MIN($BE$2:$BE$921))*100,2))</f>
        <v>68.36</v>
      </c>
      <c r="AV143" s="8" t="n">
        <f aca="false">IF(MAX($AD$2:$AD$921)=MIN($AD$2:$AD$921),50,ROUND((AD143-MIN($AD$2:$AD$921))/(MAX($AD$2:$AD$921)-MIN($AD$2:$AD$921))*100,2))</f>
        <v>16.28</v>
      </c>
      <c r="AW143" s="8" t="n">
        <f aca="false">IF(MAX($AN$2:$AN$921)=MIN($AN$2:$AN$921),50,ROUND((AN143-MIN($AN$2:$AN$921))/(MAX($AN$2:$AN$921)-MIN($AN$2:$AN$921))*100,2))</f>
        <v>93.75</v>
      </c>
      <c r="AX143" s="8" t="n">
        <f aca="false">AQ143*100</f>
        <v>0</v>
      </c>
      <c r="AY143" s="8" t="n">
        <f aca="false">AR143*100</f>
        <v>100</v>
      </c>
      <c r="AZ143" s="8" t="n">
        <f aca="false">IFERROR(ROUND(AS143*Assumptions!$I$6+AW143*Assumptions!$I$7+AT143*Assumptions!$I$8+AU143*Assumptions!$I$9+AV143*Assumptions!$I$10+AX143*Assumptions!$I$11+AY143*Assumptions!$I$12,2),"")</f>
        <v>71.74</v>
      </c>
      <c r="BA143" s="0" t="str">
        <f aca="false">IF(AZ143="","",IF(AZ143&lt;=Assumptions!$I$18,"Below Expectation",IF(AZ143&lt;=Assumptions!$I$19,"Developing",IF(AZ143&lt;=Assumptions!$I$20,"Meets Expectation",IF(AZ143&lt;=Assumptions!$I$21,"Exceeds","Star Performer")))))</f>
        <v>Exceeds</v>
      </c>
      <c r="BB143" s="0" t="n">
        <f aca="false">IF(AZ143="",0,IF(AZ143&gt;=Assumptions!$I$26,1,0))</f>
        <v>1</v>
      </c>
      <c r="BC143" s="9" t="n">
        <f aca="false">IF(AL143="",2,AL143+2)</f>
        <v>3</v>
      </c>
      <c r="BD143" s="10" t="n">
        <f aca="false">IF(AM143="",ROUND(AVERAGE($AM$2:$AM$921),3),AM143)</f>
        <v>0.548</v>
      </c>
      <c r="BE143" s="9" t="n">
        <f aca="false">1-BD143</f>
        <v>0.452</v>
      </c>
    </row>
    <row r="144" customFormat="false" ht="14.25" hidden="true" customHeight="false" outlineLevel="0" collapsed="false">
      <c r="A144" s="4" t="n">
        <v>34</v>
      </c>
      <c r="B144" s="5" t="n">
        <v>2222708</v>
      </c>
      <c r="C144" s="5" t="s">
        <v>85</v>
      </c>
      <c r="D144" s="5" t="s">
        <v>898</v>
      </c>
      <c r="E144" s="5" t="s">
        <v>865</v>
      </c>
      <c r="F144" s="5" t="s">
        <v>62</v>
      </c>
      <c r="G144" s="5" t="s">
        <v>61</v>
      </c>
      <c r="H144" s="5" t="s">
        <v>62</v>
      </c>
      <c r="I144" s="5" t="s">
        <v>63</v>
      </c>
      <c r="J144" s="5" t="s">
        <v>76</v>
      </c>
      <c r="K144" s="5" t="s">
        <v>65</v>
      </c>
      <c r="L144" s="6" t="n">
        <v>36377</v>
      </c>
      <c r="M144" s="5" t="s">
        <v>899</v>
      </c>
      <c r="N144" s="6" t="n">
        <v>28475</v>
      </c>
      <c r="O144" s="5" t="s">
        <v>89</v>
      </c>
      <c r="P144" s="5" t="s">
        <v>90</v>
      </c>
      <c r="Q144" s="5" t="s">
        <v>182</v>
      </c>
      <c r="R144" s="5" t="s">
        <v>115</v>
      </c>
      <c r="S144" s="5" t="s">
        <v>182</v>
      </c>
      <c r="T144" s="6" t="n">
        <v>43024</v>
      </c>
      <c r="U144" s="6" t="n">
        <v>44440</v>
      </c>
      <c r="V144" s="5" t="s">
        <v>141</v>
      </c>
      <c r="W144" s="5" t="s">
        <v>141</v>
      </c>
      <c r="X144" s="5" t="s">
        <v>141</v>
      </c>
      <c r="Y144" s="5" t="s">
        <v>83</v>
      </c>
      <c r="Z144" s="5" t="s">
        <v>141</v>
      </c>
      <c r="AA144" s="5" t="s">
        <v>900</v>
      </c>
      <c r="AB144" s="0" t="n">
        <f aca="false">IFERROR(VALUE(R144),0)</f>
        <v>0</v>
      </c>
      <c r="AC144" s="0" t="n">
        <f aca="false">IFERROR(VALUE(M144),"")</f>
        <v>48.5</v>
      </c>
      <c r="AD144" s="0" t="n">
        <f aca="false">IFERROR(VALUE(Q144),"")</f>
        <v>26.1</v>
      </c>
      <c r="AE144" s="0" t="n">
        <f aca="false">IFERROR(VALUE(S144),"")</f>
        <v>26.1</v>
      </c>
      <c r="AF144" s="0" t="n">
        <f aca="false">IF(V144="","",VLOOKUP(V144,Assumptions!$B$6:$C$9,2,FALSE()))</f>
        <v>3</v>
      </c>
      <c r="AG144" s="0" t="n">
        <f aca="false">IF(W144="","",VLOOKUP(W144,Assumptions!$B$6:$C$9,2,FALSE()))</f>
        <v>3</v>
      </c>
      <c r="AH144" s="0" t="n">
        <f aca="false">IF(X144="","",VLOOKUP(X144,Assumptions!$B$6:$C$9,2,FALSE()))</f>
        <v>3</v>
      </c>
      <c r="AI144" s="0" t="n">
        <f aca="false">IF(Y144="","",VLOOKUP(Y144,Assumptions!$B$6:$C$9,2,FALSE()))</f>
        <v>4</v>
      </c>
      <c r="AJ144" s="0" t="n">
        <f aca="false">IF(Z144="","",VLOOKUP(Z144,Assumptions!$B$6:$C$9,2,FALSE()))</f>
        <v>3</v>
      </c>
      <c r="AK144" s="7" t="n">
        <f aca="false">IFERROR(ROUND(AVERAGE(AF144:AJ144),3),"")</f>
        <v>3.2</v>
      </c>
      <c r="AL144" s="7" t="n">
        <f aca="false">IF(OR(AF144="",AJ144=""),"",AJ144-AF144)</f>
        <v>0</v>
      </c>
      <c r="AM144" s="7" t="n">
        <f aca="false">IF(COUNT(AF144:AJ144)&gt;=2,ROUND(_xlfn.STDEV.S(AF144:AJ144),3),"")</f>
        <v>0.447</v>
      </c>
      <c r="AN144" s="7" t="n">
        <f aca="false">ROUND((IF(AF144="",0,AF144)*Assumptions!$F$15)+(IF(AG144="",0,AG144)*Assumptions!$F$16)+(IF(AH144="",0,AH144)*Assumptions!$F$17)+(IF(AI144="",0,AI144)*Assumptions!$F$18)+(IF(AJ144="",0,AJ144)*Assumptions!$F$19),3)</f>
        <v>3.25</v>
      </c>
      <c r="AO144" s="0" t="str">
        <f aca="false">IF(AC144&lt;=20,"",IF(AC144&lt;=Assumptions!$F$6,"20-30",IF(AC144&lt;=Assumptions!$F$7,"30-40",IF(AC144&lt;=Assumptions!$F$8,"40-50",IF(AC144&lt;=Assumptions!$F$9,"50-60",IF(AC144&lt;=Assumptions!$F$10,"60+",""))))))</f>
        <v>40-50</v>
      </c>
      <c r="AP144" s="0" t="str">
        <f aca="false">IFERROR(VLOOKUP(O144,Assumptions!$B$14:$C$26,2,FALSE()),"Other")</f>
        <v>Leadership</v>
      </c>
      <c r="AQ144" s="0" t="n">
        <f aca="false">IF(T144="",0,1)</f>
        <v>1</v>
      </c>
      <c r="AR144" s="0" t="n">
        <f aca="false">IF(U144="",0,1)</f>
        <v>1</v>
      </c>
      <c r="AS144" s="8" t="n">
        <f aca="false">IF(AK144="","",IF(MAX($AK$2:$AK$921)=MIN($AK$2:$AK$921),50,ROUND((AK144-MIN($AK$2:$AK$921))/(MAX($AK$2:$AK$921)-MIN($AK$2:$AK$921))*100,2)))</f>
        <v>65.71</v>
      </c>
      <c r="AT144" s="8" t="n">
        <f aca="false">IF(MAX($BC$2:$BC$921)=MIN($BC$2:$BC$921),50,ROUND((BC144-MIN($BC$2:$BC$921))/(MAX($BC$2:$BC$921)-MIN($BC$2:$BC$921))*100,2))</f>
        <v>50</v>
      </c>
      <c r="AU144" s="8" t="n">
        <f aca="false">IF(MAX($BE$2:$BE$921)=MIN($BE$2:$BE$921),50,ROUND((BE144-MIN($BE$2:$BE$921))/(MAX($BE$2:$BE$921)-MIN($BE$2:$BE$921))*100,2))</f>
        <v>74.19</v>
      </c>
      <c r="AV144" s="8" t="n">
        <f aca="false">IF(MAX($AD$2:$AD$921)=MIN($AD$2:$AD$921),50,ROUND((AD144-MIN($AD$2:$AD$921))/(MAX($AD$2:$AD$921)-MIN($AD$2:$AD$921))*100,2))</f>
        <v>70.64</v>
      </c>
      <c r="AW144" s="8" t="n">
        <f aca="false">IF(MAX($AN$2:$AN$921)=MIN($AN$2:$AN$921),50,ROUND((AN144-MIN($AN$2:$AN$921))/(MAX($AN$2:$AN$921)-MIN($AN$2:$AN$921))*100,2))</f>
        <v>81.25</v>
      </c>
      <c r="AX144" s="8" t="n">
        <f aca="false">AQ144*100</f>
        <v>100</v>
      </c>
      <c r="AY144" s="8" t="n">
        <f aca="false">AR144*100</f>
        <v>100</v>
      </c>
      <c r="AZ144" s="8" t="n">
        <f aca="false">IFERROR(ROUND(AS144*Assumptions!$I$6+AW144*Assumptions!$I$7+AT144*Assumptions!$I$8+AU144*Assumptions!$I$9+AV144*Assumptions!$I$10+AX144*Assumptions!$I$11+AY144*Assumptions!$I$12,2),"")</f>
        <v>71.66</v>
      </c>
      <c r="BA144" s="0" t="str">
        <f aca="false">IF(AZ144="","",IF(AZ144&lt;=Assumptions!$I$18,"Below Expectation",IF(AZ144&lt;=Assumptions!$I$19,"Developing",IF(AZ144&lt;=Assumptions!$I$20,"Meets Expectation",IF(AZ144&lt;=Assumptions!$I$21,"Exceeds","Star Performer")))))</f>
        <v>Exceeds</v>
      </c>
      <c r="BB144" s="0" t="n">
        <f aca="false">IF(AZ144="",0,IF(AZ144&gt;=Assumptions!$I$26,1,0))</f>
        <v>1</v>
      </c>
      <c r="BC144" s="9" t="n">
        <f aca="false">IF(AL144="",2,AL144+2)</f>
        <v>2</v>
      </c>
      <c r="BD144" s="10" t="n">
        <f aca="false">IF(AM144="",ROUND(AVERAGE($AM$2:$AM$921),3),AM144)</f>
        <v>0.447</v>
      </c>
      <c r="BE144" s="9" t="n">
        <f aca="false">1-BD144</f>
        <v>0.553</v>
      </c>
    </row>
    <row r="145" customFormat="false" ht="14.25" hidden="true" customHeight="false" outlineLevel="0" collapsed="false">
      <c r="A145" s="4" t="n">
        <v>297</v>
      </c>
      <c r="B145" s="5" t="n">
        <v>10070768</v>
      </c>
      <c r="C145" s="5" t="s">
        <v>106</v>
      </c>
      <c r="D145" s="5" t="s">
        <v>901</v>
      </c>
      <c r="E145" s="5" t="s">
        <v>305</v>
      </c>
      <c r="F145" s="5" t="s">
        <v>407</v>
      </c>
      <c r="G145" s="5" t="s">
        <v>408</v>
      </c>
      <c r="H145" s="5" t="s">
        <v>409</v>
      </c>
      <c r="I145" s="5" t="s">
        <v>63</v>
      </c>
      <c r="J145" s="5" t="s">
        <v>112</v>
      </c>
      <c r="K145" s="5" t="s">
        <v>65</v>
      </c>
      <c r="L145" s="6" t="n">
        <v>43768</v>
      </c>
      <c r="M145" s="5" t="s">
        <v>902</v>
      </c>
      <c r="N145" s="6" t="n">
        <v>29302</v>
      </c>
      <c r="O145" s="5" t="s">
        <v>122</v>
      </c>
      <c r="P145" s="5" t="s">
        <v>398</v>
      </c>
      <c r="Q145" s="5" t="s">
        <v>903</v>
      </c>
      <c r="R145" s="5" t="s">
        <v>727</v>
      </c>
      <c r="S145" s="5" t="s">
        <v>904</v>
      </c>
      <c r="T145" s="6"/>
      <c r="U145" s="6" t="n">
        <v>45992</v>
      </c>
      <c r="V145" s="5" t="s">
        <v>141</v>
      </c>
      <c r="W145" s="5" t="s">
        <v>83</v>
      </c>
      <c r="X145" s="5" t="s">
        <v>141</v>
      </c>
      <c r="Y145" s="5" t="s">
        <v>83</v>
      </c>
      <c r="Z145" s="5" t="s">
        <v>83</v>
      </c>
      <c r="AA145" s="5" t="s">
        <v>905</v>
      </c>
      <c r="AB145" s="0" t="n">
        <f aca="false">IFERROR(VALUE(R145),0)</f>
        <v>17.2</v>
      </c>
      <c r="AC145" s="0" t="n">
        <f aca="false">IFERROR(VALUE(M145),"")</f>
        <v>46.2</v>
      </c>
      <c r="AD145" s="0" t="n">
        <f aca="false">IFERROR(VALUE(Q145),"")</f>
        <v>6.7</v>
      </c>
      <c r="AE145" s="0" t="n">
        <f aca="false">IFERROR(VALUE(S145),"")</f>
        <v>23.9</v>
      </c>
      <c r="AF145" s="0" t="n">
        <f aca="false">IF(V145="","",VLOOKUP(V145,Assumptions!$B$6:$C$9,2,FALSE()))</f>
        <v>3</v>
      </c>
      <c r="AG145" s="0" t="n">
        <f aca="false">IF(W145="","",VLOOKUP(W145,Assumptions!$B$6:$C$9,2,FALSE()))</f>
        <v>4</v>
      </c>
      <c r="AH145" s="0" t="n">
        <f aca="false">IF(X145="","",VLOOKUP(X145,Assumptions!$B$6:$C$9,2,FALSE()))</f>
        <v>3</v>
      </c>
      <c r="AI145" s="0" t="n">
        <f aca="false">IF(Y145="","",VLOOKUP(Y145,Assumptions!$B$6:$C$9,2,FALSE()))</f>
        <v>4</v>
      </c>
      <c r="AJ145" s="0" t="n">
        <f aca="false">IF(Z145="","",VLOOKUP(Z145,Assumptions!$B$6:$C$9,2,FALSE()))</f>
        <v>4</v>
      </c>
      <c r="AK145" s="7" t="n">
        <f aca="false">IFERROR(ROUND(AVERAGE(AF145:AJ145),3),"")</f>
        <v>3.6</v>
      </c>
      <c r="AL145" s="7" t="n">
        <f aca="false">IF(OR(AF145="",AJ145=""),"",AJ145-AF145)</f>
        <v>1</v>
      </c>
      <c r="AM145" s="7" t="n">
        <f aca="false">IF(COUNT(AF145:AJ145)&gt;=2,ROUND(_xlfn.STDEV.S(AF145:AJ145),3),"")</f>
        <v>0.548</v>
      </c>
      <c r="AN145" s="7" t="n">
        <f aca="false">ROUND((IF(AF145="",0,AF145)*Assumptions!$F$15)+(IF(AG145="",0,AG145)*Assumptions!$F$16)+(IF(AH145="",0,AH145)*Assumptions!$F$17)+(IF(AI145="",0,AI145)*Assumptions!$F$18)+(IF(AJ145="",0,AJ145)*Assumptions!$F$19),3)</f>
        <v>3.7</v>
      </c>
      <c r="AO145" s="0" t="str">
        <f aca="false">IF(AC145&lt;=20,"",IF(AC145&lt;=Assumptions!$F$6,"20-30",IF(AC145&lt;=Assumptions!$F$7,"30-40",IF(AC145&lt;=Assumptions!$F$8,"40-50",IF(AC145&lt;=Assumptions!$F$9,"50-60",IF(AC145&lt;=Assumptions!$F$10,"60+",""))))))</f>
        <v>40-50</v>
      </c>
      <c r="AP145" s="0" t="str">
        <f aca="false">IFERROR(VLOOKUP(O145,Assumptions!$B$14:$C$26,2,FALSE()),"Other")</f>
        <v>Leadership</v>
      </c>
      <c r="AQ145" s="0" t="n">
        <f aca="false">IF(T145="",0,1)</f>
        <v>0</v>
      </c>
      <c r="AR145" s="0" t="n">
        <f aca="false">IF(U145="",0,1)</f>
        <v>1</v>
      </c>
      <c r="AS145" s="8" t="n">
        <f aca="false">IF(AK145="","",IF(MAX($AK$2:$AK$921)=MIN($AK$2:$AK$921),50,ROUND((AK145-MIN($AK$2:$AK$921))/(MAX($AK$2:$AK$921)-MIN($AK$2:$AK$921))*100,2)))</f>
        <v>82.85</v>
      </c>
      <c r="AT145" s="8" t="n">
        <f aca="false">IF(MAX($BC$2:$BC$921)=MIN($BC$2:$BC$921),50,ROUND((BC145-MIN($BC$2:$BC$921))/(MAX($BC$2:$BC$921)-MIN($BC$2:$BC$921))*100,2))</f>
        <v>75</v>
      </c>
      <c r="AU145" s="8" t="n">
        <f aca="false">IF(MAX($BE$2:$BE$921)=MIN($BE$2:$BE$921),50,ROUND((BE145-MIN($BE$2:$BE$921))/(MAX($BE$2:$BE$921)-MIN($BE$2:$BE$921))*100,2))</f>
        <v>68.36</v>
      </c>
      <c r="AV145" s="8" t="n">
        <f aca="false">IF(MAX($AD$2:$AD$921)=MIN($AD$2:$AD$921),50,ROUND((AD145-MIN($AD$2:$AD$921))/(MAX($AD$2:$AD$921)-MIN($AD$2:$AD$921))*100,2))</f>
        <v>17.91</v>
      </c>
      <c r="AW145" s="8" t="n">
        <f aca="false">IF(MAX($AN$2:$AN$921)=MIN($AN$2:$AN$921),50,ROUND((AN145-MIN($AN$2:$AN$921))/(MAX($AN$2:$AN$921)-MIN($AN$2:$AN$921))*100,2))</f>
        <v>92.5</v>
      </c>
      <c r="AX145" s="8" t="n">
        <f aca="false">AQ145*100</f>
        <v>0</v>
      </c>
      <c r="AY145" s="8" t="n">
        <f aca="false">AR145*100</f>
        <v>100</v>
      </c>
      <c r="AZ145" s="8" t="n">
        <f aca="false">IFERROR(ROUND(AS145*Assumptions!$I$6+AW145*Assumptions!$I$7+AT145*Assumptions!$I$8+AU145*Assumptions!$I$9+AV145*Assumptions!$I$10+AX145*Assumptions!$I$11+AY145*Assumptions!$I$12,2),"")</f>
        <v>71.65</v>
      </c>
      <c r="BA145" s="0" t="str">
        <f aca="false">IF(AZ145="","",IF(AZ145&lt;=Assumptions!$I$18,"Below Expectation",IF(AZ145&lt;=Assumptions!$I$19,"Developing",IF(AZ145&lt;=Assumptions!$I$20,"Meets Expectation",IF(AZ145&lt;=Assumptions!$I$21,"Exceeds","Star Performer")))))</f>
        <v>Exceeds</v>
      </c>
      <c r="BB145" s="0" t="n">
        <f aca="false">IF(AZ145="",0,IF(AZ145&gt;=Assumptions!$I$26,1,0))</f>
        <v>1</v>
      </c>
      <c r="BC145" s="9" t="n">
        <f aca="false">IF(AL145="",2,AL145+2)</f>
        <v>3</v>
      </c>
      <c r="BD145" s="10" t="n">
        <f aca="false">IF(AM145="",ROUND(AVERAGE($AM$2:$AM$921),3),AM145)</f>
        <v>0.548</v>
      </c>
      <c r="BE145" s="9" t="n">
        <f aca="false">1-BD145</f>
        <v>0.452</v>
      </c>
    </row>
    <row r="146" customFormat="false" ht="14.25" hidden="true" customHeight="false" outlineLevel="0" collapsed="false">
      <c r="A146" s="4" t="n">
        <v>85</v>
      </c>
      <c r="B146" s="5" t="n">
        <v>10025597</v>
      </c>
      <c r="C146" s="5" t="s">
        <v>57</v>
      </c>
      <c r="D146" s="5" t="s">
        <v>906</v>
      </c>
      <c r="E146" s="5" t="s">
        <v>514</v>
      </c>
      <c r="F146" s="5" t="s">
        <v>209</v>
      </c>
      <c r="G146" s="5" t="s">
        <v>210</v>
      </c>
      <c r="H146" s="5" t="s">
        <v>209</v>
      </c>
      <c r="I146" s="5" t="s">
        <v>63</v>
      </c>
      <c r="J146" s="5" t="s">
        <v>100</v>
      </c>
      <c r="K146" s="5" t="s">
        <v>65</v>
      </c>
      <c r="L146" s="6" t="n">
        <v>39419</v>
      </c>
      <c r="M146" s="5" t="s">
        <v>907</v>
      </c>
      <c r="N146" s="6" t="n">
        <v>29970</v>
      </c>
      <c r="O146" s="5" t="s">
        <v>162</v>
      </c>
      <c r="P146" s="5" t="s">
        <v>162</v>
      </c>
      <c r="Q146" s="5" t="s">
        <v>393</v>
      </c>
      <c r="R146" s="5" t="s">
        <v>472</v>
      </c>
      <c r="S146" s="5" t="s">
        <v>908</v>
      </c>
      <c r="T146" s="6" t="n">
        <v>41365</v>
      </c>
      <c r="U146" s="6" t="n">
        <v>45748</v>
      </c>
      <c r="V146" s="5" t="s">
        <v>83</v>
      </c>
      <c r="W146" s="5" t="s">
        <v>141</v>
      </c>
      <c r="X146" s="5" t="s">
        <v>83</v>
      </c>
      <c r="Y146" s="5" t="s">
        <v>83</v>
      </c>
      <c r="Z146" s="5" t="s">
        <v>141</v>
      </c>
      <c r="AA146" s="5" t="s">
        <v>637</v>
      </c>
      <c r="AB146" s="0" t="n">
        <f aca="false">IFERROR(VALUE(R146),0)</f>
        <v>1.4</v>
      </c>
      <c r="AC146" s="0" t="n">
        <f aca="false">IFERROR(VALUE(M146),"")</f>
        <v>44.4</v>
      </c>
      <c r="AD146" s="0" t="n">
        <f aca="false">IFERROR(VALUE(Q146),"")</f>
        <v>18.6</v>
      </c>
      <c r="AE146" s="0" t="n">
        <f aca="false">IFERROR(VALUE(S146),"")</f>
        <v>19.1</v>
      </c>
      <c r="AF146" s="0" t="n">
        <f aca="false">IF(V146="","",VLOOKUP(V146,Assumptions!$B$6:$C$9,2,FALSE()))</f>
        <v>4</v>
      </c>
      <c r="AG146" s="0" t="n">
        <f aca="false">IF(W146="","",VLOOKUP(W146,Assumptions!$B$6:$C$9,2,FALSE()))</f>
        <v>3</v>
      </c>
      <c r="AH146" s="0" t="n">
        <f aca="false">IF(X146="","",VLOOKUP(X146,Assumptions!$B$6:$C$9,2,FALSE()))</f>
        <v>4</v>
      </c>
      <c r="AI146" s="0" t="n">
        <f aca="false">IF(Y146="","",VLOOKUP(Y146,Assumptions!$B$6:$C$9,2,FALSE()))</f>
        <v>4</v>
      </c>
      <c r="AJ146" s="0" t="n">
        <f aca="false">IF(Z146="","",VLOOKUP(Z146,Assumptions!$B$6:$C$9,2,FALSE()))</f>
        <v>3</v>
      </c>
      <c r="AK146" s="7" t="n">
        <f aca="false">IFERROR(ROUND(AVERAGE(AF146:AJ146),3),"")</f>
        <v>3.6</v>
      </c>
      <c r="AL146" s="7" t="n">
        <f aca="false">IF(OR(AF146="",AJ146=""),"",AJ146-AF146)</f>
        <v>-1</v>
      </c>
      <c r="AM146" s="7" t="n">
        <f aca="false">IF(COUNT(AF146:AJ146)&gt;=2,ROUND(_xlfn.STDEV.S(AF146:AJ146),3),"")</f>
        <v>0.548</v>
      </c>
      <c r="AN146" s="7" t="n">
        <f aca="false">ROUND((IF(AF146="",0,AF146)*Assumptions!$F$15)+(IF(AG146="",0,AG146)*Assumptions!$F$16)+(IF(AH146="",0,AH146)*Assumptions!$F$17)+(IF(AI146="",0,AI146)*Assumptions!$F$18)+(IF(AJ146="",0,AJ146)*Assumptions!$F$19),3)</f>
        <v>3.55</v>
      </c>
      <c r="AO146" s="0" t="str">
        <f aca="false">IF(AC146&lt;=20,"",IF(AC146&lt;=Assumptions!$F$6,"20-30",IF(AC146&lt;=Assumptions!$F$7,"30-40",IF(AC146&lt;=Assumptions!$F$8,"40-50",IF(AC146&lt;=Assumptions!$F$9,"50-60",IF(AC146&lt;=Assumptions!$F$10,"60+",""))))))</f>
        <v>40-50</v>
      </c>
      <c r="AP146" s="0" t="str">
        <f aca="false">IFERROR(VLOOKUP(O146,Assumptions!$B$14:$C$26,2,FALSE()),"Other")</f>
        <v>Manager</v>
      </c>
      <c r="AQ146" s="0" t="n">
        <f aca="false">IF(T146="",0,1)</f>
        <v>1</v>
      </c>
      <c r="AR146" s="0" t="n">
        <f aca="false">IF(U146="",0,1)</f>
        <v>1</v>
      </c>
      <c r="AS146" s="8" t="n">
        <f aca="false">IF(AK146="","",IF(MAX($AK$2:$AK$921)=MIN($AK$2:$AK$921),50,ROUND((AK146-MIN($AK$2:$AK$921))/(MAX($AK$2:$AK$921)-MIN($AK$2:$AK$921))*100,2)))</f>
        <v>82.85</v>
      </c>
      <c r="AT146" s="8" t="n">
        <f aca="false">IF(MAX($BC$2:$BC$921)=MIN($BC$2:$BC$921),50,ROUND((BC146-MIN($BC$2:$BC$921))/(MAX($BC$2:$BC$921)-MIN($BC$2:$BC$921))*100,2))</f>
        <v>25</v>
      </c>
      <c r="AU146" s="8" t="n">
        <f aca="false">IF(MAX($BE$2:$BE$921)=MIN($BE$2:$BE$921),50,ROUND((BE146-MIN($BE$2:$BE$921))/(MAX($BE$2:$BE$921)-MIN($BE$2:$BE$921))*100,2))</f>
        <v>68.36</v>
      </c>
      <c r="AV146" s="8" t="n">
        <f aca="false">IF(MAX($AD$2:$AD$921)=MIN($AD$2:$AD$921),50,ROUND((AD146-MIN($AD$2:$AD$921))/(MAX($AD$2:$AD$921)-MIN($AD$2:$AD$921))*100,2))</f>
        <v>50.26</v>
      </c>
      <c r="AW146" s="8" t="n">
        <f aca="false">IF(MAX($AN$2:$AN$921)=MIN($AN$2:$AN$921),50,ROUND((AN146-MIN($AN$2:$AN$921))/(MAX($AN$2:$AN$921)-MIN($AN$2:$AN$921))*100,2))</f>
        <v>88.75</v>
      </c>
      <c r="AX146" s="8" t="n">
        <f aca="false">AQ146*100</f>
        <v>100</v>
      </c>
      <c r="AY146" s="8" t="n">
        <f aca="false">AR146*100</f>
        <v>100</v>
      </c>
      <c r="AZ146" s="8" t="n">
        <f aca="false">IFERROR(ROUND(AS146*Assumptions!$I$6+AW146*Assumptions!$I$7+AT146*Assumptions!$I$8+AU146*Assumptions!$I$9+AV146*Assumptions!$I$10+AX146*Assumptions!$I$11+AY146*Assumptions!$I$12,2),"")</f>
        <v>71.64</v>
      </c>
      <c r="BA146" s="0" t="str">
        <f aca="false">IF(AZ146="","",IF(AZ146&lt;=Assumptions!$I$18,"Below Expectation",IF(AZ146&lt;=Assumptions!$I$19,"Developing",IF(AZ146&lt;=Assumptions!$I$20,"Meets Expectation",IF(AZ146&lt;=Assumptions!$I$21,"Exceeds","Star Performer")))))</f>
        <v>Exceeds</v>
      </c>
      <c r="BB146" s="0" t="n">
        <f aca="false">IF(AZ146="",0,IF(AZ146&gt;=Assumptions!$I$26,1,0))</f>
        <v>1</v>
      </c>
      <c r="BC146" s="9" t="n">
        <f aca="false">IF(AL146="",2,AL146+2)</f>
        <v>1</v>
      </c>
      <c r="BD146" s="10" t="n">
        <f aca="false">IF(AM146="",ROUND(AVERAGE($AM$2:$AM$921),3),AM146)</f>
        <v>0.548</v>
      </c>
      <c r="BE146" s="9" t="n">
        <f aca="false">1-BD146</f>
        <v>0.452</v>
      </c>
    </row>
    <row r="147" customFormat="false" ht="14.25" hidden="false" customHeight="false" outlineLevel="0" collapsed="false">
      <c r="A147" s="4" t="n">
        <v>79</v>
      </c>
      <c r="B147" s="5" t="n">
        <v>10024068</v>
      </c>
      <c r="C147" s="5" t="s">
        <v>106</v>
      </c>
      <c r="D147" s="5" t="s">
        <v>909</v>
      </c>
      <c r="E147" s="5" t="s">
        <v>305</v>
      </c>
      <c r="F147" s="5" t="s">
        <v>816</v>
      </c>
      <c r="G147" s="5" t="s">
        <v>817</v>
      </c>
      <c r="H147" s="5" t="s">
        <v>816</v>
      </c>
      <c r="I147" s="5" t="s">
        <v>63</v>
      </c>
      <c r="J147" s="5" t="s">
        <v>112</v>
      </c>
      <c r="K147" s="5" t="s">
        <v>65</v>
      </c>
      <c r="L147" s="6" t="n">
        <v>39335</v>
      </c>
      <c r="M147" s="5" t="s">
        <v>529</v>
      </c>
      <c r="N147" s="6" t="n">
        <v>29493</v>
      </c>
      <c r="O147" s="5" t="s">
        <v>365</v>
      </c>
      <c r="P147" s="5" t="s">
        <v>365</v>
      </c>
      <c r="Q147" s="5" t="s">
        <v>573</v>
      </c>
      <c r="R147" s="5" t="s">
        <v>495</v>
      </c>
      <c r="S147" s="5" t="s">
        <v>910</v>
      </c>
      <c r="T147" s="6" t="n">
        <v>40634</v>
      </c>
      <c r="U147" s="6"/>
      <c r="V147" s="5" t="s">
        <v>141</v>
      </c>
      <c r="W147" s="5" t="s">
        <v>141</v>
      </c>
      <c r="X147" s="5" t="s">
        <v>141</v>
      </c>
      <c r="Y147" s="5" t="s">
        <v>83</v>
      </c>
      <c r="Z147" s="5" t="s">
        <v>83</v>
      </c>
      <c r="AA147" s="5" t="s">
        <v>911</v>
      </c>
      <c r="AB147" s="0" t="n">
        <f aca="false">IFERROR(VALUE(R147),0)</f>
        <v>6.3</v>
      </c>
      <c r="AC147" s="0" t="n">
        <f aca="false">IFERROR(VALUE(M147),"")</f>
        <v>45.8</v>
      </c>
      <c r="AD147" s="0" t="n">
        <f aca="false">IFERROR(VALUE(Q147),"")</f>
        <v>18.8</v>
      </c>
      <c r="AE147" s="0" t="n">
        <f aca="false">IFERROR(VALUE(S147),"")</f>
        <v>24.11</v>
      </c>
      <c r="AF147" s="0" t="n">
        <f aca="false">IF(V147="","",VLOOKUP(V147,Assumptions!$B$6:$C$9,2,FALSE()))</f>
        <v>3</v>
      </c>
      <c r="AG147" s="0" t="n">
        <f aca="false">IF(W147="","",VLOOKUP(W147,Assumptions!$B$6:$C$9,2,FALSE()))</f>
        <v>3</v>
      </c>
      <c r="AH147" s="0" t="n">
        <f aca="false">IF(X147="","",VLOOKUP(X147,Assumptions!$B$6:$C$9,2,FALSE()))</f>
        <v>3</v>
      </c>
      <c r="AI147" s="0" t="n">
        <f aca="false">IF(Y147="","",VLOOKUP(Y147,Assumptions!$B$6:$C$9,2,FALSE()))</f>
        <v>4</v>
      </c>
      <c r="AJ147" s="0" t="n">
        <f aca="false">IF(Z147="","",VLOOKUP(Z147,Assumptions!$B$6:$C$9,2,FALSE()))</f>
        <v>4</v>
      </c>
      <c r="AK147" s="7" t="n">
        <f aca="false">IFERROR(ROUND(AVERAGE(AF147:AJ147),3),"")</f>
        <v>3.4</v>
      </c>
      <c r="AL147" s="7" t="n">
        <f aca="false">IF(OR(AF147="",AJ147=""),"",AJ147-AF147)</f>
        <v>1</v>
      </c>
      <c r="AM147" s="7" t="n">
        <f aca="false">IF(COUNT(AF147:AJ147)&gt;=2,ROUND(_xlfn.STDEV.S(AF147:AJ147),3),"")</f>
        <v>0.548</v>
      </c>
      <c r="AN147" s="7" t="n">
        <f aca="false">ROUND((IF(AF147="",0,AF147)*Assumptions!$F$15)+(IF(AG147="",0,AG147)*Assumptions!$F$16)+(IF(AH147="",0,AH147)*Assumptions!$F$17)+(IF(AI147="",0,AI147)*Assumptions!$F$18)+(IF(AJ147="",0,AJ147)*Assumptions!$F$19),3)</f>
        <v>3.55</v>
      </c>
      <c r="AO147" s="0" t="str">
        <f aca="false">IF(AC147&lt;=20,"",IF(AC147&lt;=Assumptions!$F$6,"20-30",IF(AC147&lt;=Assumptions!$F$7,"30-40",IF(AC147&lt;=Assumptions!$F$8,"40-50",IF(AC147&lt;=Assumptions!$F$9,"50-60",IF(AC147&lt;=Assumptions!$F$10,"60+",""))))))</f>
        <v>40-50</v>
      </c>
      <c r="AP147" s="0" t="str">
        <f aca="false">IFERROR(VLOOKUP(O147,Assumptions!$B$14:$C$26,2,FALSE()),"Other")</f>
        <v>Manager</v>
      </c>
      <c r="AQ147" s="0" t="n">
        <f aca="false">IF(T147="",0,1)</f>
        <v>1</v>
      </c>
      <c r="AR147" s="0" t="n">
        <f aca="false">IF(U147="",0,1)</f>
        <v>0</v>
      </c>
      <c r="AS147" s="8" t="n">
        <f aca="false">IF(AK147="","",IF(MAX($AK$2:$AK$921)=MIN($AK$2:$AK$921),50,ROUND((AK147-MIN($AK$2:$AK$921))/(MAX($AK$2:$AK$921)-MIN($AK$2:$AK$921))*100,2)))</f>
        <v>74.28</v>
      </c>
      <c r="AT147" s="8" t="n">
        <f aca="false">IF(MAX($BC$2:$BC$921)=MIN($BC$2:$BC$921),50,ROUND((BC147-MIN($BC$2:$BC$921))/(MAX($BC$2:$BC$921)-MIN($BC$2:$BC$921))*100,2))</f>
        <v>75</v>
      </c>
      <c r="AU147" s="8" t="n">
        <f aca="false">IF(MAX($BE$2:$BE$921)=MIN($BE$2:$BE$921),50,ROUND((BE147-MIN($BE$2:$BE$921))/(MAX($BE$2:$BE$921)-MIN($BE$2:$BE$921))*100,2))</f>
        <v>68.36</v>
      </c>
      <c r="AV147" s="8" t="n">
        <f aca="false">IF(MAX($AD$2:$AD$921)=MIN($AD$2:$AD$921),50,ROUND((AD147-MIN($AD$2:$AD$921))/(MAX($AD$2:$AD$921)-MIN($AD$2:$AD$921))*100,2))</f>
        <v>50.8</v>
      </c>
      <c r="AW147" s="8" t="n">
        <f aca="false">IF(MAX($AN$2:$AN$921)=MIN($AN$2:$AN$921),50,ROUND((AN147-MIN($AN$2:$AN$921))/(MAX($AN$2:$AN$921)-MIN($AN$2:$AN$921))*100,2))</f>
        <v>88.75</v>
      </c>
      <c r="AX147" s="8" t="n">
        <f aca="false">AQ147*100</f>
        <v>100</v>
      </c>
      <c r="AY147" s="8" t="n">
        <f aca="false">AR147*100</f>
        <v>0</v>
      </c>
      <c r="AZ147" s="8" t="n">
        <f aca="false">IFERROR(ROUND(AS147*Assumptions!$I$6+AW147*Assumptions!$I$7+AT147*Assumptions!$I$8+AU147*Assumptions!$I$9+AV147*Assumptions!$I$10+AX147*Assumptions!$I$11+AY147*Assumptions!$I$12,2),"")</f>
        <v>71.62</v>
      </c>
      <c r="BA147" s="0" t="str">
        <f aca="false">IF(AZ147="","",IF(AZ147&lt;=Assumptions!$I$18,"Below Expectation",IF(AZ147&lt;=Assumptions!$I$19,"Developing",IF(AZ147&lt;=Assumptions!$I$20,"Meets Expectation",IF(AZ147&lt;=Assumptions!$I$21,"Exceeds","Star Performer")))))</f>
        <v>Exceeds</v>
      </c>
      <c r="BB147" s="0" t="n">
        <f aca="false">IF(AZ147="",0,IF(AZ147&gt;=Assumptions!$I$26,1,0))</f>
        <v>1</v>
      </c>
      <c r="BC147" s="9" t="n">
        <f aca="false">IF(AL147="",2,AL147+2)</f>
        <v>3</v>
      </c>
      <c r="BD147" s="10" t="n">
        <f aca="false">IF(AM147="",ROUND(AVERAGE($AM$2:$AM$921),3),AM147)</f>
        <v>0.548</v>
      </c>
      <c r="BE147" s="9" t="n">
        <f aca="false">1-BD147</f>
        <v>0.452</v>
      </c>
    </row>
    <row r="148" customFormat="false" ht="14.25" hidden="false" customHeight="false" outlineLevel="0" collapsed="false">
      <c r="A148" s="4" t="n">
        <v>482</v>
      </c>
      <c r="B148" s="5" t="n">
        <v>55043177</v>
      </c>
      <c r="C148" s="5" t="s">
        <v>106</v>
      </c>
      <c r="D148" s="5" t="s">
        <v>912</v>
      </c>
      <c r="E148" s="5" t="s">
        <v>108</v>
      </c>
      <c r="F148" s="5" t="s">
        <v>463</v>
      </c>
      <c r="G148" s="5" t="s">
        <v>464</v>
      </c>
      <c r="H148" s="5" t="s">
        <v>465</v>
      </c>
      <c r="I148" s="5" t="s">
        <v>63</v>
      </c>
      <c r="J148" s="5" t="s">
        <v>112</v>
      </c>
      <c r="K148" s="5" t="s">
        <v>65</v>
      </c>
      <c r="L148" s="6" t="n">
        <v>44462</v>
      </c>
      <c r="M148" s="5" t="s">
        <v>753</v>
      </c>
      <c r="N148" s="6" t="n">
        <v>34325</v>
      </c>
      <c r="O148" s="5" t="s">
        <v>365</v>
      </c>
      <c r="P148" s="5" t="s">
        <v>365</v>
      </c>
      <c r="Q148" s="5" t="s">
        <v>496</v>
      </c>
      <c r="R148" s="5" t="s">
        <v>147</v>
      </c>
      <c r="S148" s="5" t="s">
        <v>318</v>
      </c>
      <c r="T148" s="6"/>
      <c r="U148" s="6" t="n">
        <v>45992</v>
      </c>
      <c r="V148" s="5" t="s">
        <v>83</v>
      </c>
      <c r="W148" s="5" t="s">
        <v>141</v>
      </c>
      <c r="X148" s="5" t="s">
        <v>83</v>
      </c>
      <c r="Y148" s="5" t="s">
        <v>83</v>
      </c>
      <c r="Z148" s="5" t="s">
        <v>83</v>
      </c>
      <c r="AA148" s="5" t="s">
        <v>913</v>
      </c>
      <c r="AB148" s="0" t="n">
        <f aca="false">IFERROR(VALUE(R148),0)</f>
        <v>5.6</v>
      </c>
      <c r="AC148" s="0" t="n">
        <f aca="false">IFERROR(VALUE(M148),"")</f>
        <v>32.5</v>
      </c>
      <c r="AD148" s="0" t="n">
        <f aca="false">IFERROR(VALUE(Q148),"")</f>
        <v>4.8</v>
      </c>
      <c r="AE148" s="0" t="n">
        <f aca="false">IFERROR(VALUE(S148),"")</f>
        <v>10.2</v>
      </c>
      <c r="AF148" s="0" t="n">
        <f aca="false">IF(V148="","",VLOOKUP(V148,Assumptions!$B$6:$C$9,2,FALSE()))</f>
        <v>4</v>
      </c>
      <c r="AG148" s="0" t="n">
        <f aca="false">IF(W148="","",VLOOKUP(W148,Assumptions!$B$6:$C$9,2,FALSE()))</f>
        <v>3</v>
      </c>
      <c r="AH148" s="0" t="n">
        <f aca="false">IF(X148="","",VLOOKUP(X148,Assumptions!$B$6:$C$9,2,FALSE()))</f>
        <v>4</v>
      </c>
      <c r="AI148" s="0" t="n">
        <f aca="false">IF(Y148="","",VLOOKUP(Y148,Assumptions!$B$6:$C$9,2,FALSE()))</f>
        <v>4</v>
      </c>
      <c r="AJ148" s="0" t="n">
        <f aca="false">IF(Z148="","",VLOOKUP(Z148,Assumptions!$B$6:$C$9,2,FALSE()))</f>
        <v>4</v>
      </c>
      <c r="AK148" s="7" t="n">
        <f aca="false">IFERROR(ROUND(AVERAGE(AF148:AJ148),3),"")</f>
        <v>3.8</v>
      </c>
      <c r="AL148" s="7" t="n">
        <f aca="false">IF(OR(AF148="",AJ148=""),"",AJ148-AF148)</f>
        <v>0</v>
      </c>
      <c r="AM148" s="7" t="n">
        <f aca="false">IF(COUNT(AF148:AJ148)&gt;=2,ROUND(_xlfn.STDEV.S(AF148:AJ148),3),"")</f>
        <v>0.447</v>
      </c>
      <c r="AN148" s="7" t="n">
        <f aca="false">ROUND((IF(AF148="",0,AF148)*Assumptions!$F$15)+(IF(AG148="",0,AG148)*Assumptions!$F$16)+(IF(AH148="",0,AH148)*Assumptions!$F$17)+(IF(AI148="",0,AI148)*Assumptions!$F$18)+(IF(AJ148="",0,AJ148)*Assumptions!$F$19),3)</f>
        <v>3.85</v>
      </c>
      <c r="AO148" s="0" t="str">
        <f aca="false">IF(AC148&lt;=20,"",IF(AC148&lt;=Assumptions!$F$6,"20-30",IF(AC148&lt;=Assumptions!$F$7,"30-40",IF(AC148&lt;=Assumptions!$F$8,"40-50",IF(AC148&lt;=Assumptions!$F$9,"50-60",IF(AC148&lt;=Assumptions!$F$10,"60+",""))))))</f>
        <v>30-40</v>
      </c>
      <c r="AP148" s="0" t="str">
        <f aca="false">IFERROR(VLOOKUP(O148,Assumptions!$B$14:$C$26,2,FALSE()),"Other")</f>
        <v>Manager</v>
      </c>
      <c r="AQ148" s="0" t="n">
        <f aca="false">IF(T148="",0,1)</f>
        <v>0</v>
      </c>
      <c r="AR148" s="0" t="n">
        <f aca="false">IF(U148="",0,1)</f>
        <v>1</v>
      </c>
      <c r="AS148" s="8" t="n">
        <f aca="false">IF(AK148="","",IF(MAX($AK$2:$AK$921)=MIN($AK$2:$AK$921),50,ROUND((AK148-MIN($AK$2:$AK$921))/(MAX($AK$2:$AK$921)-MIN($AK$2:$AK$921))*100,2)))</f>
        <v>91.43</v>
      </c>
      <c r="AT148" s="8" t="n">
        <f aca="false">IF(MAX($BC$2:$BC$921)=MIN($BC$2:$BC$921),50,ROUND((BC148-MIN($BC$2:$BC$921))/(MAX($BC$2:$BC$921)-MIN($BC$2:$BC$921))*100,2))</f>
        <v>50</v>
      </c>
      <c r="AU148" s="8" t="n">
        <f aca="false">IF(MAX($BE$2:$BE$921)=MIN($BE$2:$BE$921),50,ROUND((BE148-MIN($BE$2:$BE$921))/(MAX($BE$2:$BE$921)-MIN($BE$2:$BE$921))*100,2))</f>
        <v>74.19</v>
      </c>
      <c r="AV148" s="8" t="n">
        <f aca="false">IF(MAX($AD$2:$AD$921)=MIN($AD$2:$AD$921),50,ROUND((AD148-MIN($AD$2:$AD$921))/(MAX($AD$2:$AD$921)-MIN($AD$2:$AD$921))*100,2))</f>
        <v>12.75</v>
      </c>
      <c r="AW148" s="8" t="n">
        <f aca="false">IF(MAX($AN$2:$AN$921)=MIN($AN$2:$AN$921),50,ROUND((AN148-MIN($AN$2:$AN$921))/(MAX($AN$2:$AN$921)-MIN($AN$2:$AN$921))*100,2))</f>
        <v>96.25</v>
      </c>
      <c r="AX148" s="8" t="n">
        <f aca="false">AQ148*100</f>
        <v>0</v>
      </c>
      <c r="AY148" s="8" t="n">
        <f aca="false">AR148*100</f>
        <v>100</v>
      </c>
      <c r="AZ148" s="8" t="n">
        <f aca="false">IFERROR(ROUND(AS148*Assumptions!$I$6+AW148*Assumptions!$I$7+AT148*Assumptions!$I$8+AU148*Assumptions!$I$9+AV148*Assumptions!$I$10+AX148*Assumptions!$I$11+AY148*Assumptions!$I$12,2),"")</f>
        <v>71.58</v>
      </c>
      <c r="BA148" s="0" t="str">
        <f aca="false">IF(AZ148="","",IF(AZ148&lt;=Assumptions!$I$18,"Below Expectation",IF(AZ148&lt;=Assumptions!$I$19,"Developing",IF(AZ148&lt;=Assumptions!$I$20,"Meets Expectation",IF(AZ148&lt;=Assumptions!$I$21,"Exceeds","Star Performer")))))</f>
        <v>Exceeds</v>
      </c>
      <c r="BB148" s="0" t="n">
        <f aca="false">IF(AZ148="",0,IF(AZ148&gt;=Assumptions!$I$26,1,0))</f>
        <v>1</v>
      </c>
      <c r="BC148" s="9" t="n">
        <f aca="false">IF(AL148="",2,AL148+2)</f>
        <v>2</v>
      </c>
      <c r="BD148" s="10" t="n">
        <f aca="false">IF(AM148="",ROUND(AVERAGE($AM$2:$AM$921),3),AM148)</f>
        <v>0.447</v>
      </c>
      <c r="BE148" s="9" t="n">
        <f aca="false">1-BD148</f>
        <v>0.553</v>
      </c>
    </row>
    <row r="149" customFormat="false" ht="14.25" hidden="true" customHeight="false" outlineLevel="0" collapsed="false">
      <c r="A149" s="4" t="n">
        <v>35</v>
      </c>
      <c r="B149" s="5" t="n">
        <v>2267307</v>
      </c>
      <c r="C149" s="5" t="s">
        <v>85</v>
      </c>
      <c r="D149" s="5" t="s">
        <v>914</v>
      </c>
      <c r="E149" s="5" t="s">
        <v>235</v>
      </c>
      <c r="F149" s="5" t="s">
        <v>62</v>
      </c>
      <c r="G149" s="5" t="s">
        <v>61</v>
      </c>
      <c r="H149" s="5" t="s">
        <v>62</v>
      </c>
      <c r="I149" s="5" t="s">
        <v>63</v>
      </c>
      <c r="J149" s="5" t="s">
        <v>76</v>
      </c>
      <c r="K149" s="5" t="s">
        <v>65</v>
      </c>
      <c r="L149" s="6" t="n">
        <v>36949</v>
      </c>
      <c r="M149" s="5" t="s">
        <v>915</v>
      </c>
      <c r="N149" s="6" t="n">
        <v>24473</v>
      </c>
      <c r="O149" s="5" t="s">
        <v>89</v>
      </c>
      <c r="P149" s="5" t="s">
        <v>90</v>
      </c>
      <c r="Q149" s="5" t="s">
        <v>916</v>
      </c>
      <c r="R149" s="5" t="s">
        <v>458</v>
      </c>
      <c r="S149" s="5" t="s">
        <v>566</v>
      </c>
      <c r="T149" s="6" t="n">
        <v>41000</v>
      </c>
      <c r="U149" s="6" t="n">
        <v>44440</v>
      </c>
      <c r="V149" s="5" t="s">
        <v>141</v>
      </c>
      <c r="W149" s="5" t="s">
        <v>141</v>
      </c>
      <c r="X149" s="5" t="s">
        <v>141</v>
      </c>
      <c r="Y149" s="5" t="s">
        <v>141</v>
      </c>
      <c r="Z149" s="5" t="s">
        <v>141</v>
      </c>
      <c r="AA149" s="5" t="s">
        <v>917</v>
      </c>
      <c r="AB149" s="0" t="n">
        <f aca="false">IFERROR(VALUE(R149),0)</f>
        <v>8.8</v>
      </c>
      <c r="AC149" s="0" t="n">
        <f aca="false">IFERROR(VALUE(M149),"")</f>
        <v>59.5</v>
      </c>
      <c r="AD149" s="0" t="n">
        <f aca="false">IFERROR(VALUE(Q149),"")</f>
        <v>25.3</v>
      </c>
      <c r="AE149" s="0" t="n">
        <f aca="false">IFERROR(VALUE(S149),"")</f>
        <v>33.11</v>
      </c>
      <c r="AF149" s="0" t="n">
        <f aca="false">IF(V149="","",VLOOKUP(V149,Assumptions!$B$6:$C$9,2,FALSE()))</f>
        <v>3</v>
      </c>
      <c r="AG149" s="0" t="n">
        <f aca="false">IF(W149="","",VLOOKUP(W149,Assumptions!$B$6:$C$9,2,FALSE()))</f>
        <v>3</v>
      </c>
      <c r="AH149" s="0" t="n">
        <f aca="false">IF(X149="","",VLOOKUP(X149,Assumptions!$B$6:$C$9,2,FALSE()))</f>
        <v>3</v>
      </c>
      <c r="AI149" s="0" t="n">
        <f aca="false">IF(Y149="","",VLOOKUP(Y149,Assumptions!$B$6:$C$9,2,FALSE()))</f>
        <v>3</v>
      </c>
      <c r="AJ149" s="0" t="n">
        <f aca="false">IF(Z149="","",VLOOKUP(Z149,Assumptions!$B$6:$C$9,2,FALSE()))</f>
        <v>3</v>
      </c>
      <c r="AK149" s="7" t="n">
        <f aca="false">IFERROR(ROUND(AVERAGE(AF149:AJ149),3),"")</f>
        <v>3</v>
      </c>
      <c r="AL149" s="7" t="n">
        <f aca="false">IF(OR(AF149="",AJ149=""),"",AJ149-AF149)</f>
        <v>0</v>
      </c>
      <c r="AM149" s="7" t="n">
        <f aca="false">IF(COUNT(AF149:AJ149)&gt;=2,ROUND(_xlfn.STDEV.S(AF149:AJ149),3),"")</f>
        <v>0</v>
      </c>
      <c r="AN149" s="7" t="n">
        <f aca="false">ROUND((IF(AF149="",0,AF149)*Assumptions!$F$15)+(IF(AG149="",0,AG149)*Assumptions!$F$16)+(IF(AH149="",0,AH149)*Assumptions!$F$17)+(IF(AI149="",0,AI149)*Assumptions!$F$18)+(IF(AJ149="",0,AJ149)*Assumptions!$F$19),3)</f>
        <v>3</v>
      </c>
      <c r="AO149" s="0" t="str">
        <f aca="false">IF(AC149&lt;=20,"",IF(AC149&lt;=Assumptions!$F$6,"20-30",IF(AC149&lt;=Assumptions!$F$7,"30-40",IF(AC149&lt;=Assumptions!$F$8,"40-50",IF(AC149&lt;=Assumptions!$F$9,"50-60",IF(AC149&lt;=Assumptions!$F$10,"60+",""))))))</f>
        <v>50-60</v>
      </c>
      <c r="AP149" s="0" t="str">
        <f aca="false">IFERROR(VLOOKUP(O149,Assumptions!$B$14:$C$26,2,FALSE()),"Other")</f>
        <v>Leadership</v>
      </c>
      <c r="AQ149" s="0" t="n">
        <f aca="false">IF(T149="",0,1)</f>
        <v>1</v>
      </c>
      <c r="AR149" s="0" t="n">
        <f aca="false">IF(U149="",0,1)</f>
        <v>1</v>
      </c>
      <c r="AS149" s="8" t="n">
        <f aca="false">IF(AK149="","",IF(MAX($AK$2:$AK$921)=MIN($AK$2:$AK$921),50,ROUND((AK149-MIN($AK$2:$AK$921))/(MAX($AK$2:$AK$921)-MIN($AK$2:$AK$921))*100,2)))</f>
        <v>57.14</v>
      </c>
      <c r="AT149" s="8" t="n">
        <f aca="false">IF(MAX($BC$2:$BC$921)=MIN($BC$2:$BC$921),50,ROUND((BC149-MIN($BC$2:$BC$921))/(MAX($BC$2:$BC$921)-MIN($BC$2:$BC$921))*100,2))</f>
        <v>50</v>
      </c>
      <c r="AU149" s="8" t="n">
        <f aca="false">IF(MAX($BE$2:$BE$921)=MIN($BE$2:$BE$921),50,ROUND((BE149-MIN($BE$2:$BE$921))/(MAX($BE$2:$BE$921)-MIN($BE$2:$BE$921))*100,2))</f>
        <v>100</v>
      </c>
      <c r="AV149" s="8" t="n">
        <f aca="false">IF(MAX($AD$2:$AD$921)=MIN($AD$2:$AD$921),50,ROUND((AD149-MIN($AD$2:$AD$921))/(MAX($AD$2:$AD$921)-MIN($AD$2:$AD$921))*100,2))</f>
        <v>68.47</v>
      </c>
      <c r="AW149" s="8" t="n">
        <f aca="false">IF(MAX($AN$2:$AN$921)=MIN($AN$2:$AN$921),50,ROUND((AN149-MIN($AN$2:$AN$921))/(MAX($AN$2:$AN$921)-MIN($AN$2:$AN$921))*100,2))</f>
        <v>75</v>
      </c>
      <c r="AX149" s="8" t="n">
        <f aca="false">AQ149*100</f>
        <v>100</v>
      </c>
      <c r="AY149" s="8" t="n">
        <f aca="false">AR149*100</f>
        <v>100</v>
      </c>
      <c r="AZ149" s="8" t="n">
        <f aca="false">IFERROR(ROUND(AS149*Assumptions!$I$6+AW149*Assumptions!$I$7+AT149*Assumptions!$I$8+AU149*Assumptions!$I$9+AV149*Assumptions!$I$10+AX149*Assumptions!$I$11+AY149*Assumptions!$I$12,2),"")</f>
        <v>71.49</v>
      </c>
      <c r="BA149" s="0" t="str">
        <f aca="false">IF(AZ149="","",IF(AZ149&lt;=Assumptions!$I$18,"Below Expectation",IF(AZ149&lt;=Assumptions!$I$19,"Developing",IF(AZ149&lt;=Assumptions!$I$20,"Meets Expectation",IF(AZ149&lt;=Assumptions!$I$21,"Exceeds","Star Performer")))))</f>
        <v>Exceeds</v>
      </c>
      <c r="BB149" s="0" t="n">
        <f aca="false">IF(AZ149="",0,IF(AZ149&gt;=Assumptions!$I$26,1,0))</f>
        <v>1</v>
      </c>
      <c r="BC149" s="9" t="n">
        <f aca="false">IF(AL149="",2,AL149+2)</f>
        <v>2</v>
      </c>
      <c r="BD149" s="10" t="n">
        <f aca="false">IF(AM149="",ROUND(AVERAGE($AM$2:$AM$921),3),AM149)</f>
        <v>0</v>
      </c>
      <c r="BE149" s="9" t="n">
        <f aca="false">1-BD149</f>
        <v>1</v>
      </c>
    </row>
    <row r="150" customFormat="false" ht="14.25" hidden="true" customHeight="false" outlineLevel="0" collapsed="false">
      <c r="A150" s="4" t="n">
        <v>314</v>
      </c>
      <c r="B150" s="5" t="n">
        <v>10072425</v>
      </c>
      <c r="C150" s="5" t="s">
        <v>149</v>
      </c>
      <c r="D150" s="5" t="s">
        <v>918</v>
      </c>
      <c r="E150" s="5" t="s">
        <v>919</v>
      </c>
      <c r="F150" s="5" t="s">
        <v>422</v>
      </c>
      <c r="G150" s="5" t="s">
        <v>423</v>
      </c>
      <c r="H150" s="5" t="s">
        <v>424</v>
      </c>
      <c r="I150" s="5" t="s">
        <v>63</v>
      </c>
      <c r="J150" s="5" t="s">
        <v>100</v>
      </c>
      <c r="K150" s="5" t="s">
        <v>65</v>
      </c>
      <c r="L150" s="6" t="n">
        <v>43934</v>
      </c>
      <c r="M150" s="5" t="s">
        <v>741</v>
      </c>
      <c r="N150" s="6" t="n">
        <v>34908</v>
      </c>
      <c r="O150" s="5" t="s">
        <v>332</v>
      </c>
      <c r="P150" s="5" t="s">
        <v>333</v>
      </c>
      <c r="Q150" s="5" t="s">
        <v>506</v>
      </c>
      <c r="R150" s="5" t="s">
        <v>920</v>
      </c>
      <c r="S150" s="5" t="s">
        <v>921</v>
      </c>
      <c r="T150" s="6"/>
      <c r="U150" s="6" t="n">
        <v>45292</v>
      </c>
      <c r="V150" s="5" t="s">
        <v>141</v>
      </c>
      <c r="W150" s="5" t="s">
        <v>83</v>
      </c>
      <c r="X150" s="5" t="s">
        <v>141</v>
      </c>
      <c r="Y150" s="5" t="s">
        <v>83</v>
      </c>
      <c r="Z150" s="5" t="s">
        <v>83</v>
      </c>
      <c r="AA150" s="5" t="s">
        <v>922</v>
      </c>
      <c r="AB150" s="0" t="n">
        <f aca="false">IFERROR(VALUE(R150),0)</f>
        <v>2.8</v>
      </c>
      <c r="AC150" s="0" t="n">
        <f aca="false">IFERROR(VALUE(M150),"")</f>
        <v>30.1</v>
      </c>
      <c r="AD150" s="0" t="n">
        <f aca="false">IFERROR(VALUE(Q150),"")</f>
        <v>6.1</v>
      </c>
      <c r="AE150" s="0" t="n">
        <f aca="false">IFERROR(VALUE(S150),"")</f>
        <v>8.9</v>
      </c>
      <c r="AF150" s="0" t="n">
        <f aca="false">IF(V150="","",VLOOKUP(V150,Assumptions!$B$6:$C$9,2,FALSE()))</f>
        <v>3</v>
      </c>
      <c r="AG150" s="0" t="n">
        <f aca="false">IF(W150="","",VLOOKUP(W150,Assumptions!$B$6:$C$9,2,FALSE()))</f>
        <v>4</v>
      </c>
      <c r="AH150" s="0" t="n">
        <f aca="false">IF(X150="","",VLOOKUP(X150,Assumptions!$B$6:$C$9,2,FALSE()))</f>
        <v>3</v>
      </c>
      <c r="AI150" s="0" t="n">
        <f aca="false">IF(Y150="","",VLOOKUP(Y150,Assumptions!$B$6:$C$9,2,FALSE()))</f>
        <v>4</v>
      </c>
      <c r="AJ150" s="0" t="n">
        <f aca="false">IF(Z150="","",VLOOKUP(Z150,Assumptions!$B$6:$C$9,2,FALSE()))</f>
        <v>4</v>
      </c>
      <c r="AK150" s="7" t="n">
        <f aca="false">IFERROR(ROUND(AVERAGE(AF150:AJ150),3),"")</f>
        <v>3.6</v>
      </c>
      <c r="AL150" s="7" t="n">
        <f aca="false">IF(OR(AF150="",AJ150=""),"",AJ150-AF150)</f>
        <v>1</v>
      </c>
      <c r="AM150" s="7" t="n">
        <f aca="false">IF(COUNT(AF150:AJ150)&gt;=2,ROUND(_xlfn.STDEV.S(AF150:AJ150),3),"")</f>
        <v>0.548</v>
      </c>
      <c r="AN150" s="7" t="n">
        <f aca="false">ROUND((IF(AF150="",0,AF150)*Assumptions!$F$15)+(IF(AG150="",0,AG150)*Assumptions!$F$16)+(IF(AH150="",0,AH150)*Assumptions!$F$17)+(IF(AI150="",0,AI150)*Assumptions!$F$18)+(IF(AJ150="",0,AJ150)*Assumptions!$F$19),3)</f>
        <v>3.7</v>
      </c>
      <c r="AO150" s="0" t="str">
        <f aca="false">IF(AC150&lt;=20,"",IF(AC150&lt;=Assumptions!$F$6,"20-30",IF(AC150&lt;=Assumptions!$F$7,"30-40",IF(AC150&lt;=Assumptions!$F$8,"40-50",IF(AC150&lt;=Assumptions!$F$9,"50-60",IF(AC150&lt;=Assumptions!$F$10,"60+",""))))))</f>
        <v>30-40</v>
      </c>
      <c r="AP150" s="0" t="str">
        <f aca="false">IFERROR(VLOOKUP(O150,Assumptions!$B$14:$C$26,2,FALSE()),"Other")</f>
        <v>Manager</v>
      </c>
      <c r="AQ150" s="0" t="n">
        <f aca="false">IF(T150="",0,1)</f>
        <v>0</v>
      </c>
      <c r="AR150" s="0" t="n">
        <f aca="false">IF(U150="",0,1)</f>
        <v>1</v>
      </c>
      <c r="AS150" s="8" t="n">
        <f aca="false">IF(AK150="","",IF(MAX($AK$2:$AK$921)=MIN($AK$2:$AK$921),50,ROUND((AK150-MIN($AK$2:$AK$921))/(MAX($AK$2:$AK$921)-MIN($AK$2:$AK$921))*100,2)))</f>
        <v>82.85</v>
      </c>
      <c r="AT150" s="8" t="n">
        <f aca="false">IF(MAX($BC$2:$BC$921)=MIN($BC$2:$BC$921),50,ROUND((BC150-MIN($BC$2:$BC$921))/(MAX($BC$2:$BC$921)-MIN($BC$2:$BC$921))*100,2))</f>
        <v>75</v>
      </c>
      <c r="AU150" s="8" t="n">
        <f aca="false">IF(MAX($BE$2:$BE$921)=MIN($BE$2:$BE$921),50,ROUND((BE150-MIN($BE$2:$BE$921))/(MAX($BE$2:$BE$921)-MIN($BE$2:$BE$921))*100,2))</f>
        <v>68.36</v>
      </c>
      <c r="AV150" s="8" t="n">
        <f aca="false">IF(MAX($AD$2:$AD$921)=MIN($AD$2:$AD$921),50,ROUND((AD150-MIN($AD$2:$AD$921))/(MAX($AD$2:$AD$921)-MIN($AD$2:$AD$921))*100,2))</f>
        <v>16.28</v>
      </c>
      <c r="AW150" s="8" t="n">
        <f aca="false">IF(MAX($AN$2:$AN$921)=MIN($AN$2:$AN$921),50,ROUND((AN150-MIN($AN$2:$AN$921))/(MAX($AN$2:$AN$921)-MIN($AN$2:$AN$921))*100,2))</f>
        <v>92.5</v>
      </c>
      <c r="AX150" s="8" t="n">
        <f aca="false">AQ150*100</f>
        <v>0</v>
      </c>
      <c r="AY150" s="8" t="n">
        <f aca="false">AR150*100</f>
        <v>100</v>
      </c>
      <c r="AZ150" s="8" t="n">
        <f aca="false">IFERROR(ROUND(AS150*Assumptions!$I$6+AW150*Assumptions!$I$7+AT150*Assumptions!$I$8+AU150*Assumptions!$I$9+AV150*Assumptions!$I$10+AX150*Assumptions!$I$11+AY150*Assumptions!$I$12,2),"")</f>
        <v>71.49</v>
      </c>
      <c r="BA150" s="0" t="str">
        <f aca="false">IF(AZ150="","",IF(AZ150&lt;=Assumptions!$I$18,"Below Expectation",IF(AZ150&lt;=Assumptions!$I$19,"Developing",IF(AZ150&lt;=Assumptions!$I$20,"Meets Expectation",IF(AZ150&lt;=Assumptions!$I$21,"Exceeds","Star Performer")))))</f>
        <v>Exceeds</v>
      </c>
      <c r="BB150" s="0" t="n">
        <f aca="false">IF(AZ150="",0,IF(AZ150&gt;=Assumptions!$I$26,1,0))</f>
        <v>1</v>
      </c>
      <c r="BC150" s="9" t="n">
        <f aca="false">IF(AL150="",2,AL150+2)</f>
        <v>3</v>
      </c>
      <c r="BD150" s="10" t="n">
        <f aca="false">IF(AM150="",ROUND(AVERAGE($AM$2:$AM$921),3),AM150)</f>
        <v>0.548</v>
      </c>
      <c r="BE150" s="9" t="n">
        <f aca="false">1-BD150</f>
        <v>0.452</v>
      </c>
    </row>
    <row r="151" customFormat="false" ht="14.25" hidden="false" customHeight="false" outlineLevel="0" collapsed="false">
      <c r="A151" s="4" t="n">
        <v>429</v>
      </c>
      <c r="B151" s="5" t="n">
        <v>50010938</v>
      </c>
      <c r="C151" s="5" t="s">
        <v>106</v>
      </c>
      <c r="D151" s="5" t="s">
        <v>923</v>
      </c>
      <c r="E151" s="5" t="s">
        <v>108</v>
      </c>
      <c r="F151" s="5" t="s">
        <v>563</v>
      </c>
      <c r="G151" s="5" t="s">
        <v>924</v>
      </c>
      <c r="H151" s="5" t="s">
        <v>925</v>
      </c>
      <c r="I151" s="5" t="s">
        <v>63</v>
      </c>
      <c r="J151" s="5" t="s">
        <v>112</v>
      </c>
      <c r="K151" s="5" t="s">
        <v>65</v>
      </c>
      <c r="L151" s="6" t="n">
        <v>41155</v>
      </c>
      <c r="M151" s="5" t="s">
        <v>926</v>
      </c>
      <c r="N151" s="6" t="n">
        <v>32784</v>
      </c>
      <c r="O151" s="5" t="s">
        <v>585</v>
      </c>
      <c r="P151" s="5" t="s">
        <v>586</v>
      </c>
      <c r="Q151" s="5" t="s">
        <v>312</v>
      </c>
      <c r="R151" s="5" t="s">
        <v>115</v>
      </c>
      <c r="S151" s="5" t="s">
        <v>312</v>
      </c>
      <c r="T151" s="6" t="n">
        <v>42461</v>
      </c>
      <c r="U151" s="6" t="n">
        <v>45992</v>
      </c>
      <c r="V151" s="5" t="s">
        <v>631</v>
      </c>
      <c r="W151" s="5" t="s">
        <v>631</v>
      </c>
      <c r="X151" s="5" t="s">
        <v>83</v>
      </c>
      <c r="Y151" s="5" t="s">
        <v>83</v>
      </c>
      <c r="Z151" s="5" t="s">
        <v>83</v>
      </c>
      <c r="AA151" s="5" t="s">
        <v>927</v>
      </c>
      <c r="AB151" s="0" t="n">
        <f aca="false">IFERROR(VALUE(R151),0)</f>
        <v>0</v>
      </c>
      <c r="AC151" s="0" t="n">
        <f aca="false">IFERROR(VALUE(M151),"")</f>
        <v>36.8</v>
      </c>
      <c r="AD151" s="0" t="n">
        <f aca="false">IFERROR(VALUE(Q151),"")</f>
        <v>13.9</v>
      </c>
      <c r="AE151" s="0" t="n">
        <f aca="false">IFERROR(VALUE(S151),"")</f>
        <v>13.9</v>
      </c>
      <c r="AF151" s="0" t="n">
        <f aca="false">IF(V151="","",VLOOKUP(V151,Assumptions!$B$6:$C$9,2,FALSE()))</f>
        <v>2</v>
      </c>
      <c r="AG151" s="0" t="n">
        <f aca="false">IF(W151="","",VLOOKUP(W151,Assumptions!$B$6:$C$9,2,FALSE()))</f>
        <v>2</v>
      </c>
      <c r="AH151" s="0" t="n">
        <f aca="false">IF(X151="","",VLOOKUP(X151,Assumptions!$B$6:$C$9,2,FALSE()))</f>
        <v>4</v>
      </c>
      <c r="AI151" s="0" t="n">
        <f aca="false">IF(Y151="","",VLOOKUP(Y151,Assumptions!$B$6:$C$9,2,FALSE()))</f>
        <v>4</v>
      </c>
      <c r="AJ151" s="0" t="n">
        <f aca="false">IF(Z151="","",VLOOKUP(Z151,Assumptions!$B$6:$C$9,2,FALSE()))</f>
        <v>4</v>
      </c>
      <c r="AK151" s="7" t="n">
        <f aca="false">IFERROR(ROUND(AVERAGE(AF151:AJ151),3),"")</f>
        <v>3.2</v>
      </c>
      <c r="AL151" s="7" t="n">
        <f aca="false">IF(OR(AF151="",AJ151=""),"",AJ151-AF151)</f>
        <v>2</v>
      </c>
      <c r="AM151" s="7" t="n">
        <f aca="false">IF(COUNT(AF151:AJ151)&gt;=2,ROUND(_xlfn.STDEV.S(AF151:AJ151),3),"")</f>
        <v>1.095</v>
      </c>
      <c r="AN151" s="7" t="n">
        <f aca="false">ROUND((IF(AF151="",0,AF151)*Assumptions!$F$15)+(IF(AG151="",0,AG151)*Assumptions!$F$16)+(IF(AH151="",0,AH151)*Assumptions!$F$17)+(IF(AI151="",0,AI151)*Assumptions!$F$18)+(IF(AJ151="",0,AJ151)*Assumptions!$F$19),3)</f>
        <v>3.5</v>
      </c>
      <c r="AO151" s="0" t="str">
        <f aca="false">IF(AC151&lt;=20,"",IF(AC151&lt;=Assumptions!$F$6,"20-30",IF(AC151&lt;=Assumptions!$F$7,"30-40",IF(AC151&lt;=Assumptions!$F$8,"40-50",IF(AC151&lt;=Assumptions!$F$9,"50-60",IF(AC151&lt;=Assumptions!$F$10,"60+",""))))))</f>
        <v>30-40</v>
      </c>
      <c r="AP151" s="0" t="str">
        <f aca="false">IFERROR(VLOOKUP(O151,Assumptions!$B$14:$C$26,2,FALSE()),"Other")</f>
        <v>Manager</v>
      </c>
      <c r="AQ151" s="0" t="n">
        <f aca="false">IF(T151="",0,1)</f>
        <v>1</v>
      </c>
      <c r="AR151" s="0" t="n">
        <f aca="false">IF(U151="",0,1)</f>
        <v>1</v>
      </c>
      <c r="AS151" s="8" t="n">
        <f aca="false">IF(AK151="","",IF(MAX($AK$2:$AK$921)=MIN($AK$2:$AK$921),50,ROUND((AK151-MIN($AK$2:$AK$921))/(MAX($AK$2:$AK$921)-MIN($AK$2:$AK$921))*100,2)))</f>
        <v>65.71</v>
      </c>
      <c r="AT151" s="8" t="n">
        <f aca="false">IF(MAX($BC$2:$BC$921)=MIN($BC$2:$BC$921),50,ROUND((BC151-MIN($BC$2:$BC$921))/(MAX($BC$2:$BC$921)-MIN($BC$2:$BC$921))*100,2))</f>
        <v>100</v>
      </c>
      <c r="AU151" s="8" t="n">
        <f aca="false">IF(MAX($BE$2:$BE$921)=MIN($BE$2:$BE$921),50,ROUND((BE151-MIN($BE$2:$BE$921))/(MAX($BE$2:$BE$921)-MIN($BE$2:$BE$921))*100,2))</f>
        <v>36.78</v>
      </c>
      <c r="AV151" s="8" t="n">
        <f aca="false">IF(MAX($AD$2:$AD$921)=MIN($AD$2:$AD$921),50,ROUND((AD151-MIN($AD$2:$AD$921))/(MAX($AD$2:$AD$921)-MIN($AD$2:$AD$921))*100,2))</f>
        <v>37.48</v>
      </c>
      <c r="AW151" s="8" t="n">
        <f aca="false">IF(MAX($AN$2:$AN$921)=MIN($AN$2:$AN$921),50,ROUND((AN151-MIN($AN$2:$AN$921))/(MAX($AN$2:$AN$921)-MIN($AN$2:$AN$921))*100,2))</f>
        <v>87.5</v>
      </c>
      <c r="AX151" s="8" t="n">
        <f aca="false">AQ151*100</f>
        <v>100</v>
      </c>
      <c r="AY151" s="8" t="n">
        <f aca="false">AR151*100</f>
        <v>100</v>
      </c>
      <c r="AZ151" s="8" t="n">
        <f aca="false">IFERROR(ROUND(AS151*Assumptions!$I$6+AW151*Assumptions!$I$7+AT151*Assumptions!$I$8+AU151*Assumptions!$I$9+AV151*Assumptions!$I$10+AX151*Assumptions!$I$11+AY151*Assumptions!$I$12,2),"")</f>
        <v>71.48</v>
      </c>
      <c r="BA151" s="0" t="str">
        <f aca="false">IF(AZ151="","",IF(AZ151&lt;=Assumptions!$I$18,"Below Expectation",IF(AZ151&lt;=Assumptions!$I$19,"Developing",IF(AZ151&lt;=Assumptions!$I$20,"Meets Expectation",IF(AZ151&lt;=Assumptions!$I$21,"Exceeds","Star Performer")))))</f>
        <v>Exceeds</v>
      </c>
      <c r="BB151" s="0" t="n">
        <f aca="false">IF(AZ151="",0,IF(AZ151&gt;=Assumptions!$I$26,1,0))</f>
        <v>1</v>
      </c>
      <c r="BC151" s="9" t="n">
        <f aca="false">IF(AL151="",2,AL151+2)</f>
        <v>4</v>
      </c>
      <c r="BD151" s="10" t="n">
        <f aca="false">IF(AM151="",ROUND(AVERAGE($AM$2:$AM$921),3),AM151)</f>
        <v>1.095</v>
      </c>
      <c r="BE151" s="9" t="n">
        <f aca="false">1-BD151</f>
        <v>-0.095</v>
      </c>
    </row>
    <row r="152" customFormat="false" ht="14.25" hidden="true" customHeight="false" outlineLevel="0" collapsed="false">
      <c r="A152" s="4" t="n">
        <v>93</v>
      </c>
      <c r="B152" s="5" t="n">
        <v>10026884</v>
      </c>
      <c r="C152" s="5" t="s">
        <v>666</v>
      </c>
      <c r="D152" s="5" t="s">
        <v>928</v>
      </c>
      <c r="E152" s="5" t="s">
        <v>841</v>
      </c>
      <c r="F152" s="5" t="s">
        <v>292</v>
      </c>
      <c r="G152" s="5" t="s">
        <v>293</v>
      </c>
      <c r="H152" s="5" t="s">
        <v>292</v>
      </c>
      <c r="I152" s="5" t="s">
        <v>63</v>
      </c>
      <c r="J152" s="5" t="s">
        <v>100</v>
      </c>
      <c r="K152" s="5" t="s">
        <v>65</v>
      </c>
      <c r="L152" s="6" t="n">
        <v>39531</v>
      </c>
      <c r="M152" s="5" t="s">
        <v>929</v>
      </c>
      <c r="N152" s="6" t="n">
        <v>28171</v>
      </c>
      <c r="O152" s="5" t="s">
        <v>122</v>
      </c>
      <c r="P152" s="5" t="s">
        <v>123</v>
      </c>
      <c r="Q152" s="5" t="s">
        <v>930</v>
      </c>
      <c r="R152" s="5" t="s">
        <v>458</v>
      </c>
      <c r="S152" s="5" t="s">
        <v>182</v>
      </c>
      <c r="T152" s="6"/>
      <c r="U152" s="6" t="n">
        <v>44562</v>
      </c>
      <c r="V152" s="5" t="s">
        <v>141</v>
      </c>
      <c r="W152" s="5" t="s">
        <v>141</v>
      </c>
      <c r="X152" s="5" t="s">
        <v>141</v>
      </c>
      <c r="Y152" s="5" t="s">
        <v>83</v>
      </c>
      <c r="Z152" s="5" t="s">
        <v>83</v>
      </c>
      <c r="AA152" s="5" t="s">
        <v>931</v>
      </c>
      <c r="AB152" s="0" t="n">
        <f aca="false">IFERROR(VALUE(R152),0)</f>
        <v>8.8</v>
      </c>
      <c r="AC152" s="0" t="n">
        <f aca="false">IFERROR(VALUE(M152),"")</f>
        <v>49.3</v>
      </c>
      <c r="AD152" s="0" t="n">
        <f aca="false">IFERROR(VALUE(Q152),"")</f>
        <v>18.2</v>
      </c>
      <c r="AE152" s="0" t="n">
        <f aca="false">IFERROR(VALUE(S152),"")</f>
        <v>26.1</v>
      </c>
      <c r="AF152" s="0" t="n">
        <f aca="false">IF(V152="","",VLOOKUP(V152,Assumptions!$B$6:$C$9,2,FALSE()))</f>
        <v>3</v>
      </c>
      <c r="AG152" s="0" t="n">
        <f aca="false">IF(W152="","",VLOOKUP(W152,Assumptions!$B$6:$C$9,2,FALSE()))</f>
        <v>3</v>
      </c>
      <c r="AH152" s="0" t="n">
        <f aca="false">IF(X152="","",VLOOKUP(X152,Assumptions!$B$6:$C$9,2,FALSE()))</f>
        <v>3</v>
      </c>
      <c r="AI152" s="0" t="n">
        <f aca="false">IF(Y152="","",VLOOKUP(Y152,Assumptions!$B$6:$C$9,2,FALSE()))</f>
        <v>4</v>
      </c>
      <c r="AJ152" s="0" t="n">
        <f aca="false">IF(Z152="","",VLOOKUP(Z152,Assumptions!$B$6:$C$9,2,FALSE()))</f>
        <v>4</v>
      </c>
      <c r="AK152" s="7" t="n">
        <f aca="false">IFERROR(ROUND(AVERAGE(AF152:AJ152),3),"")</f>
        <v>3.4</v>
      </c>
      <c r="AL152" s="7" t="n">
        <f aca="false">IF(OR(AF152="",AJ152=""),"",AJ152-AF152)</f>
        <v>1</v>
      </c>
      <c r="AM152" s="7" t="n">
        <f aca="false">IF(COUNT(AF152:AJ152)&gt;=2,ROUND(_xlfn.STDEV.S(AF152:AJ152),3),"")</f>
        <v>0.548</v>
      </c>
      <c r="AN152" s="7" t="n">
        <f aca="false">ROUND((IF(AF152="",0,AF152)*Assumptions!$F$15)+(IF(AG152="",0,AG152)*Assumptions!$F$16)+(IF(AH152="",0,AH152)*Assumptions!$F$17)+(IF(AI152="",0,AI152)*Assumptions!$F$18)+(IF(AJ152="",0,AJ152)*Assumptions!$F$19),3)</f>
        <v>3.55</v>
      </c>
      <c r="AO152" s="0" t="str">
        <f aca="false">IF(AC152&lt;=20,"",IF(AC152&lt;=Assumptions!$F$6,"20-30",IF(AC152&lt;=Assumptions!$F$7,"30-40",IF(AC152&lt;=Assumptions!$F$8,"40-50",IF(AC152&lt;=Assumptions!$F$9,"50-60",IF(AC152&lt;=Assumptions!$F$10,"60+",""))))))</f>
        <v>40-50</v>
      </c>
      <c r="AP152" s="0" t="str">
        <f aca="false">IFERROR(VLOOKUP(O152,Assumptions!$B$14:$C$26,2,FALSE()),"Other")</f>
        <v>Leadership</v>
      </c>
      <c r="AQ152" s="0" t="n">
        <f aca="false">IF(T152="",0,1)</f>
        <v>0</v>
      </c>
      <c r="AR152" s="0" t="n">
        <f aca="false">IF(U152="",0,1)</f>
        <v>1</v>
      </c>
      <c r="AS152" s="8" t="n">
        <f aca="false">IF(AK152="","",IF(MAX($AK$2:$AK$921)=MIN($AK$2:$AK$921),50,ROUND((AK152-MIN($AK$2:$AK$921))/(MAX($AK$2:$AK$921)-MIN($AK$2:$AK$921))*100,2)))</f>
        <v>74.28</v>
      </c>
      <c r="AT152" s="8" t="n">
        <f aca="false">IF(MAX($BC$2:$BC$921)=MIN($BC$2:$BC$921),50,ROUND((BC152-MIN($BC$2:$BC$921))/(MAX($BC$2:$BC$921)-MIN($BC$2:$BC$921))*100,2))</f>
        <v>75</v>
      </c>
      <c r="AU152" s="8" t="n">
        <f aca="false">IF(MAX($BE$2:$BE$921)=MIN($BE$2:$BE$921),50,ROUND((BE152-MIN($BE$2:$BE$921))/(MAX($BE$2:$BE$921)-MIN($BE$2:$BE$921))*100,2))</f>
        <v>68.36</v>
      </c>
      <c r="AV152" s="8" t="n">
        <f aca="false">IF(MAX($AD$2:$AD$921)=MIN($AD$2:$AD$921),50,ROUND((AD152-MIN($AD$2:$AD$921))/(MAX($AD$2:$AD$921)-MIN($AD$2:$AD$921))*100,2))</f>
        <v>49.17</v>
      </c>
      <c r="AW152" s="8" t="n">
        <f aca="false">IF(MAX($AN$2:$AN$921)=MIN($AN$2:$AN$921),50,ROUND((AN152-MIN($AN$2:$AN$921))/(MAX($AN$2:$AN$921)-MIN($AN$2:$AN$921))*100,2))</f>
        <v>88.75</v>
      </c>
      <c r="AX152" s="8" t="n">
        <f aca="false">AQ152*100</f>
        <v>0</v>
      </c>
      <c r="AY152" s="8" t="n">
        <f aca="false">AR152*100</f>
        <v>100</v>
      </c>
      <c r="AZ152" s="8" t="n">
        <f aca="false">IFERROR(ROUND(AS152*Assumptions!$I$6+AW152*Assumptions!$I$7+AT152*Assumptions!$I$8+AU152*Assumptions!$I$9+AV152*Assumptions!$I$10+AX152*Assumptions!$I$11+AY152*Assumptions!$I$12,2),"")</f>
        <v>71.46</v>
      </c>
      <c r="BA152" s="0" t="str">
        <f aca="false">IF(AZ152="","",IF(AZ152&lt;=Assumptions!$I$18,"Below Expectation",IF(AZ152&lt;=Assumptions!$I$19,"Developing",IF(AZ152&lt;=Assumptions!$I$20,"Meets Expectation",IF(AZ152&lt;=Assumptions!$I$21,"Exceeds","Star Performer")))))</f>
        <v>Exceeds</v>
      </c>
      <c r="BB152" s="0" t="n">
        <f aca="false">IF(AZ152="",0,IF(AZ152&gt;=Assumptions!$I$26,1,0))</f>
        <v>1</v>
      </c>
      <c r="BC152" s="9" t="n">
        <f aca="false">IF(AL152="",2,AL152+2)</f>
        <v>3</v>
      </c>
      <c r="BD152" s="10" t="n">
        <f aca="false">IF(AM152="",ROUND(AVERAGE($AM$2:$AM$921),3),AM152)</f>
        <v>0.548</v>
      </c>
      <c r="BE152" s="9" t="n">
        <f aca="false">1-BD152</f>
        <v>0.452</v>
      </c>
    </row>
    <row r="153" customFormat="false" ht="14.25" hidden="true" customHeight="false" outlineLevel="0" collapsed="false">
      <c r="A153" s="4" t="n">
        <v>296</v>
      </c>
      <c r="B153" s="5" t="n">
        <v>10070470</v>
      </c>
      <c r="C153" s="5" t="s">
        <v>666</v>
      </c>
      <c r="D153" s="5" t="s">
        <v>932</v>
      </c>
      <c r="E153" s="5" t="s">
        <v>668</v>
      </c>
      <c r="F153" s="5" t="s">
        <v>933</v>
      </c>
      <c r="G153" s="5" t="s">
        <v>934</v>
      </c>
      <c r="H153" s="5" t="s">
        <v>933</v>
      </c>
      <c r="I153" s="5" t="s">
        <v>63</v>
      </c>
      <c r="J153" s="5" t="s">
        <v>100</v>
      </c>
      <c r="K153" s="5" t="s">
        <v>65</v>
      </c>
      <c r="L153" s="6" t="n">
        <v>43745</v>
      </c>
      <c r="M153" s="5" t="s">
        <v>935</v>
      </c>
      <c r="N153" s="6" t="n">
        <v>30930</v>
      </c>
      <c r="O153" s="5" t="s">
        <v>332</v>
      </c>
      <c r="P153" s="5" t="s">
        <v>333</v>
      </c>
      <c r="Q153" s="5" t="s">
        <v>711</v>
      </c>
      <c r="R153" s="5" t="s">
        <v>458</v>
      </c>
      <c r="S153" s="5" t="s">
        <v>936</v>
      </c>
      <c r="T153" s="6"/>
      <c r="U153" s="6" t="n">
        <v>46113</v>
      </c>
      <c r="V153" s="5" t="s">
        <v>141</v>
      </c>
      <c r="W153" s="5" t="s">
        <v>83</v>
      </c>
      <c r="X153" s="5" t="s">
        <v>83</v>
      </c>
      <c r="Y153" s="5" t="s">
        <v>141</v>
      </c>
      <c r="Z153" s="5" t="s">
        <v>83</v>
      </c>
      <c r="AA153" s="5" t="s">
        <v>937</v>
      </c>
      <c r="AB153" s="0" t="n">
        <f aca="false">IFERROR(VALUE(R153),0)</f>
        <v>8.8</v>
      </c>
      <c r="AC153" s="0" t="n">
        <f aca="false">IFERROR(VALUE(M153),"")</f>
        <v>41.9</v>
      </c>
      <c r="AD153" s="0" t="n">
        <f aca="false">IFERROR(VALUE(Q153),"")</f>
        <v>6.8</v>
      </c>
      <c r="AE153" s="0" t="n">
        <f aca="false">IFERROR(VALUE(S153),"")</f>
        <v>15.4</v>
      </c>
      <c r="AF153" s="0" t="n">
        <f aca="false">IF(V153="","",VLOOKUP(V153,Assumptions!$B$6:$C$9,2,FALSE()))</f>
        <v>3</v>
      </c>
      <c r="AG153" s="0" t="n">
        <f aca="false">IF(W153="","",VLOOKUP(W153,Assumptions!$B$6:$C$9,2,FALSE()))</f>
        <v>4</v>
      </c>
      <c r="AH153" s="0" t="n">
        <f aca="false">IF(X153="","",VLOOKUP(X153,Assumptions!$B$6:$C$9,2,FALSE()))</f>
        <v>4</v>
      </c>
      <c r="AI153" s="0" t="n">
        <f aca="false">IF(Y153="","",VLOOKUP(Y153,Assumptions!$B$6:$C$9,2,FALSE()))</f>
        <v>3</v>
      </c>
      <c r="AJ153" s="0" t="n">
        <f aca="false">IF(Z153="","",VLOOKUP(Z153,Assumptions!$B$6:$C$9,2,FALSE()))</f>
        <v>4</v>
      </c>
      <c r="AK153" s="7" t="n">
        <f aca="false">IFERROR(ROUND(AVERAGE(AF153:AJ153),3),"")</f>
        <v>3.6</v>
      </c>
      <c r="AL153" s="7" t="n">
        <f aca="false">IF(OR(AF153="",AJ153=""),"",AJ153-AF153)</f>
        <v>1</v>
      </c>
      <c r="AM153" s="7" t="n">
        <f aca="false">IF(COUNT(AF153:AJ153)&gt;=2,ROUND(_xlfn.STDEV.S(AF153:AJ153),3),"")</f>
        <v>0.548</v>
      </c>
      <c r="AN153" s="7" t="n">
        <f aca="false">ROUND((IF(AF153="",0,AF153)*Assumptions!$F$15)+(IF(AG153="",0,AG153)*Assumptions!$F$16)+(IF(AH153="",0,AH153)*Assumptions!$F$17)+(IF(AI153="",0,AI153)*Assumptions!$F$18)+(IF(AJ153="",0,AJ153)*Assumptions!$F$19),3)</f>
        <v>3.65</v>
      </c>
      <c r="AO153" s="0" t="str">
        <f aca="false">IF(AC153&lt;=20,"",IF(AC153&lt;=Assumptions!$F$6,"20-30",IF(AC153&lt;=Assumptions!$F$7,"30-40",IF(AC153&lt;=Assumptions!$F$8,"40-50",IF(AC153&lt;=Assumptions!$F$9,"50-60",IF(AC153&lt;=Assumptions!$F$10,"60+",""))))))</f>
        <v>40-50</v>
      </c>
      <c r="AP153" s="0" t="str">
        <f aca="false">IFERROR(VLOOKUP(O153,Assumptions!$B$14:$C$26,2,FALSE()),"Other")</f>
        <v>Manager</v>
      </c>
      <c r="AQ153" s="0" t="n">
        <f aca="false">IF(T153="",0,1)</f>
        <v>0</v>
      </c>
      <c r="AR153" s="0" t="n">
        <f aca="false">IF(U153="",0,1)</f>
        <v>1</v>
      </c>
      <c r="AS153" s="8" t="n">
        <f aca="false">IF(AK153="","",IF(MAX($AK$2:$AK$921)=MIN($AK$2:$AK$921),50,ROUND((AK153-MIN($AK$2:$AK$921))/(MAX($AK$2:$AK$921)-MIN($AK$2:$AK$921))*100,2)))</f>
        <v>82.85</v>
      </c>
      <c r="AT153" s="8" t="n">
        <f aca="false">IF(MAX($BC$2:$BC$921)=MIN($BC$2:$BC$921),50,ROUND((BC153-MIN($BC$2:$BC$921))/(MAX($BC$2:$BC$921)-MIN($BC$2:$BC$921))*100,2))</f>
        <v>75</v>
      </c>
      <c r="AU153" s="8" t="n">
        <f aca="false">IF(MAX($BE$2:$BE$921)=MIN($BE$2:$BE$921),50,ROUND((BE153-MIN($BE$2:$BE$921))/(MAX($BE$2:$BE$921)-MIN($BE$2:$BE$921))*100,2))</f>
        <v>68.36</v>
      </c>
      <c r="AV153" s="8" t="n">
        <f aca="false">IF(MAX($AD$2:$AD$921)=MIN($AD$2:$AD$921),50,ROUND((AD153-MIN($AD$2:$AD$921))/(MAX($AD$2:$AD$921)-MIN($AD$2:$AD$921))*100,2))</f>
        <v>18.18</v>
      </c>
      <c r="AW153" s="8" t="n">
        <f aca="false">IF(MAX($AN$2:$AN$921)=MIN($AN$2:$AN$921),50,ROUND((AN153-MIN($AN$2:$AN$921))/(MAX($AN$2:$AN$921)-MIN($AN$2:$AN$921))*100,2))</f>
        <v>91.25</v>
      </c>
      <c r="AX153" s="8" t="n">
        <f aca="false">AQ153*100</f>
        <v>0</v>
      </c>
      <c r="AY153" s="8" t="n">
        <f aca="false">AR153*100</f>
        <v>100</v>
      </c>
      <c r="AZ153" s="8" t="n">
        <f aca="false">IFERROR(ROUND(AS153*Assumptions!$I$6+AW153*Assumptions!$I$7+AT153*Assumptions!$I$8+AU153*Assumptions!$I$9+AV153*Assumptions!$I$10+AX153*Assumptions!$I$11+AY153*Assumptions!$I$12,2),"")</f>
        <v>71.43</v>
      </c>
      <c r="BA153" s="0" t="str">
        <f aca="false">IF(AZ153="","",IF(AZ153&lt;=Assumptions!$I$18,"Below Expectation",IF(AZ153&lt;=Assumptions!$I$19,"Developing",IF(AZ153&lt;=Assumptions!$I$20,"Meets Expectation",IF(AZ153&lt;=Assumptions!$I$21,"Exceeds","Star Performer")))))</f>
        <v>Exceeds</v>
      </c>
      <c r="BB153" s="0" t="n">
        <f aca="false">IF(AZ153="",0,IF(AZ153&gt;=Assumptions!$I$26,1,0))</f>
        <v>1</v>
      </c>
      <c r="BC153" s="9" t="n">
        <f aca="false">IF(AL153="",2,AL153+2)</f>
        <v>3</v>
      </c>
      <c r="BD153" s="10" t="n">
        <f aca="false">IF(AM153="",ROUND(AVERAGE($AM$2:$AM$921),3),AM153)</f>
        <v>0.548</v>
      </c>
      <c r="BE153" s="9" t="n">
        <f aca="false">1-BD153</f>
        <v>0.452</v>
      </c>
    </row>
    <row r="154" customFormat="false" ht="14.25" hidden="true" customHeight="false" outlineLevel="0" collapsed="false">
      <c r="A154" s="4" t="n">
        <v>100</v>
      </c>
      <c r="B154" s="5" t="n">
        <v>10027187</v>
      </c>
      <c r="C154" s="5" t="s">
        <v>57</v>
      </c>
      <c r="D154" s="5" t="s">
        <v>938</v>
      </c>
      <c r="E154" s="5" t="s">
        <v>252</v>
      </c>
      <c r="F154" s="5" t="s">
        <v>209</v>
      </c>
      <c r="G154" s="5" t="s">
        <v>210</v>
      </c>
      <c r="H154" s="5" t="s">
        <v>209</v>
      </c>
      <c r="I154" s="5" t="s">
        <v>63</v>
      </c>
      <c r="J154" s="5" t="s">
        <v>100</v>
      </c>
      <c r="K154" s="5" t="s">
        <v>65</v>
      </c>
      <c r="L154" s="6" t="n">
        <v>39560</v>
      </c>
      <c r="M154" s="5" t="s">
        <v>939</v>
      </c>
      <c r="N154" s="6" t="n">
        <v>27301</v>
      </c>
      <c r="O154" s="5" t="s">
        <v>162</v>
      </c>
      <c r="P154" s="5" t="s">
        <v>162</v>
      </c>
      <c r="Q154" s="5" t="s">
        <v>471</v>
      </c>
      <c r="R154" s="5" t="s">
        <v>940</v>
      </c>
      <c r="S154" s="5" t="s">
        <v>941</v>
      </c>
      <c r="T154" s="6" t="n">
        <v>40634</v>
      </c>
      <c r="U154" s="6" t="n">
        <v>45748</v>
      </c>
      <c r="V154" s="5" t="s">
        <v>83</v>
      </c>
      <c r="W154" s="5" t="s">
        <v>83</v>
      </c>
      <c r="X154" s="5" t="s">
        <v>141</v>
      </c>
      <c r="Y154" s="5" t="s">
        <v>83</v>
      </c>
      <c r="Z154" s="5" t="s">
        <v>141</v>
      </c>
      <c r="AA154" s="5" t="s">
        <v>942</v>
      </c>
      <c r="AB154" s="0" t="n">
        <f aca="false">IFERROR(VALUE(R154),0)</f>
        <v>7.1</v>
      </c>
      <c r="AC154" s="0" t="n">
        <f aca="false">IFERROR(VALUE(M154),"")</f>
        <v>51.8</v>
      </c>
      <c r="AD154" s="0" t="n">
        <f aca="false">IFERROR(VALUE(Q154),"")</f>
        <v>18.1</v>
      </c>
      <c r="AE154" s="0" t="n">
        <f aca="false">IFERROR(VALUE(S154),"")</f>
        <v>25.11</v>
      </c>
      <c r="AF154" s="0" t="n">
        <f aca="false">IF(V154="","",VLOOKUP(V154,Assumptions!$B$6:$C$9,2,FALSE()))</f>
        <v>4</v>
      </c>
      <c r="AG154" s="0" t="n">
        <f aca="false">IF(W154="","",VLOOKUP(W154,Assumptions!$B$6:$C$9,2,FALSE()))</f>
        <v>4</v>
      </c>
      <c r="AH154" s="0" t="n">
        <f aca="false">IF(X154="","",VLOOKUP(X154,Assumptions!$B$6:$C$9,2,FALSE()))</f>
        <v>3</v>
      </c>
      <c r="AI154" s="0" t="n">
        <f aca="false">IF(Y154="","",VLOOKUP(Y154,Assumptions!$B$6:$C$9,2,FALSE()))</f>
        <v>4</v>
      </c>
      <c r="AJ154" s="0" t="n">
        <f aca="false">IF(Z154="","",VLOOKUP(Z154,Assumptions!$B$6:$C$9,2,FALSE()))</f>
        <v>3</v>
      </c>
      <c r="AK154" s="7" t="n">
        <f aca="false">IFERROR(ROUND(AVERAGE(AF154:AJ154),3),"")</f>
        <v>3.6</v>
      </c>
      <c r="AL154" s="7" t="n">
        <f aca="false">IF(OR(AF154="",AJ154=""),"",AJ154-AF154)</f>
        <v>-1</v>
      </c>
      <c r="AM154" s="7" t="n">
        <f aca="false">IF(COUNT(AF154:AJ154)&gt;=2,ROUND(_xlfn.STDEV.S(AF154:AJ154),3),"")</f>
        <v>0.548</v>
      </c>
      <c r="AN154" s="7" t="n">
        <f aca="false">ROUND((IF(AF154="",0,AF154)*Assumptions!$F$15)+(IF(AG154="",0,AG154)*Assumptions!$F$16)+(IF(AH154="",0,AH154)*Assumptions!$F$17)+(IF(AI154="",0,AI154)*Assumptions!$F$18)+(IF(AJ154="",0,AJ154)*Assumptions!$F$19),3)</f>
        <v>3.5</v>
      </c>
      <c r="AO154" s="0" t="str">
        <f aca="false">IF(AC154&lt;=20,"",IF(AC154&lt;=Assumptions!$F$6,"20-30",IF(AC154&lt;=Assumptions!$F$7,"30-40",IF(AC154&lt;=Assumptions!$F$8,"40-50",IF(AC154&lt;=Assumptions!$F$9,"50-60",IF(AC154&lt;=Assumptions!$F$10,"60+",""))))))</f>
        <v>50-60</v>
      </c>
      <c r="AP154" s="0" t="str">
        <f aca="false">IFERROR(VLOOKUP(O154,Assumptions!$B$14:$C$26,2,FALSE()),"Other")</f>
        <v>Manager</v>
      </c>
      <c r="AQ154" s="0" t="n">
        <f aca="false">IF(T154="",0,1)</f>
        <v>1</v>
      </c>
      <c r="AR154" s="0" t="n">
        <f aca="false">IF(U154="",0,1)</f>
        <v>1</v>
      </c>
      <c r="AS154" s="8" t="n">
        <f aca="false">IF(AK154="","",IF(MAX($AK$2:$AK$921)=MIN($AK$2:$AK$921),50,ROUND((AK154-MIN($AK$2:$AK$921))/(MAX($AK$2:$AK$921)-MIN($AK$2:$AK$921))*100,2)))</f>
        <v>82.85</v>
      </c>
      <c r="AT154" s="8" t="n">
        <f aca="false">IF(MAX($BC$2:$BC$921)=MIN($BC$2:$BC$921),50,ROUND((BC154-MIN($BC$2:$BC$921))/(MAX($BC$2:$BC$921)-MIN($BC$2:$BC$921))*100,2))</f>
        <v>25</v>
      </c>
      <c r="AU154" s="8" t="n">
        <f aca="false">IF(MAX($BE$2:$BE$921)=MIN($BE$2:$BE$921),50,ROUND((BE154-MIN($BE$2:$BE$921))/(MAX($BE$2:$BE$921)-MIN($BE$2:$BE$921))*100,2))</f>
        <v>68.36</v>
      </c>
      <c r="AV154" s="8" t="n">
        <f aca="false">IF(MAX($AD$2:$AD$921)=MIN($AD$2:$AD$921),50,ROUND((AD154-MIN($AD$2:$AD$921))/(MAX($AD$2:$AD$921)-MIN($AD$2:$AD$921))*100,2))</f>
        <v>48.9</v>
      </c>
      <c r="AW154" s="8" t="n">
        <f aca="false">IF(MAX($AN$2:$AN$921)=MIN($AN$2:$AN$921),50,ROUND((AN154-MIN($AN$2:$AN$921))/(MAX($AN$2:$AN$921)-MIN($AN$2:$AN$921))*100,2))</f>
        <v>87.5</v>
      </c>
      <c r="AX154" s="8" t="n">
        <f aca="false">AQ154*100</f>
        <v>100</v>
      </c>
      <c r="AY154" s="8" t="n">
        <f aca="false">AR154*100</f>
        <v>100</v>
      </c>
      <c r="AZ154" s="8" t="n">
        <f aca="false">IFERROR(ROUND(AS154*Assumptions!$I$6+AW154*Assumptions!$I$7+AT154*Assumptions!$I$8+AU154*Assumptions!$I$9+AV154*Assumptions!$I$10+AX154*Assumptions!$I$11+AY154*Assumptions!$I$12,2),"")</f>
        <v>71.25</v>
      </c>
      <c r="BA154" s="0" t="str">
        <f aca="false">IF(AZ154="","",IF(AZ154&lt;=Assumptions!$I$18,"Below Expectation",IF(AZ154&lt;=Assumptions!$I$19,"Developing",IF(AZ154&lt;=Assumptions!$I$20,"Meets Expectation",IF(AZ154&lt;=Assumptions!$I$21,"Exceeds","Star Performer")))))</f>
        <v>Exceeds</v>
      </c>
      <c r="BB154" s="0" t="n">
        <f aca="false">IF(AZ154="",0,IF(AZ154&gt;=Assumptions!$I$26,1,0))</f>
        <v>1</v>
      </c>
      <c r="BC154" s="9" t="n">
        <f aca="false">IF(AL154="",2,AL154+2)</f>
        <v>1</v>
      </c>
      <c r="BD154" s="10" t="n">
        <f aca="false">IF(AM154="",ROUND(AVERAGE($AM$2:$AM$921),3),AM154)</f>
        <v>0.548</v>
      </c>
      <c r="BE154" s="9" t="n">
        <f aca="false">1-BD154</f>
        <v>0.452</v>
      </c>
    </row>
    <row r="155" customFormat="false" ht="14.25" hidden="true" customHeight="false" outlineLevel="0" collapsed="false">
      <c r="A155" s="4" t="n">
        <v>265</v>
      </c>
      <c r="B155" s="5" t="n">
        <v>10067487</v>
      </c>
      <c r="C155" s="5" t="s">
        <v>57</v>
      </c>
      <c r="D155" s="5" t="s">
        <v>943</v>
      </c>
      <c r="E155" s="5" t="s">
        <v>252</v>
      </c>
      <c r="F155" s="5" t="s">
        <v>608</v>
      </c>
      <c r="G155" s="5" t="s">
        <v>609</v>
      </c>
      <c r="H155" s="5" t="s">
        <v>608</v>
      </c>
      <c r="I155" s="5" t="s">
        <v>63</v>
      </c>
      <c r="J155" s="5" t="s">
        <v>100</v>
      </c>
      <c r="K155" s="5" t="s">
        <v>65</v>
      </c>
      <c r="L155" s="6" t="n">
        <v>43543</v>
      </c>
      <c r="M155" s="5" t="s">
        <v>944</v>
      </c>
      <c r="N155" s="6" t="n">
        <v>32627</v>
      </c>
      <c r="O155" s="5" t="s">
        <v>365</v>
      </c>
      <c r="P155" s="5" t="s">
        <v>365</v>
      </c>
      <c r="Q155" s="5" t="s">
        <v>541</v>
      </c>
      <c r="R155" s="5" t="s">
        <v>567</v>
      </c>
      <c r="S155" s="5" t="s">
        <v>516</v>
      </c>
      <c r="T155" s="6"/>
      <c r="U155" s="6"/>
      <c r="V155" s="5" t="s">
        <v>141</v>
      </c>
      <c r="W155" s="5" t="s">
        <v>83</v>
      </c>
      <c r="X155" s="5" t="s">
        <v>83</v>
      </c>
      <c r="Y155" s="5" t="s">
        <v>83</v>
      </c>
      <c r="Z155" s="5" t="s">
        <v>83</v>
      </c>
      <c r="AA155" s="5" t="s">
        <v>945</v>
      </c>
      <c r="AB155" s="0" t="n">
        <f aca="false">IFERROR(VALUE(R155),0)</f>
        <v>8</v>
      </c>
      <c r="AC155" s="0" t="n">
        <f aca="false">IFERROR(VALUE(M155),"")</f>
        <v>37.1</v>
      </c>
      <c r="AD155" s="0" t="n">
        <f aca="false">IFERROR(VALUE(Q155),"")</f>
        <v>7.2</v>
      </c>
      <c r="AE155" s="0" t="n">
        <f aca="false">IFERROR(VALUE(S155),"")</f>
        <v>15.2</v>
      </c>
      <c r="AF155" s="0" t="n">
        <f aca="false">IF(V155="","",VLOOKUP(V155,Assumptions!$B$6:$C$9,2,FALSE()))</f>
        <v>3</v>
      </c>
      <c r="AG155" s="0" t="n">
        <f aca="false">IF(W155="","",VLOOKUP(W155,Assumptions!$B$6:$C$9,2,FALSE()))</f>
        <v>4</v>
      </c>
      <c r="AH155" s="0" t="n">
        <f aca="false">IF(X155="","",VLOOKUP(X155,Assumptions!$B$6:$C$9,2,FALSE()))</f>
        <v>4</v>
      </c>
      <c r="AI155" s="0" t="n">
        <f aca="false">IF(Y155="","",VLOOKUP(Y155,Assumptions!$B$6:$C$9,2,FALSE()))</f>
        <v>4</v>
      </c>
      <c r="AJ155" s="0" t="n">
        <f aca="false">IF(Z155="","",VLOOKUP(Z155,Assumptions!$B$6:$C$9,2,FALSE()))</f>
        <v>4</v>
      </c>
      <c r="AK155" s="7" t="n">
        <f aca="false">IFERROR(ROUND(AVERAGE(AF155:AJ155),3),"")</f>
        <v>3.8</v>
      </c>
      <c r="AL155" s="7" t="n">
        <f aca="false">IF(OR(AF155="",AJ155=""),"",AJ155-AF155)</f>
        <v>1</v>
      </c>
      <c r="AM155" s="7" t="n">
        <f aca="false">IF(COUNT(AF155:AJ155)&gt;=2,ROUND(_xlfn.STDEV.S(AF155:AJ155),3),"")</f>
        <v>0.447</v>
      </c>
      <c r="AN155" s="7" t="n">
        <f aca="false">ROUND((IF(AF155="",0,AF155)*Assumptions!$F$15)+(IF(AG155="",0,AG155)*Assumptions!$F$16)+(IF(AH155="",0,AH155)*Assumptions!$F$17)+(IF(AI155="",0,AI155)*Assumptions!$F$18)+(IF(AJ155="",0,AJ155)*Assumptions!$F$19),3)</f>
        <v>3.9</v>
      </c>
      <c r="AO155" s="0" t="str">
        <f aca="false">IF(AC155&lt;=20,"",IF(AC155&lt;=Assumptions!$F$6,"20-30",IF(AC155&lt;=Assumptions!$F$7,"30-40",IF(AC155&lt;=Assumptions!$F$8,"40-50",IF(AC155&lt;=Assumptions!$F$9,"50-60",IF(AC155&lt;=Assumptions!$F$10,"60+",""))))))</f>
        <v>30-40</v>
      </c>
      <c r="AP155" s="0" t="str">
        <f aca="false">IFERROR(VLOOKUP(O155,Assumptions!$B$14:$C$26,2,FALSE()),"Other")</f>
        <v>Manager</v>
      </c>
      <c r="AQ155" s="0" t="n">
        <f aca="false">IF(T155="",0,1)</f>
        <v>0</v>
      </c>
      <c r="AR155" s="0" t="n">
        <f aca="false">IF(U155="",0,1)</f>
        <v>0</v>
      </c>
      <c r="AS155" s="8" t="n">
        <f aca="false">IF(AK155="","",IF(MAX($AK$2:$AK$921)=MIN($AK$2:$AK$921),50,ROUND((AK155-MIN($AK$2:$AK$921))/(MAX($AK$2:$AK$921)-MIN($AK$2:$AK$921))*100,2)))</f>
        <v>91.43</v>
      </c>
      <c r="AT155" s="8" t="n">
        <f aca="false">IF(MAX($BC$2:$BC$921)=MIN($BC$2:$BC$921),50,ROUND((BC155-MIN($BC$2:$BC$921))/(MAX($BC$2:$BC$921)-MIN($BC$2:$BC$921))*100,2))</f>
        <v>75</v>
      </c>
      <c r="AU155" s="8" t="n">
        <f aca="false">IF(MAX($BE$2:$BE$921)=MIN($BE$2:$BE$921),50,ROUND((BE155-MIN($BE$2:$BE$921))/(MAX($BE$2:$BE$921)-MIN($BE$2:$BE$921))*100,2))</f>
        <v>74.19</v>
      </c>
      <c r="AV155" s="8" t="n">
        <f aca="false">IF(MAX($AD$2:$AD$921)=MIN($AD$2:$AD$921),50,ROUND((AD155-MIN($AD$2:$AD$921))/(MAX($AD$2:$AD$921)-MIN($AD$2:$AD$921))*100,2))</f>
        <v>19.27</v>
      </c>
      <c r="AW155" s="8" t="n">
        <f aca="false">IF(MAX($AN$2:$AN$921)=MIN($AN$2:$AN$921),50,ROUND((AN155-MIN($AN$2:$AN$921))/(MAX($AN$2:$AN$921)-MIN($AN$2:$AN$921))*100,2))</f>
        <v>97.5</v>
      </c>
      <c r="AX155" s="8" t="n">
        <f aca="false">AQ155*100</f>
        <v>0</v>
      </c>
      <c r="AY155" s="8" t="n">
        <f aca="false">AR155*100</f>
        <v>0</v>
      </c>
      <c r="AZ155" s="8" t="n">
        <f aca="false">IFERROR(ROUND(AS155*Assumptions!$I$6+AW155*Assumptions!$I$7+AT155*Assumptions!$I$8+AU155*Assumptions!$I$9+AV155*Assumptions!$I$10+AX155*Assumptions!$I$11+AY155*Assumptions!$I$12,2),"")</f>
        <v>71.23</v>
      </c>
      <c r="BA155" s="0" t="str">
        <f aca="false">IF(AZ155="","",IF(AZ155&lt;=Assumptions!$I$18,"Below Expectation",IF(AZ155&lt;=Assumptions!$I$19,"Developing",IF(AZ155&lt;=Assumptions!$I$20,"Meets Expectation",IF(AZ155&lt;=Assumptions!$I$21,"Exceeds","Star Performer")))))</f>
        <v>Exceeds</v>
      </c>
      <c r="BB155" s="0" t="n">
        <f aca="false">IF(AZ155="",0,IF(AZ155&gt;=Assumptions!$I$26,1,0))</f>
        <v>1</v>
      </c>
      <c r="BC155" s="9" t="n">
        <f aca="false">IF(AL155="",2,AL155+2)</f>
        <v>3</v>
      </c>
      <c r="BD155" s="10" t="n">
        <f aca="false">IF(AM155="",ROUND(AVERAGE($AM$2:$AM$921),3),AM155)</f>
        <v>0.447</v>
      </c>
      <c r="BE155" s="9" t="n">
        <f aca="false">1-BD155</f>
        <v>0.553</v>
      </c>
    </row>
    <row r="156" customFormat="false" ht="14.25" hidden="true" customHeight="false" outlineLevel="0" collapsed="false">
      <c r="A156" s="4" t="n">
        <v>54</v>
      </c>
      <c r="B156" s="5" t="n">
        <v>10014124</v>
      </c>
      <c r="C156" s="5" t="s">
        <v>57</v>
      </c>
      <c r="D156" s="5" t="s">
        <v>946</v>
      </c>
      <c r="E156" s="5" t="s">
        <v>947</v>
      </c>
      <c r="F156" s="5" t="s">
        <v>387</v>
      </c>
      <c r="G156" s="5" t="s">
        <v>388</v>
      </c>
      <c r="H156" s="5" t="s">
        <v>387</v>
      </c>
      <c r="I156" s="5" t="s">
        <v>63</v>
      </c>
      <c r="J156" s="5" t="s">
        <v>100</v>
      </c>
      <c r="K156" s="5" t="s">
        <v>65</v>
      </c>
      <c r="L156" s="6" t="n">
        <v>38870</v>
      </c>
      <c r="M156" s="5" t="s">
        <v>316</v>
      </c>
      <c r="N156" s="6" t="n">
        <v>29081</v>
      </c>
      <c r="O156" s="5" t="s">
        <v>262</v>
      </c>
      <c r="P156" s="5" t="s">
        <v>263</v>
      </c>
      <c r="Q156" s="5" t="s">
        <v>671</v>
      </c>
      <c r="R156" s="5" t="s">
        <v>382</v>
      </c>
      <c r="S156" s="5" t="s">
        <v>230</v>
      </c>
      <c r="T156" s="6"/>
      <c r="U156" s="6" t="n">
        <v>45748</v>
      </c>
      <c r="V156" s="5" t="s">
        <v>83</v>
      </c>
      <c r="W156" s="5" t="s">
        <v>83</v>
      </c>
      <c r="X156" s="5" t="s">
        <v>83</v>
      </c>
      <c r="Y156" s="5" t="s">
        <v>83</v>
      </c>
      <c r="Z156" s="5" t="s">
        <v>141</v>
      </c>
      <c r="AA156" s="5" t="s">
        <v>948</v>
      </c>
      <c r="AB156" s="0" t="n">
        <f aca="false">IFERROR(VALUE(R156),0)</f>
        <v>5.4</v>
      </c>
      <c r="AC156" s="0" t="n">
        <f aca="false">IFERROR(VALUE(M156),"")</f>
        <v>46.9</v>
      </c>
      <c r="AD156" s="0" t="n">
        <f aca="false">IFERROR(VALUE(Q156),"")</f>
        <v>20</v>
      </c>
      <c r="AE156" s="0" t="n">
        <f aca="false">IFERROR(VALUE(S156),"")</f>
        <v>25.4</v>
      </c>
      <c r="AF156" s="0" t="n">
        <f aca="false">IF(V156="","",VLOOKUP(V156,Assumptions!$B$6:$C$9,2,FALSE()))</f>
        <v>4</v>
      </c>
      <c r="AG156" s="0" t="n">
        <f aca="false">IF(W156="","",VLOOKUP(W156,Assumptions!$B$6:$C$9,2,FALSE()))</f>
        <v>4</v>
      </c>
      <c r="AH156" s="0" t="n">
        <f aca="false">IF(X156="","",VLOOKUP(X156,Assumptions!$B$6:$C$9,2,FALSE()))</f>
        <v>4</v>
      </c>
      <c r="AI156" s="0" t="n">
        <f aca="false">IF(Y156="","",VLOOKUP(Y156,Assumptions!$B$6:$C$9,2,FALSE()))</f>
        <v>4</v>
      </c>
      <c r="AJ156" s="0" t="n">
        <f aca="false">IF(Z156="","",VLOOKUP(Z156,Assumptions!$B$6:$C$9,2,FALSE()))</f>
        <v>3</v>
      </c>
      <c r="AK156" s="7" t="n">
        <f aca="false">IFERROR(ROUND(AVERAGE(AF156:AJ156),3),"")</f>
        <v>3.8</v>
      </c>
      <c r="AL156" s="7" t="n">
        <f aca="false">IF(OR(AF156="",AJ156=""),"",AJ156-AF156)</f>
        <v>-1</v>
      </c>
      <c r="AM156" s="7" t="n">
        <f aca="false">IF(COUNT(AF156:AJ156)&gt;=2,ROUND(_xlfn.STDEV.S(AF156:AJ156),3),"")</f>
        <v>0.447</v>
      </c>
      <c r="AN156" s="7" t="n">
        <f aca="false">ROUND((IF(AF156="",0,AF156)*Assumptions!$F$15)+(IF(AG156="",0,AG156)*Assumptions!$F$16)+(IF(AH156="",0,AH156)*Assumptions!$F$17)+(IF(AI156="",0,AI156)*Assumptions!$F$18)+(IF(AJ156="",0,AJ156)*Assumptions!$F$19),3)</f>
        <v>3.7</v>
      </c>
      <c r="AO156" s="0" t="str">
        <f aca="false">IF(AC156&lt;=20,"",IF(AC156&lt;=Assumptions!$F$6,"20-30",IF(AC156&lt;=Assumptions!$F$7,"30-40",IF(AC156&lt;=Assumptions!$F$8,"40-50",IF(AC156&lt;=Assumptions!$F$9,"50-60",IF(AC156&lt;=Assumptions!$F$10,"60+",""))))))</f>
        <v>40-50</v>
      </c>
      <c r="AP156" s="0" t="str">
        <f aca="false">IFERROR(VLOOKUP(O156,Assumptions!$B$14:$C$26,2,FALSE()),"Other")</f>
        <v>Manager</v>
      </c>
      <c r="AQ156" s="0" t="n">
        <f aca="false">IF(T156="",0,1)</f>
        <v>0</v>
      </c>
      <c r="AR156" s="0" t="n">
        <f aca="false">IF(U156="",0,1)</f>
        <v>1</v>
      </c>
      <c r="AS156" s="8" t="n">
        <f aca="false">IF(AK156="","",IF(MAX($AK$2:$AK$921)=MIN($AK$2:$AK$921),50,ROUND((AK156-MIN($AK$2:$AK$921))/(MAX($AK$2:$AK$921)-MIN($AK$2:$AK$921))*100,2)))</f>
        <v>91.43</v>
      </c>
      <c r="AT156" s="8" t="n">
        <f aca="false">IF(MAX($BC$2:$BC$921)=MIN($BC$2:$BC$921),50,ROUND((BC156-MIN($BC$2:$BC$921))/(MAX($BC$2:$BC$921)-MIN($BC$2:$BC$921))*100,2))</f>
        <v>25</v>
      </c>
      <c r="AU156" s="8" t="n">
        <f aca="false">IF(MAX($BE$2:$BE$921)=MIN($BE$2:$BE$921),50,ROUND((BE156-MIN($BE$2:$BE$921))/(MAX($BE$2:$BE$921)-MIN($BE$2:$BE$921))*100,2))</f>
        <v>74.19</v>
      </c>
      <c r="AV156" s="8" t="n">
        <f aca="false">IF(MAX($AD$2:$AD$921)=MIN($AD$2:$AD$921),50,ROUND((AD156-MIN($AD$2:$AD$921))/(MAX($AD$2:$AD$921)-MIN($AD$2:$AD$921))*100,2))</f>
        <v>54.06</v>
      </c>
      <c r="AW156" s="8" t="n">
        <f aca="false">IF(MAX($AN$2:$AN$921)=MIN($AN$2:$AN$921),50,ROUND((AN156-MIN($AN$2:$AN$921))/(MAX($AN$2:$AN$921)-MIN($AN$2:$AN$921))*100,2))</f>
        <v>92.5</v>
      </c>
      <c r="AX156" s="8" t="n">
        <f aca="false">AQ156*100</f>
        <v>0</v>
      </c>
      <c r="AY156" s="8" t="n">
        <f aca="false">AR156*100</f>
        <v>100</v>
      </c>
      <c r="AZ156" s="8" t="n">
        <f aca="false">IFERROR(ROUND(AS156*Assumptions!$I$6+AW156*Assumptions!$I$7+AT156*Assumptions!$I$8+AU156*Assumptions!$I$9+AV156*Assumptions!$I$10+AX156*Assumptions!$I$11+AY156*Assumptions!$I$12,2),"")</f>
        <v>71.21</v>
      </c>
      <c r="BA156" s="0" t="str">
        <f aca="false">IF(AZ156="","",IF(AZ156&lt;=Assumptions!$I$18,"Below Expectation",IF(AZ156&lt;=Assumptions!$I$19,"Developing",IF(AZ156&lt;=Assumptions!$I$20,"Meets Expectation",IF(AZ156&lt;=Assumptions!$I$21,"Exceeds","Star Performer")))))</f>
        <v>Exceeds</v>
      </c>
      <c r="BB156" s="0" t="n">
        <f aca="false">IF(AZ156="",0,IF(AZ156&gt;=Assumptions!$I$26,1,0))</f>
        <v>1</v>
      </c>
      <c r="BC156" s="9" t="n">
        <f aca="false">IF(AL156="",2,AL156+2)</f>
        <v>1</v>
      </c>
      <c r="BD156" s="10" t="n">
        <f aca="false">IF(AM156="",ROUND(AVERAGE($AM$2:$AM$921),3),AM156)</f>
        <v>0.447</v>
      </c>
      <c r="BE156" s="9" t="n">
        <f aca="false">1-BD156</f>
        <v>0.553</v>
      </c>
    </row>
    <row r="157" customFormat="false" ht="14.25" hidden="true" customHeight="false" outlineLevel="0" collapsed="false">
      <c r="A157" s="4" t="n">
        <v>16</v>
      </c>
      <c r="B157" s="5" t="n">
        <v>418001</v>
      </c>
      <c r="C157" s="5" t="s">
        <v>106</v>
      </c>
      <c r="D157" s="5" t="s">
        <v>949</v>
      </c>
      <c r="E157" s="5" t="s">
        <v>950</v>
      </c>
      <c r="F157" s="5" t="s">
        <v>951</v>
      </c>
      <c r="G157" s="5" t="s">
        <v>952</v>
      </c>
      <c r="H157" s="5" t="s">
        <v>953</v>
      </c>
      <c r="I157" s="5" t="s">
        <v>63</v>
      </c>
      <c r="J157" s="5" t="s">
        <v>112</v>
      </c>
      <c r="K157" s="5" t="s">
        <v>65</v>
      </c>
      <c r="L157" s="6" t="n">
        <v>33147</v>
      </c>
      <c r="M157" s="5" t="s">
        <v>954</v>
      </c>
      <c r="N157" s="6" t="n">
        <v>20932</v>
      </c>
      <c r="O157" s="5" t="s">
        <v>955</v>
      </c>
      <c r="P157" s="5" t="s">
        <v>955</v>
      </c>
      <c r="Q157" s="5" t="s">
        <v>956</v>
      </c>
      <c r="R157" s="5" t="s">
        <v>458</v>
      </c>
      <c r="S157" s="5" t="s">
        <v>907</v>
      </c>
      <c r="T157" s="6"/>
      <c r="U157" s="6"/>
      <c r="V157" s="5" t="s">
        <v>83</v>
      </c>
      <c r="W157" s="5" t="s">
        <v>83</v>
      </c>
      <c r="X157" s="5" t="s">
        <v>83</v>
      </c>
      <c r="Y157" s="5"/>
      <c r="Z157" s="5"/>
      <c r="AA157" s="5" t="s">
        <v>957</v>
      </c>
      <c r="AB157" s="0" t="n">
        <f aca="false">IFERROR(VALUE(R157),0)</f>
        <v>8.8</v>
      </c>
      <c r="AC157" s="0" t="n">
        <f aca="false">IFERROR(VALUE(M157),"")</f>
        <v>69.1</v>
      </c>
      <c r="AD157" s="0" t="n">
        <f aca="false">IFERROR(VALUE(Q157),"")</f>
        <v>35.8</v>
      </c>
      <c r="AE157" s="0" t="n">
        <f aca="false">IFERROR(VALUE(S157),"")</f>
        <v>44.4</v>
      </c>
      <c r="AF157" s="0" t="n">
        <f aca="false">IF(V157="","",VLOOKUP(V157,Assumptions!$B$6:$C$9,2,FALSE()))</f>
        <v>4</v>
      </c>
      <c r="AG157" s="0" t="n">
        <f aca="false">IF(W157="","",VLOOKUP(W157,Assumptions!$B$6:$C$9,2,FALSE()))</f>
        <v>4</v>
      </c>
      <c r="AH157" s="0" t="n">
        <f aca="false">IF(X157="","",VLOOKUP(X157,Assumptions!$B$6:$C$9,2,FALSE()))</f>
        <v>4</v>
      </c>
      <c r="AI157" s="0" t="str">
        <f aca="false">IF(Y157="","",VLOOKUP(Y157,Assumptions!$B$6:$C$9,2,FALSE()))</f>
        <v/>
      </c>
      <c r="AJ157" s="0" t="str">
        <f aca="false">IF(Z157="","",VLOOKUP(Z157,Assumptions!$B$6:$C$9,2,FALSE()))</f>
        <v/>
      </c>
      <c r="AK157" s="7" t="n">
        <f aca="false">IFERROR(ROUND(AVERAGE(AF157:AJ157),3),"")</f>
        <v>4</v>
      </c>
      <c r="AL157" s="7" t="str">
        <f aca="false">IF(OR(AF157="",AJ157=""),"",AJ157-AF157)</f>
        <v/>
      </c>
      <c r="AM157" s="7" t="n">
        <f aca="false">IF(COUNT(AF157:AJ157)&gt;=2,ROUND(_xlfn.STDEV.S(AF157:AJ157),3),"")</f>
        <v>0</v>
      </c>
      <c r="AN157" s="7" t="n">
        <f aca="false">ROUND((IF(AF157="",0,AF157)*Assumptions!$F$15)+(IF(AG157="",0,AG157)*Assumptions!$F$16)+(IF(AH157="",0,AH157)*Assumptions!$F$17)+(IF(AI157="",0,AI157)*Assumptions!$F$18)+(IF(AJ157="",0,AJ157)*Assumptions!$F$19),3)</f>
        <v>1.8</v>
      </c>
      <c r="AO157" s="0" t="str">
        <f aca="false">IF(AC157&lt;=20,"",IF(AC157&lt;=Assumptions!$F$6,"20-30",IF(AC157&lt;=Assumptions!$F$7,"30-40",IF(AC157&lt;=Assumptions!$F$8,"40-50",IF(AC157&lt;=Assumptions!$F$9,"50-60",IF(AC157&lt;=Assumptions!$F$10,"60+",""))))))</f>
        <v>60+</v>
      </c>
      <c r="AP157" s="0" t="str">
        <f aca="false">IFERROR(VLOOKUP(O157,Assumptions!$B$14:$C$26,2,FALSE()),"Other")</f>
        <v>Leadership</v>
      </c>
      <c r="AQ157" s="0" t="n">
        <f aca="false">IF(T157="",0,1)</f>
        <v>0</v>
      </c>
      <c r="AR157" s="0" t="n">
        <f aca="false">IF(U157="",0,1)</f>
        <v>0</v>
      </c>
      <c r="AS157" s="8" t="n">
        <f aca="false">IF(AK157="","",IF(MAX($AK$2:$AK$921)=MIN($AK$2:$AK$921),50,ROUND((AK157-MIN($AK$2:$AK$921))/(MAX($AK$2:$AK$921)-MIN($AK$2:$AK$921))*100,2)))</f>
        <v>100</v>
      </c>
      <c r="AT157" s="8" t="n">
        <f aca="false">IF(MAX($BC$2:$BC$921)=MIN($BC$2:$BC$921),50,ROUND((BC157-MIN($BC$2:$BC$921))/(MAX($BC$2:$BC$921)-MIN($BC$2:$BC$921))*100,2))</f>
        <v>50</v>
      </c>
      <c r="AU157" s="8" t="n">
        <f aca="false">IF(MAX($BE$2:$BE$921)=MIN($BE$2:$BE$921),50,ROUND((BE157-MIN($BE$2:$BE$921))/(MAX($BE$2:$BE$921)-MIN($BE$2:$BE$921))*100,2))</f>
        <v>100</v>
      </c>
      <c r="AV157" s="8" t="n">
        <f aca="false">IF(MAX($AD$2:$AD$921)=MIN($AD$2:$AD$921),50,ROUND((AD157-MIN($AD$2:$AD$921))/(MAX($AD$2:$AD$921)-MIN($AD$2:$AD$921))*100,2))</f>
        <v>97.01</v>
      </c>
      <c r="AW157" s="8" t="n">
        <f aca="false">IF(MAX($AN$2:$AN$921)=MIN($AN$2:$AN$921),50,ROUND((AN157-MIN($AN$2:$AN$921))/(MAX($AN$2:$AN$921)-MIN($AN$2:$AN$921))*100,2))</f>
        <v>45</v>
      </c>
      <c r="AX157" s="8" t="n">
        <f aca="false">AQ157*100</f>
        <v>0</v>
      </c>
      <c r="AY157" s="8" t="n">
        <f aca="false">AR157*100</f>
        <v>0</v>
      </c>
      <c r="AZ157" s="8" t="n">
        <f aca="false">IFERROR(ROUND(AS157*Assumptions!$I$6+AW157*Assumptions!$I$7+AT157*Assumptions!$I$8+AU157*Assumptions!$I$9+AV157*Assumptions!$I$10+AX157*Assumptions!$I$11+AY157*Assumptions!$I$12,2),"")</f>
        <v>71.2</v>
      </c>
      <c r="BA157" s="0" t="str">
        <f aca="false">IF(AZ157="","",IF(AZ157&lt;=Assumptions!$I$18,"Below Expectation",IF(AZ157&lt;=Assumptions!$I$19,"Developing",IF(AZ157&lt;=Assumptions!$I$20,"Meets Expectation",IF(AZ157&lt;=Assumptions!$I$21,"Exceeds","Star Performer")))))</f>
        <v>Exceeds</v>
      </c>
      <c r="BB157" s="0" t="n">
        <f aca="false">IF(AZ157="",0,IF(AZ157&gt;=Assumptions!$I$26,1,0))</f>
        <v>1</v>
      </c>
      <c r="BC157" s="9" t="n">
        <f aca="false">IF(AL157="",2,AL157+2)</f>
        <v>2</v>
      </c>
      <c r="BD157" s="10" t="n">
        <f aca="false">IF(AM157="",ROUND(AVERAGE($AM$2:$AM$921),3),AM157)</f>
        <v>0</v>
      </c>
      <c r="BE157" s="9" t="n">
        <f aca="false">1-BD157</f>
        <v>1</v>
      </c>
    </row>
    <row r="158" customFormat="false" ht="14.25" hidden="true" customHeight="false" outlineLevel="0" collapsed="false">
      <c r="A158" s="4" t="n">
        <v>402</v>
      </c>
      <c r="B158" s="5" t="n">
        <v>50008447</v>
      </c>
      <c r="C158" s="5" t="s">
        <v>57</v>
      </c>
      <c r="D158" s="5" t="s">
        <v>958</v>
      </c>
      <c r="E158" s="5" t="s">
        <v>252</v>
      </c>
      <c r="F158" s="5" t="s">
        <v>209</v>
      </c>
      <c r="G158" s="5" t="s">
        <v>210</v>
      </c>
      <c r="H158" s="5" t="s">
        <v>209</v>
      </c>
      <c r="I158" s="5" t="s">
        <v>63</v>
      </c>
      <c r="J158" s="5" t="s">
        <v>100</v>
      </c>
      <c r="K158" s="5" t="s">
        <v>65</v>
      </c>
      <c r="L158" s="6" t="n">
        <v>40590</v>
      </c>
      <c r="M158" s="5" t="s">
        <v>225</v>
      </c>
      <c r="N158" s="6" t="n">
        <v>29726</v>
      </c>
      <c r="O158" s="5" t="s">
        <v>262</v>
      </c>
      <c r="P158" s="5" t="s">
        <v>263</v>
      </c>
      <c r="Q158" s="5" t="s">
        <v>959</v>
      </c>
      <c r="R158" s="5" t="s">
        <v>599</v>
      </c>
      <c r="S158" s="5" t="s">
        <v>960</v>
      </c>
      <c r="T158" s="6" t="n">
        <v>41518</v>
      </c>
      <c r="U158" s="6" t="n">
        <v>44470</v>
      </c>
      <c r="V158" s="5" t="s">
        <v>83</v>
      </c>
      <c r="W158" s="5" t="s">
        <v>141</v>
      </c>
      <c r="X158" s="5" t="s">
        <v>141</v>
      </c>
      <c r="Y158" s="5" t="s">
        <v>141</v>
      </c>
      <c r="Z158" s="5" t="s">
        <v>83</v>
      </c>
      <c r="AA158" s="5" t="s">
        <v>961</v>
      </c>
      <c r="AB158" s="0" t="n">
        <f aca="false">IFERROR(VALUE(R158),0)</f>
        <v>9.11</v>
      </c>
      <c r="AC158" s="0" t="n">
        <f aca="false">IFERROR(VALUE(M158),"")</f>
        <v>45</v>
      </c>
      <c r="AD158" s="0" t="n">
        <f aca="false">IFERROR(VALUE(Q158),"")</f>
        <v>15.3</v>
      </c>
      <c r="AE158" s="0" t="n">
        <f aca="false">IFERROR(VALUE(S158),"")</f>
        <v>25.2</v>
      </c>
      <c r="AF158" s="0" t="n">
        <f aca="false">IF(V158="","",VLOOKUP(V158,Assumptions!$B$6:$C$9,2,FALSE()))</f>
        <v>4</v>
      </c>
      <c r="AG158" s="0" t="n">
        <f aca="false">IF(W158="","",VLOOKUP(W158,Assumptions!$B$6:$C$9,2,FALSE()))</f>
        <v>3</v>
      </c>
      <c r="AH158" s="0" t="n">
        <f aca="false">IF(X158="","",VLOOKUP(X158,Assumptions!$B$6:$C$9,2,FALSE()))</f>
        <v>3</v>
      </c>
      <c r="AI158" s="0" t="n">
        <f aca="false">IF(Y158="","",VLOOKUP(Y158,Assumptions!$B$6:$C$9,2,FALSE()))</f>
        <v>3</v>
      </c>
      <c r="AJ158" s="0" t="n">
        <f aca="false">IF(Z158="","",VLOOKUP(Z158,Assumptions!$B$6:$C$9,2,FALSE()))</f>
        <v>4</v>
      </c>
      <c r="AK158" s="7" t="n">
        <f aca="false">IFERROR(ROUND(AVERAGE(AF158:AJ158),3),"")</f>
        <v>3.4</v>
      </c>
      <c r="AL158" s="7" t="n">
        <f aca="false">IF(OR(AF158="",AJ158=""),"",AJ158-AF158)</f>
        <v>0</v>
      </c>
      <c r="AM158" s="7" t="n">
        <f aca="false">IF(COUNT(AF158:AJ158)&gt;=2,ROUND(_xlfn.STDEV.S(AF158:AJ158),3),"")</f>
        <v>0.548</v>
      </c>
      <c r="AN158" s="7" t="n">
        <f aca="false">ROUND((IF(AF158="",0,AF158)*Assumptions!$F$15)+(IF(AG158="",0,AG158)*Assumptions!$F$16)+(IF(AH158="",0,AH158)*Assumptions!$F$17)+(IF(AI158="",0,AI158)*Assumptions!$F$18)+(IF(AJ158="",0,AJ158)*Assumptions!$F$19),3)</f>
        <v>3.4</v>
      </c>
      <c r="AO158" s="0" t="str">
        <f aca="false">IF(AC158&lt;=20,"",IF(AC158&lt;=Assumptions!$F$6,"20-30",IF(AC158&lt;=Assumptions!$F$7,"30-40",IF(AC158&lt;=Assumptions!$F$8,"40-50",IF(AC158&lt;=Assumptions!$F$9,"50-60",IF(AC158&lt;=Assumptions!$F$10,"60+",""))))))</f>
        <v>40-50</v>
      </c>
      <c r="AP158" s="0" t="str">
        <f aca="false">IFERROR(VLOOKUP(O158,Assumptions!$B$14:$C$26,2,FALSE()),"Other")</f>
        <v>Manager</v>
      </c>
      <c r="AQ158" s="0" t="n">
        <f aca="false">IF(T158="",0,1)</f>
        <v>1</v>
      </c>
      <c r="AR158" s="0" t="n">
        <f aca="false">IF(U158="",0,1)</f>
        <v>1</v>
      </c>
      <c r="AS158" s="8" t="n">
        <f aca="false">IF(AK158="","",IF(MAX($AK$2:$AK$921)=MIN($AK$2:$AK$921),50,ROUND((AK158-MIN($AK$2:$AK$921))/(MAX($AK$2:$AK$921)-MIN($AK$2:$AK$921))*100,2)))</f>
        <v>74.28</v>
      </c>
      <c r="AT158" s="8" t="n">
        <f aca="false">IF(MAX($BC$2:$BC$921)=MIN($BC$2:$BC$921),50,ROUND((BC158-MIN($BC$2:$BC$921))/(MAX($BC$2:$BC$921)-MIN($BC$2:$BC$921))*100,2))</f>
        <v>50</v>
      </c>
      <c r="AU158" s="8" t="n">
        <f aca="false">IF(MAX($BE$2:$BE$921)=MIN($BE$2:$BE$921),50,ROUND((BE158-MIN($BE$2:$BE$921))/(MAX($BE$2:$BE$921)-MIN($BE$2:$BE$921))*100,2))</f>
        <v>68.36</v>
      </c>
      <c r="AV158" s="8" t="n">
        <f aca="false">IF(MAX($AD$2:$AD$921)=MIN($AD$2:$AD$921),50,ROUND((AD158-MIN($AD$2:$AD$921))/(MAX($AD$2:$AD$921)-MIN($AD$2:$AD$921))*100,2))</f>
        <v>41.29</v>
      </c>
      <c r="AW158" s="8" t="n">
        <f aca="false">IF(MAX($AN$2:$AN$921)=MIN($AN$2:$AN$921),50,ROUND((AN158-MIN($AN$2:$AN$921))/(MAX($AN$2:$AN$921)-MIN($AN$2:$AN$921))*100,2))</f>
        <v>85</v>
      </c>
      <c r="AX158" s="8" t="n">
        <f aca="false">AQ158*100</f>
        <v>100</v>
      </c>
      <c r="AY158" s="8" t="n">
        <f aca="false">AR158*100</f>
        <v>100</v>
      </c>
      <c r="AZ158" s="8" t="n">
        <f aca="false">IFERROR(ROUND(AS158*Assumptions!$I$6+AW158*Assumptions!$I$7+AT158*Assumptions!$I$8+AU158*Assumptions!$I$9+AV158*Assumptions!$I$10+AX158*Assumptions!$I$11+AY158*Assumptions!$I$12,2),"")</f>
        <v>71.17</v>
      </c>
      <c r="BA158" s="0" t="str">
        <f aca="false">IF(AZ158="","",IF(AZ158&lt;=Assumptions!$I$18,"Below Expectation",IF(AZ158&lt;=Assumptions!$I$19,"Developing",IF(AZ158&lt;=Assumptions!$I$20,"Meets Expectation",IF(AZ158&lt;=Assumptions!$I$21,"Exceeds","Star Performer")))))</f>
        <v>Exceeds</v>
      </c>
      <c r="BB158" s="0" t="n">
        <f aca="false">IF(AZ158="",0,IF(AZ158&gt;=Assumptions!$I$26,1,0))</f>
        <v>1</v>
      </c>
      <c r="BC158" s="9" t="n">
        <f aca="false">IF(AL158="",2,AL158+2)</f>
        <v>2</v>
      </c>
      <c r="BD158" s="10" t="n">
        <f aca="false">IF(AM158="",ROUND(AVERAGE($AM$2:$AM$921),3),AM158)</f>
        <v>0.548</v>
      </c>
      <c r="BE158" s="9" t="n">
        <f aca="false">1-BD158</f>
        <v>0.452</v>
      </c>
    </row>
    <row r="159" customFormat="false" ht="14.25" hidden="false" customHeight="false" outlineLevel="0" collapsed="false">
      <c r="A159" s="4" t="n">
        <v>485</v>
      </c>
      <c r="B159" s="5" t="n">
        <v>55043350</v>
      </c>
      <c r="C159" s="5" t="s">
        <v>106</v>
      </c>
      <c r="D159" s="5" t="s">
        <v>962</v>
      </c>
      <c r="E159" s="5" t="s">
        <v>108</v>
      </c>
      <c r="F159" s="5" t="s">
        <v>356</v>
      </c>
      <c r="G159" s="5" t="s">
        <v>963</v>
      </c>
      <c r="H159" s="5" t="s">
        <v>964</v>
      </c>
      <c r="I159" s="5" t="s">
        <v>63</v>
      </c>
      <c r="J159" s="5" t="s">
        <v>112</v>
      </c>
      <c r="K159" s="5" t="s">
        <v>309</v>
      </c>
      <c r="L159" s="6" t="n">
        <v>44470</v>
      </c>
      <c r="M159" s="5" t="s">
        <v>965</v>
      </c>
      <c r="N159" s="6" t="n">
        <v>36227</v>
      </c>
      <c r="O159" s="5" t="s">
        <v>585</v>
      </c>
      <c r="P159" s="5" t="s">
        <v>586</v>
      </c>
      <c r="Q159" s="5" t="s">
        <v>496</v>
      </c>
      <c r="R159" s="5" t="s">
        <v>115</v>
      </c>
      <c r="S159" s="5" t="s">
        <v>496</v>
      </c>
      <c r="T159" s="6"/>
      <c r="U159" s="6" t="n">
        <v>45992</v>
      </c>
      <c r="V159" s="5" t="s">
        <v>141</v>
      </c>
      <c r="W159" s="5" t="s">
        <v>83</v>
      </c>
      <c r="X159" s="5" t="s">
        <v>141</v>
      </c>
      <c r="Y159" s="5" t="s">
        <v>83</v>
      </c>
      <c r="Z159" s="5" t="s">
        <v>83</v>
      </c>
      <c r="AA159" s="5" t="s">
        <v>966</v>
      </c>
      <c r="AB159" s="0" t="n">
        <f aca="false">IFERROR(VALUE(R159),0)</f>
        <v>0</v>
      </c>
      <c r="AC159" s="0" t="n">
        <f aca="false">IFERROR(VALUE(M159),"")</f>
        <v>27.3</v>
      </c>
      <c r="AD159" s="0" t="n">
        <f aca="false">IFERROR(VALUE(Q159),"")</f>
        <v>4.8</v>
      </c>
      <c r="AE159" s="0" t="n">
        <f aca="false">IFERROR(VALUE(S159),"")</f>
        <v>4.8</v>
      </c>
      <c r="AF159" s="0" t="n">
        <f aca="false">IF(V159="","",VLOOKUP(V159,Assumptions!$B$6:$C$9,2,FALSE()))</f>
        <v>3</v>
      </c>
      <c r="AG159" s="0" t="n">
        <f aca="false">IF(W159="","",VLOOKUP(W159,Assumptions!$B$6:$C$9,2,FALSE()))</f>
        <v>4</v>
      </c>
      <c r="AH159" s="0" t="n">
        <f aca="false">IF(X159="","",VLOOKUP(X159,Assumptions!$B$6:$C$9,2,FALSE()))</f>
        <v>3</v>
      </c>
      <c r="AI159" s="0" t="n">
        <f aca="false">IF(Y159="","",VLOOKUP(Y159,Assumptions!$B$6:$C$9,2,FALSE()))</f>
        <v>4</v>
      </c>
      <c r="AJ159" s="0" t="n">
        <f aca="false">IF(Z159="","",VLOOKUP(Z159,Assumptions!$B$6:$C$9,2,FALSE()))</f>
        <v>4</v>
      </c>
      <c r="AK159" s="7" t="n">
        <f aca="false">IFERROR(ROUND(AVERAGE(AF159:AJ159),3),"")</f>
        <v>3.6</v>
      </c>
      <c r="AL159" s="7" t="n">
        <f aca="false">IF(OR(AF159="",AJ159=""),"",AJ159-AF159)</f>
        <v>1</v>
      </c>
      <c r="AM159" s="7" t="n">
        <f aca="false">IF(COUNT(AF159:AJ159)&gt;=2,ROUND(_xlfn.STDEV.S(AF159:AJ159),3),"")</f>
        <v>0.548</v>
      </c>
      <c r="AN159" s="7" t="n">
        <f aca="false">ROUND((IF(AF159="",0,AF159)*Assumptions!$F$15)+(IF(AG159="",0,AG159)*Assumptions!$F$16)+(IF(AH159="",0,AH159)*Assumptions!$F$17)+(IF(AI159="",0,AI159)*Assumptions!$F$18)+(IF(AJ159="",0,AJ159)*Assumptions!$F$19),3)</f>
        <v>3.7</v>
      </c>
      <c r="AO159" s="0" t="str">
        <f aca="false">IF(AC159&lt;=20,"",IF(AC159&lt;=Assumptions!$F$6,"20-30",IF(AC159&lt;=Assumptions!$F$7,"30-40",IF(AC159&lt;=Assumptions!$F$8,"40-50",IF(AC159&lt;=Assumptions!$F$9,"50-60",IF(AC159&lt;=Assumptions!$F$10,"60+",""))))))</f>
        <v>20-30</v>
      </c>
      <c r="AP159" s="0" t="str">
        <f aca="false">IFERROR(VLOOKUP(O159,Assumptions!$B$14:$C$26,2,FALSE()),"Other")</f>
        <v>Manager</v>
      </c>
      <c r="AQ159" s="0" t="n">
        <f aca="false">IF(T159="",0,1)</f>
        <v>0</v>
      </c>
      <c r="AR159" s="0" t="n">
        <f aca="false">IF(U159="",0,1)</f>
        <v>1</v>
      </c>
      <c r="AS159" s="8" t="n">
        <f aca="false">IF(AK159="","",IF(MAX($AK$2:$AK$921)=MIN($AK$2:$AK$921),50,ROUND((AK159-MIN($AK$2:$AK$921))/(MAX($AK$2:$AK$921)-MIN($AK$2:$AK$921))*100,2)))</f>
        <v>82.85</v>
      </c>
      <c r="AT159" s="8" t="n">
        <f aca="false">IF(MAX($BC$2:$BC$921)=MIN($BC$2:$BC$921),50,ROUND((BC159-MIN($BC$2:$BC$921))/(MAX($BC$2:$BC$921)-MIN($BC$2:$BC$921))*100,2))</f>
        <v>75</v>
      </c>
      <c r="AU159" s="8" t="n">
        <f aca="false">IF(MAX($BE$2:$BE$921)=MIN($BE$2:$BE$921),50,ROUND((BE159-MIN($BE$2:$BE$921))/(MAX($BE$2:$BE$921)-MIN($BE$2:$BE$921))*100,2))</f>
        <v>68.36</v>
      </c>
      <c r="AV159" s="8" t="n">
        <f aca="false">IF(MAX($AD$2:$AD$921)=MIN($AD$2:$AD$921),50,ROUND((AD159-MIN($AD$2:$AD$921))/(MAX($AD$2:$AD$921)-MIN($AD$2:$AD$921))*100,2))</f>
        <v>12.75</v>
      </c>
      <c r="AW159" s="8" t="n">
        <f aca="false">IF(MAX($AN$2:$AN$921)=MIN($AN$2:$AN$921),50,ROUND((AN159-MIN($AN$2:$AN$921))/(MAX($AN$2:$AN$921)-MIN($AN$2:$AN$921))*100,2))</f>
        <v>92.5</v>
      </c>
      <c r="AX159" s="8" t="n">
        <f aca="false">AQ159*100</f>
        <v>0</v>
      </c>
      <c r="AY159" s="8" t="n">
        <f aca="false">AR159*100</f>
        <v>100</v>
      </c>
      <c r="AZ159" s="8" t="n">
        <f aca="false">IFERROR(ROUND(AS159*Assumptions!$I$6+AW159*Assumptions!$I$7+AT159*Assumptions!$I$8+AU159*Assumptions!$I$9+AV159*Assumptions!$I$10+AX159*Assumptions!$I$11+AY159*Assumptions!$I$12,2),"")</f>
        <v>71.13</v>
      </c>
      <c r="BA159" s="0" t="str">
        <f aca="false">IF(AZ159="","",IF(AZ159&lt;=Assumptions!$I$18,"Below Expectation",IF(AZ159&lt;=Assumptions!$I$19,"Developing",IF(AZ159&lt;=Assumptions!$I$20,"Meets Expectation",IF(AZ159&lt;=Assumptions!$I$21,"Exceeds","Star Performer")))))</f>
        <v>Exceeds</v>
      </c>
      <c r="BB159" s="0" t="n">
        <f aca="false">IF(AZ159="",0,IF(AZ159&gt;=Assumptions!$I$26,1,0))</f>
        <v>1</v>
      </c>
      <c r="BC159" s="9" t="n">
        <f aca="false">IF(AL159="",2,AL159+2)</f>
        <v>3</v>
      </c>
      <c r="BD159" s="10" t="n">
        <f aca="false">IF(AM159="",ROUND(AVERAGE($AM$2:$AM$921),3),AM159)</f>
        <v>0.548</v>
      </c>
      <c r="BE159" s="9" t="n">
        <f aca="false">1-BD159</f>
        <v>0.452</v>
      </c>
    </row>
    <row r="160" customFormat="false" ht="14.25" hidden="true" customHeight="false" outlineLevel="0" collapsed="false">
      <c r="A160" s="4" t="n">
        <v>378</v>
      </c>
      <c r="B160" s="5" t="n">
        <v>50006821</v>
      </c>
      <c r="C160" s="5" t="s">
        <v>57</v>
      </c>
      <c r="D160" s="5" t="s">
        <v>967</v>
      </c>
      <c r="E160" s="5" t="s">
        <v>96</v>
      </c>
      <c r="F160" s="5" t="s">
        <v>387</v>
      </c>
      <c r="G160" s="5" t="s">
        <v>388</v>
      </c>
      <c r="H160" s="5" t="s">
        <v>387</v>
      </c>
      <c r="I160" s="5" t="s">
        <v>63</v>
      </c>
      <c r="J160" s="5" t="s">
        <v>100</v>
      </c>
      <c r="K160" s="5" t="s">
        <v>309</v>
      </c>
      <c r="L160" s="6" t="n">
        <v>40196</v>
      </c>
      <c r="M160" s="5" t="s">
        <v>926</v>
      </c>
      <c r="N160" s="6" t="n">
        <v>32778</v>
      </c>
      <c r="O160" s="5" t="s">
        <v>262</v>
      </c>
      <c r="P160" s="5" t="s">
        <v>263</v>
      </c>
      <c r="Q160" s="5" t="s">
        <v>652</v>
      </c>
      <c r="R160" s="5" t="s">
        <v>115</v>
      </c>
      <c r="S160" s="5" t="s">
        <v>652</v>
      </c>
      <c r="T160" s="6"/>
      <c r="U160" s="6" t="n">
        <v>45748</v>
      </c>
      <c r="V160" s="5" t="s">
        <v>141</v>
      </c>
      <c r="W160" s="5" t="s">
        <v>141</v>
      </c>
      <c r="X160" s="5" t="s">
        <v>141</v>
      </c>
      <c r="Y160" s="5" t="s">
        <v>83</v>
      </c>
      <c r="Z160" s="5" t="s">
        <v>83</v>
      </c>
      <c r="AA160" s="5" t="s">
        <v>968</v>
      </c>
      <c r="AB160" s="0" t="n">
        <f aca="false">IFERROR(VALUE(R160),0)</f>
        <v>0</v>
      </c>
      <c r="AC160" s="0" t="n">
        <f aca="false">IFERROR(VALUE(M160),"")</f>
        <v>36.8</v>
      </c>
      <c r="AD160" s="0" t="n">
        <f aca="false">IFERROR(VALUE(Q160),"")</f>
        <v>16.4</v>
      </c>
      <c r="AE160" s="0" t="n">
        <f aca="false">IFERROR(VALUE(S160),"")</f>
        <v>16.4</v>
      </c>
      <c r="AF160" s="0" t="n">
        <f aca="false">IF(V160="","",VLOOKUP(V160,Assumptions!$B$6:$C$9,2,FALSE()))</f>
        <v>3</v>
      </c>
      <c r="AG160" s="0" t="n">
        <f aca="false">IF(W160="","",VLOOKUP(W160,Assumptions!$B$6:$C$9,2,FALSE()))</f>
        <v>3</v>
      </c>
      <c r="AH160" s="0" t="n">
        <f aca="false">IF(X160="","",VLOOKUP(X160,Assumptions!$B$6:$C$9,2,FALSE()))</f>
        <v>3</v>
      </c>
      <c r="AI160" s="0" t="n">
        <f aca="false">IF(Y160="","",VLOOKUP(Y160,Assumptions!$B$6:$C$9,2,FALSE()))</f>
        <v>4</v>
      </c>
      <c r="AJ160" s="0" t="n">
        <f aca="false">IF(Z160="","",VLOOKUP(Z160,Assumptions!$B$6:$C$9,2,FALSE()))</f>
        <v>4</v>
      </c>
      <c r="AK160" s="7" t="n">
        <f aca="false">IFERROR(ROUND(AVERAGE(AF160:AJ160),3),"")</f>
        <v>3.4</v>
      </c>
      <c r="AL160" s="7" t="n">
        <f aca="false">IF(OR(AF160="",AJ160=""),"",AJ160-AF160)</f>
        <v>1</v>
      </c>
      <c r="AM160" s="7" t="n">
        <f aca="false">IF(COUNT(AF160:AJ160)&gt;=2,ROUND(_xlfn.STDEV.S(AF160:AJ160),3),"")</f>
        <v>0.548</v>
      </c>
      <c r="AN160" s="7" t="n">
        <f aca="false">ROUND((IF(AF160="",0,AF160)*Assumptions!$F$15)+(IF(AG160="",0,AG160)*Assumptions!$F$16)+(IF(AH160="",0,AH160)*Assumptions!$F$17)+(IF(AI160="",0,AI160)*Assumptions!$F$18)+(IF(AJ160="",0,AJ160)*Assumptions!$F$19),3)</f>
        <v>3.55</v>
      </c>
      <c r="AO160" s="0" t="str">
        <f aca="false">IF(AC160&lt;=20,"",IF(AC160&lt;=Assumptions!$F$6,"20-30",IF(AC160&lt;=Assumptions!$F$7,"30-40",IF(AC160&lt;=Assumptions!$F$8,"40-50",IF(AC160&lt;=Assumptions!$F$9,"50-60",IF(AC160&lt;=Assumptions!$F$10,"60+",""))))))</f>
        <v>30-40</v>
      </c>
      <c r="AP160" s="0" t="str">
        <f aca="false">IFERROR(VLOOKUP(O160,Assumptions!$B$14:$C$26,2,FALSE()),"Other")</f>
        <v>Manager</v>
      </c>
      <c r="AQ160" s="0" t="n">
        <f aca="false">IF(T160="",0,1)</f>
        <v>0</v>
      </c>
      <c r="AR160" s="0" t="n">
        <f aca="false">IF(U160="",0,1)</f>
        <v>1</v>
      </c>
      <c r="AS160" s="8" t="n">
        <f aca="false">IF(AK160="","",IF(MAX($AK$2:$AK$921)=MIN($AK$2:$AK$921),50,ROUND((AK160-MIN($AK$2:$AK$921))/(MAX($AK$2:$AK$921)-MIN($AK$2:$AK$921))*100,2)))</f>
        <v>74.28</v>
      </c>
      <c r="AT160" s="8" t="n">
        <f aca="false">IF(MAX($BC$2:$BC$921)=MIN($BC$2:$BC$921),50,ROUND((BC160-MIN($BC$2:$BC$921))/(MAX($BC$2:$BC$921)-MIN($BC$2:$BC$921))*100,2))</f>
        <v>75</v>
      </c>
      <c r="AU160" s="8" t="n">
        <f aca="false">IF(MAX($BE$2:$BE$921)=MIN($BE$2:$BE$921),50,ROUND((BE160-MIN($BE$2:$BE$921))/(MAX($BE$2:$BE$921)-MIN($BE$2:$BE$921))*100,2))</f>
        <v>68.36</v>
      </c>
      <c r="AV160" s="8" t="n">
        <f aca="false">IF(MAX($AD$2:$AD$921)=MIN($AD$2:$AD$921),50,ROUND((AD160-MIN($AD$2:$AD$921))/(MAX($AD$2:$AD$921)-MIN($AD$2:$AD$921))*100,2))</f>
        <v>44.28</v>
      </c>
      <c r="AW160" s="8" t="n">
        <f aca="false">IF(MAX($AN$2:$AN$921)=MIN($AN$2:$AN$921),50,ROUND((AN160-MIN($AN$2:$AN$921))/(MAX($AN$2:$AN$921)-MIN($AN$2:$AN$921))*100,2))</f>
        <v>88.75</v>
      </c>
      <c r="AX160" s="8" t="n">
        <f aca="false">AQ160*100</f>
        <v>0</v>
      </c>
      <c r="AY160" s="8" t="n">
        <f aca="false">AR160*100</f>
        <v>100</v>
      </c>
      <c r="AZ160" s="8" t="n">
        <f aca="false">IFERROR(ROUND(AS160*Assumptions!$I$6+AW160*Assumptions!$I$7+AT160*Assumptions!$I$8+AU160*Assumptions!$I$9+AV160*Assumptions!$I$10+AX160*Assumptions!$I$11+AY160*Assumptions!$I$12,2),"")</f>
        <v>70.97</v>
      </c>
      <c r="BA160" s="0" t="str">
        <f aca="false">IF(AZ160="","",IF(AZ160&lt;=Assumptions!$I$18,"Below Expectation",IF(AZ160&lt;=Assumptions!$I$19,"Developing",IF(AZ160&lt;=Assumptions!$I$20,"Meets Expectation",IF(AZ160&lt;=Assumptions!$I$21,"Exceeds","Star Performer")))))</f>
        <v>Exceeds</v>
      </c>
      <c r="BB160" s="0" t="n">
        <f aca="false">IF(AZ160="",0,IF(AZ160&gt;=Assumptions!$I$26,1,0))</f>
        <v>1</v>
      </c>
      <c r="BC160" s="9" t="n">
        <f aca="false">IF(AL160="",2,AL160+2)</f>
        <v>3</v>
      </c>
      <c r="BD160" s="10" t="n">
        <f aca="false">IF(AM160="",ROUND(AVERAGE($AM$2:$AM$921),3),AM160)</f>
        <v>0.548</v>
      </c>
      <c r="BE160" s="9" t="n">
        <f aca="false">1-BD160</f>
        <v>0.452</v>
      </c>
    </row>
    <row r="161" customFormat="false" ht="14.25" hidden="true" customHeight="false" outlineLevel="0" collapsed="false">
      <c r="A161" s="4" t="n">
        <v>89</v>
      </c>
      <c r="B161" s="5" t="n">
        <v>10026688</v>
      </c>
      <c r="C161" s="5" t="s">
        <v>57</v>
      </c>
      <c r="D161" s="5" t="s">
        <v>969</v>
      </c>
      <c r="E161" s="5" t="s">
        <v>299</v>
      </c>
      <c r="F161" s="5" t="s">
        <v>209</v>
      </c>
      <c r="G161" s="5" t="s">
        <v>210</v>
      </c>
      <c r="H161" s="5" t="s">
        <v>209</v>
      </c>
      <c r="I161" s="5" t="s">
        <v>63</v>
      </c>
      <c r="J161" s="5" t="s">
        <v>100</v>
      </c>
      <c r="K161" s="5" t="s">
        <v>65</v>
      </c>
      <c r="L161" s="6" t="n">
        <v>39511</v>
      </c>
      <c r="M161" s="5" t="s">
        <v>970</v>
      </c>
      <c r="N161" s="6" t="n">
        <v>26618</v>
      </c>
      <c r="O161" s="5" t="s">
        <v>162</v>
      </c>
      <c r="P161" s="5" t="s">
        <v>162</v>
      </c>
      <c r="Q161" s="5" t="s">
        <v>971</v>
      </c>
      <c r="R161" s="5" t="s">
        <v>172</v>
      </c>
      <c r="S161" s="5" t="s">
        <v>325</v>
      </c>
      <c r="T161" s="6"/>
      <c r="U161" s="6" t="n">
        <v>45748</v>
      </c>
      <c r="V161" s="5" t="s">
        <v>83</v>
      </c>
      <c r="W161" s="5" t="s">
        <v>141</v>
      </c>
      <c r="X161" s="5" t="s">
        <v>141</v>
      </c>
      <c r="Y161" s="5" t="s">
        <v>83</v>
      </c>
      <c r="Z161" s="5" t="s">
        <v>83</v>
      </c>
      <c r="AA161" s="5" t="s">
        <v>972</v>
      </c>
      <c r="AB161" s="0" t="n">
        <f aca="false">IFERROR(VALUE(R161),0)</f>
        <v>11.7</v>
      </c>
      <c r="AC161" s="0" t="n">
        <f aca="false">IFERROR(VALUE(M161),"")</f>
        <v>53.6</v>
      </c>
      <c r="AD161" s="0" t="n">
        <f aca="false">IFERROR(VALUE(Q161),"")</f>
        <v>18.3</v>
      </c>
      <c r="AE161" s="0" t="n">
        <f aca="false">IFERROR(VALUE(S161),"")</f>
        <v>29.1</v>
      </c>
      <c r="AF161" s="0" t="n">
        <f aca="false">IF(V161="","",VLOOKUP(V161,Assumptions!$B$6:$C$9,2,FALSE()))</f>
        <v>4</v>
      </c>
      <c r="AG161" s="0" t="n">
        <f aca="false">IF(W161="","",VLOOKUP(W161,Assumptions!$B$6:$C$9,2,FALSE()))</f>
        <v>3</v>
      </c>
      <c r="AH161" s="0" t="n">
        <f aca="false">IF(X161="","",VLOOKUP(X161,Assumptions!$B$6:$C$9,2,FALSE()))</f>
        <v>3</v>
      </c>
      <c r="AI161" s="0" t="n">
        <f aca="false">IF(Y161="","",VLOOKUP(Y161,Assumptions!$B$6:$C$9,2,FALSE()))</f>
        <v>4</v>
      </c>
      <c r="AJ161" s="0" t="n">
        <f aca="false">IF(Z161="","",VLOOKUP(Z161,Assumptions!$B$6:$C$9,2,FALSE()))</f>
        <v>4</v>
      </c>
      <c r="AK161" s="7" t="n">
        <f aca="false">IFERROR(ROUND(AVERAGE(AF161:AJ161),3),"")</f>
        <v>3.6</v>
      </c>
      <c r="AL161" s="7" t="n">
        <f aca="false">IF(OR(AF161="",AJ161=""),"",AJ161-AF161)</f>
        <v>0</v>
      </c>
      <c r="AM161" s="7" t="n">
        <f aca="false">IF(COUNT(AF161:AJ161)&gt;=2,ROUND(_xlfn.STDEV.S(AF161:AJ161),3),"")</f>
        <v>0.548</v>
      </c>
      <c r="AN161" s="7" t="n">
        <f aca="false">ROUND((IF(AF161="",0,AF161)*Assumptions!$F$15)+(IF(AG161="",0,AG161)*Assumptions!$F$16)+(IF(AH161="",0,AH161)*Assumptions!$F$17)+(IF(AI161="",0,AI161)*Assumptions!$F$18)+(IF(AJ161="",0,AJ161)*Assumptions!$F$19),3)</f>
        <v>3.65</v>
      </c>
      <c r="AO161" s="0" t="str">
        <f aca="false">IF(AC161&lt;=20,"",IF(AC161&lt;=Assumptions!$F$6,"20-30",IF(AC161&lt;=Assumptions!$F$7,"30-40",IF(AC161&lt;=Assumptions!$F$8,"40-50",IF(AC161&lt;=Assumptions!$F$9,"50-60",IF(AC161&lt;=Assumptions!$F$10,"60+",""))))))</f>
        <v>50-60</v>
      </c>
      <c r="AP161" s="0" t="str">
        <f aca="false">IFERROR(VLOOKUP(O161,Assumptions!$B$14:$C$26,2,FALSE()),"Other")</f>
        <v>Manager</v>
      </c>
      <c r="AQ161" s="0" t="n">
        <f aca="false">IF(T161="",0,1)</f>
        <v>0</v>
      </c>
      <c r="AR161" s="0" t="n">
        <f aca="false">IF(U161="",0,1)</f>
        <v>1</v>
      </c>
      <c r="AS161" s="8" t="n">
        <f aca="false">IF(AK161="","",IF(MAX($AK$2:$AK$921)=MIN($AK$2:$AK$921),50,ROUND((AK161-MIN($AK$2:$AK$921))/(MAX($AK$2:$AK$921)-MIN($AK$2:$AK$921))*100,2)))</f>
        <v>82.85</v>
      </c>
      <c r="AT161" s="8" t="n">
        <f aca="false">IF(MAX($BC$2:$BC$921)=MIN($BC$2:$BC$921),50,ROUND((BC161-MIN($BC$2:$BC$921))/(MAX($BC$2:$BC$921)-MIN($BC$2:$BC$921))*100,2))</f>
        <v>50</v>
      </c>
      <c r="AU161" s="8" t="n">
        <f aca="false">IF(MAX($BE$2:$BE$921)=MIN($BE$2:$BE$921),50,ROUND((BE161-MIN($BE$2:$BE$921))/(MAX($BE$2:$BE$921)-MIN($BE$2:$BE$921))*100,2))</f>
        <v>68.36</v>
      </c>
      <c r="AV161" s="8" t="n">
        <f aca="false">IF(MAX($AD$2:$AD$921)=MIN($AD$2:$AD$921),50,ROUND((AD161-MIN($AD$2:$AD$921))/(MAX($AD$2:$AD$921)-MIN($AD$2:$AD$921))*100,2))</f>
        <v>49.44</v>
      </c>
      <c r="AW161" s="8" t="n">
        <f aca="false">IF(MAX($AN$2:$AN$921)=MIN($AN$2:$AN$921),50,ROUND((AN161-MIN($AN$2:$AN$921))/(MAX($AN$2:$AN$921)-MIN($AN$2:$AN$921))*100,2))</f>
        <v>91.25</v>
      </c>
      <c r="AX161" s="8" t="n">
        <f aca="false">AQ161*100</f>
        <v>0</v>
      </c>
      <c r="AY161" s="8" t="n">
        <f aca="false">AR161*100</f>
        <v>100</v>
      </c>
      <c r="AZ161" s="8" t="n">
        <f aca="false">IFERROR(ROUND(AS161*Assumptions!$I$6+AW161*Assumptions!$I$7+AT161*Assumptions!$I$8+AU161*Assumptions!$I$9+AV161*Assumptions!$I$10+AX161*Assumptions!$I$11+AY161*Assumptions!$I$12,2),"")</f>
        <v>70.8</v>
      </c>
      <c r="BA161" s="0" t="str">
        <f aca="false">IF(AZ161="","",IF(AZ161&lt;=Assumptions!$I$18,"Below Expectation",IF(AZ161&lt;=Assumptions!$I$19,"Developing",IF(AZ161&lt;=Assumptions!$I$20,"Meets Expectation",IF(AZ161&lt;=Assumptions!$I$21,"Exceeds","Star Performer")))))</f>
        <v>Exceeds</v>
      </c>
      <c r="BB161" s="0" t="n">
        <f aca="false">IF(AZ161="",0,IF(AZ161&gt;=Assumptions!$I$26,1,0))</f>
        <v>1</v>
      </c>
      <c r="BC161" s="9" t="n">
        <f aca="false">IF(AL161="",2,AL161+2)</f>
        <v>2</v>
      </c>
      <c r="BD161" s="10" t="n">
        <f aca="false">IF(AM161="",ROUND(AVERAGE($AM$2:$AM$921),3),AM161)</f>
        <v>0.548</v>
      </c>
      <c r="BE161" s="9" t="n">
        <f aca="false">1-BD161</f>
        <v>0.452</v>
      </c>
    </row>
    <row r="162" customFormat="false" ht="14.25" hidden="true" customHeight="false" outlineLevel="0" collapsed="false">
      <c r="A162" s="4" t="n">
        <v>38</v>
      </c>
      <c r="B162" s="5" t="n">
        <v>10001666</v>
      </c>
      <c r="C162" s="5" t="s">
        <v>973</v>
      </c>
      <c r="D162" s="5" t="s">
        <v>974</v>
      </c>
      <c r="E162" s="5" t="s">
        <v>973</v>
      </c>
      <c r="F162" s="5" t="s">
        <v>975</v>
      </c>
      <c r="G162" s="5" t="s">
        <v>976</v>
      </c>
      <c r="H162" s="5" t="s">
        <v>975</v>
      </c>
      <c r="I162" s="5" t="s">
        <v>63</v>
      </c>
      <c r="J162" s="5" t="s">
        <v>100</v>
      </c>
      <c r="K162" s="5" t="s">
        <v>65</v>
      </c>
      <c r="L162" s="6" t="n">
        <v>37926</v>
      </c>
      <c r="M162" s="5" t="s">
        <v>776</v>
      </c>
      <c r="N162" s="6" t="n">
        <v>26726</v>
      </c>
      <c r="O162" s="5" t="s">
        <v>89</v>
      </c>
      <c r="P162" s="5" t="s">
        <v>90</v>
      </c>
      <c r="Q162" s="5" t="s">
        <v>375</v>
      </c>
      <c r="R162" s="5" t="s">
        <v>382</v>
      </c>
      <c r="S162" s="5" t="s">
        <v>114</v>
      </c>
      <c r="T162" s="6" t="n">
        <v>42373</v>
      </c>
      <c r="U162" s="6" t="n">
        <v>41365</v>
      </c>
      <c r="V162" s="5" t="s">
        <v>141</v>
      </c>
      <c r="W162" s="5" t="s">
        <v>141</v>
      </c>
      <c r="X162" s="5" t="s">
        <v>141</v>
      </c>
      <c r="Y162" s="5" t="s">
        <v>141</v>
      </c>
      <c r="Z162" s="5" t="s">
        <v>141</v>
      </c>
      <c r="AA162" s="5" t="s">
        <v>977</v>
      </c>
      <c r="AB162" s="0" t="n">
        <f aca="false">IFERROR(VALUE(R162),0)</f>
        <v>5.4</v>
      </c>
      <c r="AC162" s="0" t="n">
        <f aca="false">IFERROR(VALUE(M162),"")</f>
        <v>53.3</v>
      </c>
      <c r="AD162" s="0" t="n">
        <f aca="false">IFERROR(VALUE(Q162),"")</f>
        <v>22.7</v>
      </c>
      <c r="AE162" s="0" t="n">
        <f aca="false">IFERROR(VALUE(S162),"")</f>
        <v>27.11</v>
      </c>
      <c r="AF162" s="0" t="n">
        <f aca="false">IF(V162="","",VLOOKUP(V162,Assumptions!$B$6:$C$9,2,FALSE()))</f>
        <v>3</v>
      </c>
      <c r="AG162" s="0" t="n">
        <f aca="false">IF(W162="","",VLOOKUP(W162,Assumptions!$B$6:$C$9,2,FALSE()))</f>
        <v>3</v>
      </c>
      <c r="AH162" s="0" t="n">
        <f aca="false">IF(X162="","",VLOOKUP(X162,Assumptions!$B$6:$C$9,2,FALSE()))</f>
        <v>3</v>
      </c>
      <c r="AI162" s="0" t="n">
        <f aca="false">IF(Y162="","",VLOOKUP(Y162,Assumptions!$B$6:$C$9,2,FALSE()))</f>
        <v>3</v>
      </c>
      <c r="AJ162" s="0" t="n">
        <f aca="false">IF(Z162="","",VLOOKUP(Z162,Assumptions!$B$6:$C$9,2,FALSE()))</f>
        <v>3</v>
      </c>
      <c r="AK162" s="7" t="n">
        <f aca="false">IFERROR(ROUND(AVERAGE(AF162:AJ162),3),"")</f>
        <v>3</v>
      </c>
      <c r="AL162" s="7" t="n">
        <f aca="false">IF(OR(AF162="",AJ162=""),"",AJ162-AF162)</f>
        <v>0</v>
      </c>
      <c r="AM162" s="7" t="n">
        <f aca="false">IF(COUNT(AF162:AJ162)&gt;=2,ROUND(_xlfn.STDEV.S(AF162:AJ162),3),"")</f>
        <v>0</v>
      </c>
      <c r="AN162" s="7" t="n">
        <f aca="false">ROUND((IF(AF162="",0,AF162)*Assumptions!$F$15)+(IF(AG162="",0,AG162)*Assumptions!$F$16)+(IF(AH162="",0,AH162)*Assumptions!$F$17)+(IF(AI162="",0,AI162)*Assumptions!$F$18)+(IF(AJ162="",0,AJ162)*Assumptions!$F$19),3)</f>
        <v>3</v>
      </c>
      <c r="AO162" s="0" t="str">
        <f aca="false">IF(AC162&lt;=20,"",IF(AC162&lt;=Assumptions!$F$6,"20-30",IF(AC162&lt;=Assumptions!$F$7,"30-40",IF(AC162&lt;=Assumptions!$F$8,"40-50",IF(AC162&lt;=Assumptions!$F$9,"50-60",IF(AC162&lt;=Assumptions!$F$10,"60+",""))))))</f>
        <v>50-60</v>
      </c>
      <c r="AP162" s="0" t="str">
        <f aca="false">IFERROR(VLOOKUP(O162,Assumptions!$B$14:$C$26,2,FALSE()),"Other")</f>
        <v>Leadership</v>
      </c>
      <c r="AQ162" s="0" t="n">
        <f aca="false">IF(T162="",0,1)</f>
        <v>1</v>
      </c>
      <c r="AR162" s="0" t="n">
        <f aca="false">IF(U162="",0,1)</f>
        <v>1</v>
      </c>
      <c r="AS162" s="8" t="n">
        <f aca="false">IF(AK162="","",IF(MAX($AK$2:$AK$921)=MIN($AK$2:$AK$921),50,ROUND((AK162-MIN($AK$2:$AK$921))/(MAX($AK$2:$AK$921)-MIN($AK$2:$AK$921))*100,2)))</f>
        <v>57.14</v>
      </c>
      <c r="AT162" s="8" t="n">
        <f aca="false">IF(MAX($BC$2:$BC$921)=MIN($BC$2:$BC$921),50,ROUND((BC162-MIN($BC$2:$BC$921))/(MAX($BC$2:$BC$921)-MIN($BC$2:$BC$921))*100,2))</f>
        <v>50</v>
      </c>
      <c r="AU162" s="8" t="n">
        <f aca="false">IF(MAX($BE$2:$BE$921)=MIN($BE$2:$BE$921),50,ROUND((BE162-MIN($BE$2:$BE$921))/(MAX($BE$2:$BE$921)-MIN($BE$2:$BE$921))*100,2))</f>
        <v>100</v>
      </c>
      <c r="AV162" s="8" t="n">
        <f aca="false">IF(MAX($AD$2:$AD$921)=MIN($AD$2:$AD$921),50,ROUND((AD162-MIN($AD$2:$AD$921))/(MAX($AD$2:$AD$921)-MIN($AD$2:$AD$921))*100,2))</f>
        <v>61.4</v>
      </c>
      <c r="AW162" s="8" t="n">
        <f aca="false">IF(MAX($AN$2:$AN$921)=MIN($AN$2:$AN$921),50,ROUND((AN162-MIN($AN$2:$AN$921))/(MAX($AN$2:$AN$921)-MIN($AN$2:$AN$921))*100,2))</f>
        <v>75</v>
      </c>
      <c r="AX162" s="8" t="n">
        <f aca="false">AQ162*100</f>
        <v>100</v>
      </c>
      <c r="AY162" s="8" t="n">
        <f aca="false">AR162*100</f>
        <v>100</v>
      </c>
      <c r="AZ162" s="8" t="n">
        <f aca="false">IFERROR(ROUND(AS162*Assumptions!$I$6+AW162*Assumptions!$I$7+AT162*Assumptions!$I$8+AU162*Assumptions!$I$9+AV162*Assumptions!$I$10+AX162*Assumptions!$I$11+AY162*Assumptions!$I$12,2),"")</f>
        <v>70.78</v>
      </c>
      <c r="BA162" s="0" t="str">
        <f aca="false">IF(AZ162="","",IF(AZ162&lt;=Assumptions!$I$18,"Below Expectation",IF(AZ162&lt;=Assumptions!$I$19,"Developing",IF(AZ162&lt;=Assumptions!$I$20,"Meets Expectation",IF(AZ162&lt;=Assumptions!$I$21,"Exceeds","Star Performer")))))</f>
        <v>Exceeds</v>
      </c>
      <c r="BB162" s="0" t="n">
        <f aca="false">IF(AZ162="",0,IF(AZ162&gt;=Assumptions!$I$26,1,0))</f>
        <v>1</v>
      </c>
      <c r="BC162" s="9" t="n">
        <f aca="false">IF(AL162="",2,AL162+2)</f>
        <v>2</v>
      </c>
      <c r="BD162" s="10" t="n">
        <f aca="false">IF(AM162="",ROUND(AVERAGE($AM$2:$AM$921),3),AM162)</f>
        <v>0</v>
      </c>
      <c r="BE162" s="9" t="n">
        <f aca="false">1-BD162</f>
        <v>1</v>
      </c>
    </row>
    <row r="163" customFormat="false" ht="14.25" hidden="true" customHeight="false" outlineLevel="0" collapsed="false">
      <c r="A163" s="4" t="n">
        <v>468</v>
      </c>
      <c r="B163" s="5" t="n">
        <v>55040020</v>
      </c>
      <c r="C163" s="5" t="s">
        <v>858</v>
      </c>
      <c r="D163" s="5" t="s">
        <v>978</v>
      </c>
      <c r="E163" s="5" t="s">
        <v>860</v>
      </c>
      <c r="F163" s="5" t="s">
        <v>861</v>
      </c>
      <c r="G163" s="5" t="s">
        <v>862</v>
      </c>
      <c r="H163" s="5" t="s">
        <v>861</v>
      </c>
      <c r="I163" s="5" t="s">
        <v>63</v>
      </c>
      <c r="J163" s="5" t="s">
        <v>100</v>
      </c>
      <c r="K163" s="5" t="s">
        <v>65</v>
      </c>
      <c r="L163" s="6" t="n">
        <v>44291</v>
      </c>
      <c r="M163" s="5" t="s">
        <v>254</v>
      </c>
      <c r="N163" s="6" t="n">
        <v>34369</v>
      </c>
      <c r="O163" s="5" t="s">
        <v>365</v>
      </c>
      <c r="P163" s="5" t="s">
        <v>365</v>
      </c>
      <c r="Q163" s="5" t="s">
        <v>213</v>
      </c>
      <c r="R163" s="5" t="s">
        <v>115</v>
      </c>
      <c r="S163" s="5" t="s">
        <v>213</v>
      </c>
      <c r="T163" s="6"/>
      <c r="U163" s="6"/>
      <c r="V163" s="5" t="s">
        <v>141</v>
      </c>
      <c r="W163" s="5" t="s">
        <v>83</v>
      </c>
      <c r="X163" s="5" t="s">
        <v>83</v>
      </c>
      <c r="Y163" s="5" t="s">
        <v>83</v>
      </c>
      <c r="Z163" s="5" t="s">
        <v>83</v>
      </c>
      <c r="AA163" s="5" t="s">
        <v>979</v>
      </c>
      <c r="AB163" s="0" t="n">
        <f aca="false">IFERROR(VALUE(R163),0)</f>
        <v>0</v>
      </c>
      <c r="AC163" s="0" t="n">
        <f aca="false">IFERROR(VALUE(M163),"")</f>
        <v>32.4</v>
      </c>
      <c r="AD163" s="0" t="n">
        <f aca="false">IFERROR(VALUE(Q163),"")</f>
        <v>5.2</v>
      </c>
      <c r="AE163" s="0" t="n">
        <f aca="false">IFERROR(VALUE(S163),"")</f>
        <v>5.2</v>
      </c>
      <c r="AF163" s="0" t="n">
        <f aca="false">IF(V163="","",VLOOKUP(V163,Assumptions!$B$6:$C$9,2,FALSE()))</f>
        <v>3</v>
      </c>
      <c r="AG163" s="0" t="n">
        <f aca="false">IF(W163="","",VLOOKUP(W163,Assumptions!$B$6:$C$9,2,FALSE()))</f>
        <v>4</v>
      </c>
      <c r="AH163" s="0" t="n">
        <f aca="false">IF(X163="","",VLOOKUP(X163,Assumptions!$B$6:$C$9,2,FALSE()))</f>
        <v>4</v>
      </c>
      <c r="AI163" s="0" t="n">
        <f aca="false">IF(Y163="","",VLOOKUP(Y163,Assumptions!$B$6:$C$9,2,FALSE()))</f>
        <v>4</v>
      </c>
      <c r="AJ163" s="0" t="n">
        <f aca="false">IF(Z163="","",VLOOKUP(Z163,Assumptions!$B$6:$C$9,2,FALSE()))</f>
        <v>4</v>
      </c>
      <c r="AK163" s="7" t="n">
        <f aca="false">IFERROR(ROUND(AVERAGE(AF163:AJ163),3),"")</f>
        <v>3.8</v>
      </c>
      <c r="AL163" s="7" t="n">
        <f aca="false">IF(OR(AF163="",AJ163=""),"",AJ163-AF163)</f>
        <v>1</v>
      </c>
      <c r="AM163" s="7" t="n">
        <f aca="false">IF(COUNT(AF163:AJ163)&gt;=2,ROUND(_xlfn.STDEV.S(AF163:AJ163),3),"")</f>
        <v>0.447</v>
      </c>
      <c r="AN163" s="7" t="n">
        <f aca="false">ROUND((IF(AF163="",0,AF163)*Assumptions!$F$15)+(IF(AG163="",0,AG163)*Assumptions!$F$16)+(IF(AH163="",0,AH163)*Assumptions!$F$17)+(IF(AI163="",0,AI163)*Assumptions!$F$18)+(IF(AJ163="",0,AJ163)*Assumptions!$F$19),3)</f>
        <v>3.9</v>
      </c>
      <c r="AO163" s="0" t="str">
        <f aca="false">IF(AC163&lt;=20,"",IF(AC163&lt;=Assumptions!$F$6,"20-30",IF(AC163&lt;=Assumptions!$F$7,"30-40",IF(AC163&lt;=Assumptions!$F$8,"40-50",IF(AC163&lt;=Assumptions!$F$9,"50-60",IF(AC163&lt;=Assumptions!$F$10,"60+",""))))))</f>
        <v>30-40</v>
      </c>
      <c r="AP163" s="0" t="str">
        <f aca="false">IFERROR(VLOOKUP(O163,Assumptions!$B$14:$C$26,2,FALSE()),"Other")</f>
        <v>Manager</v>
      </c>
      <c r="AQ163" s="0" t="n">
        <f aca="false">IF(T163="",0,1)</f>
        <v>0</v>
      </c>
      <c r="AR163" s="0" t="n">
        <f aca="false">IF(U163="",0,1)</f>
        <v>0</v>
      </c>
      <c r="AS163" s="8" t="n">
        <f aca="false">IF(AK163="","",IF(MAX($AK$2:$AK$921)=MIN($AK$2:$AK$921),50,ROUND((AK163-MIN($AK$2:$AK$921))/(MAX($AK$2:$AK$921)-MIN($AK$2:$AK$921))*100,2)))</f>
        <v>91.43</v>
      </c>
      <c r="AT163" s="8" t="n">
        <f aca="false">IF(MAX($BC$2:$BC$921)=MIN($BC$2:$BC$921),50,ROUND((BC163-MIN($BC$2:$BC$921))/(MAX($BC$2:$BC$921)-MIN($BC$2:$BC$921))*100,2))</f>
        <v>75</v>
      </c>
      <c r="AU163" s="8" t="n">
        <f aca="false">IF(MAX($BE$2:$BE$921)=MIN($BE$2:$BE$921),50,ROUND((BE163-MIN($BE$2:$BE$921))/(MAX($BE$2:$BE$921)-MIN($BE$2:$BE$921))*100,2))</f>
        <v>74.19</v>
      </c>
      <c r="AV163" s="8" t="n">
        <f aca="false">IF(MAX($AD$2:$AD$921)=MIN($AD$2:$AD$921),50,ROUND((AD163-MIN($AD$2:$AD$921))/(MAX($AD$2:$AD$921)-MIN($AD$2:$AD$921))*100,2))</f>
        <v>13.84</v>
      </c>
      <c r="AW163" s="8" t="n">
        <f aca="false">IF(MAX($AN$2:$AN$921)=MIN($AN$2:$AN$921),50,ROUND((AN163-MIN($AN$2:$AN$921))/(MAX($AN$2:$AN$921)-MIN($AN$2:$AN$921))*100,2))</f>
        <v>97.5</v>
      </c>
      <c r="AX163" s="8" t="n">
        <f aca="false">AQ163*100</f>
        <v>0</v>
      </c>
      <c r="AY163" s="8" t="n">
        <f aca="false">AR163*100</f>
        <v>0</v>
      </c>
      <c r="AZ163" s="8" t="n">
        <f aca="false">IFERROR(ROUND(AS163*Assumptions!$I$6+AW163*Assumptions!$I$7+AT163*Assumptions!$I$8+AU163*Assumptions!$I$9+AV163*Assumptions!$I$10+AX163*Assumptions!$I$11+AY163*Assumptions!$I$12,2),"")</f>
        <v>70.69</v>
      </c>
      <c r="BA163" s="0" t="str">
        <f aca="false">IF(AZ163="","",IF(AZ163&lt;=Assumptions!$I$18,"Below Expectation",IF(AZ163&lt;=Assumptions!$I$19,"Developing",IF(AZ163&lt;=Assumptions!$I$20,"Meets Expectation",IF(AZ163&lt;=Assumptions!$I$21,"Exceeds","Star Performer")))))</f>
        <v>Exceeds</v>
      </c>
      <c r="BB163" s="0" t="n">
        <f aca="false">IF(AZ163="",0,IF(AZ163&gt;=Assumptions!$I$26,1,0))</f>
        <v>1</v>
      </c>
      <c r="BC163" s="9" t="n">
        <f aca="false">IF(AL163="",2,AL163+2)</f>
        <v>3</v>
      </c>
      <c r="BD163" s="10" t="n">
        <f aca="false">IF(AM163="",ROUND(AVERAGE($AM$2:$AM$921),3),AM163)</f>
        <v>0.447</v>
      </c>
      <c r="BE163" s="9" t="n">
        <f aca="false">1-BD163</f>
        <v>0.553</v>
      </c>
    </row>
    <row r="164" customFormat="false" ht="14.25" hidden="true" customHeight="false" outlineLevel="0" collapsed="false">
      <c r="A164" s="4" t="n">
        <v>349</v>
      </c>
      <c r="B164" s="5" t="n">
        <v>37100261</v>
      </c>
      <c r="C164" s="5" t="s">
        <v>85</v>
      </c>
      <c r="D164" s="5" t="s">
        <v>980</v>
      </c>
      <c r="E164" s="5" t="s">
        <v>185</v>
      </c>
      <c r="F164" s="5" t="s">
        <v>192</v>
      </c>
      <c r="G164" s="5" t="s">
        <v>191</v>
      </c>
      <c r="H164" s="5" t="s">
        <v>192</v>
      </c>
      <c r="I164" s="5" t="s">
        <v>63</v>
      </c>
      <c r="J164" s="5" t="s">
        <v>76</v>
      </c>
      <c r="K164" s="5" t="s">
        <v>65</v>
      </c>
      <c r="L164" s="6" t="n">
        <v>38268</v>
      </c>
      <c r="M164" s="5" t="s">
        <v>874</v>
      </c>
      <c r="N164" s="6" t="n">
        <v>28145</v>
      </c>
      <c r="O164" s="5" t="s">
        <v>162</v>
      </c>
      <c r="P164" s="5" t="s">
        <v>162</v>
      </c>
      <c r="Q164" s="5" t="s">
        <v>155</v>
      </c>
      <c r="R164" s="5" t="s">
        <v>981</v>
      </c>
      <c r="S164" s="5" t="s">
        <v>375</v>
      </c>
      <c r="T164" s="6" t="n">
        <v>38808</v>
      </c>
      <c r="U164" s="6" t="n">
        <v>46113</v>
      </c>
      <c r="V164" s="5" t="s">
        <v>141</v>
      </c>
      <c r="W164" s="5" t="s">
        <v>141</v>
      </c>
      <c r="X164" s="5" t="s">
        <v>141</v>
      </c>
      <c r="Y164" s="5" t="s">
        <v>141</v>
      </c>
      <c r="Z164" s="5" t="s">
        <v>141</v>
      </c>
      <c r="AA164" s="5" t="s">
        <v>982</v>
      </c>
      <c r="AB164" s="0" t="n">
        <f aca="false">IFERROR(VALUE(R164),0)</f>
        <v>0.11</v>
      </c>
      <c r="AC164" s="0" t="n">
        <f aca="false">IFERROR(VALUE(M164),"")</f>
        <v>49.4</v>
      </c>
      <c r="AD164" s="0" t="n">
        <f aca="false">IFERROR(VALUE(Q164),"")</f>
        <v>21.8</v>
      </c>
      <c r="AE164" s="0" t="n">
        <f aca="false">IFERROR(VALUE(S164),"")</f>
        <v>22.7</v>
      </c>
      <c r="AF164" s="0" t="n">
        <f aca="false">IF(V164="","",VLOOKUP(V164,Assumptions!$B$6:$C$9,2,FALSE()))</f>
        <v>3</v>
      </c>
      <c r="AG164" s="0" t="n">
        <f aca="false">IF(W164="","",VLOOKUP(W164,Assumptions!$B$6:$C$9,2,FALSE()))</f>
        <v>3</v>
      </c>
      <c r="AH164" s="0" t="n">
        <f aca="false">IF(X164="","",VLOOKUP(X164,Assumptions!$B$6:$C$9,2,FALSE()))</f>
        <v>3</v>
      </c>
      <c r="AI164" s="0" t="n">
        <f aca="false">IF(Y164="","",VLOOKUP(Y164,Assumptions!$B$6:$C$9,2,FALSE()))</f>
        <v>3</v>
      </c>
      <c r="AJ164" s="0" t="n">
        <f aca="false">IF(Z164="","",VLOOKUP(Z164,Assumptions!$B$6:$C$9,2,FALSE()))</f>
        <v>3</v>
      </c>
      <c r="AK164" s="7" t="n">
        <f aca="false">IFERROR(ROUND(AVERAGE(AF164:AJ164),3),"")</f>
        <v>3</v>
      </c>
      <c r="AL164" s="7" t="n">
        <f aca="false">IF(OR(AF164="",AJ164=""),"",AJ164-AF164)</f>
        <v>0</v>
      </c>
      <c r="AM164" s="7" t="n">
        <f aca="false">IF(COUNT(AF164:AJ164)&gt;=2,ROUND(_xlfn.STDEV.S(AF164:AJ164),3),"")</f>
        <v>0</v>
      </c>
      <c r="AN164" s="7" t="n">
        <f aca="false">ROUND((IF(AF164="",0,AF164)*Assumptions!$F$15)+(IF(AG164="",0,AG164)*Assumptions!$F$16)+(IF(AH164="",0,AH164)*Assumptions!$F$17)+(IF(AI164="",0,AI164)*Assumptions!$F$18)+(IF(AJ164="",0,AJ164)*Assumptions!$F$19),3)</f>
        <v>3</v>
      </c>
      <c r="AO164" s="0" t="str">
        <f aca="false">IF(AC164&lt;=20,"",IF(AC164&lt;=Assumptions!$F$6,"20-30",IF(AC164&lt;=Assumptions!$F$7,"30-40",IF(AC164&lt;=Assumptions!$F$8,"40-50",IF(AC164&lt;=Assumptions!$F$9,"50-60",IF(AC164&lt;=Assumptions!$F$10,"60+",""))))))</f>
        <v>40-50</v>
      </c>
      <c r="AP164" s="0" t="str">
        <f aca="false">IFERROR(VLOOKUP(O164,Assumptions!$B$14:$C$26,2,FALSE()),"Other")</f>
        <v>Manager</v>
      </c>
      <c r="AQ164" s="0" t="n">
        <f aca="false">IF(T164="",0,1)</f>
        <v>1</v>
      </c>
      <c r="AR164" s="0" t="n">
        <f aca="false">IF(U164="",0,1)</f>
        <v>1</v>
      </c>
      <c r="AS164" s="8" t="n">
        <f aca="false">IF(AK164="","",IF(MAX($AK$2:$AK$921)=MIN($AK$2:$AK$921),50,ROUND((AK164-MIN($AK$2:$AK$921))/(MAX($AK$2:$AK$921)-MIN($AK$2:$AK$921))*100,2)))</f>
        <v>57.14</v>
      </c>
      <c r="AT164" s="8" t="n">
        <f aca="false">IF(MAX($BC$2:$BC$921)=MIN($BC$2:$BC$921),50,ROUND((BC164-MIN($BC$2:$BC$921))/(MAX($BC$2:$BC$921)-MIN($BC$2:$BC$921))*100,2))</f>
        <v>50</v>
      </c>
      <c r="AU164" s="8" t="n">
        <f aca="false">IF(MAX($BE$2:$BE$921)=MIN($BE$2:$BE$921),50,ROUND((BE164-MIN($BE$2:$BE$921))/(MAX($BE$2:$BE$921)-MIN($BE$2:$BE$921))*100,2))</f>
        <v>100</v>
      </c>
      <c r="AV164" s="8" t="n">
        <f aca="false">IF(MAX($AD$2:$AD$921)=MIN($AD$2:$AD$921),50,ROUND((AD164-MIN($AD$2:$AD$921))/(MAX($AD$2:$AD$921)-MIN($AD$2:$AD$921))*100,2))</f>
        <v>58.96</v>
      </c>
      <c r="AW164" s="8" t="n">
        <f aca="false">IF(MAX($AN$2:$AN$921)=MIN($AN$2:$AN$921),50,ROUND((AN164-MIN($AN$2:$AN$921))/(MAX($AN$2:$AN$921)-MIN($AN$2:$AN$921))*100,2))</f>
        <v>75</v>
      </c>
      <c r="AX164" s="8" t="n">
        <f aca="false">AQ164*100</f>
        <v>100</v>
      </c>
      <c r="AY164" s="8" t="n">
        <f aca="false">AR164*100</f>
        <v>100</v>
      </c>
      <c r="AZ164" s="8" t="n">
        <f aca="false">IFERROR(ROUND(AS164*Assumptions!$I$6+AW164*Assumptions!$I$7+AT164*Assumptions!$I$8+AU164*Assumptions!$I$9+AV164*Assumptions!$I$10+AX164*Assumptions!$I$11+AY164*Assumptions!$I$12,2),"")</f>
        <v>70.54</v>
      </c>
      <c r="BA164" s="0" t="str">
        <f aca="false">IF(AZ164="","",IF(AZ164&lt;=Assumptions!$I$18,"Below Expectation",IF(AZ164&lt;=Assumptions!$I$19,"Developing",IF(AZ164&lt;=Assumptions!$I$20,"Meets Expectation",IF(AZ164&lt;=Assumptions!$I$21,"Exceeds","Star Performer")))))</f>
        <v>Exceeds</v>
      </c>
      <c r="BB164" s="0" t="n">
        <f aca="false">IF(AZ164="",0,IF(AZ164&gt;=Assumptions!$I$26,1,0))</f>
        <v>1</v>
      </c>
      <c r="BC164" s="9" t="n">
        <f aca="false">IF(AL164="",2,AL164+2)</f>
        <v>2</v>
      </c>
      <c r="BD164" s="10" t="n">
        <f aca="false">IF(AM164="",ROUND(AVERAGE($AM$2:$AM$921),3),AM164)</f>
        <v>0</v>
      </c>
      <c r="BE164" s="9" t="n">
        <f aca="false">1-BD164</f>
        <v>1</v>
      </c>
    </row>
    <row r="165" customFormat="false" ht="14.25" hidden="true" customHeight="false" outlineLevel="0" collapsed="false">
      <c r="A165" s="4" t="n">
        <v>67</v>
      </c>
      <c r="B165" s="5" t="n">
        <v>10020807</v>
      </c>
      <c r="C165" s="5" t="s">
        <v>57</v>
      </c>
      <c r="D165" s="5" t="s">
        <v>983</v>
      </c>
      <c r="E165" s="5" t="s">
        <v>299</v>
      </c>
      <c r="F165" s="5" t="s">
        <v>209</v>
      </c>
      <c r="G165" s="5" t="s">
        <v>210</v>
      </c>
      <c r="H165" s="5" t="s">
        <v>209</v>
      </c>
      <c r="I165" s="5" t="s">
        <v>63</v>
      </c>
      <c r="J165" s="5" t="s">
        <v>100</v>
      </c>
      <c r="K165" s="5" t="s">
        <v>65</v>
      </c>
      <c r="L165" s="6" t="n">
        <v>39204</v>
      </c>
      <c r="M165" s="5" t="s">
        <v>515</v>
      </c>
      <c r="N165" s="6" t="n">
        <v>28947</v>
      </c>
      <c r="O165" s="5" t="s">
        <v>262</v>
      </c>
      <c r="P165" s="5" t="s">
        <v>263</v>
      </c>
      <c r="Q165" s="5" t="s">
        <v>171</v>
      </c>
      <c r="R165" s="5" t="s">
        <v>726</v>
      </c>
      <c r="S165" s="5" t="s">
        <v>984</v>
      </c>
      <c r="T165" s="6"/>
      <c r="U165" s="6" t="n">
        <v>44470</v>
      </c>
      <c r="V165" s="5" t="s">
        <v>83</v>
      </c>
      <c r="W165" s="5" t="s">
        <v>83</v>
      </c>
      <c r="X165" s="5" t="s">
        <v>141</v>
      </c>
      <c r="Y165" s="5" t="s">
        <v>141</v>
      </c>
      <c r="Z165" s="5" t="s">
        <v>83</v>
      </c>
      <c r="AA165" s="5" t="s">
        <v>985</v>
      </c>
      <c r="AB165" s="0" t="n">
        <f aca="false">IFERROR(VALUE(R165),0)</f>
        <v>5.5</v>
      </c>
      <c r="AC165" s="0" t="n">
        <f aca="false">IFERROR(VALUE(M165),"")</f>
        <v>47.2</v>
      </c>
      <c r="AD165" s="0" t="n">
        <f aca="false">IFERROR(VALUE(Q165),"")</f>
        <v>19.1</v>
      </c>
      <c r="AE165" s="0" t="n">
        <f aca="false">IFERROR(VALUE(S165),"")</f>
        <v>24.6</v>
      </c>
      <c r="AF165" s="0" t="n">
        <f aca="false">IF(V165="","",VLOOKUP(V165,Assumptions!$B$6:$C$9,2,FALSE()))</f>
        <v>4</v>
      </c>
      <c r="AG165" s="0" t="n">
        <f aca="false">IF(W165="","",VLOOKUP(W165,Assumptions!$B$6:$C$9,2,FALSE()))</f>
        <v>4</v>
      </c>
      <c r="AH165" s="0" t="n">
        <f aca="false">IF(X165="","",VLOOKUP(X165,Assumptions!$B$6:$C$9,2,FALSE()))</f>
        <v>3</v>
      </c>
      <c r="AI165" s="0" t="n">
        <f aca="false">IF(Y165="","",VLOOKUP(Y165,Assumptions!$B$6:$C$9,2,FALSE()))</f>
        <v>3</v>
      </c>
      <c r="AJ165" s="0" t="n">
        <f aca="false">IF(Z165="","",VLOOKUP(Z165,Assumptions!$B$6:$C$9,2,FALSE()))</f>
        <v>4</v>
      </c>
      <c r="AK165" s="7" t="n">
        <f aca="false">IFERROR(ROUND(AVERAGE(AF165:AJ165),3),"")</f>
        <v>3.6</v>
      </c>
      <c r="AL165" s="7" t="n">
        <f aca="false">IF(OR(AF165="",AJ165=""),"",AJ165-AF165)</f>
        <v>0</v>
      </c>
      <c r="AM165" s="7" t="n">
        <f aca="false">IF(COUNT(AF165:AJ165)&gt;=2,ROUND(_xlfn.STDEV.S(AF165:AJ165),3),"")</f>
        <v>0.548</v>
      </c>
      <c r="AN165" s="7" t="n">
        <f aca="false">ROUND((IF(AF165="",0,AF165)*Assumptions!$F$15)+(IF(AG165="",0,AG165)*Assumptions!$F$16)+(IF(AH165="",0,AH165)*Assumptions!$F$17)+(IF(AI165="",0,AI165)*Assumptions!$F$18)+(IF(AJ165="",0,AJ165)*Assumptions!$F$19),3)</f>
        <v>3.55</v>
      </c>
      <c r="AO165" s="0" t="str">
        <f aca="false">IF(AC165&lt;=20,"",IF(AC165&lt;=Assumptions!$F$6,"20-30",IF(AC165&lt;=Assumptions!$F$7,"30-40",IF(AC165&lt;=Assumptions!$F$8,"40-50",IF(AC165&lt;=Assumptions!$F$9,"50-60",IF(AC165&lt;=Assumptions!$F$10,"60+",""))))))</f>
        <v>40-50</v>
      </c>
      <c r="AP165" s="0" t="str">
        <f aca="false">IFERROR(VLOOKUP(O165,Assumptions!$B$14:$C$26,2,FALSE()),"Other")</f>
        <v>Manager</v>
      </c>
      <c r="AQ165" s="0" t="n">
        <f aca="false">IF(T165="",0,1)</f>
        <v>0</v>
      </c>
      <c r="AR165" s="0" t="n">
        <f aca="false">IF(U165="",0,1)</f>
        <v>1</v>
      </c>
      <c r="AS165" s="8" t="n">
        <f aca="false">IF(AK165="","",IF(MAX($AK$2:$AK$921)=MIN($AK$2:$AK$921),50,ROUND((AK165-MIN($AK$2:$AK$921))/(MAX($AK$2:$AK$921)-MIN($AK$2:$AK$921))*100,2)))</f>
        <v>82.85</v>
      </c>
      <c r="AT165" s="8" t="n">
        <f aca="false">IF(MAX($BC$2:$BC$921)=MIN($BC$2:$BC$921),50,ROUND((BC165-MIN($BC$2:$BC$921))/(MAX($BC$2:$BC$921)-MIN($BC$2:$BC$921))*100,2))</f>
        <v>50</v>
      </c>
      <c r="AU165" s="8" t="n">
        <f aca="false">IF(MAX($BE$2:$BE$921)=MIN($BE$2:$BE$921),50,ROUND((BE165-MIN($BE$2:$BE$921))/(MAX($BE$2:$BE$921)-MIN($BE$2:$BE$921))*100,2))</f>
        <v>68.36</v>
      </c>
      <c r="AV165" s="8" t="n">
        <f aca="false">IF(MAX($AD$2:$AD$921)=MIN($AD$2:$AD$921),50,ROUND((AD165-MIN($AD$2:$AD$921))/(MAX($AD$2:$AD$921)-MIN($AD$2:$AD$921))*100,2))</f>
        <v>51.62</v>
      </c>
      <c r="AW165" s="8" t="n">
        <f aca="false">IF(MAX($AN$2:$AN$921)=MIN($AN$2:$AN$921),50,ROUND((AN165-MIN($AN$2:$AN$921))/(MAX($AN$2:$AN$921)-MIN($AN$2:$AN$921))*100,2))</f>
        <v>88.75</v>
      </c>
      <c r="AX165" s="8" t="n">
        <f aca="false">AQ165*100</f>
        <v>0</v>
      </c>
      <c r="AY165" s="8" t="n">
        <f aca="false">AR165*100</f>
        <v>100</v>
      </c>
      <c r="AZ165" s="8" t="n">
        <f aca="false">IFERROR(ROUND(AS165*Assumptions!$I$6+AW165*Assumptions!$I$7+AT165*Assumptions!$I$8+AU165*Assumptions!$I$9+AV165*Assumptions!$I$10+AX165*Assumptions!$I$11+AY165*Assumptions!$I$12,2),"")</f>
        <v>70.52</v>
      </c>
      <c r="BA165" s="0" t="str">
        <f aca="false">IF(AZ165="","",IF(AZ165&lt;=Assumptions!$I$18,"Below Expectation",IF(AZ165&lt;=Assumptions!$I$19,"Developing",IF(AZ165&lt;=Assumptions!$I$20,"Meets Expectation",IF(AZ165&lt;=Assumptions!$I$21,"Exceeds","Star Performer")))))</f>
        <v>Exceeds</v>
      </c>
      <c r="BB165" s="0" t="n">
        <f aca="false">IF(AZ165="",0,IF(AZ165&gt;=Assumptions!$I$26,1,0))</f>
        <v>1</v>
      </c>
      <c r="BC165" s="9" t="n">
        <f aca="false">IF(AL165="",2,AL165+2)</f>
        <v>2</v>
      </c>
      <c r="BD165" s="10" t="n">
        <f aca="false">IF(AM165="",ROUND(AVERAGE($AM$2:$AM$921),3),AM165)</f>
        <v>0.548</v>
      </c>
      <c r="BE165" s="9" t="n">
        <f aca="false">1-BD165</f>
        <v>0.452</v>
      </c>
    </row>
    <row r="166" customFormat="false" ht="14.25" hidden="true" customHeight="false" outlineLevel="0" collapsed="false">
      <c r="A166" s="4" t="n">
        <v>41</v>
      </c>
      <c r="B166" s="5" t="n">
        <v>10005338</v>
      </c>
      <c r="C166" s="5" t="s">
        <v>85</v>
      </c>
      <c r="D166" s="5" t="s">
        <v>986</v>
      </c>
      <c r="E166" s="5" t="s">
        <v>836</v>
      </c>
      <c r="F166" s="5" t="s">
        <v>236</v>
      </c>
      <c r="G166" s="5" t="s">
        <v>237</v>
      </c>
      <c r="H166" s="5" t="s">
        <v>238</v>
      </c>
      <c r="I166" s="5" t="s">
        <v>63</v>
      </c>
      <c r="J166" s="5" t="s">
        <v>76</v>
      </c>
      <c r="K166" s="5" t="s">
        <v>65</v>
      </c>
      <c r="L166" s="6" t="n">
        <v>38285</v>
      </c>
      <c r="M166" s="5" t="s">
        <v>795</v>
      </c>
      <c r="N166" s="6" t="n">
        <v>27764</v>
      </c>
      <c r="O166" s="5" t="s">
        <v>162</v>
      </c>
      <c r="P166" s="5" t="s">
        <v>162</v>
      </c>
      <c r="Q166" s="5" t="s">
        <v>163</v>
      </c>
      <c r="R166" s="5" t="s">
        <v>987</v>
      </c>
      <c r="S166" s="5" t="s">
        <v>988</v>
      </c>
      <c r="T166" s="6" t="n">
        <v>43206</v>
      </c>
      <c r="U166" s="6" t="n">
        <v>44440</v>
      </c>
      <c r="V166" s="5" t="s">
        <v>141</v>
      </c>
      <c r="W166" s="5" t="s">
        <v>141</v>
      </c>
      <c r="X166" s="5" t="s">
        <v>141</v>
      </c>
      <c r="Y166" s="5" t="s">
        <v>141</v>
      </c>
      <c r="Z166" s="5" t="s">
        <v>141</v>
      </c>
      <c r="AA166" s="5" t="s">
        <v>989</v>
      </c>
      <c r="AB166" s="0" t="n">
        <f aca="false">IFERROR(VALUE(R166),0)</f>
        <v>5.1</v>
      </c>
      <c r="AC166" s="0" t="n">
        <f aca="false">IFERROR(VALUE(M166),"")</f>
        <v>50.5</v>
      </c>
      <c r="AD166" s="0" t="n">
        <f aca="false">IFERROR(VALUE(Q166),"")</f>
        <v>21.7</v>
      </c>
      <c r="AE166" s="0" t="n">
        <f aca="false">IFERROR(VALUE(S166),"")</f>
        <v>27.5</v>
      </c>
      <c r="AF166" s="0" t="n">
        <f aca="false">IF(V166="","",VLOOKUP(V166,Assumptions!$B$6:$C$9,2,FALSE()))</f>
        <v>3</v>
      </c>
      <c r="AG166" s="0" t="n">
        <f aca="false">IF(W166="","",VLOOKUP(W166,Assumptions!$B$6:$C$9,2,FALSE()))</f>
        <v>3</v>
      </c>
      <c r="AH166" s="0" t="n">
        <f aca="false">IF(X166="","",VLOOKUP(X166,Assumptions!$B$6:$C$9,2,FALSE()))</f>
        <v>3</v>
      </c>
      <c r="AI166" s="0" t="n">
        <f aca="false">IF(Y166="","",VLOOKUP(Y166,Assumptions!$B$6:$C$9,2,FALSE()))</f>
        <v>3</v>
      </c>
      <c r="AJ166" s="0" t="n">
        <f aca="false">IF(Z166="","",VLOOKUP(Z166,Assumptions!$B$6:$C$9,2,FALSE()))</f>
        <v>3</v>
      </c>
      <c r="AK166" s="7" t="n">
        <f aca="false">IFERROR(ROUND(AVERAGE(AF166:AJ166),3),"")</f>
        <v>3</v>
      </c>
      <c r="AL166" s="7" t="n">
        <f aca="false">IF(OR(AF166="",AJ166=""),"",AJ166-AF166)</f>
        <v>0</v>
      </c>
      <c r="AM166" s="7" t="n">
        <f aca="false">IF(COUNT(AF166:AJ166)&gt;=2,ROUND(_xlfn.STDEV.S(AF166:AJ166),3),"")</f>
        <v>0</v>
      </c>
      <c r="AN166" s="7" t="n">
        <f aca="false">ROUND((IF(AF166="",0,AF166)*Assumptions!$F$15)+(IF(AG166="",0,AG166)*Assumptions!$F$16)+(IF(AH166="",0,AH166)*Assumptions!$F$17)+(IF(AI166="",0,AI166)*Assumptions!$F$18)+(IF(AJ166="",0,AJ166)*Assumptions!$F$19),3)</f>
        <v>3</v>
      </c>
      <c r="AO166" s="0" t="str">
        <f aca="false">IF(AC166&lt;=20,"",IF(AC166&lt;=Assumptions!$F$6,"20-30",IF(AC166&lt;=Assumptions!$F$7,"30-40",IF(AC166&lt;=Assumptions!$F$8,"40-50",IF(AC166&lt;=Assumptions!$F$9,"50-60",IF(AC166&lt;=Assumptions!$F$10,"60+",""))))))</f>
        <v>50-60</v>
      </c>
      <c r="AP166" s="0" t="str">
        <f aca="false">IFERROR(VLOOKUP(O166,Assumptions!$B$14:$C$26,2,FALSE()),"Other")</f>
        <v>Manager</v>
      </c>
      <c r="AQ166" s="0" t="n">
        <f aca="false">IF(T166="",0,1)</f>
        <v>1</v>
      </c>
      <c r="AR166" s="0" t="n">
        <f aca="false">IF(U166="",0,1)</f>
        <v>1</v>
      </c>
      <c r="AS166" s="8" t="n">
        <f aca="false">IF(AK166="","",IF(MAX($AK$2:$AK$921)=MIN($AK$2:$AK$921),50,ROUND((AK166-MIN($AK$2:$AK$921))/(MAX($AK$2:$AK$921)-MIN($AK$2:$AK$921))*100,2)))</f>
        <v>57.14</v>
      </c>
      <c r="AT166" s="8" t="n">
        <f aca="false">IF(MAX($BC$2:$BC$921)=MIN($BC$2:$BC$921),50,ROUND((BC166-MIN($BC$2:$BC$921))/(MAX($BC$2:$BC$921)-MIN($BC$2:$BC$921))*100,2))</f>
        <v>50</v>
      </c>
      <c r="AU166" s="8" t="n">
        <f aca="false">IF(MAX($BE$2:$BE$921)=MIN($BE$2:$BE$921),50,ROUND((BE166-MIN($BE$2:$BE$921))/(MAX($BE$2:$BE$921)-MIN($BE$2:$BE$921))*100,2))</f>
        <v>100</v>
      </c>
      <c r="AV166" s="8" t="n">
        <f aca="false">IF(MAX($AD$2:$AD$921)=MIN($AD$2:$AD$921),50,ROUND((AD166-MIN($AD$2:$AD$921))/(MAX($AD$2:$AD$921)-MIN($AD$2:$AD$921))*100,2))</f>
        <v>58.68</v>
      </c>
      <c r="AW166" s="8" t="n">
        <f aca="false">IF(MAX($AN$2:$AN$921)=MIN($AN$2:$AN$921),50,ROUND((AN166-MIN($AN$2:$AN$921))/(MAX($AN$2:$AN$921)-MIN($AN$2:$AN$921))*100,2))</f>
        <v>75</v>
      </c>
      <c r="AX166" s="8" t="n">
        <f aca="false">AQ166*100</f>
        <v>100</v>
      </c>
      <c r="AY166" s="8" t="n">
        <f aca="false">AR166*100</f>
        <v>100</v>
      </c>
      <c r="AZ166" s="8" t="n">
        <f aca="false">IFERROR(ROUND(AS166*Assumptions!$I$6+AW166*Assumptions!$I$7+AT166*Assumptions!$I$8+AU166*Assumptions!$I$9+AV166*Assumptions!$I$10+AX166*Assumptions!$I$11+AY166*Assumptions!$I$12,2),"")</f>
        <v>70.51</v>
      </c>
      <c r="BA166" s="0" t="str">
        <f aca="false">IF(AZ166="","",IF(AZ166&lt;=Assumptions!$I$18,"Below Expectation",IF(AZ166&lt;=Assumptions!$I$19,"Developing",IF(AZ166&lt;=Assumptions!$I$20,"Meets Expectation",IF(AZ166&lt;=Assumptions!$I$21,"Exceeds","Star Performer")))))</f>
        <v>Exceeds</v>
      </c>
      <c r="BB166" s="0" t="n">
        <f aca="false">IF(AZ166="",0,IF(AZ166&gt;=Assumptions!$I$26,1,0))</f>
        <v>1</v>
      </c>
      <c r="BC166" s="9" t="n">
        <f aca="false">IF(AL166="",2,AL166+2)</f>
        <v>2</v>
      </c>
      <c r="BD166" s="10" t="n">
        <f aca="false">IF(AM166="",ROUND(AVERAGE($AM$2:$AM$921),3),AM166)</f>
        <v>0</v>
      </c>
      <c r="BE166" s="9" t="n">
        <f aca="false">1-BD166</f>
        <v>1</v>
      </c>
    </row>
    <row r="167" customFormat="false" ht="14.25" hidden="true" customHeight="false" outlineLevel="0" collapsed="false">
      <c r="A167" s="4" t="n">
        <v>78</v>
      </c>
      <c r="B167" s="5" t="n">
        <v>10023070</v>
      </c>
      <c r="C167" s="5" t="s">
        <v>57</v>
      </c>
      <c r="D167" s="5" t="s">
        <v>990</v>
      </c>
      <c r="E167" s="5" t="s">
        <v>299</v>
      </c>
      <c r="F167" s="5" t="s">
        <v>209</v>
      </c>
      <c r="G167" s="5" t="s">
        <v>210</v>
      </c>
      <c r="H167" s="5" t="s">
        <v>209</v>
      </c>
      <c r="I167" s="5" t="s">
        <v>63</v>
      </c>
      <c r="J167" s="5" t="s">
        <v>100</v>
      </c>
      <c r="K167" s="5" t="s">
        <v>65</v>
      </c>
      <c r="L167" s="6" t="n">
        <v>39293</v>
      </c>
      <c r="M167" s="5" t="s">
        <v>874</v>
      </c>
      <c r="N167" s="6" t="n">
        <v>28154</v>
      </c>
      <c r="O167" s="5" t="s">
        <v>262</v>
      </c>
      <c r="P167" s="5" t="s">
        <v>263</v>
      </c>
      <c r="Q167" s="5" t="s">
        <v>655</v>
      </c>
      <c r="R167" s="5" t="s">
        <v>546</v>
      </c>
      <c r="S167" s="5" t="s">
        <v>187</v>
      </c>
      <c r="T167" s="6"/>
      <c r="U167" s="6" t="n">
        <v>44652</v>
      </c>
      <c r="V167" s="5" t="s">
        <v>141</v>
      </c>
      <c r="W167" s="5" t="s">
        <v>83</v>
      </c>
      <c r="X167" s="5" t="s">
        <v>83</v>
      </c>
      <c r="Y167" s="5" t="s">
        <v>83</v>
      </c>
      <c r="Z167" s="5" t="s">
        <v>141</v>
      </c>
      <c r="AA167" s="5" t="s">
        <v>991</v>
      </c>
      <c r="AB167" s="0" t="n">
        <f aca="false">IFERROR(VALUE(R167),0)</f>
        <v>9.1</v>
      </c>
      <c r="AC167" s="0" t="n">
        <f aca="false">IFERROR(VALUE(M167),"")</f>
        <v>49.4</v>
      </c>
      <c r="AD167" s="0" t="n">
        <f aca="false">IFERROR(VALUE(Q167),"")</f>
        <v>18.1</v>
      </c>
      <c r="AE167" s="0" t="n">
        <f aca="false">IFERROR(VALUE(S167),"")</f>
        <v>28.8</v>
      </c>
      <c r="AF167" s="0" t="n">
        <f aca="false">IF(V167="","",VLOOKUP(V167,Assumptions!$B$6:$C$9,2,FALSE()))</f>
        <v>3</v>
      </c>
      <c r="AG167" s="0" t="n">
        <f aca="false">IF(W167="","",VLOOKUP(W167,Assumptions!$B$6:$C$9,2,FALSE()))</f>
        <v>4</v>
      </c>
      <c r="AH167" s="0" t="n">
        <f aca="false">IF(X167="","",VLOOKUP(X167,Assumptions!$B$6:$C$9,2,FALSE()))</f>
        <v>4</v>
      </c>
      <c r="AI167" s="0" t="n">
        <f aca="false">IF(Y167="","",VLOOKUP(Y167,Assumptions!$B$6:$C$9,2,FALSE()))</f>
        <v>4</v>
      </c>
      <c r="AJ167" s="0" t="n">
        <f aca="false">IF(Z167="","",VLOOKUP(Z167,Assumptions!$B$6:$C$9,2,FALSE()))</f>
        <v>3</v>
      </c>
      <c r="AK167" s="7" t="n">
        <f aca="false">IFERROR(ROUND(AVERAGE(AF167:AJ167),3),"")</f>
        <v>3.6</v>
      </c>
      <c r="AL167" s="7" t="n">
        <f aca="false">IF(OR(AF167="",AJ167=""),"",AJ167-AF167)</f>
        <v>0</v>
      </c>
      <c r="AM167" s="7" t="n">
        <f aca="false">IF(COUNT(AF167:AJ167)&gt;=2,ROUND(_xlfn.STDEV.S(AF167:AJ167),3),"")</f>
        <v>0.548</v>
      </c>
      <c r="AN167" s="7" t="n">
        <f aca="false">ROUND((IF(AF167="",0,AF167)*Assumptions!$F$15)+(IF(AG167="",0,AG167)*Assumptions!$F$16)+(IF(AH167="",0,AH167)*Assumptions!$F$17)+(IF(AI167="",0,AI167)*Assumptions!$F$18)+(IF(AJ167="",0,AJ167)*Assumptions!$F$19),3)</f>
        <v>3.6</v>
      </c>
      <c r="AO167" s="0" t="str">
        <f aca="false">IF(AC167&lt;=20,"",IF(AC167&lt;=Assumptions!$F$6,"20-30",IF(AC167&lt;=Assumptions!$F$7,"30-40",IF(AC167&lt;=Assumptions!$F$8,"40-50",IF(AC167&lt;=Assumptions!$F$9,"50-60",IF(AC167&lt;=Assumptions!$F$10,"60+",""))))))</f>
        <v>40-50</v>
      </c>
      <c r="AP167" s="0" t="str">
        <f aca="false">IFERROR(VLOOKUP(O167,Assumptions!$B$14:$C$26,2,FALSE()),"Other")</f>
        <v>Manager</v>
      </c>
      <c r="AQ167" s="0" t="n">
        <f aca="false">IF(T167="",0,1)</f>
        <v>0</v>
      </c>
      <c r="AR167" s="0" t="n">
        <f aca="false">IF(U167="",0,1)</f>
        <v>1</v>
      </c>
      <c r="AS167" s="8" t="n">
        <f aca="false">IF(AK167="","",IF(MAX($AK$2:$AK$921)=MIN($AK$2:$AK$921),50,ROUND((AK167-MIN($AK$2:$AK$921))/(MAX($AK$2:$AK$921)-MIN($AK$2:$AK$921))*100,2)))</f>
        <v>82.85</v>
      </c>
      <c r="AT167" s="8" t="n">
        <f aca="false">IF(MAX($BC$2:$BC$921)=MIN($BC$2:$BC$921),50,ROUND((BC167-MIN($BC$2:$BC$921))/(MAX($BC$2:$BC$921)-MIN($BC$2:$BC$921))*100,2))</f>
        <v>50</v>
      </c>
      <c r="AU167" s="8" t="n">
        <f aca="false">IF(MAX($BE$2:$BE$921)=MIN($BE$2:$BE$921),50,ROUND((BE167-MIN($BE$2:$BE$921))/(MAX($BE$2:$BE$921)-MIN($BE$2:$BE$921))*100,2))</f>
        <v>68.36</v>
      </c>
      <c r="AV167" s="8" t="n">
        <f aca="false">IF(MAX($AD$2:$AD$921)=MIN($AD$2:$AD$921),50,ROUND((AD167-MIN($AD$2:$AD$921))/(MAX($AD$2:$AD$921)-MIN($AD$2:$AD$921))*100,2))</f>
        <v>48.9</v>
      </c>
      <c r="AW167" s="8" t="n">
        <f aca="false">IF(MAX($AN$2:$AN$921)=MIN($AN$2:$AN$921),50,ROUND((AN167-MIN($AN$2:$AN$921))/(MAX($AN$2:$AN$921)-MIN($AN$2:$AN$921))*100,2))</f>
        <v>90</v>
      </c>
      <c r="AX167" s="8" t="n">
        <f aca="false">AQ167*100</f>
        <v>0</v>
      </c>
      <c r="AY167" s="8" t="n">
        <f aca="false">AR167*100</f>
        <v>100</v>
      </c>
      <c r="AZ167" s="8" t="n">
        <f aca="false">IFERROR(ROUND(AS167*Assumptions!$I$6+AW167*Assumptions!$I$7+AT167*Assumptions!$I$8+AU167*Assumptions!$I$9+AV167*Assumptions!$I$10+AX167*Assumptions!$I$11+AY167*Assumptions!$I$12,2),"")</f>
        <v>70.5</v>
      </c>
      <c r="BA167" s="0" t="str">
        <f aca="false">IF(AZ167="","",IF(AZ167&lt;=Assumptions!$I$18,"Below Expectation",IF(AZ167&lt;=Assumptions!$I$19,"Developing",IF(AZ167&lt;=Assumptions!$I$20,"Meets Expectation",IF(AZ167&lt;=Assumptions!$I$21,"Exceeds","Star Performer")))))</f>
        <v>Exceeds</v>
      </c>
      <c r="BB167" s="0" t="n">
        <f aca="false">IF(AZ167="",0,IF(AZ167&gt;=Assumptions!$I$26,1,0))</f>
        <v>1</v>
      </c>
      <c r="BC167" s="9" t="n">
        <f aca="false">IF(AL167="",2,AL167+2)</f>
        <v>2</v>
      </c>
      <c r="BD167" s="10" t="n">
        <f aca="false">IF(AM167="",ROUND(AVERAGE($AM$2:$AM$921),3),AM167)</f>
        <v>0.548</v>
      </c>
      <c r="BE167" s="9" t="n">
        <f aca="false">1-BD167</f>
        <v>0.452</v>
      </c>
    </row>
    <row r="168" customFormat="false" ht="14.25" hidden="true" customHeight="false" outlineLevel="0" collapsed="false">
      <c r="A168" s="4" t="n">
        <v>150</v>
      </c>
      <c r="B168" s="5" t="n">
        <v>10046694</v>
      </c>
      <c r="C168" s="5" t="s">
        <v>149</v>
      </c>
      <c r="D168" s="5" t="s">
        <v>992</v>
      </c>
      <c r="E168" s="5" t="s">
        <v>449</v>
      </c>
      <c r="F168" s="5" t="s">
        <v>245</v>
      </c>
      <c r="G168" s="5" t="s">
        <v>246</v>
      </c>
      <c r="H168" s="5" t="s">
        <v>245</v>
      </c>
      <c r="I168" s="5" t="s">
        <v>63</v>
      </c>
      <c r="J168" s="5" t="s">
        <v>100</v>
      </c>
      <c r="K168" s="5" t="s">
        <v>65</v>
      </c>
      <c r="L168" s="6" t="n">
        <v>41946</v>
      </c>
      <c r="M168" s="5" t="s">
        <v>926</v>
      </c>
      <c r="N168" s="6" t="n">
        <v>32769</v>
      </c>
      <c r="O168" s="5" t="s">
        <v>162</v>
      </c>
      <c r="P168" s="5" t="s">
        <v>162</v>
      </c>
      <c r="Q168" s="5" t="s">
        <v>172</v>
      </c>
      <c r="R168" s="5" t="s">
        <v>115</v>
      </c>
      <c r="S168" s="5" t="s">
        <v>172</v>
      </c>
      <c r="T168" s="6" t="n">
        <v>43132</v>
      </c>
      <c r="U168" s="6" t="n">
        <v>45839</v>
      </c>
      <c r="V168" s="5" t="s">
        <v>141</v>
      </c>
      <c r="W168" s="5" t="s">
        <v>141</v>
      </c>
      <c r="X168" s="5" t="s">
        <v>83</v>
      </c>
      <c r="Y168" s="5" t="s">
        <v>83</v>
      </c>
      <c r="Z168" s="5" t="s">
        <v>141</v>
      </c>
      <c r="AA168" s="5" t="s">
        <v>993</v>
      </c>
      <c r="AB168" s="0" t="n">
        <f aca="false">IFERROR(VALUE(R168),0)</f>
        <v>0</v>
      </c>
      <c r="AC168" s="0" t="n">
        <f aca="false">IFERROR(VALUE(M168),"")</f>
        <v>36.8</v>
      </c>
      <c r="AD168" s="0" t="n">
        <f aca="false">IFERROR(VALUE(Q168),"")</f>
        <v>11.7</v>
      </c>
      <c r="AE168" s="0" t="n">
        <f aca="false">IFERROR(VALUE(S168),"")</f>
        <v>11.7</v>
      </c>
      <c r="AF168" s="0" t="n">
        <f aca="false">IF(V168="","",VLOOKUP(V168,Assumptions!$B$6:$C$9,2,FALSE()))</f>
        <v>3</v>
      </c>
      <c r="AG168" s="0" t="n">
        <f aca="false">IF(W168="","",VLOOKUP(W168,Assumptions!$B$6:$C$9,2,FALSE()))</f>
        <v>3</v>
      </c>
      <c r="AH168" s="0" t="n">
        <f aca="false">IF(X168="","",VLOOKUP(X168,Assumptions!$B$6:$C$9,2,FALSE()))</f>
        <v>4</v>
      </c>
      <c r="AI168" s="0" t="n">
        <f aca="false">IF(Y168="","",VLOOKUP(Y168,Assumptions!$B$6:$C$9,2,FALSE()))</f>
        <v>4</v>
      </c>
      <c r="AJ168" s="0" t="n">
        <f aca="false">IF(Z168="","",VLOOKUP(Z168,Assumptions!$B$6:$C$9,2,FALSE()))</f>
        <v>3</v>
      </c>
      <c r="AK168" s="7" t="n">
        <f aca="false">IFERROR(ROUND(AVERAGE(AF168:AJ168),3),"")</f>
        <v>3.4</v>
      </c>
      <c r="AL168" s="7" t="n">
        <f aca="false">IF(OR(AF168="",AJ168=""),"",AJ168-AF168)</f>
        <v>0</v>
      </c>
      <c r="AM168" s="7" t="n">
        <f aca="false">IF(COUNT(AF168:AJ168)&gt;=2,ROUND(_xlfn.STDEV.S(AF168:AJ168),3),"")</f>
        <v>0.548</v>
      </c>
      <c r="AN168" s="7" t="n">
        <f aca="false">ROUND((IF(AF168="",0,AF168)*Assumptions!$F$15)+(IF(AG168="",0,AG168)*Assumptions!$F$16)+(IF(AH168="",0,AH168)*Assumptions!$F$17)+(IF(AI168="",0,AI168)*Assumptions!$F$18)+(IF(AJ168="",0,AJ168)*Assumptions!$F$19),3)</f>
        <v>3.45</v>
      </c>
      <c r="AO168" s="0" t="str">
        <f aca="false">IF(AC168&lt;=20,"",IF(AC168&lt;=Assumptions!$F$6,"20-30",IF(AC168&lt;=Assumptions!$F$7,"30-40",IF(AC168&lt;=Assumptions!$F$8,"40-50",IF(AC168&lt;=Assumptions!$F$9,"50-60",IF(AC168&lt;=Assumptions!$F$10,"60+",""))))))</f>
        <v>30-40</v>
      </c>
      <c r="AP168" s="0" t="str">
        <f aca="false">IFERROR(VLOOKUP(O168,Assumptions!$B$14:$C$26,2,FALSE()),"Other")</f>
        <v>Manager</v>
      </c>
      <c r="AQ168" s="0" t="n">
        <f aca="false">IF(T168="",0,1)</f>
        <v>1</v>
      </c>
      <c r="AR168" s="0" t="n">
        <f aca="false">IF(U168="",0,1)</f>
        <v>1</v>
      </c>
      <c r="AS168" s="8" t="n">
        <f aca="false">IF(AK168="","",IF(MAX($AK$2:$AK$921)=MIN($AK$2:$AK$921),50,ROUND((AK168-MIN($AK$2:$AK$921))/(MAX($AK$2:$AK$921)-MIN($AK$2:$AK$921))*100,2)))</f>
        <v>74.28</v>
      </c>
      <c r="AT168" s="8" t="n">
        <f aca="false">IF(MAX($BC$2:$BC$921)=MIN($BC$2:$BC$921),50,ROUND((BC168-MIN($BC$2:$BC$921))/(MAX($BC$2:$BC$921)-MIN($BC$2:$BC$921))*100,2))</f>
        <v>50</v>
      </c>
      <c r="AU168" s="8" t="n">
        <f aca="false">IF(MAX($BE$2:$BE$921)=MIN($BE$2:$BE$921),50,ROUND((BE168-MIN($BE$2:$BE$921))/(MAX($BE$2:$BE$921)-MIN($BE$2:$BE$921))*100,2))</f>
        <v>68.36</v>
      </c>
      <c r="AV168" s="8" t="n">
        <f aca="false">IF(MAX($AD$2:$AD$921)=MIN($AD$2:$AD$921),50,ROUND((AD168-MIN($AD$2:$AD$921))/(MAX($AD$2:$AD$921)-MIN($AD$2:$AD$921))*100,2))</f>
        <v>31.5</v>
      </c>
      <c r="AW168" s="8" t="n">
        <f aca="false">IF(MAX($AN$2:$AN$921)=MIN($AN$2:$AN$921),50,ROUND((AN168-MIN($AN$2:$AN$921))/(MAX($AN$2:$AN$921)-MIN($AN$2:$AN$921))*100,2))</f>
        <v>86.25</v>
      </c>
      <c r="AX168" s="8" t="n">
        <f aca="false">AQ168*100</f>
        <v>100</v>
      </c>
      <c r="AY168" s="8" t="n">
        <f aca="false">AR168*100</f>
        <v>100</v>
      </c>
      <c r="AZ168" s="8" t="n">
        <f aca="false">IFERROR(ROUND(AS168*Assumptions!$I$6+AW168*Assumptions!$I$7+AT168*Assumptions!$I$8+AU168*Assumptions!$I$9+AV168*Assumptions!$I$10+AX168*Assumptions!$I$11+AY168*Assumptions!$I$12,2),"")</f>
        <v>70.44</v>
      </c>
      <c r="BA168" s="0" t="str">
        <f aca="false">IF(AZ168="","",IF(AZ168&lt;=Assumptions!$I$18,"Below Expectation",IF(AZ168&lt;=Assumptions!$I$19,"Developing",IF(AZ168&lt;=Assumptions!$I$20,"Meets Expectation",IF(AZ168&lt;=Assumptions!$I$21,"Exceeds","Star Performer")))))</f>
        <v>Exceeds</v>
      </c>
      <c r="BB168" s="0" t="n">
        <f aca="false">IF(AZ168="",0,IF(AZ168&gt;=Assumptions!$I$26,1,0))</f>
        <v>1</v>
      </c>
      <c r="BC168" s="9" t="n">
        <f aca="false">IF(AL168="",2,AL168+2)</f>
        <v>2</v>
      </c>
      <c r="BD168" s="10" t="n">
        <f aca="false">IF(AM168="",ROUND(AVERAGE($AM$2:$AM$921),3),AM168)</f>
        <v>0.548</v>
      </c>
      <c r="BE168" s="9" t="n">
        <f aca="false">1-BD168</f>
        <v>0.452</v>
      </c>
    </row>
    <row r="169" customFormat="false" ht="14.25" hidden="true" customHeight="false" outlineLevel="0" collapsed="false">
      <c r="A169" s="4" t="n">
        <v>44</v>
      </c>
      <c r="B169" s="5" t="n">
        <v>10007055</v>
      </c>
      <c r="C169" s="5" t="s">
        <v>85</v>
      </c>
      <c r="D169" s="5" t="s">
        <v>994</v>
      </c>
      <c r="E169" s="5" t="s">
        <v>315</v>
      </c>
      <c r="F169" s="5" t="s">
        <v>199</v>
      </c>
      <c r="G169" s="5" t="s">
        <v>200</v>
      </c>
      <c r="H169" s="5" t="s">
        <v>201</v>
      </c>
      <c r="I169" s="5" t="s">
        <v>63</v>
      </c>
      <c r="J169" s="5" t="s">
        <v>76</v>
      </c>
      <c r="K169" s="5" t="s">
        <v>65</v>
      </c>
      <c r="L169" s="6" t="n">
        <v>38443</v>
      </c>
      <c r="M169" s="5" t="s">
        <v>995</v>
      </c>
      <c r="N169" s="6" t="n">
        <v>27396</v>
      </c>
      <c r="O169" s="5" t="s">
        <v>262</v>
      </c>
      <c r="P169" s="5" t="s">
        <v>263</v>
      </c>
      <c r="Q169" s="5" t="s">
        <v>996</v>
      </c>
      <c r="R169" s="5" t="s">
        <v>997</v>
      </c>
      <c r="S169" s="5" t="s">
        <v>998</v>
      </c>
      <c r="T169" s="6" t="n">
        <v>41365</v>
      </c>
      <c r="U169" s="6" t="n">
        <v>44440</v>
      </c>
      <c r="V169" s="5" t="s">
        <v>141</v>
      </c>
      <c r="W169" s="5" t="s">
        <v>141</v>
      </c>
      <c r="X169" s="5" t="s">
        <v>141</v>
      </c>
      <c r="Y169" s="5" t="s">
        <v>141</v>
      </c>
      <c r="Z169" s="5" t="s">
        <v>141</v>
      </c>
      <c r="AA169" s="5" t="s">
        <v>999</v>
      </c>
      <c r="AB169" s="0" t="n">
        <f aca="false">IFERROR(VALUE(R169),0)</f>
        <v>5.11</v>
      </c>
      <c r="AC169" s="0" t="n">
        <f aca="false">IFERROR(VALUE(M169),"")</f>
        <v>51.5</v>
      </c>
      <c r="AD169" s="0" t="n">
        <f aca="false">IFERROR(VALUE(Q169),"")</f>
        <v>21.2</v>
      </c>
      <c r="AE169" s="0" t="n">
        <f aca="false">IFERROR(VALUE(S169),"")</f>
        <v>27.1</v>
      </c>
      <c r="AF169" s="0" t="n">
        <f aca="false">IF(V169="","",VLOOKUP(V169,Assumptions!$B$6:$C$9,2,FALSE()))</f>
        <v>3</v>
      </c>
      <c r="AG169" s="0" t="n">
        <f aca="false">IF(W169="","",VLOOKUP(W169,Assumptions!$B$6:$C$9,2,FALSE()))</f>
        <v>3</v>
      </c>
      <c r="AH169" s="0" t="n">
        <f aca="false">IF(X169="","",VLOOKUP(X169,Assumptions!$B$6:$C$9,2,FALSE()))</f>
        <v>3</v>
      </c>
      <c r="AI169" s="0" t="n">
        <f aca="false">IF(Y169="","",VLOOKUP(Y169,Assumptions!$B$6:$C$9,2,FALSE()))</f>
        <v>3</v>
      </c>
      <c r="AJ169" s="0" t="n">
        <f aca="false">IF(Z169="","",VLOOKUP(Z169,Assumptions!$B$6:$C$9,2,FALSE()))</f>
        <v>3</v>
      </c>
      <c r="AK169" s="7" t="n">
        <f aca="false">IFERROR(ROUND(AVERAGE(AF169:AJ169),3),"")</f>
        <v>3</v>
      </c>
      <c r="AL169" s="7" t="n">
        <f aca="false">IF(OR(AF169="",AJ169=""),"",AJ169-AF169)</f>
        <v>0</v>
      </c>
      <c r="AM169" s="7" t="n">
        <f aca="false">IF(COUNT(AF169:AJ169)&gt;=2,ROUND(_xlfn.STDEV.S(AF169:AJ169),3),"")</f>
        <v>0</v>
      </c>
      <c r="AN169" s="7" t="n">
        <f aca="false">ROUND((IF(AF169="",0,AF169)*Assumptions!$F$15)+(IF(AG169="",0,AG169)*Assumptions!$F$16)+(IF(AH169="",0,AH169)*Assumptions!$F$17)+(IF(AI169="",0,AI169)*Assumptions!$F$18)+(IF(AJ169="",0,AJ169)*Assumptions!$F$19),3)</f>
        <v>3</v>
      </c>
      <c r="AO169" s="0" t="str">
        <f aca="false">IF(AC169&lt;=20,"",IF(AC169&lt;=Assumptions!$F$6,"20-30",IF(AC169&lt;=Assumptions!$F$7,"30-40",IF(AC169&lt;=Assumptions!$F$8,"40-50",IF(AC169&lt;=Assumptions!$F$9,"50-60",IF(AC169&lt;=Assumptions!$F$10,"60+",""))))))</f>
        <v>50-60</v>
      </c>
      <c r="AP169" s="0" t="str">
        <f aca="false">IFERROR(VLOOKUP(O169,Assumptions!$B$14:$C$26,2,FALSE()),"Other")</f>
        <v>Manager</v>
      </c>
      <c r="AQ169" s="0" t="n">
        <f aca="false">IF(T169="",0,1)</f>
        <v>1</v>
      </c>
      <c r="AR169" s="0" t="n">
        <f aca="false">IF(U169="",0,1)</f>
        <v>1</v>
      </c>
      <c r="AS169" s="8" t="n">
        <f aca="false">IF(AK169="","",IF(MAX($AK$2:$AK$921)=MIN($AK$2:$AK$921),50,ROUND((AK169-MIN($AK$2:$AK$921))/(MAX($AK$2:$AK$921)-MIN($AK$2:$AK$921))*100,2)))</f>
        <v>57.14</v>
      </c>
      <c r="AT169" s="8" t="n">
        <f aca="false">IF(MAX($BC$2:$BC$921)=MIN($BC$2:$BC$921),50,ROUND((BC169-MIN($BC$2:$BC$921))/(MAX($BC$2:$BC$921)-MIN($BC$2:$BC$921))*100,2))</f>
        <v>50</v>
      </c>
      <c r="AU169" s="8" t="n">
        <f aca="false">IF(MAX($BE$2:$BE$921)=MIN($BE$2:$BE$921),50,ROUND((BE169-MIN($BE$2:$BE$921))/(MAX($BE$2:$BE$921)-MIN($BE$2:$BE$921))*100,2))</f>
        <v>100</v>
      </c>
      <c r="AV169" s="8" t="n">
        <f aca="false">IF(MAX($AD$2:$AD$921)=MIN($AD$2:$AD$921),50,ROUND((AD169-MIN($AD$2:$AD$921))/(MAX($AD$2:$AD$921)-MIN($AD$2:$AD$921))*100,2))</f>
        <v>57.33</v>
      </c>
      <c r="AW169" s="8" t="n">
        <f aca="false">IF(MAX($AN$2:$AN$921)=MIN($AN$2:$AN$921),50,ROUND((AN169-MIN($AN$2:$AN$921))/(MAX($AN$2:$AN$921)-MIN($AN$2:$AN$921))*100,2))</f>
        <v>75</v>
      </c>
      <c r="AX169" s="8" t="n">
        <f aca="false">AQ169*100</f>
        <v>100</v>
      </c>
      <c r="AY169" s="8" t="n">
        <f aca="false">AR169*100</f>
        <v>100</v>
      </c>
      <c r="AZ169" s="8" t="n">
        <f aca="false">IFERROR(ROUND(AS169*Assumptions!$I$6+AW169*Assumptions!$I$7+AT169*Assumptions!$I$8+AU169*Assumptions!$I$9+AV169*Assumptions!$I$10+AX169*Assumptions!$I$11+AY169*Assumptions!$I$12,2),"")</f>
        <v>70.38</v>
      </c>
      <c r="BA169" s="0" t="str">
        <f aca="false">IF(AZ169="","",IF(AZ169&lt;=Assumptions!$I$18,"Below Expectation",IF(AZ169&lt;=Assumptions!$I$19,"Developing",IF(AZ169&lt;=Assumptions!$I$20,"Meets Expectation",IF(AZ169&lt;=Assumptions!$I$21,"Exceeds","Star Performer")))))</f>
        <v>Exceeds</v>
      </c>
      <c r="BB169" s="0" t="n">
        <f aca="false">IF(AZ169="",0,IF(AZ169&gt;=Assumptions!$I$26,1,0))</f>
        <v>1</v>
      </c>
      <c r="BC169" s="9" t="n">
        <f aca="false">IF(AL169="",2,AL169+2)</f>
        <v>2</v>
      </c>
      <c r="BD169" s="10" t="n">
        <f aca="false">IF(AM169="",ROUND(AVERAGE($AM$2:$AM$921),3),AM169)</f>
        <v>0</v>
      </c>
      <c r="BE169" s="9" t="n">
        <f aca="false">1-BD169</f>
        <v>1</v>
      </c>
    </row>
    <row r="170" customFormat="false" ht="14.25" hidden="true" customHeight="false" outlineLevel="0" collapsed="false">
      <c r="A170" s="4" t="n">
        <v>346</v>
      </c>
      <c r="B170" s="5" t="n">
        <v>37100208</v>
      </c>
      <c r="C170" s="5" t="s">
        <v>149</v>
      </c>
      <c r="D170" s="5" t="s">
        <v>1000</v>
      </c>
      <c r="E170" s="5" t="s">
        <v>919</v>
      </c>
      <c r="F170" s="5" t="s">
        <v>152</v>
      </c>
      <c r="G170" s="5" t="s">
        <v>153</v>
      </c>
      <c r="H170" s="5" t="s">
        <v>152</v>
      </c>
      <c r="I170" s="5" t="s">
        <v>63</v>
      </c>
      <c r="J170" s="5" t="s">
        <v>100</v>
      </c>
      <c r="K170" s="5" t="s">
        <v>65</v>
      </c>
      <c r="L170" s="6" t="n">
        <v>38169</v>
      </c>
      <c r="M170" s="5" t="s">
        <v>1001</v>
      </c>
      <c r="N170" s="6" t="n">
        <v>27632</v>
      </c>
      <c r="O170" s="5" t="s">
        <v>122</v>
      </c>
      <c r="P170" s="5" t="s">
        <v>123</v>
      </c>
      <c r="Q170" s="5" t="s">
        <v>856</v>
      </c>
      <c r="R170" s="5" t="s">
        <v>1002</v>
      </c>
      <c r="S170" s="5" t="s">
        <v>165</v>
      </c>
      <c r="T170" s="6" t="n">
        <v>41000</v>
      </c>
      <c r="U170" s="6" t="n">
        <v>44440</v>
      </c>
      <c r="V170" s="5" t="s">
        <v>141</v>
      </c>
      <c r="W170" s="5" t="s">
        <v>141</v>
      </c>
      <c r="X170" s="5" t="s">
        <v>141</v>
      </c>
      <c r="Y170" s="5" t="s">
        <v>141</v>
      </c>
      <c r="Z170" s="5" t="s">
        <v>141</v>
      </c>
      <c r="AA170" s="5"/>
      <c r="AB170" s="0" t="n">
        <f aca="false">IFERROR(VALUE(R170),0)</f>
        <v>3.1</v>
      </c>
      <c r="AC170" s="0" t="n">
        <f aca="false">IFERROR(VALUE(M170),"")</f>
        <v>50.9</v>
      </c>
      <c r="AD170" s="0" t="n">
        <f aca="false">IFERROR(VALUE(Q170),"")</f>
        <v>21.11</v>
      </c>
      <c r="AE170" s="0" t="n">
        <f aca="false">IFERROR(VALUE(S170),"")</f>
        <v>25</v>
      </c>
      <c r="AF170" s="0" t="n">
        <f aca="false">IF(V170="","",VLOOKUP(V170,Assumptions!$B$6:$C$9,2,FALSE()))</f>
        <v>3</v>
      </c>
      <c r="AG170" s="0" t="n">
        <f aca="false">IF(W170="","",VLOOKUP(W170,Assumptions!$B$6:$C$9,2,FALSE()))</f>
        <v>3</v>
      </c>
      <c r="AH170" s="0" t="n">
        <f aca="false">IF(X170="","",VLOOKUP(X170,Assumptions!$B$6:$C$9,2,FALSE()))</f>
        <v>3</v>
      </c>
      <c r="AI170" s="0" t="n">
        <f aca="false">IF(Y170="","",VLOOKUP(Y170,Assumptions!$B$6:$C$9,2,FALSE()))</f>
        <v>3</v>
      </c>
      <c r="AJ170" s="0" t="n">
        <f aca="false">IF(Z170="","",VLOOKUP(Z170,Assumptions!$B$6:$C$9,2,FALSE()))</f>
        <v>3</v>
      </c>
      <c r="AK170" s="7" t="n">
        <f aca="false">IFERROR(ROUND(AVERAGE(AF170:AJ170),3),"")</f>
        <v>3</v>
      </c>
      <c r="AL170" s="7" t="n">
        <f aca="false">IF(OR(AF170="",AJ170=""),"",AJ170-AF170)</f>
        <v>0</v>
      </c>
      <c r="AM170" s="7" t="n">
        <f aca="false">IF(COUNT(AF170:AJ170)&gt;=2,ROUND(_xlfn.STDEV.S(AF170:AJ170),3),"")</f>
        <v>0</v>
      </c>
      <c r="AN170" s="7" t="n">
        <f aca="false">ROUND((IF(AF170="",0,AF170)*Assumptions!$F$15)+(IF(AG170="",0,AG170)*Assumptions!$F$16)+(IF(AH170="",0,AH170)*Assumptions!$F$17)+(IF(AI170="",0,AI170)*Assumptions!$F$18)+(IF(AJ170="",0,AJ170)*Assumptions!$F$19),3)</f>
        <v>3</v>
      </c>
      <c r="AO170" s="0" t="str">
        <f aca="false">IF(AC170&lt;=20,"",IF(AC170&lt;=Assumptions!$F$6,"20-30",IF(AC170&lt;=Assumptions!$F$7,"30-40",IF(AC170&lt;=Assumptions!$F$8,"40-50",IF(AC170&lt;=Assumptions!$F$9,"50-60",IF(AC170&lt;=Assumptions!$F$10,"60+",""))))))</f>
        <v>50-60</v>
      </c>
      <c r="AP170" s="0" t="str">
        <f aca="false">IFERROR(VLOOKUP(O170,Assumptions!$B$14:$C$26,2,FALSE()),"Other")</f>
        <v>Leadership</v>
      </c>
      <c r="AQ170" s="0" t="n">
        <f aca="false">IF(T170="",0,1)</f>
        <v>1</v>
      </c>
      <c r="AR170" s="0" t="n">
        <f aca="false">IF(U170="",0,1)</f>
        <v>1</v>
      </c>
      <c r="AS170" s="8" t="n">
        <f aca="false">IF(AK170="","",IF(MAX($AK$2:$AK$921)=MIN($AK$2:$AK$921),50,ROUND((AK170-MIN($AK$2:$AK$921))/(MAX($AK$2:$AK$921)-MIN($AK$2:$AK$921))*100,2)))</f>
        <v>57.14</v>
      </c>
      <c r="AT170" s="8" t="n">
        <f aca="false">IF(MAX($BC$2:$BC$921)=MIN($BC$2:$BC$921),50,ROUND((BC170-MIN($BC$2:$BC$921))/(MAX($BC$2:$BC$921)-MIN($BC$2:$BC$921))*100,2))</f>
        <v>50</v>
      </c>
      <c r="AU170" s="8" t="n">
        <f aca="false">IF(MAX($BE$2:$BE$921)=MIN($BE$2:$BE$921),50,ROUND((BE170-MIN($BE$2:$BE$921))/(MAX($BE$2:$BE$921)-MIN($BE$2:$BE$921))*100,2))</f>
        <v>100</v>
      </c>
      <c r="AV170" s="8" t="n">
        <f aca="false">IF(MAX($AD$2:$AD$921)=MIN($AD$2:$AD$921),50,ROUND((AD170-MIN($AD$2:$AD$921))/(MAX($AD$2:$AD$921)-MIN($AD$2:$AD$921))*100,2))</f>
        <v>57.08</v>
      </c>
      <c r="AW170" s="8" t="n">
        <f aca="false">IF(MAX($AN$2:$AN$921)=MIN($AN$2:$AN$921),50,ROUND((AN170-MIN($AN$2:$AN$921))/(MAX($AN$2:$AN$921)-MIN($AN$2:$AN$921))*100,2))</f>
        <v>75</v>
      </c>
      <c r="AX170" s="8" t="n">
        <f aca="false">AQ170*100</f>
        <v>100</v>
      </c>
      <c r="AY170" s="8" t="n">
        <f aca="false">AR170*100</f>
        <v>100</v>
      </c>
      <c r="AZ170" s="8" t="n">
        <f aca="false">IFERROR(ROUND(AS170*Assumptions!$I$6+AW170*Assumptions!$I$7+AT170*Assumptions!$I$8+AU170*Assumptions!$I$9+AV170*Assumptions!$I$10+AX170*Assumptions!$I$11+AY170*Assumptions!$I$12,2),"")</f>
        <v>70.35</v>
      </c>
      <c r="BA170" s="0" t="str">
        <f aca="false">IF(AZ170="","",IF(AZ170&lt;=Assumptions!$I$18,"Below Expectation",IF(AZ170&lt;=Assumptions!$I$19,"Developing",IF(AZ170&lt;=Assumptions!$I$20,"Meets Expectation",IF(AZ170&lt;=Assumptions!$I$21,"Exceeds","Star Performer")))))</f>
        <v>Exceeds</v>
      </c>
      <c r="BB170" s="0" t="n">
        <f aca="false">IF(AZ170="",0,IF(AZ170&gt;=Assumptions!$I$26,1,0))</f>
        <v>1</v>
      </c>
      <c r="BC170" s="9" t="n">
        <f aca="false">IF(AL170="",2,AL170+2)</f>
        <v>2</v>
      </c>
      <c r="BD170" s="10" t="n">
        <f aca="false">IF(AM170="",ROUND(AVERAGE($AM$2:$AM$921),3),AM170)</f>
        <v>0</v>
      </c>
      <c r="BE170" s="9" t="n">
        <f aca="false">1-BD170</f>
        <v>1</v>
      </c>
    </row>
    <row r="171" customFormat="false" ht="14.25" hidden="true" customHeight="false" outlineLevel="0" collapsed="false">
      <c r="A171" s="4" t="n">
        <v>47</v>
      </c>
      <c r="B171" s="5" t="n">
        <v>10010185</v>
      </c>
      <c r="C171" s="5" t="s">
        <v>57</v>
      </c>
      <c r="D171" s="5" t="s">
        <v>1003</v>
      </c>
      <c r="E171" s="5" t="s">
        <v>275</v>
      </c>
      <c r="F171" s="5" t="s">
        <v>223</v>
      </c>
      <c r="G171" s="5" t="s">
        <v>224</v>
      </c>
      <c r="H171" s="5" t="s">
        <v>223</v>
      </c>
      <c r="I171" s="5" t="s">
        <v>63</v>
      </c>
      <c r="J171" s="5" t="s">
        <v>100</v>
      </c>
      <c r="K171" s="5" t="s">
        <v>65</v>
      </c>
      <c r="L171" s="6" t="n">
        <v>38649</v>
      </c>
      <c r="M171" s="5" t="s">
        <v>1004</v>
      </c>
      <c r="N171" s="6" t="n">
        <v>30370</v>
      </c>
      <c r="O171" s="5" t="s">
        <v>162</v>
      </c>
      <c r="P171" s="5" t="s">
        <v>162</v>
      </c>
      <c r="Q171" s="5" t="s">
        <v>1005</v>
      </c>
      <c r="R171" s="5" t="s">
        <v>472</v>
      </c>
      <c r="S171" s="5" t="s">
        <v>856</v>
      </c>
      <c r="T171" s="6" t="n">
        <v>43405</v>
      </c>
      <c r="U171" s="6" t="n">
        <v>39173</v>
      </c>
      <c r="V171" s="5" t="s">
        <v>141</v>
      </c>
      <c r="W171" s="5" t="s">
        <v>141</v>
      </c>
      <c r="X171" s="5" t="s">
        <v>141</v>
      </c>
      <c r="Y171" s="5" t="s">
        <v>83</v>
      </c>
      <c r="Z171" s="5" t="s">
        <v>141</v>
      </c>
      <c r="AA171" s="5" t="s">
        <v>1006</v>
      </c>
      <c r="AB171" s="0" t="n">
        <f aca="false">IFERROR(VALUE(R171),0)</f>
        <v>1.4</v>
      </c>
      <c r="AC171" s="0" t="n">
        <f aca="false">IFERROR(VALUE(M171),"")</f>
        <v>43.3</v>
      </c>
      <c r="AD171" s="0" t="n">
        <f aca="false">IFERROR(VALUE(Q171),"")</f>
        <v>20.7</v>
      </c>
      <c r="AE171" s="0" t="n">
        <f aca="false">IFERROR(VALUE(S171),"")</f>
        <v>21.11</v>
      </c>
      <c r="AF171" s="0" t="n">
        <f aca="false">IF(V171="","",VLOOKUP(V171,Assumptions!$B$6:$C$9,2,FALSE()))</f>
        <v>3</v>
      </c>
      <c r="AG171" s="0" t="n">
        <f aca="false">IF(W171="","",VLOOKUP(W171,Assumptions!$B$6:$C$9,2,FALSE()))</f>
        <v>3</v>
      </c>
      <c r="AH171" s="0" t="n">
        <f aca="false">IF(X171="","",VLOOKUP(X171,Assumptions!$B$6:$C$9,2,FALSE()))</f>
        <v>3</v>
      </c>
      <c r="AI171" s="0" t="n">
        <f aca="false">IF(Y171="","",VLOOKUP(Y171,Assumptions!$B$6:$C$9,2,FALSE()))</f>
        <v>4</v>
      </c>
      <c r="AJ171" s="0" t="n">
        <f aca="false">IF(Z171="","",VLOOKUP(Z171,Assumptions!$B$6:$C$9,2,FALSE()))</f>
        <v>3</v>
      </c>
      <c r="AK171" s="7" t="n">
        <f aca="false">IFERROR(ROUND(AVERAGE(AF171:AJ171),3),"")</f>
        <v>3.2</v>
      </c>
      <c r="AL171" s="7" t="n">
        <f aca="false">IF(OR(AF171="",AJ171=""),"",AJ171-AF171)</f>
        <v>0</v>
      </c>
      <c r="AM171" s="7" t="n">
        <f aca="false">IF(COUNT(AF171:AJ171)&gt;=2,ROUND(_xlfn.STDEV.S(AF171:AJ171),3),"")</f>
        <v>0.447</v>
      </c>
      <c r="AN171" s="7" t="n">
        <f aca="false">ROUND((IF(AF171="",0,AF171)*Assumptions!$F$15)+(IF(AG171="",0,AG171)*Assumptions!$F$16)+(IF(AH171="",0,AH171)*Assumptions!$F$17)+(IF(AI171="",0,AI171)*Assumptions!$F$18)+(IF(AJ171="",0,AJ171)*Assumptions!$F$19),3)</f>
        <v>3.25</v>
      </c>
      <c r="AO171" s="0" t="str">
        <f aca="false">IF(AC171&lt;=20,"",IF(AC171&lt;=Assumptions!$F$6,"20-30",IF(AC171&lt;=Assumptions!$F$7,"30-40",IF(AC171&lt;=Assumptions!$F$8,"40-50",IF(AC171&lt;=Assumptions!$F$9,"50-60",IF(AC171&lt;=Assumptions!$F$10,"60+",""))))))</f>
        <v>40-50</v>
      </c>
      <c r="AP171" s="0" t="str">
        <f aca="false">IFERROR(VLOOKUP(O171,Assumptions!$B$14:$C$26,2,FALSE()),"Other")</f>
        <v>Manager</v>
      </c>
      <c r="AQ171" s="0" t="n">
        <f aca="false">IF(T171="",0,1)</f>
        <v>1</v>
      </c>
      <c r="AR171" s="0" t="n">
        <f aca="false">IF(U171="",0,1)</f>
        <v>1</v>
      </c>
      <c r="AS171" s="8" t="n">
        <f aca="false">IF(AK171="","",IF(MAX($AK$2:$AK$921)=MIN($AK$2:$AK$921),50,ROUND((AK171-MIN($AK$2:$AK$921))/(MAX($AK$2:$AK$921)-MIN($AK$2:$AK$921))*100,2)))</f>
        <v>65.71</v>
      </c>
      <c r="AT171" s="8" t="n">
        <f aca="false">IF(MAX($BC$2:$BC$921)=MIN($BC$2:$BC$921),50,ROUND((BC171-MIN($BC$2:$BC$921))/(MAX($BC$2:$BC$921)-MIN($BC$2:$BC$921))*100,2))</f>
        <v>50</v>
      </c>
      <c r="AU171" s="8" t="n">
        <f aca="false">IF(MAX($BE$2:$BE$921)=MIN($BE$2:$BE$921),50,ROUND((BE171-MIN($BE$2:$BE$921))/(MAX($BE$2:$BE$921)-MIN($BE$2:$BE$921))*100,2))</f>
        <v>74.19</v>
      </c>
      <c r="AV171" s="8" t="n">
        <f aca="false">IF(MAX($AD$2:$AD$921)=MIN($AD$2:$AD$921),50,ROUND((AD171-MIN($AD$2:$AD$921))/(MAX($AD$2:$AD$921)-MIN($AD$2:$AD$921))*100,2))</f>
        <v>55.97</v>
      </c>
      <c r="AW171" s="8" t="n">
        <f aca="false">IF(MAX($AN$2:$AN$921)=MIN($AN$2:$AN$921),50,ROUND((AN171-MIN($AN$2:$AN$921))/(MAX($AN$2:$AN$921)-MIN($AN$2:$AN$921))*100,2))</f>
        <v>81.25</v>
      </c>
      <c r="AX171" s="8" t="n">
        <f aca="false">AQ171*100</f>
        <v>100</v>
      </c>
      <c r="AY171" s="8" t="n">
        <f aca="false">AR171*100</f>
        <v>100</v>
      </c>
      <c r="AZ171" s="8" t="n">
        <f aca="false">IFERROR(ROUND(AS171*Assumptions!$I$6+AW171*Assumptions!$I$7+AT171*Assumptions!$I$8+AU171*Assumptions!$I$9+AV171*Assumptions!$I$10+AX171*Assumptions!$I$11+AY171*Assumptions!$I$12,2),"")</f>
        <v>70.19</v>
      </c>
      <c r="BA171" s="0" t="str">
        <f aca="false">IF(AZ171="","",IF(AZ171&lt;=Assumptions!$I$18,"Below Expectation",IF(AZ171&lt;=Assumptions!$I$19,"Developing",IF(AZ171&lt;=Assumptions!$I$20,"Meets Expectation",IF(AZ171&lt;=Assumptions!$I$21,"Exceeds","Star Performer")))))</f>
        <v>Exceeds</v>
      </c>
      <c r="BB171" s="0" t="n">
        <f aca="false">IF(AZ171="",0,IF(AZ171&gt;=Assumptions!$I$26,1,0))</f>
        <v>1</v>
      </c>
      <c r="BC171" s="9" t="n">
        <f aca="false">IF(AL171="",2,AL171+2)</f>
        <v>2</v>
      </c>
      <c r="BD171" s="10" t="n">
        <f aca="false">IF(AM171="",ROUND(AVERAGE($AM$2:$AM$921),3),AM171)</f>
        <v>0.447</v>
      </c>
      <c r="BE171" s="9" t="n">
        <f aca="false">1-BD171</f>
        <v>0.553</v>
      </c>
    </row>
    <row r="172" customFormat="false" ht="14.25" hidden="true" customHeight="false" outlineLevel="0" collapsed="false">
      <c r="A172" s="4" t="n">
        <v>410</v>
      </c>
      <c r="B172" s="5" t="n">
        <v>50009065</v>
      </c>
      <c r="C172" s="5" t="s">
        <v>526</v>
      </c>
      <c r="D172" s="5" t="s">
        <v>1007</v>
      </c>
      <c r="E172" s="5" t="s">
        <v>1008</v>
      </c>
      <c r="F172" s="5" t="s">
        <v>380</v>
      </c>
      <c r="G172" s="5" t="s">
        <v>379</v>
      </c>
      <c r="H172" s="5" t="s">
        <v>380</v>
      </c>
      <c r="I172" s="5" t="s">
        <v>63</v>
      </c>
      <c r="J172" s="5" t="s">
        <v>100</v>
      </c>
      <c r="K172" s="5" t="s">
        <v>65</v>
      </c>
      <c r="L172" s="6" t="n">
        <v>40728</v>
      </c>
      <c r="M172" s="5" t="s">
        <v>800</v>
      </c>
      <c r="N172" s="6" t="n">
        <v>32898</v>
      </c>
      <c r="O172" s="5" t="s">
        <v>262</v>
      </c>
      <c r="P172" s="5" t="s">
        <v>263</v>
      </c>
      <c r="Q172" s="5" t="s">
        <v>1009</v>
      </c>
      <c r="R172" s="5" t="s">
        <v>115</v>
      </c>
      <c r="S172" s="5" t="s">
        <v>1009</v>
      </c>
      <c r="T172" s="6" t="n">
        <v>42898</v>
      </c>
      <c r="U172" s="6" t="n">
        <v>45901</v>
      </c>
      <c r="V172" s="5" t="s">
        <v>83</v>
      </c>
      <c r="W172" s="5" t="s">
        <v>83</v>
      </c>
      <c r="X172" s="5" t="s">
        <v>141</v>
      </c>
      <c r="Y172" s="5" t="s">
        <v>83</v>
      </c>
      <c r="Z172" s="5" t="s">
        <v>141</v>
      </c>
      <c r="AA172" s="5" t="s">
        <v>1010</v>
      </c>
      <c r="AB172" s="0" t="n">
        <f aca="false">IFERROR(VALUE(R172),0)</f>
        <v>0</v>
      </c>
      <c r="AC172" s="0" t="n">
        <f aca="false">IFERROR(VALUE(M172),"")</f>
        <v>36.4</v>
      </c>
      <c r="AD172" s="0" t="n">
        <f aca="false">IFERROR(VALUE(Q172),"")</f>
        <v>14.11</v>
      </c>
      <c r="AE172" s="0" t="n">
        <f aca="false">IFERROR(VALUE(S172),"")</f>
        <v>14.11</v>
      </c>
      <c r="AF172" s="0" t="n">
        <f aca="false">IF(V172="","",VLOOKUP(V172,Assumptions!$B$6:$C$9,2,FALSE()))</f>
        <v>4</v>
      </c>
      <c r="AG172" s="0" t="n">
        <f aca="false">IF(W172="","",VLOOKUP(W172,Assumptions!$B$6:$C$9,2,FALSE()))</f>
        <v>4</v>
      </c>
      <c r="AH172" s="0" t="n">
        <f aca="false">IF(X172="","",VLOOKUP(X172,Assumptions!$B$6:$C$9,2,FALSE()))</f>
        <v>3</v>
      </c>
      <c r="AI172" s="0" t="n">
        <f aca="false">IF(Y172="","",VLOOKUP(Y172,Assumptions!$B$6:$C$9,2,FALSE()))</f>
        <v>4</v>
      </c>
      <c r="AJ172" s="0" t="n">
        <f aca="false">IF(Z172="","",VLOOKUP(Z172,Assumptions!$B$6:$C$9,2,FALSE()))</f>
        <v>3</v>
      </c>
      <c r="AK172" s="7" t="n">
        <f aca="false">IFERROR(ROUND(AVERAGE(AF172:AJ172),3),"")</f>
        <v>3.6</v>
      </c>
      <c r="AL172" s="7" t="n">
        <f aca="false">IF(OR(AF172="",AJ172=""),"",AJ172-AF172)</f>
        <v>-1</v>
      </c>
      <c r="AM172" s="7" t="n">
        <f aca="false">IF(COUNT(AF172:AJ172)&gt;=2,ROUND(_xlfn.STDEV.S(AF172:AJ172),3),"")</f>
        <v>0.548</v>
      </c>
      <c r="AN172" s="7" t="n">
        <f aca="false">ROUND((IF(AF172="",0,AF172)*Assumptions!$F$15)+(IF(AG172="",0,AG172)*Assumptions!$F$16)+(IF(AH172="",0,AH172)*Assumptions!$F$17)+(IF(AI172="",0,AI172)*Assumptions!$F$18)+(IF(AJ172="",0,AJ172)*Assumptions!$F$19),3)</f>
        <v>3.5</v>
      </c>
      <c r="AO172" s="0" t="str">
        <f aca="false">IF(AC172&lt;=20,"",IF(AC172&lt;=Assumptions!$F$6,"20-30",IF(AC172&lt;=Assumptions!$F$7,"30-40",IF(AC172&lt;=Assumptions!$F$8,"40-50",IF(AC172&lt;=Assumptions!$F$9,"50-60",IF(AC172&lt;=Assumptions!$F$10,"60+",""))))))</f>
        <v>30-40</v>
      </c>
      <c r="AP172" s="0" t="str">
        <f aca="false">IFERROR(VLOOKUP(O172,Assumptions!$B$14:$C$26,2,FALSE()),"Other")</f>
        <v>Manager</v>
      </c>
      <c r="AQ172" s="0" t="n">
        <f aca="false">IF(T172="",0,1)</f>
        <v>1</v>
      </c>
      <c r="AR172" s="0" t="n">
        <f aca="false">IF(U172="",0,1)</f>
        <v>1</v>
      </c>
      <c r="AS172" s="8" t="n">
        <f aca="false">IF(AK172="","",IF(MAX($AK$2:$AK$921)=MIN($AK$2:$AK$921),50,ROUND((AK172-MIN($AK$2:$AK$921))/(MAX($AK$2:$AK$921)-MIN($AK$2:$AK$921))*100,2)))</f>
        <v>82.85</v>
      </c>
      <c r="AT172" s="8" t="n">
        <f aca="false">IF(MAX($BC$2:$BC$921)=MIN($BC$2:$BC$921),50,ROUND((BC172-MIN($BC$2:$BC$921))/(MAX($BC$2:$BC$921)-MIN($BC$2:$BC$921))*100,2))</f>
        <v>25</v>
      </c>
      <c r="AU172" s="8" t="n">
        <f aca="false">IF(MAX($BE$2:$BE$921)=MIN($BE$2:$BE$921),50,ROUND((BE172-MIN($BE$2:$BE$921))/(MAX($BE$2:$BE$921)-MIN($BE$2:$BE$921))*100,2))</f>
        <v>68.36</v>
      </c>
      <c r="AV172" s="8" t="n">
        <f aca="false">IF(MAX($AD$2:$AD$921)=MIN($AD$2:$AD$921),50,ROUND((AD172-MIN($AD$2:$AD$921))/(MAX($AD$2:$AD$921)-MIN($AD$2:$AD$921))*100,2))</f>
        <v>38.05</v>
      </c>
      <c r="AW172" s="8" t="n">
        <f aca="false">IF(MAX($AN$2:$AN$921)=MIN($AN$2:$AN$921),50,ROUND((AN172-MIN($AN$2:$AN$921))/(MAX($AN$2:$AN$921)-MIN($AN$2:$AN$921))*100,2))</f>
        <v>87.5</v>
      </c>
      <c r="AX172" s="8" t="n">
        <f aca="false">AQ172*100</f>
        <v>100</v>
      </c>
      <c r="AY172" s="8" t="n">
        <f aca="false">AR172*100</f>
        <v>100</v>
      </c>
      <c r="AZ172" s="8" t="n">
        <f aca="false">IFERROR(ROUND(AS172*Assumptions!$I$6+AW172*Assumptions!$I$7+AT172*Assumptions!$I$8+AU172*Assumptions!$I$9+AV172*Assumptions!$I$10+AX172*Assumptions!$I$11+AY172*Assumptions!$I$12,2),"")</f>
        <v>70.16</v>
      </c>
      <c r="BA172" s="0" t="str">
        <f aca="false">IF(AZ172="","",IF(AZ172&lt;=Assumptions!$I$18,"Below Expectation",IF(AZ172&lt;=Assumptions!$I$19,"Developing",IF(AZ172&lt;=Assumptions!$I$20,"Meets Expectation",IF(AZ172&lt;=Assumptions!$I$21,"Exceeds","Star Performer")))))</f>
        <v>Exceeds</v>
      </c>
      <c r="BB172" s="0" t="n">
        <f aca="false">IF(AZ172="",0,IF(AZ172&gt;=Assumptions!$I$26,1,0))</f>
        <v>1</v>
      </c>
      <c r="BC172" s="9" t="n">
        <f aca="false">IF(AL172="",2,AL172+2)</f>
        <v>1</v>
      </c>
      <c r="BD172" s="10" t="n">
        <f aca="false">IF(AM172="",ROUND(AVERAGE($AM$2:$AM$921),3),AM172)</f>
        <v>0.548</v>
      </c>
      <c r="BE172" s="9" t="n">
        <f aca="false">1-BD172</f>
        <v>0.452</v>
      </c>
    </row>
    <row r="173" customFormat="false" ht="14.25" hidden="true" customHeight="false" outlineLevel="0" collapsed="false">
      <c r="A173" s="4" t="n">
        <v>109</v>
      </c>
      <c r="B173" s="5" t="n">
        <v>10033790</v>
      </c>
      <c r="C173" s="5" t="s">
        <v>57</v>
      </c>
      <c r="D173" s="5" t="s">
        <v>1011</v>
      </c>
      <c r="E173" s="5" t="s">
        <v>456</v>
      </c>
      <c r="F173" s="5" t="s">
        <v>209</v>
      </c>
      <c r="G173" s="5" t="s">
        <v>210</v>
      </c>
      <c r="H173" s="5" t="s">
        <v>209</v>
      </c>
      <c r="I173" s="5" t="s">
        <v>63</v>
      </c>
      <c r="J173" s="5" t="s">
        <v>100</v>
      </c>
      <c r="K173" s="5" t="s">
        <v>65</v>
      </c>
      <c r="L173" s="6" t="n">
        <v>41092</v>
      </c>
      <c r="M173" s="5" t="s">
        <v>225</v>
      </c>
      <c r="N173" s="6" t="n">
        <v>29731</v>
      </c>
      <c r="O173" s="5" t="s">
        <v>262</v>
      </c>
      <c r="P173" s="5" t="s">
        <v>263</v>
      </c>
      <c r="Q173" s="5" t="s">
        <v>1012</v>
      </c>
      <c r="R173" s="5" t="s">
        <v>1013</v>
      </c>
      <c r="S173" s="5" t="s">
        <v>242</v>
      </c>
      <c r="T173" s="6"/>
      <c r="U173" s="6" t="n">
        <v>44470</v>
      </c>
      <c r="V173" s="5" t="s">
        <v>141</v>
      </c>
      <c r="W173" s="5" t="s">
        <v>141</v>
      </c>
      <c r="X173" s="5" t="s">
        <v>141</v>
      </c>
      <c r="Y173" s="5" t="s">
        <v>83</v>
      </c>
      <c r="Z173" s="5" t="s">
        <v>83</v>
      </c>
      <c r="AA173" s="5" t="s">
        <v>1014</v>
      </c>
      <c r="AB173" s="0" t="n">
        <f aca="false">IFERROR(VALUE(R173),0)</f>
        <v>12.1</v>
      </c>
      <c r="AC173" s="0" t="n">
        <f aca="false">IFERROR(VALUE(M173),"")</f>
        <v>45</v>
      </c>
      <c r="AD173" s="0" t="n">
        <f aca="false">IFERROR(VALUE(Q173),"")</f>
        <v>13.11</v>
      </c>
      <c r="AE173" s="0" t="n">
        <f aca="false">IFERROR(VALUE(S173),"")</f>
        <v>26.9</v>
      </c>
      <c r="AF173" s="0" t="n">
        <f aca="false">IF(V173="","",VLOOKUP(V173,Assumptions!$B$6:$C$9,2,FALSE()))</f>
        <v>3</v>
      </c>
      <c r="AG173" s="0" t="n">
        <f aca="false">IF(W173="","",VLOOKUP(W173,Assumptions!$B$6:$C$9,2,FALSE()))</f>
        <v>3</v>
      </c>
      <c r="AH173" s="0" t="n">
        <f aca="false">IF(X173="","",VLOOKUP(X173,Assumptions!$B$6:$C$9,2,FALSE()))</f>
        <v>3</v>
      </c>
      <c r="AI173" s="0" t="n">
        <f aca="false">IF(Y173="","",VLOOKUP(Y173,Assumptions!$B$6:$C$9,2,FALSE()))</f>
        <v>4</v>
      </c>
      <c r="AJ173" s="0" t="n">
        <f aca="false">IF(Z173="","",VLOOKUP(Z173,Assumptions!$B$6:$C$9,2,FALSE()))</f>
        <v>4</v>
      </c>
      <c r="AK173" s="7" t="n">
        <f aca="false">IFERROR(ROUND(AVERAGE(AF173:AJ173),3),"")</f>
        <v>3.4</v>
      </c>
      <c r="AL173" s="7" t="n">
        <f aca="false">IF(OR(AF173="",AJ173=""),"",AJ173-AF173)</f>
        <v>1</v>
      </c>
      <c r="AM173" s="7" t="n">
        <f aca="false">IF(COUNT(AF173:AJ173)&gt;=2,ROUND(_xlfn.STDEV.S(AF173:AJ173),3),"")</f>
        <v>0.548</v>
      </c>
      <c r="AN173" s="7" t="n">
        <f aca="false">ROUND((IF(AF173="",0,AF173)*Assumptions!$F$15)+(IF(AG173="",0,AG173)*Assumptions!$F$16)+(IF(AH173="",0,AH173)*Assumptions!$F$17)+(IF(AI173="",0,AI173)*Assumptions!$F$18)+(IF(AJ173="",0,AJ173)*Assumptions!$F$19),3)</f>
        <v>3.55</v>
      </c>
      <c r="AO173" s="0" t="str">
        <f aca="false">IF(AC173&lt;=20,"",IF(AC173&lt;=Assumptions!$F$6,"20-30",IF(AC173&lt;=Assumptions!$F$7,"30-40",IF(AC173&lt;=Assumptions!$F$8,"40-50",IF(AC173&lt;=Assumptions!$F$9,"50-60",IF(AC173&lt;=Assumptions!$F$10,"60+",""))))))</f>
        <v>40-50</v>
      </c>
      <c r="AP173" s="0" t="str">
        <f aca="false">IFERROR(VLOOKUP(O173,Assumptions!$B$14:$C$26,2,FALSE()),"Other")</f>
        <v>Manager</v>
      </c>
      <c r="AQ173" s="0" t="n">
        <f aca="false">IF(T173="",0,1)</f>
        <v>0</v>
      </c>
      <c r="AR173" s="0" t="n">
        <f aca="false">IF(U173="",0,1)</f>
        <v>1</v>
      </c>
      <c r="AS173" s="8" t="n">
        <f aca="false">IF(AK173="","",IF(MAX($AK$2:$AK$921)=MIN($AK$2:$AK$921),50,ROUND((AK173-MIN($AK$2:$AK$921))/(MAX($AK$2:$AK$921)-MIN($AK$2:$AK$921))*100,2)))</f>
        <v>74.28</v>
      </c>
      <c r="AT173" s="8" t="n">
        <f aca="false">IF(MAX($BC$2:$BC$921)=MIN($BC$2:$BC$921),50,ROUND((BC173-MIN($BC$2:$BC$921))/(MAX($BC$2:$BC$921)-MIN($BC$2:$BC$921))*100,2))</f>
        <v>75</v>
      </c>
      <c r="AU173" s="8" t="n">
        <f aca="false">IF(MAX($BE$2:$BE$921)=MIN($BE$2:$BE$921),50,ROUND((BE173-MIN($BE$2:$BE$921))/(MAX($BE$2:$BE$921)-MIN($BE$2:$BE$921))*100,2))</f>
        <v>68.36</v>
      </c>
      <c r="AV173" s="8" t="n">
        <f aca="false">IF(MAX($AD$2:$AD$921)=MIN($AD$2:$AD$921),50,ROUND((AD173-MIN($AD$2:$AD$921))/(MAX($AD$2:$AD$921)-MIN($AD$2:$AD$921))*100,2))</f>
        <v>35.34</v>
      </c>
      <c r="AW173" s="8" t="n">
        <f aca="false">IF(MAX($AN$2:$AN$921)=MIN($AN$2:$AN$921),50,ROUND((AN173-MIN($AN$2:$AN$921))/(MAX($AN$2:$AN$921)-MIN($AN$2:$AN$921))*100,2))</f>
        <v>88.75</v>
      </c>
      <c r="AX173" s="8" t="n">
        <f aca="false">AQ173*100</f>
        <v>0</v>
      </c>
      <c r="AY173" s="8" t="n">
        <f aca="false">AR173*100</f>
        <v>100</v>
      </c>
      <c r="AZ173" s="8" t="n">
        <f aca="false">IFERROR(ROUND(AS173*Assumptions!$I$6+AW173*Assumptions!$I$7+AT173*Assumptions!$I$8+AU173*Assumptions!$I$9+AV173*Assumptions!$I$10+AX173*Assumptions!$I$11+AY173*Assumptions!$I$12,2),"")</f>
        <v>70.07</v>
      </c>
      <c r="BA173" s="0" t="str">
        <f aca="false">IF(AZ173="","",IF(AZ173&lt;=Assumptions!$I$18,"Below Expectation",IF(AZ173&lt;=Assumptions!$I$19,"Developing",IF(AZ173&lt;=Assumptions!$I$20,"Meets Expectation",IF(AZ173&lt;=Assumptions!$I$21,"Exceeds","Star Performer")))))</f>
        <v>Exceeds</v>
      </c>
      <c r="BB173" s="0" t="n">
        <f aca="false">IF(AZ173="",0,IF(AZ173&gt;=Assumptions!$I$26,1,0))</f>
        <v>1</v>
      </c>
      <c r="BC173" s="9" t="n">
        <f aca="false">IF(AL173="",2,AL173+2)</f>
        <v>3</v>
      </c>
      <c r="BD173" s="10" t="n">
        <f aca="false">IF(AM173="",ROUND(AVERAGE($AM$2:$AM$921),3),AM173)</f>
        <v>0.548</v>
      </c>
      <c r="BE173" s="9" t="n">
        <f aca="false">1-BD173</f>
        <v>0.452</v>
      </c>
    </row>
    <row r="174" customFormat="false" ht="14.25" hidden="true" customHeight="false" outlineLevel="0" collapsed="false">
      <c r="A174" s="4" t="n">
        <v>56</v>
      </c>
      <c r="B174" s="5" t="n">
        <v>10016821</v>
      </c>
      <c r="C174" s="5"/>
      <c r="D174" s="5" t="s">
        <v>1015</v>
      </c>
      <c r="E174" s="5" t="s">
        <v>257</v>
      </c>
      <c r="F174" s="5" t="s">
        <v>1016</v>
      </c>
      <c r="G174" s="5" t="s">
        <v>1017</v>
      </c>
      <c r="H174" s="5" t="s">
        <v>1016</v>
      </c>
      <c r="I174" s="5" t="s">
        <v>63</v>
      </c>
      <c r="J174" s="5" t="s">
        <v>76</v>
      </c>
      <c r="K174" s="5" t="s">
        <v>309</v>
      </c>
      <c r="L174" s="6" t="n">
        <v>38971</v>
      </c>
      <c r="M174" s="5" t="s">
        <v>1018</v>
      </c>
      <c r="N174" s="6" t="n">
        <v>29792</v>
      </c>
      <c r="O174" s="5" t="s">
        <v>262</v>
      </c>
      <c r="P174" s="5" t="s">
        <v>263</v>
      </c>
      <c r="Q174" s="5" t="s">
        <v>1019</v>
      </c>
      <c r="R174" s="5" t="s">
        <v>636</v>
      </c>
      <c r="S174" s="5" t="s">
        <v>996</v>
      </c>
      <c r="T174" s="6" t="n">
        <v>39448</v>
      </c>
      <c r="U174" s="6" t="n">
        <v>42461</v>
      </c>
      <c r="V174" s="5" t="s">
        <v>141</v>
      </c>
      <c r="W174" s="5" t="s">
        <v>141</v>
      </c>
      <c r="X174" s="5" t="s">
        <v>141</v>
      </c>
      <c r="Y174" s="5" t="s">
        <v>141</v>
      </c>
      <c r="Z174" s="5" t="s">
        <v>141</v>
      </c>
      <c r="AA174" s="5" t="s">
        <v>1020</v>
      </c>
      <c r="AB174" s="0" t="n">
        <f aca="false">IFERROR(VALUE(R174),0)</f>
        <v>1.6</v>
      </c>
      <c r="AC174" s="0" t="n">
        <f aca="false">IFERROR(VALUE(M174),"")</f>
        <v>44.1</v>
      </c>
      <c r="AD174" s="0" t="n">
        <f aca="false">IFERROR(VALUE(Q174),"")</f>
        <v>19.8</v>
      </c>
      <c r="AE174" s="0" t="n">
        <f aca="false">IFERROR(VALUE(S174),"")</f>
        <v>21.2</v>
      </c>
      <c r="AF174" s="0" t="n">
        <f aca="false">IF(V174="","",VLOOKUP(V174,Assumptions!$B$6:$C$9,2,FALSE()))</f>
        <v>3</v>
      </c>
      <c r="AG174" s="0" t="n">
        <f aca="false">IF(W174="","",VLOOKUP(W174,Assumptions!$B$6:$C$9,2,FALSE()))</f>
        <v>3</v>
      </c>
      <c r="AH174" s="0" t="n">
        <f aca="false">IF(X174="","",VLOOKUP(X174,Assumptions!$B$6:$C$9,2,FALSE()))</f>
        <v>3</v>
      </c>
      <c r="AI174" s="0" t="n">
        <f aca="false">IF(Y174="","",VLOOKUP(Y174,Assumptions!$B$6:$C$9,2,FALSE()))</f>
        <v>3</v>
      </c>
      <c r="AJ174" s="0" t="n">
        <f aca="false">IF(Z174="","",VLOOKUP(Z174,Assumptions!$B$6:$C$9,2,FALSE()))</f>
        <v>3</v>
      </c>
      <c r="AK174" s="7" t="n">
        <f aca="false">IFERROR(ROUND(AVERAGE(AF174:AJ174),3),"")</f>
        <v>3</v>
      </c>
      <c r="AL174" s="7" t="n">
        <f aca="false">IF(OR(AF174="",AJ174=""),"",AJ174-AF174)</f>
        <v>0</v>
      </c>
      <c r="AM174" s="7" t="n">
        <f aca="false">IF(COUNT(AF174:AJ174)&gt;=2,ROUND(_xlfn.STDEV.S(AF174:AJ174),3),"")</f>
        <v>0</v>
      </c>
      <c r="AN174" s="7" t="n">
        <f aca="false">ROUND((IF(AF174="",0,AF174)*Assumptions!$F$15)+(IF(AG174="",0,AG174)*Assumptions!$F$16)+(IF(AH174="",0,AH174)*Assumptions!$F$17)+(IF(AI174="",0,AI174)*Assumptions!$F$18)+(IF(AJ174="",0,AJ174)*Assumptions!$F$19),3)</f>
        <v>3</v>
      </c>
      <c r="AO174" s="0" t="str">
        <f aca="false">IF(AC174&lt;=20,"",IF(AC174&lt;=Assumptions!$F$6,"20-30",IF(AC174&lt;=Assumptions!$F$7,"30-40",IF(AC174&lt;=Assumptions!$F$8,"40-50",IF(AC174&lt;=Assumptions!$F$9,"50-60",IF(AC174&lt;=Assumptions!$F$10,"60+",""))))))</f>
        <v>40-50</v>
      </c>
      <c r="AP174" s="0" t="str">
        <f aca="false">IFERROR(VLOOKUP(O174,Assumptions!$B$14:$C$26,2,FALSE()),"Other")</f>
        <v>Manager</v>
      </c>
      <c r="AQ174" s="0" t="n">
        <f aca="false">IF(T174="",0,1)</f>
        <v>1</v>
      </c>
      <c r="AR174" s="0" t="n">
        <f aca="false">IF(U174="",0,1)</f>
        <v>1</v>
      </c>
      <c r="AS174" s="8" t="n">
        <f aca="false">IF(AK174="","",IF(MAX($AK$2:$AK$921)=MIN($AK$2:$AK$921),50,ROUND((AK174-MIN($AK$2:$AK$921))/(MAX($AK$2:$AK$921)-MIN($AK$2:$AK$921))*100,2)))</f>
        <v>57.14</v>
      </c>
      <c r="AT174" s="8" t="n">
        <f aca="false">IF(MAX($BC$2:$BC$921)=MIN($BC$2:$BC$921),50,ROUND((BC174-MIN($BC$2:$BC$921))/(MAX($BC$2:$BC$921)-MIN($BC$2:$BC$921))*100,2))</f>
        <v>50</v>
      </c>
      <c r="AU174" s="8" t="n">
        <f aca="false">IF(MAX($BE$2:$BE$921)=MIN($BE$2:$BE$921),50,ROUND((BE174-MIN($BE$2:$BE$921))/(MAX($BE$2:$BE$921)-MIN($BE$2:$BE$921))*100,2))</f>
        <v>100</v>
      </c>
      <c r="AV174" s="8" t="n">
        <f aca="false">IF(MAX($AD$2:$AD$921)=MIN($AD$2:$AD$921),50,ROUND((AD174-MIN($AD$2:$AD$921))/(MAX($AD$2:$AD$921)-MIN($AD$2:$AD$921))*100,2))</f>
        <v>53.52</v>
      </c>
      <c r="AW174" s="8" t="n">
        <f aca="false">IF(MAX($AN$2:$AN$921)=MIN($AN$2:$AN$921),50,ROUND((AN174-MIN($AN$2:$AN$921))/(MAX($AN$2:$AN$921)-MIN($AN$2:$AN$921))*100,2))</f>
        <v>75</v>
      </c>
      <c r="AX174" s="8" t="n">
        <f aca="false">AQ174*100</f>
        <v>100</v>
      </c>
      <c r="AY174" s="8" t="n">
        <f aca="false">AR174*100</f>
        <v>100</v>
      </c>
      <c r="AZ174" s="8" t="n">
        <f aca="false">IFERROR(ROUND(AS174*Assumptions!$I$6+AW174*Assumptions!$I$7+AT174*Assumptions!$I$8+AU174*Assumptions!$I$9+AV174*Assumptions!$I$10+AX174*Assumptions!$I$11+AY174*Assumptions!$I$12,2),"")</f>
        <v>69.99</v>
      </c>
      <c r="BA174" s="0" t="str">
        <f aca="false">IF(AZ174="","",IF(AZ174&lt;=Assumptions!$I$18,"Below Expectation",IF(AZ174&lt;=Assumptions!$I$19,"Developing",IF(AZ174&lt;=Assumptions!$I$20,"Meets Expectation",IF(AZ174&lt;=Assumptions!$I$21,"Exceeds","Star Performer")))))</f>
        <v>Meets Expectation</v>
      </c>
      <c r="BB174" s="0" t="n">
        <f aca="false">IF(AZ174="",0,IF(AZ174&gt;=Assumptions!$I$26,1,0))</f>
        <v>1</v>
      </c>
      <c r="BC174" s="9" t="n">
        <f aca="false">IF(AL174="",2,AL174+2)</f>
        <v>2</v>
      </c>
      <c r="BD174" s="10" t="n">
        <f aca="false">IF(AM174="",ROUND(AVERAGE($AM$2:$AM$921),3),AM174)</f>
        <v>0</v>
      </c>
      <c r="BE174" s="9" t="n">
        <f aca="false">1-BD174</f>
        <v>1</v>
      </c>
    </row>
    <row r="175" customFormat="false" ht="14.25" hidden="true" customHeight="false" outlineLevel="0" collapsed="false">
      <c r="A175" s="4" t="n">
        <v>327</v>
      </c>
      <c r="B175" s="5" t="n">
        <v>16263805</v>
      </c>
      <c r="C175" s="5" t="s">
        <v>85</v>
      </c>
      <c r="D175" s="5" t="s">
        <v>1021</v>
      </c>
      <c r="E175" s="5" t="s">
        <v>137</v>
      </c>
      <c r="F175" s="5" t="s">
        <v>267</v>
      </c>
      <c r="G175" s="5" t="s">
        <v>268</v>
      </c>
      <c r="H175" s="5" t="s">
        <v>267</v>
      </c>
      <c r="I175" s="5" t="s">
        <v>63</v>
      </c>
      <c r="J175" s="5" t="s">
        <v>76</v>
      </c>
      <c r="K175" s="5" t="s">
        <v>65</v>
      </c>
      <c r="L175" s="6" t="n">
        <v>36005</v>
      </c>
      <c r="M175" s="5" t="s">
        <v>1022</v>
      </c>
      <c r="N175" s="6" t="n">
        <v>25570</v>
      </c>
      <c r="O175" s="5" t="s">
        <v>162</v>
      </c>
      <c r="P175" s="5" t="s">
        <v>162</v>
      </c>
      <c r="Q175" s="5" t="s">
        <v>1023</v>
      </c>
      <c r="R175" s="5" t="s">
        <v>115</v>
      </c>
      <c r="S175" s="5" t="s">
        <v>1023</v>
      </c>
      <c r="T175" s="6" t="n">
        <v>40269</v>
      </c>
      <c r="U175" s="6" t="n">
        <v>46113</v>
      </c>
      <c r="V175" s="5" t="s">
        <v>83</v>
      </c>
      <c r="W175" s="5" t="s">
        <v>83</v>
      </c>
      <c r="X175" s="5" t="s">
        <v>141</v>
      </c>
      <c r="Y175" s="5" t="s">
        <v>141</v>
      </c>
      <c r="Z175" s="5" t="s">
        <v>141</v>
      </c>
      <c r="AA175" s="5" t="s">
        <v>1024</v>
      </c>
      <c r="AB175" s="0" t="n">
        <f aca="false">IFERROR(VALUE(R175),0)</f>
        <v>0</v>
      </c>
      <c r="AC175" s="0" t="n">
        <f aca="false">IFERROR(VALUE(M175),"")</f>
        <v>56.5</v>
      </c>
      <c r="AD175" s="0" t="n">
        <f aca="false">IFERROR(VALUE(Q175),"")</f>
        <v>27.1</v>
      </c>
      <c r="AE175" s="0" t="n">
        <f aca="false">IFERROR(VALUE(S175),"")</f>
        <v>27.1</v>
      </c>
      <c r="AF175" s="0" t="n">
        <f aca="false">IF(V175="","",VLOOKUP(V175,Assumptions!$B$6:$C$9,2,FALSE()))</f>
        <v>4</v>
      </c>
      <c r="AG175" s="0" t="n">
        <f aca="false">IF(W175="","",VLOOKUP(W175,Assumptions!$B$6:$C$9,2,FALSE()))</f>
        <v>4</v>
      </c>
      <c r="AH175" s="0" t="n">
        <f aca="false">IF(X175="","",VLOOKUP(X175,Assumptions!$B$6:$C$9,2,FALSE()))</f>
        <v>3</v>
      </c>
      <c r="AI175" s="0" t="n">
        <f aca="false">IF(Y175="","",VLOOKUP(Y175,Assumptions!$B$6:$C$9,2,FALSE()))</f>
        <v>3</v>
      </c>
      <c r="AJ175" s="0" t="n">
        <f aca="false">IF(Z175="","",VLOOKUP(Z175,Assumptions!$B$6:$C$9,2,FALSE()))</f>
        <v>3</v>
      </c>
      <c r="AK175" s="7" t="n">
        <f aca="false">IFERROR(ROUND(AVERAGE(AF175:AJ175),3),"")</f>
        <v>3.4</v>
      </c>
      <c r="AL175" s="7" t="n">
        <f aca="false">IF(OR(AF175="",AJ175=""),"",AJ175-AF175)</f>
        <v>-1</v>
      </c>
      <c r="AM175" s="7" t="n">
        <f aca="false">IF(COUNT(AF175:AJ175)&gt;=2,ROUND(_xlfn.STDEV.S(AF175:AJ175),3),"")</f>
        <v>0.548</v>
      </c>
      <c r="AN175" s="7" t="n">
        <f aca="false">ROUND((IF(AF175="",0,AF175)*Assumptions!$F$15)+(IF(AG175="",0,AG175)*Assumptions!$F$16)+(IF(AH175="",0,AH175)*Assumptions!$F$17)+(IF(AI175="",0,AI175)*Assumptions!$F$18)+(IF(AJ175="",0,AJ175)*Assumptions!$F$19),3)</f>
        <v>3.25</v>
      </c>
      <c r="AO175" s="0" t="str">
        <f aca="false">IF(AC175&lt;=20,"",IF(AC175&lt;=Assumptions!$F$6,"20-30",IF(AC175&lt;=Assumptions!$F$7,"30-40",IF(AC175&lt;=Assumptions!$F$8,"40-50",IF(AC175&lt;=Assumptions!$F$9,"50-60",IF(AC175&lt;=Assumptions!$F$10,"60+",""))))))</f>
        <v>50-60</v>
      </c>
      <c r="AP175" s="0" t="str">
        <f aca="false">IFERROR(VLOOKUP(O175,Assumptions!$B$14:$C$26,2,FALSE()),"Other")</f>
        <v>Manager</v>
      </c>
      <c r="AQ175" s="0" t="n">
        <f aca="false">IF(T175="",0,1)</f>
        <v>1</v>
      </c>
      <c r="AR175" s="0" t="n">
        <f aca="false">IF(U175="",0,1)</f>
        <v>1</v>
      </c>
      <c r="AS175" s="8" t="n">
        <f aca="false">IF(AK175="","",IF(MAX($AK$2:$AK$921)=MIN($AK$2:$AK$921),50,ROUND((AK175-MIN($AK$2:$AK$921))/(MAX($AK$2:$AK$921)-MIN($AK$2:$AK$921))*100,2)))</f>
        <v>74.28</v>
      </c>
      <c r="AT175" s="8" t="n">
        <f aca="false">IF(MAX($BC$2:$BC$921)=MIN($BC$2:$BC$921),50,ROUND((BC175-MIN($BC$2:$BC$921))/(MAX($BC$2:$BC$921)-MIN($BC$2:$BC$921))*100,2))</f>
        <v>25</v>
      </c>
      <c r="AU175" s="8" t="n">
        <f aca="false">IF(MAX($BE$2:$BE$921)=MIN($BE$2:$BE$921),50,ROUND((BE175-MIN($BE$2:$BE$921))/(MAX($BE$2:$BE$921)-MIN($BE$2:$BE$921))*100,2))</f>
        <v>68.36</v>
      </c>
      <c r="AV175" s="8" t="n">
        <f aca="false">IF(MAX($AD$2:$AD$921)=MIN($AD$2:$AD$921),50,ROUND((AD175-MIN($AD$2:$AD$921))/(MAX($AD$2:$AD$921)-MIN($AD$2:$AD$921))*100,2))</f>
        <v>73.36</v>
      </c>
      <c r="AW175" s="8" t="n">
        <f aca="false">IF(MAX($AN$2:$AN$921)=MIN($AN$2:$AN$921),50,ROUND((AN175-MIN($AN$2:$AN$921))/(MAX($AN$2:$AN$921)-MIN($AN$2:$AN$921))*100,2))</f>
        <v>81.25</v>
      </c>
      <c r="AX175" s="8" t="n">
        <f aca="false">AQ175*100</f>
        <v>100</v>
      </c>
      <c r="AY175" s="8" t="n">
        <f aca="false">AR175*100</f>
        <v>100</v>
      </c>
      <c r="AZ175" s="8" t="n">
        <f aca="false">IFERROR(ROUND(AS175*Assumptions!$I$6+AW175*Assumptions!$I$7+AT175*Assumptions!$I$8+AU175*Assumptions!$I$9+AV175*Assumptions!$I$10+AX175*Assumptions!$I$11+AY175*Assumptions!$I$12,2),"")</f>
        <v>69.87</v>
      </c>
      <c r="BA175" s="0" t="str">
        <f aca="false">IF(AZ175="","",IF(AZ175&lt;=Assumptions!$I$18,"Below Expectation",IF(AZ175&lt;=Assumptions!$I$19,"Developing",IF(AZ175&lt;=Assumptions!$I$20,"Meets Expectation",IF(AZ175&lt;=Assumptions!$I$21,"Exceeds","Star Performer")))))</f>
        <v>Meets Expectation</v>
      </c>
      <c r="BB175" s="0" t="n">
        <f aca="false">IF(AZ175="",0,IF(AZ175&gt;=Assumptions!$I$26,1,0))</f>
        <v>1</v>
      </c>
      <c r="BC175" s="9" t="n">
        <f aca="false">IF(AL175="",2,AL175+2)</f>
        <v>1</v>
      </c>
      <c r="BD175" s="10" t="n">
        <f aca="false">IF(AM175="",ROUND(AVERAGE($AM$2:$AM$921),3),AM175)</f>
        <v>0.548</v>
      </c>
      <c r="BE175" s="9" t="n">
        <f aca="false">1-BD175</f>
        <v>0.452</v>
      </c>
    </row>
    <row r="176" customFormat="false" ht="14.25" hidden="true" customHeight="false" outlineLevel="0" collapsed="false">
      <c r="A176" s="4" t="n">
        <v>369</v>
      </c>
      <c r="B176" s="5" t="n">
        <v>37102289</v>
      </c>
      <c r="C176" s="5" t="s">
        <v>57</v>
      </c>
      <c r="D176" s="5" t="s">
        <v>1025</v>
      </c>
      <c r="E176" s="5" t="s">
        <v>275</v>
      </c>
      <c r="F176" s="5" t="s">
        <v>209</v>
      </c>
      <c r="G176" s="5" t="s">
        <v>210</v>
      </c>
      <c r="H176" s="5" t="s">
        <v>209</v>
      </c>
      <c r="I176" s="5" t="s">
        <v>63</v>
      </c>
      <c r="J176" s="5" t="s">
        <v>100</v>
      </c>
      <c r="K176" s="5" t="s">
        <v>65</v>
      </c>
      <c r="L176" s="6" t="n">
        <v>40441</v>
      </c>
      <c r="M176" s="5" t="s">
        <v>1018</v>
      </c>
      <c r="N176" s="6" t="n">
        <v>29800</v>
      </c>
      <c r="O176" s="5" t="s">
        <v>162</v>
      </c>
      <c r="P176" s="5" t="s">
        <v>162</v>
      </c>
      <c r="Q176" s="5" t="s">
        <v>460</v>
      </c>
      <c r="R176" s="5" t="s">
        <v>997</v>
      </c>
      <c r="S176" s="5" t="s">
        <v>163</v>
      </c>
      <c r="T176" s="6"/>
      <c r="U176" s="6" t="n">
        <v>45748</v>
      </c>
      <c r="V176" s="5" t="s">
        <v>141</v>
      </c>
      <c r="W176" s="5" t="s">
        <v>83</v>
      </c>
      <c r="X176" s="5" t="s">
        <v>83</v>
      </c>
      <c r="Y176" s="5" t="s">
        <v>83</v>
      </c>
      <c r="Z176" s="5" t="s">
        <v>141</v>
      </c>
      <c r="AA176" s="5" t="s">
        <v>1026</v>
      </c>
      <c r="AB176" s="0" t="n">
        <f aca="false">IFERROR(VALUE(R176),0)</f>
        <v>5.11</v>
      </c>
      <c r="AC176" s="0" t="n">
        <f aca="false">IFERROR(VALUE(M176),"")</f>
        <v>44.1</v>
      </c>
      <c r="AD176" s="0" t="n">
        <f aca="false">IFERROR(VALUE(Q176),"")</f>
        <v>15.8</v>
      </c>
      <c r="AE176" s="0" t="n">
        <f aca="false">IFERROR(VALUE(S176),"")</f>
        <v>21.7</v>
      </c>
      <c r="AF176" s="0" t="n">
        <f aca="false">IF(V176="","",VLOOKUP(V176,Assumptions!$B$6:$C$9,2,FALSE()))</f>
        <v>3</v>
      </c>
      <c r="AG176" s="0" t="n">
        <f aca="false">IF(W176="","",VLOOKUP(W176,Assumptions!$B$6:$C$9,2,FALSE()))</f>
        <v>4</v>
      </c>
      <c r="AH176" s="0" t="n">
        <f aca="false">IF(X176="","",VLOOKUP(X176,Assumptions!$B$6:$C$9,2,FALSE()))</f>
        <v>4</v>
      </c>
      <c r="AI176" s="0" t="n">
        <f aca="false">IF(Y176="","",VLOOKUP(Y176,Assumptions!$B$6:$C$9,2,FALSE()))</f>
        <v>4</v>
      </c>
      <c r="AJ176" s="0" t="n">
        <f aca="false">IF(Z176="","",VLOOKUP(Z176,Assumptions!$B$6:$C$9,2,FALSE()))</f>
        <v>3</v>
      </c>
      <c r="AK176" s="7" t="n">
        <f aca="false">IFERROR(ROUND(AVERAGE(AF176:AJ176),3),"")</f>
        <v>3.6</v>
      </c>
      <c r="AL176" s="7" t="n">
        <f aca="false">IF(OR(AF176="",AJ176=""),"",AJ176-AF176)</f>
        <v>0</v>
      </c>
      <c r="AM176" s="7" t="n">
        <f aca="false">IF(COUNT(AF176:AJ176)&gt;=2,ROUND(_xlfn.STDEV.S(AF176:AJ176),3),"")</f>
        <v>0.548</v>
      </c>
      <c r="AN176" s="7" t="n">
        <f aca="false">ROUND((IF(AF176="",0,AF176)*Assumptions!$F$15)+(IF(AG176="",0,AG176)*Assumptions!$F$16)+(IF(AH176="",0,AH176)*Assumptions!$F$17)+(IF(AI176="",0,AI176)*Assumptions!$F$18)+(IF(AJ176="",0,AJ176)*Assumptions!$F$19),3)</f>
        <v>3.6</v>
      </c>
      <c r="AO176" s="0" t="str">
        <f aca="false">IF(AC176&lt;=20,"",IF(AC176&lt;=Assumptions!$F$6,"20-30",IF(AC176&lt;=Assumptions!$F$7,"30-40",IF(AC176&lt;=Assumptions!$F$8,"40-50",IF(AC176&lt;=Assumptions!$F$9,"50-60",IF(AC176&lt;=Assumptions!$F$10,"60+",""))))))</f>
        <v>40-50</v>
      </c>
      <c r="AP176" s="0" t="str">
        <f aca="false">IFERROR(VLOOKUP(O176,Assumptions!$B$14:$C$26,2,FALSE()),"Other")</f>
        <v>Manager</v>
      </c>
      <c r="AQ176" s="0" t="n">
        <f aca="false">IF(T176="",0,1)</f>
        <v>0</v>
      </c>
      <c r="AR176" s="0" t="n">
        <f aca="false">IF(U176="",0,1)</f>
        <v>1</v>
      </c>
      <c r="AS176" s="8" t="n">
        <f aca="false">IF(AK176="","",IF(MAX($AK$2:$AK$921)=MIN($AK$2:$AK$921),50,ROUND((AK176-MIN($AK$2:$AK$921))/(MAX($AK$2:$AK$921)-MIN($AK$2:$AK$921))*100,2)))</f>
        <v>82.85</v>
      </c>
      <c r="AT176" s="8" t="n">
        <f aca="false">IF(MAX($BC$2:$BC$921)=MIN($BC$2:$BC$921),50,ROUND((BC176-MIN($BC$2:$BC$921))/(MAX($BC$2:$BC$921)-MIN($BC$2:$BC$921))*100,2))</f>
        <v>50</v>
      </c>
      <c r="AU176" s="8" t="n">
        <f aca="false">IF(MAX($BE$2:$BE$921)=MIN($BE$2:$BE$921),50,ROUND((BE176-MIN($BE$2:$BE$921))/(MAX($BE$2:$BE$921)-MIN($BE$2:$BE$921))*100,2))</f>
        <v>68.36</v>
      </c>
      <c r="AV176" s="8" t="n">
        <f aca="false">IF(MAX($AD$2:$AD$921)=MIN($AD$2:$AD$921),50,ROUND((AD176-MIN($AD$2:$AD$921))/(MAX($AD$2:$AD$921)-MIN($AD$2:$AD$921))*100,2))</f>
        <v>42.65</v>
      </c>
      <c r="AW176" s="8" t="n">
        <f aca="false">IF(MAX($AN$2:$AN$921)=MIN($AN$2:$AN$921),50,ROUND((AN176-MIN($AN$2:$AN$921))/(MAX($AN$2:$AN$921)-MIN($AN$2:$AN$921))*100,2))</f>
        <v>90</v>
      </c>
      <c r="AX176" s="8" t="n">
        <f aca="false">AQ176*100</f>
        <v>0</v>
      </c>
      <c r="AY176" s="8" t="n">
        <f aca="false">AR176*100</f>
        <v>100</v>
      </c>
      <c r="AZ176" s="8" t="n">
        <f aca="false">IFERROR(ROUND(AS176*Assumptions!$I$6+AW176*Assumptions!$I$7+AT176*Assumptions!$I$8+AU176*Assumptions!$I$9+AV176*Assumptions!$I$10+AX176*Assumptions!$I$11+AY176*Assumptions!$I$12,2),"")</f>
        <v>69.87</v>
      </c>
      <c r="BA176" s="0" t="str">
        <f aca="false">IF(AZ176="","",IF(AZ176&lt;=Assumptions!$I$18,"Below Expectation",IF(AZ176&lt;=Assumptions!$I$19,"Developing",IF(AZ176&lt;=Assumptions!$I$20,"Meets Expectation",IF(AZ176&lt;=Assumptions!$I$21,"Exceeds","Star Performer")))))</f>
        <v>Meets Expectation</v>
      </c>
      <c r="BB176" s="0" t="n">
        <f aca="false">IF(AZ176="",0,IF(AZ176&gt;=Assumptions!$I$26,1,0))</f>
        <v>1</v>
      </c>
      <c r="BC176" s="9" t="n">
        <f aca="false">IF(AL176="",2,AL176+2)</f>
        <v>2</v>
      </c>
      <c r="BD176" s="10" t="n">
        <f aca="false">IF(AM176="",ROUND(AVERAGE($AM$2:$AM$921),3),AM176)</f>
        <v>0.548</v>
      </c>
      <c r="BE176" s="9" t="n">
        <f aca="false">1-BD176</f>
        <v>0.452</v>
      </c>
    </row>
    <row r="177" customFormat="false" ht="14.25" hidden="true" customHeight="false" outlineLevel="0" collapsed="false">
      <c r="A177" s="4" t="n">
        <v>328</v>
      </c>
      <c r="B177" s="5" t="n">
        <v>16300247</v>
      </c>
      <c r="C177" s="5" t="s">
        <v>85</v>
      </c>
      <c r="D177" s="5" t="s">
        <v>1027</v>
      </c>
      <c r="E177" s="5" t="s">
        <v>751</v>
      </c>
      <c r="F177" s="5" t="s">
        <v>1028</v>
      </c>
      <c r="G177" s="5" t="s">
        <v>1029</v>
      </c>
      <c r="H177" s="5" t="s">
        <v>1028</v>
      </c>
      <c r="I177" s="5" t="s">
        <v>63</v>
      </c>
      <c r="J177" s="5" t="s">
        <v>76</v>
      </c>
      <c r="K177" s="5" t="s">
        <v>65</v>
      </c>
      <c r="L177" s="6" t="n">
        <v>39128</v>
      </c>
      <c r="M177" s="5" t="s">
        <v>886</v>
      </c>
      <c r="N177" s="6" t="n">
        <v>28010</v>
      </c>
      <c r="O177" s="5" t="s">
        <v>262</v>
      </c>
      <c r="P177" s="5" t="s">
        <v>263</v>
      </c>
      <c r="Q177" s="5" t="s">
        <v>635</v>
      </c>
      <c r="R177" s="5" t="s">
        <v>1002</v>
      </c>
      <c r="S177" s="5" t="s">
        <v>319</v>
      </c>
      <c r="T177" s="6" t="n">
        <v>41000</v>
      </c>
      <c r="U177" s="6" t="n">
        <v>44652</v>
      </c>
      <c r="V177" s="5" t="s">
        <v>141</v>
      </c>
      <c r="W177" s="5" t="s">
        <v>141</v>
      </c>
      <c r="X177" s="5" t="s">
        <v>141</v>
      </c>
      <c r="Y177" s="5" t="s">
        <v>141</v>
      </c>
      <c r="Z177" s="5" t="s">
        <v>141</v>
      </c>
      <c r="AA177" s="5" t="s">
        <v>1030</v>
      </c>
      <c r="AB177" s="0" t="n">
        <f aca="false">IFERROR(VALUE(R177),0)</f>
        <v>3.1</v>
      </c>
      <c r="AC177" s="0" t="n">
        <f aca="false">IFERROR(VALUE(M177),"")</f>
        <v>49.9</v>
      </c>
      <c r="AD177" s="0" t="n">
        <f aca="false">IFERROR(VALUE(Q177),"")</f>
        <v>19.3</v>
      </c>
      <c r="AE177" s="0" t="n">
        <f aca="false">IFERROR(VALUE(S177),"")</f>
        <v>22.4</v>
      </c>
      <c r="AF177" s="0" t="n">
        <f aca="false">IF(V177="","",VLOOKUP(V177,Assumptions!$B$6:$C$9,2,FALSE()))</f>
        <v>3</v>
      </c>
      <c r="AG177" s="0" t="n">
        <f aca="false">IF(W177="","",VLOOKUP(W177,Assumptions!$B$6:$C$9,2,FALSE()))</f>
        <v>3</v>
      </c>
      <c r="AH177" s="0" t="n">
        <f aca="false">IF(X177="","",VLOOKUP(X177,Assumptions!$B$6:$C$9,2,FALSE()))</f>
        <v>3</v>
      </c>
      <c r="AI177" s="0" t="n">
        <f aca="false">IF(Y177="","",VLOOKUP(Y177,Assumptions!$B$6:$C$9,2,FALSE()))</f>
        <v>3</v>
      </c>
      <c r="AJ177" s="0" t="n">
        <f aca="false">IF(Z177="","",VLOOKUP(Z177,Assumptions!$B$6:$C$9,2,FALSE()))</f>
        <v>3</v>
      </c>
      <c r="AK177" s="7" t="n">
        <f aca="false">IFERROR(ROUND(AVERAGE(AF177:AJ177),3),"")</f>
        <v>3</v>
      </c>
      <c r="AL177" s="7" t="n">
        <f aca="false">IF(OR(AF177="",AJ177=""),"",AJ177-AF177)</f>
        <v>0</v>
      </c>
      <c r="AM177" s="7" t="n">
        <f aca="false">IF(COUNT(AF177:AJ177)&gt;=2,ROUND(_xlfn.STDEV.S(AF177:AJ177),3),"")</f>
        <v>0</v>
      </c>
      <c r="AN177" s="7" t="n">
        <f aca="false">ROUND((IF(AF177="",0,AF177)*Assumptions!$F$15)+(IF(AG177="",0,AG177)*Assumptions!$F$16)+(IF(AH177="",0,AH177)*Assumptions!$F$17)+(IF(AI177="",0,AI177)*Assumptions!$F$18)+(IF(AJ177="",0,AJ177)*Assumptions!$F$19),3)</f>
        <v>3</v>
      </c>
      <c r="AO177" s="0" t="str">
        <f aca="false">IF(AC177&lt;=20,"",IF(AC177&lt;=Assumptions!$F$6,"20-30",IF(AC177&lt;=Assumptions!$F$7,"30-40",IF(AC177&lt;=Assumptions!$F$8,"40-50",IF(AC177&lt;=Assumptions!$F$9,"50-60",IF(AC177&lt;=Assumptions!$F$10,"60+",""))))))</f>
        <v>40-50</v>
      </c>
      <c r="AP177" s="0" t="str">
        <f aca="false">IFERROR(VLOOKUP(O177,Assumptions!$B$14:$C$26,2,FALSE()),"Other")</f>
        <v>Manager</v>
      </c>
      <c r="AQ177" s="0" t="n">
        <f aca="false">IF(T177="",0,1)</f>
        <v>1</v>
      </c>
      <c r="AR177" s="0" t="n">
        <f aca="false">IF(U177="",0,1)</f>
        <v>1</v>
      </c>
      <c r="AS177" s="8" t="n">
        <f aca="false">IF(AK177="","",IF(MAX($AK$2:$AK$921)=MIN($AK$2:$AK$921),50,ROUND((AK177-MIN($AK$2:$AK$921))/(MAX($AK$2:$AK$921)-MIN($AK$2:$AK$921))*100,2)))</f>
        <v>57.14</v>
      </c>
      <c r="AT177" s="8" t="n">
        <f aca="false">IF(MAX($BC$2:$BC$921)=MIN($BC$2:$BC$921),50,ROUND((BC177-MIN($BC$2:$BC$921))/(MAX($BC$2:$BC$921)-MIN($BC$2:$BC$921))*100,2))</f>
        <v>50</v>
      </c>
      <c r="AU177" s="8" t="n">
        <f aca="false">IF(MAX($BE$2:$BE$921)=MIN($BE$2:$BE$921),50,ROUND((BE177-MIN($BE$2:$BE$921))/(MAX($BE$2:$BE$921)-MIN($BE$2:$BE$921))*100,2))</f>
        <v>100</v>
      </c>
      <c r="AV177" s="8" t="n">
        <f aca="false">IF(MAX($AD$2:$AD$921)=MIN($AD$2:$AD$921),50,ROUND((AD177-MIN($AD$2:$AD$921))/(MAX($AD$2:$AD$921)-MIN($AD$2:$AD$921))*100,2))</f>
        <v>52.16</v>
      </c>
      <c r="AW177" s="8" t="n">
        <f aca="false">IF(MAX($AN$2:$AN$921)=MIN($AN$2:$AN$921),50,ROUND((AN177-MIN($AN$2:$AN$921))/(MAX($AN$2:$AN$921)-MIN($AN$2:$AN$921))*100,2))</f>
        <v>75</v>
      </c>
      <c r="AX177" s="8" t="n">
        <f aca="false">AQ177*100</f>
        <v>100</v>
      </c>
      <c r="AY177" s="8" t="n">
        <f aca="false">AR177*100</f>
        <v>100</v>
      </c>
      <c r="AZ177" s="8" t="n">
        <f aca="false">IFERROR(ROUND(AS177*Assumptions!$I$6+AW177*Assumptions!$I$7+AT177*Assumptions!$I$8+AU177*Assumptions!$I$9+AV177*Assumptions!$I$10+AX177*Assumptions!$I$11+AY177*Assumptions!$I$12,2),"")</f>
        <v>69.86</v>
      </c>
      <c r="BA177" s="0" t="str">
        <f aca="false">IF(AZ177="","",IF(AZ177&lt;=Assumptions!$I$18,"Below Expectation",IF(AZ177&lt;=Assumptions!$I$19,"Developing",IF(AZ177&lt;=Assumptions!$I$20,"Meets Expectation",IF(AZ177&lt;=Assumptions!$I$21,"Exceeds","Star Performer")))))</f>
        <v>Meets Expectation</v>
      </c>
      <c r="BB177" s="0" t="n">
        <f aca="false">IF(AZ177="",0,IF(AZ177&gt;=Assumptions!$I$26,1,0))</f>
        <v>1</v>
      </c>
      <c r="BC177" s="9" t="n">
        <f aca="false">IF(AL177="",2,AL177+2)</f>
        <v>2</v>
      </c>
      <c r="BD177" s="10" t="n">
        <f aca="false">IF(AM177="",ROUND(AVERAGE($AM$2:$AM$921),3),AM177)</f>
        <v>0</v>
      </c>
      <c r="BE177" s="9" t="n">
        <f aca="false">1-BD177</f>
        <v>1</v>
      </c>
    </row>
    <row r="178" customFormat="false" ht="14.25" hidden="true" customHeight="false" outlineLevel="0" collapsed="false">
      <c r="A178" s="4" t="n">
        <v>127</v>
      </c>
      <c r="B178" s="5" t="n">
        <v>10041659</v>
      </c>
      <c r="C178" s="5" t="s">
        <v>57</v>
      </c>
      <c r="D178" s="5" t="s">
        <v>1031</v>
      </c>
      <c r="E178" s="5" t="s">
        <v>96</v>
      </c>
      <c r="F178" s="5" t="s">
        <v>387</v>
      </c>
      <c r="G178" s="5" t="s">
        <v>388</v>
      </c>
      <c r="H178" s="5" t="s">
        <v>387</v>
      </c>
      <c r="I178" s="5" t="s">
        <v>63</v>
      </c>
      <c r="J178" s="5" t="s">
        <v>100</v>
      </c>
      <c r="K178" s="5" t="s">
        <v>65</v>
      </c>
      <c r="L178" s="6" t="n">
        <v>41680</v>
      </c>
      <c r="M178" s="5" t="s">
        <v>1032</v>
      </c>
      <c r="N178" s="6" t="n">
        <v>32659</v>
      </c>
      <c r="O178" s="5" t="s">
        <v>332</v>
      </c>
      <c r="P178" s="5" t="s">
        <v>333</v>
      </c>
      <c r="Q178" s="5" t="s">
        <v>1033</v>
      </c>
      <c r="R178" s="5" t="s">
        <v>133</v>
      </c>
      <c r="S178" s="5" t="s">
        <v>296</v>
      </c>
      <c r="T178" s="6"/>
      <c r="U178" s="6" t="n">
        <v>44197</v>
      </c>
      <c r="V178" s="5" t="s">
        <v>141</v>
      </c>
      <c r="W178" s="5" t="s">
        <v>141</v>
      </c>
      <c r="X178" s="5" t="s">
        <v>141</v>
      </c>
      <c r="Y178" s="5" t="s">
        <v>83</v>
      </c>
      <c r="Z178" s="5" t="s">
        <v>83</v>
      </c>
      <c r="AA178" s="5" t="s">
        <v>1034</v>
      </c>
      <c r="AB178" s="0" t="n">
        <f aca="false">IFERROR(VALUE(R178),0)</f>
        <v>1</v>
      </c>
      <c r="AC178" s="0" t="n">
        <f aca="false">IFERROR(VALUE(M178),"")</f>
        <v>37</v>
      </c>
      <c r="AD178" s="0" t="n">
        <f aca="false">IFERROR(VALUE(Q178),"")</f>
        <v>12.3</v>
      </c>
      <c r="AE178" s="0" t="n">
        <f aca="false">IFERROR(VALUE(S178),"")</f>
        <v>13.3</v>
      </c>
      <c r="AF178" s="0" t="n">
        <f aca="false">IF(V178="","",VLOOKUP(V178,Assumptions!$B$6:$C$9,2,FALSE()))</f>
        <v>3</v>
      </c>
      <c r="AG178" s="0" t="n">
        <f aca="false">IF(W178="","",VLOOKUP(W178,Assumptions!$B$6:$C$9,2,FALSE()))</f>
        <v>3</v>
      </c>
      <c r="AH178" s="0" t="n">
        <f aca="false">IF(X178="","",VLOOKUP(X178,Assumptions!$B$6:$C$9,2,FALSE()))</f>
        <v>3</v>
      </c>
      <c r="AI178" s="0" t="n">
        <f aca="false">IF(Y178="","",VLOOKUP(Y178,Assumptions!$B$6:$C$9,2,FALSE()))</f>
        <v>4</v>
      </c>
      <c r="AJ178" s="0" t="n">
        <f aca="false">IF(Z178="","",VLOOKUP(Z178,Assumptions!$B$6:$C$9,2,FALSE()))</f>
        <v>4</v>
      </c>
      <c r="AK178" s="7" t="n">
        <f aca="false">IFERROR(ROUND(AVERAGE(AF178:AJ178),3),"")</f>
        <v>3.4</v>
      </c>
      <c r="AL178" s="7" t="n">
        <f aca="false">IF(OR(AF178="",AJ178=""),"",AJ178-AF178)</f>
        <v>1</v>
      </c>
      <c r="AM178" s="7" t="n">
        <f aca="false">IF(COUNT(AF178:AJ178)&gt;=2,ROUND(_xlfn.STDEV.S(AF178:AJ178),3),"")</f>
        <v>0.548</v>
      </c>
      <c r="AN178" s="7" t="n">
        <f aca="false">ROUND((IF(AF178="",0,AF178)*Assumptions!$F$15)+(IF(AG178="",0,AG178)*Assumptions!$F$16)+(IF(AH178="",0,AH178)*Assumptions!$F$17)+(IF(AI178="",0,AI178)*Assumptions!$F$18)+(IF(AJ178="",0,AJ178)*Assumptions!$F$19),3)</f>
        <v>3.55</v>
      </c>
      <c r="AO178" s="0" t="str">
        <f aca="false">IF(AC178&lt;=20,"",IF(AC178&lt;=Assumptions!$F$6,"20-30",IF(AC178&lt;=Assumptions!$F$7,"30-40",IF(AC178&lt;=Assumptions!$F$8,"40-50",IF(AC178&lt;=Assumptions!$F$9,"50-60",IF(AC178&lt;=Assumptions!$F$10,"60+",""))))))</f>
        <v>30-40</v>
      </c>
      <c r="AP178" s="0" t="str">
        <f aca="false">IFERROR(VLOOKUP(O178,Assumptions!$B$14:$C$26,2,FALSE()),"Other")</f>
        <v>Manager</v>
      </c>
      <c r="AQ178" s="0" t="n">
        <f aca="false">IF(T178="",0,1)</f>
        <v>0</v>
      </c>
      <c r="AR178" s="0" t="n">
        <f aca="false">IF(U178="",0,1)</f>
        <v>1</v>
      </c>
      <c r="AS178" s="8" t="n">
        <f aca="false">IF(AK178="","",IF(MAX($AK$2:$AK$921)=MIN($AK$2:$AK$921),50,ROUND((AK178-MIN($AK$2:$AK$921))/(MAX($AK$2:$AK$921)-MIN($AK$2:$AK$921))*100,2)))</f>
        <v>74.28</v>
      </c>
      <c r="AT178" s="8" t="n">
        <f aca="false">IF(MAX($BC$2:$BC$921)=MIN($BC$2:$BC$921),50,ROUND((BC178-MIN($BC$2:$BC$921))/(MAX($BC$2:$BC$921)-MIN($BC$2:$BC$921))*100,2))</f>
        <v>75</v>
      </c>
      <c r="AU178" s="8" t="n">
        <f aca="false">IF(MAX($BE$2:$BE$921)=MIN($BE$2:$BE$921),50,ROUND((BE178-MIN($BE$2:$BE$921))/(MAX($BE$2:$BE$921)-MIN($BE$2:$BE$921))*100,2))</f>
        <v>68.36</v>
      </c>
      <c r="AV178" s="8" t="n">
        <f aca="false">IF(MAX($AD$2:$AD$921)=MIN($AD$2:$AD$921),50,ROUND((AD178-MIN($AD$2:$AD$921))/(MAX($AD$2:$AD$921)-MIN($AD$2:$AD$921))*100,2))</f>
        <v>33.13</v>
      </c>
      <c r="AW178" s="8" t="n">
        <f aca="false">IF(MAX($AN$2:$AN$921)=MIN($AN$2:$AN$921),50,ROUND((AN178-MIN($AN$2:$AN$921))/(MAX($AN$2:$AN$921)-MIN($AN$2:$AN$921))*100,2))</f>
        <v>88.75</v>
      </c>
      <c r="AX178" s="8" t="n">
        <f aca="false">AQ178*100</f>
        <v>0</v>
      </c>
      <c r="AY178" s="8" t="n">
        <f aca="false">AR178*100</f>
        <v>100</v>
      </c>
      <c r="AZ178" s="8" t="n">
        <f aca="false">IFERROR(ROUND(AS178*Assumptions!$I$6+AW178*Assumptions!$I$7+AT178*Assumptions!$I$8+AU178*Assumptions!$I$9+AV178*Assumptions!$I$10+AX178*Assumptions!$I$11+AY178*Assumptions!$I$12,2),"")</f>
        <v>69.85</v>
      </c>
      <c r="BA178" s="0" t="str">
        <f aca="false">IF(AZ178="","",IF(AZ178&lt;=Assumptions!$I$18,"Below Expectation",IF(AZ178&lt;=Assumptions!$I$19,"Developing",IF(AZ178&lt;=Assumptions!$I$20,"Meets Expectation",IF(AZ178&lt;=Assumptions!$I$21,"Exceeds","Star Performer")))))</f>
        <v>Meets Expectation</v>
      </c>
      <c r="BB178" s="0" t="n">
        <f aca="false">IF(AZ178="",0,IF(AZ178&gt;=Assumptions!$I$26,1,0))</f>
        <v>1</v>
      </c>
      <c r="BC178" s="9" t="n">
        <f aca="false">IF(AL178="",2,AL178+2)</f>
        <v>3</v>
      </c>
      <c r="BD178" s="10" t="n">
        <f aca="false">IF(AM178="",ROUND(AVERAGE($AM$2:$AM$921),3),AM178)</f>
        <v>0.548</v>
      </c>
      <c r="BE178" s="9" t="n">
        <f aca="false">1-BD178</f>
        <v>0.452</v>
      </c>
    </row>
    <row r="179" customFormat="false" ht="14.25" hidden="true" customHeight="false" outlineLevel="0" collapsed="false">
      <c r="A179" s="4" t="n">
        <v>84</v>
      </c>
      <c r="B179" s="5" t="n">
        <v>10025523</v>
      </c>
      <c r="C179" s="5" t="s">
        <v>85</v>
      </c>
      <c r="D179" s="5" t="s">
        <v>1035</v>
      </c>
      <c r="E179" s="5" t="s">
        <v>339</v>
      </c>
      <c r="F179" s="5" t="s">
        <v>478</v>
      </c>
      <c r="G179" s="5" t="s">
        <v>61</v>
      </c>
      <c r="H179" s="5" t="s">
        <v>62</v>
      </c>
      <c r="I179" s="5" t="s">
        <v>63</v>
      </c>
      <c r="J179" s="5" t="s">
        <v>76</v>
      </c>
      <c r="K179" s="5" t="s">
        <v>65</v>
      </c>
      <c r="L179" s="6" t="n">
        <v>39353</v>
      </c>
      <c r="M179" s="5" t="s">
        <v>1036</v>
      </c>
      <c r="N179" s="6" t="n">
        <v>26027</v>
      </c>
      <c r="O179" s="5" t="s">
        <v>78</v>
      </c>
      <c r="P179" s="5" t="s">
        <v>79</v>
      </c>
      <c r="Q179" s="5" t="s">
        <v>573</v>
      </c>
      <c r="R179" s="5" t="s">
        <v>516</v>
      </c>
      <c r="S179" s="5" t="s">
        <v>659</v>
      </c>
      <c r="T179" s="6" t="n">
        <v>40513</v>
      </c>
      <c r="U179" s="6" t="n">
        <v>44652</v>
      </c>
      <c r="V179" s="5" t="s">
        <v>141</v>
      </c>
      <c r="W179" s="5" t="s">
        <v>141</v>
      </c>
      <c r="X179" s="5" t="s">
        <v>141</v>
      </c>
      <c r="Y179" s="5" t="s">
        <v>141</v>
      </c>
      <c r="Z179" s="5" t="s">
        <v>141</v>
      </c>
      <c r="AA179" s="5" t="s">
        <v>1037</v>
      </c>
      <c r="AB179" s="0" t="n">
        <f aca="false">IFERROR(VALUE(R179),0)</f>
        <v>15.2</v>
      </c>
      <c r="AC179" s="0" t="n">
        <f aca="false">IFERROR(VALUE(M179),"")</f>
        <v>55.2</v>
      </c>
      <c r="AD179" s="0" t="n">
        <f aca="false">IFERROR(VALUE(Q179),"")</f>
        <v>18.8</v>
      </c>
      <c r="AE179" s="0" t="n">
        <f aca="false">IFERROR(VALUE(S179),"")</f>
        <v>33.1</v>
      </c>
      <c r="AF179" s="0" t="n">
        <f aca="false">IF(V179="","",VLOOKUP(V179,Assumptions!$B$6:$C$9,2,FALSE()))</f>
        <v>3</v>
      </c>
      <c r="AG179" s="0" t="n">
        <f aca="false">IF(W179="","",VLOOKUP(W179,Assumptions!$B$6:$C$9,2,FALSE()))</f>
        <v>3</v>
      </c>
      <c r="AH179" s="0" t="n">
        <f aca="false">IF(X179="","",VLOOKUP(X179,Assumptions!$B$6:$C$9,2,FALSE()))</f>
        <v>3</v>
      </c>
      <c r="AI179" s="0" t="n">
        <f aca="false">IF(Y179="","",VLOOKUP(Y179,Assumptions!$B$6:$C$9,2,FALSE()))</f>
        <v>3</v>
      </c>
      <c r="AJ179" s="0" t="n">
        <f aca="false">IF(Z179="","",VLOOKUP(Z179,Assumptions!$B$6:$C$9,2,FALSE()))</f>
        <v>3</v>
      </c>
      <c r="AK179" s="7" t="n">
        <f aca="false">IFERROR(ROUND(AVERAGE(AF179:AJ179),3),"")</f>
        <v>3</v>
      </c>
      <c r="AL179" s="7" t="n">
        <f aca="false">IF(OR(AF179="",AJ179=""),"",AJ179-AF179)</f>
        <v>0</v>
      </c>
      <c r="AM179" s="7" t="n">
        <f aca="false">IF(COUNT(AF179:AJ179)&gt;=2,ROUND(_xlfn.STDEV.S(AF179:AJ179),3),"")</f>
        <v>0</v>
      </c>
      <c r="AN179" s="7" t="n">
        <f aca="false">ROUND((IF(AF179="",0,AF179)*Assumptions!$F$15)+(IF(AG179="",0,AG179)*Assumptions!$F$16)+(IF(AH179="",0,AH179)*Assumptions!$F$17)+(IF(AI179="",0,AI179)*Assumptions!$F$18)+(IF(AJ179="",0,AJ179)*Assumptions!$F$19),3)</f>
        <v>3</v>
      </c>
      <c r="AO179" s="0" t="str">
        <f aca="false">IF(AC179&lt;=20,"",IF(AC179&lt;=Assumptions!$F$6,"20-30",IF(AC179&lt;=Assumptions!$F$7,"30-40",IF(AC179&lt;=Assumptions!$F$8,"40-50",IF(AC179&lt;=Assumptions!$F$9,"50-60",IF(AC179&lt;=Assumptions!$F$10,"60+",""))))))</f>
        <v>50-60</v>
      </c>
      <c r="AP179" s="0" t="str">
        <f aca="false">IFERROR(VLOOKUP(O179,Assumptions!$B$14:$C$26,2,FALSE()),"Other")</f>
        <v>Leadership</v>
      </c>
      <c r="AQ179" s="0" t="n">
        <f aca="false">IF(T179="",0,1)</f>
        <v>1</v>
      </c>
      <c r="AR179" s="0" t="n">
        <f aca="false">IF(U179="",0,1)</f>
        <v>1</v>
      </c>
      <c r="AS179" s="8" t="n">
        <f aca="false">IF(AK179="","",IF(MAX($AK$2:$AK$921)=MIN($AK$2:$AK$921),50,ROUND((AK179-MIN($AK$2:$AK$921))/(MAX($AK$2:$AK$921)-MIN($AK$2:$AK$921))*100,2)))</f>
        <v>57.14</v>
      </c>
      <c r="AT179" s="8" t="n">
        <f aca="false">IF(MAX($BC$2:$BC$921)=MIN($BC$2:$BC$921),50,ROUND((BC179-MIN($BC$2:$BC$921))/(MAX($BC$2:$BC$921)-MIN($BC$2:$BC$921))*100,2))</f>
        <v>50</v>
      </c>
      <c r="AU179" s="8" t="n">
        <f aca="false">IF(MAX($BE$2:$BE$921)=MIN($BE$2:$BE$921),50,ROUND((BE179-MIN($BE$2:$BE$921))/(MAX($BE$2:$BE$921)-MIN($BE$2:$BE$921))*100,2))</f>
        <v>100</v>
      </c>
      <c r="AV179" s="8" t="n">
        <f aca="false">IF(MAX($AD$2:$AD$921)=MIN($AD$2:$AD$921),50,ROUND((AD179-MIN($AD$2:$AD$921))/(MAX($AD$2:$AD$921)-MIN($AD$2:$AD$921))*100,2))</f>
        <v>50.8</v>
      </c>
      <c r="AW179" s="8" t="n">
        <f aca="false">IF(MAX($AN$2:$AN$921)=MIN($AN$2:$AN$921),50,ROUND((AN179-MIN($AN$2:$AN$921))/(MAX($AN$2:$AN$921)-MIN($AN$2:$AN$921))*100,2))</f>
        <v>75</v>
      </c>
      <c r="AX179" s="8" t="n">
        <f aca="false">AQ179*100</f>
        <v>100</v>
      </c>
      <c r="AY179" s="8" t="n">
        <f aca="false">AR179*100</f>
        <v>100</v>
      </c>
      <c r="AZ179" s="8" t="n">
        <f aca="false">IFERROR(ROUND(AS179*Assumptions!$I$6+AW179*Assumptions!$I$7+AT179*Assumptions!$I$8+AU179*Assumptions!$I$9+AV179*Assumptions!$I$10+AX179*Assumptions!$I$11+AY179*Assumptions!$I$12,2),"")</f>
        <v>69.72</v>
      </c>
      <c r="BA179" s="0" t="str">
        <f aca="false">IF(AZ179="","",IF(AZ179&lt;=Assumptions!$I$18,"Below Expectation",IF(AZ179&lt;=Assumptions!$I$19,"Developing",IF(AZ179&lt;=Assumptions!$I$20,"Meets Expectation",IF(AZ179&lt;=Assumptions!$I$21,"Exceeds","Star Performer")))))</f>
        <v>Meets Expectation</v>
      </c>
      <c r="BB179" s="0" t="n">
        <f aca="false">IF(AZ179="",0,IF(AZ179&gt;=Assumptions!$I$26,1,0))</f>
        <v>1</v>
      </c>
      <c r="BC179" s="9" t="n">
        <f aca="false">IF(AL179="",2,AL179+2)</f>
        <v>2</v>
      </c>
      <c r="BD179" s="10" t="n">
        <f aca="false">IF(AM179="",ROUND(AVERAGE($AM$2:$AM$921),3),AM179)</f>
        <v>0</v>
      </c>
      <c r="BE179" s="9" t="n">
        <f aca="false">1-BD179</f>
        <v>1</v>
      </c>
    </row>
    <row r="180" customFormat="false" ht="14.25" hidden="true" customHeight="false" outlineLevel="0" collapsed="false">
      <c r="A180" s="4" t="n">
        <v>152</v>
      </c>
      <c r="B180" s="5" t="n">
        <v>10047236</v>
      </c>
      <c r="C180" s="5" t="s">
        <v>85</v>
      </c>
      <c r="D180" s="5" t="s">
        <v>1038</v>
      </c>
      <c r="E180" s="5" t="s">
        <v>339</v>
      </c>
      <c r="F180" s="5" t="s">
        <v>236</v>
      </c>
      <c r="G180" s="5" t="s">
        <v>237</v>
      </c>
      <c r="H180" s="5" t="s">
        <v>238</v>
      </c>
      <c r="I180" s="5" t="s">
        <v>63</v>
      </c>
      <c r="J180" s="5" t="s">
        <v>76</v>
      </c>
      <c r="K180" s="5" t="s">
        <v>65</v>
      </c>
      <c r="L180" s="6" t="n">
        <v>41967</v>
      </c>
      <c r="M180" s="5" t="s">
        <v>1039</v>
      </c>
      <c r="N180" s="6" t="n">
        <v>26467</v>
      </c>
      <c r="O180" s="5" t="s">
        <v>122</v>
      </c>
      <c r="P180" s="5" t="s">
        <v>123</v>
      </c>
      <c r="Q180" s="5" t="s">
        <v>367</v>
      </c>
      <c r="R180" s="5" t="s">
        <v>511</v>
      </c>
      <c r="S180" s="5" t="s">
        <v>988</v>
      </c>
      <c r="T180" s="6"/>
      <c r="U180" s="6" t="n">
        <v>46113</v>
      </c>
      <c r="V180" s="5" t="s">
        <v>141</v>
      </c>
      <c r="W180" s="5" t="s">
        <v>141</v>
      </c>
      <c r="X180" s="5" t="s">
        <v>141</v>
      </c>
      <c r="Y180" s="5" t="s">
        <v>83</v>
      </c>
      <c r="Z180" s="5" t="s">
        <v>83</v>
      </c>
      <c r="AA180" s="5" t="s">
        <v>1040</v>
      </c>
      <c r="AB180" s="0" t="n">
        <f aca="false">IFERROR(VALUE(R180),0)</f>
        <v>15.11</v>
      </c>
      <c r="AC180" s="0" t="n">
        <f aca="false">IFERROR(VALUE(M180),"")</f>
        <v>53.11</v>
      </c>
      <c r="AD180" s="0" t="n">
        <f aca="false">IFERROR(VALUE(Q180),"")</f>
        <v>11.6</v>
      </c>
      <c r="AE180" s="0" t="n">
        <f aca="false">IFERROR(VALUE(S180),"")</f>
        <v>27.5</v>
      </c>
      <c r="AF180" s="0" t="n">
        <f aca="false">IF(V180="","",VLOOKUP(V180,Assumptions!$B$6:$C$9,2,FALSE()))</f>
        <v>3</v>
      </c>
      <c r="AG180" s="0" t="n">
        <f aca="false">IF(W180="","",VLOOKUP(W180,Assumptions!$B$6:$C$9,2,FALSE()))</f>
        <v>3</v>
      </c>
      <c r="AH180" s="0" t="n">
        <f aca="false">IF(X180="","",VLOOKUP(X180,Assumptions!$B$6:$C$9,2,FALSE()))</f>
        <v>3</v>
      </c>
      <c r="AI180" s="0" t="n">
        <f aca="false">IF(Y180="","",VLOOKUP(Y180,Assumptions!$B$6:$C$9,2,FALSE()))</f>
        <v>4</v>
      </c>
      <c r="AJ180" s="0" t="n">
        <f aca="false">IF(Z180="","",VLOOKUP(Z180,Assumptions!$B$6:$C$9,2,FALSE()))</f>
        <v>4</v>
      </c>
      <c r="AK180" s="7" t="n">
        <f aca="false">IFERROR(ROUND(AVERAGE(AF180:AJ180),3),"")</f>
        <v>3.4</v>
      </c>
      <c r="AL180" s="7" t="n">
        <f aca="false">IF(OR(AF180="",AJ180=""),"",AJ180-AF180)</f>
        <v>1</v>
      </c>
      <c r="AM180" s="7" t="n">
        <f aca="false">IF(COUNT(AF180:AJ180)&gt;=2,ROUND(_xlfn.STDEV.S(AF180:AJ180),3),"")</f>
        <v>0.548</v>
      </c>
      <c r="AN180" s="7" t="n">
        <f aca="false">ROUND((IF(AF180="",0,AF180)*Assumptions!$F$15)+(IF(AG180="",0,AG180)*Assumptions!$F$16)+(IF(AH180="",0,AH180)*Assumptions!$F$17)+(IF(AI180="",0,AI180)*Assumptions!$F$18)+(IF(AJ180="",0,AJ180)*Assumptions!$F$19),3)</f>
        <v>3.55</v>
      </c>
      <c r="AO180" s="0" t="str">
        <f aca="false">IF(AC180&lt;=20,"",IF(AC180&lt;=Assumptions!$F$6,"20-30",IF(AC180&lt;=Assumptions!$F$7,"30-40",IF(AC180&lt;=Assumptions!$F$8,"40-50",IF(AC180&lt;=Assumptions!$F$9,"50-60",IF(AC180&lt;=Assumptions!$F$10,"60+",""))))))</f>
        <v>50-60</v>
      </c>
      <c r="AP180" s="0" t="str">
        <f aca="false">IFERROR(VLOOKUP(O180,Assumptions!$B$14:$C$26,2,FALSE()),"Other")</f>
        <v>Leadership</v>
      </c>
      <c r="AQ180" s="0" t="n">
        <f aca="false">IF(T180="",0,1)</f>
        <v>0</v>
      </c>
      <c r="AR180" s="0" t="n">
        <f aca="false">IF(U180="",0,1)</f>
        <v>1</v>
      </c>
      <c r="AS180" s="8" t="n">
        <f aca="false">IF(AK180="","",IF(MAX($AK$2:$AK$921)=MIN($AK$2:$AK$921),50,ROUND((AK180-MIN($AK$2:$AK$921))/(MAX($AK$2:$AK$921)-MIN($AK$2:$AK$921))*100,2)))</f>
        <v>74.28</v>
      </c>
      <c r="AT180" s="8" t="n">
        <f aca="false">IF(MAX($BC$2:$BC$921)=MIN($BC$2:$BC$921),50,ROUND((BC180-MIN($BC$2:$BC$921))/(MAX($BC$2:$BC$921)-MIN($BC$2:$BC$921))*100,2))</f>
        <v>75</v>
      </c>
      <c r="AU180" s="8" t="n">
        <f aca="false">IF(MAX($BE$2:$BE$921)=MIN($BE$2:$BE$921),50,ROUND((BE180-MIN($BE$2:$BE$921))/(MAX($BE$2:$BE$921)-MIN($BE$2:$BE$921))*100,2))</f>
        <v>68.36</v>
      </c>
      <c r="AV180" s="8" t="n">
        <f aca="false">IF(MAX($AD$2:$AD$921)=MIN($AD$2:$AD$921),50,ROUND((AD180-MIN($AD$2:$AD$921))/(MAX($AD$2:$AD$921)-MIN($AD$2:$AD$921))*100,2))</f>
        <v>31.23</v>
      </c>
      <c r="AW180" s="8" t="n">
        <f aca="false">IF(MAX($AN$2:$AN$921)=MIN($AN$2:$AN$921),50,ROUND((AN180-MIN($AN$2:$AN$921))/(MAX($AN$2:$AN$921)-MIN($AN$2:$AN$921))*100,2))</f>
        <v>88.75</v>
      </c>
      <c r="AX180" s="8" t="n">
        <f aca="false">AQ180*100</f>
        <v>0</v>
      </c>
      <c r="AY180" s="8" t="n">
        <f aca="false">AR180*100</f>
        <v>100</v>
      </c>
      <c r="AZ180" s="8" t="n">
        <f aca="false">IFERROR(ROUND(AS180*Assumptions!$I$6+AW180*Assumptions!$I$7+AT180*Assumptions!$I$8+AU180*Assumptions!$I$9+AV180*Assumptions!$I$10+AX180*Assumptions!$I$11+AY180*Assumptions!$I$12,2),"")</f>
        <v>69.66</v>
      </c>
      <c r="BA180" s="0" t="str">
        <f aca="false">IF(AZ180="","",IF(AZ180&lt;=Assumptions!$I$18,"Below Expectation",IF(AZ180&lt;=Assumptions!$I$19,"Developing",IF(AZ180&lt;=Assumptions!$I$20,"Meets Expectation",IF(AZ180&lt;=Assumptions!$I$21,"Exceeds","Star Performer")))))</f>
        <v>Meets Expectation</v>
      </c>
      <c r="BB180" s="0" t="n">
        <f aca="false">IF(AZ180="",0,IF(AZ180&gt;=Assumptions!$I$26,1,0))</f>
        <v>1</v>
      </c>
      <c r="BC180" s="9" t="n">
        <f aca="false">IF(AL180="",2,AL180+2)</f>
        <v>3</v>
      </c>
      <c r="BD180" s="10" t="n">
        <f aca="false">IF(AM180="",ROUND(AVERAGE($AM$2:$AM$921),3),AM180)</f>
        <v>0.548</v>
      </c>
      <c r="BE180" s="9" t="n">
        <f aca="false">1-BD180</f>
        <v>0.452</v>
      </c>
    </row>
    <row r="181" customFormat="false" ht="14.25" hidden="true" customHeight="false" outlineLevel="0" collapsed="false">
      <c r="A181" s="4" t="n">
        <v>83</v>
      </c>
      <c r="B181" s="5" t="n">
        <v>10025342</v>
      </c>
      <c r="C181" s="5" t="s">
        <v>57</v>
      </c>
      <c r="D181" s="5" t="s">
        <v>1041</v>
      </c>
      <c r="E181" s="5" t="s">
        <v>607</v>
      </c>
      <c r="F181" s="5" t="s">
        <v>209</v>
      </c>
      <c r="G181" s="5" t="s">
        <v>210</v>
      </c>
      <c r="H181" s="5" t="s">
        <v>209</v>
      </c>
      <c r="I181" s="5" t="s">
        <v>63</v>
      </c>
      <c r="J181" s="5" t="s">
        <v>100</v>
      </c>
      <c r="K181" s="5" t="s">
        <v>65</v>
      </c>
      <c r="L181" s="6" t="n">
        <v>39391</v>
      </c>
      <c r="M181" s="5" t="s">
        <v>372</v>
      </c>
      <c r="N181" s="6" t="n">
        <v>29258</v>
      </c>
      <c r="O181" s="5" t="s">
        <v>262</v>
      </c>
      <c r="P181" s="5" t="s">
        <v>263</v>
      </c>
      <c r="Q181" s="5" t="s">
        <v>411</v>
      </c>
      <c r="R181" s="5" t="s">
        <v>1042</v>
      </c>
      <c r="S181" s="5" t="s">
        <v>1043</v>
      </c>
      <c r="T181" s="6" t="n">
        <v>41365</v>
      </c>
      <c r="U181" s="6" t="n">
        <v>44652</v>
      </c>
      <c r="V181" s="5" t="s">
        <v>141</v>
      </c>
      <c r="W181" s="5" t="s">
        <v>141</v>
      </c>
      <c r="X181" s="5" t="s">
        <v>141</v>
      </c>
      <c r="Y181" s="5" t="s">
        <v>83</v>
      </c>
      <c r="Z181" s="5" t="s">
        <v>141</v>
      </c>
      <c r="AA181" s="5" t="s">
        <v>1044</v>
      </c>
      <c r="AB181" s="0" t="n">
        <f aca="false">IFERROR(VALUE(R181),0)</f>
        <v>3.3</v>
      </c>
      <c r="AC181" s="0" t="n">
        <f aca="false">IFERROR(VALUE(M181),"")</f>
        <v>46.4</v>
      </c>
      <c r="AD181" s="0" t="n">
        <f aca="false">IFERROR(VALUE(Q181),"")</f>
        <v>18.7</v>
      </c>
      <c r="AE181" s="0" t="n">
        <f aca="false">IFERROR(VALUE(S181),"")</f>
        <v>21.1</v>
      </c>
      <c r="AF181" s="0" t="n">
        <f aca="false">IF(V181="","",VLOOKUP(V181,Assumptions!$B$6:$C$9,2,FALSE()))</f>
        <v>3</v>
      </c>
      <c r="AG181" s="0" t="n">
        <f aca="false">IF(W181="","",VLOOKUP(W181,Assumptions!$B$6:$C$9,2,FALSE()))</f>
        <v>3</v>
      </c>
      <c r="AH181" s="0" t="n">
        <f aca="false">IF(X181="","",VLOOKUP(X181,Assumptions!$B$6:$C$9,2,FALSE()))</f>
        <v>3</v>
      </c>
      <c r="AI181" s="0" t="n">
        <f aca="false">IF(Y181="","",VLOOKUP(Y181,Assumptions!$B$6:$C$9,2,FALSE()))</f>
        <v>4</v>
      </c>
      <c r="AJ181" s="0" t="n">
        <f aca="false">IF(Z181="","",VLOOKUP(Z181,Assumptions!$B$6:$C$9,2,FALSE()))</f>
        <v>3</v>
      </c>
      <c r="AK181" s="7" t="n">
        <f aca="false">IFERROR(ROUND(AVERAGE(AF181:AJ181),3),"")</f>
        <v>3.2</v>
      </c>
      <c r="AL181" s="7" t="n">
        <f aca="false">IF(OR(AF181="",AJ181=""),"",AJ181-AF181)</f>
        <v>0</v>
      </c>
      <c r="AM181" s="7" t="n">
        <f aca="false">IF(COUNT(AF181:AJ181)&gt;=2,ROUND(_xlfn.STDEV.S(AF181:AJ181),3),"")</f>
        <v>0.447</v>
      </c>
      <c r="AN181" s="7" t="n">
        <f aca="false">ROUND((IF(AF181="",0,AF181)*Assumptions!$F$15)+(IF(AG181="",0,AG181)*Assumptions!$F$16)+(IF(AH181="",0,AH181)*Assumptions!$F$17)+(IF(AI181="",0,AI181)*Assumptions!$F$18)+(IF(AJ181="",0,AJ181)*Assumptions!$F$19),3)</f>
        <v>3.25</v>
      </c>
      <c r="AO181" s="0" t="str">
        <f aca="false">IF(AC181&lt;=20,"",IF(AC181&lt;=Assumptions!$F$6,"20-30",IF(AC181&lt;=Assumptions!$F$7,"30-40",IF(AC181&lt;=Assumptions!$F$8,"40-50",IF(AC181&lt;=Assumptions!$F$9,"50-60",IF(AC181&lt;=Assumptions!$F$10,"60+",""))))))</f>
        <v>40-50</v>
      </c>
      <c r="AP181" s="0" t="str">
        <f aca="false">IFERROR(VLOOKUP(O181,Assumptions!$B$14:$C$26,2,FALSE()),"Other")</f>
        <v>Manager</v>
      </c>
      <c r="AQ181" s="0" t="n">
        <f aca="false">IF(T181="",0,1)</f>
        <v>1</v>
      </c>
      <c r="AR181" s="0" t="n">
        <f aca="false">IF(U181="",0,1)</f>
        <v>1</v>
      </c>
      <c r="AS181" s="8" t="n">
        <f aca="false">IF(AK181="","",IF(MAX($AK$2:$AK$921)=MIN($AK$2:$AK$921),50,ROUND((AK181-MIN($AK$2:$AK$921))/(MAX($AK$2:$AK$921)-MIN($AK$2:$AK$921))*100,2)))</f>
        <v>65.71</v>
      </c>
      <c r="AT181" s="8" t="n">
        <f aca="false">IF(MAX($BC$2:$BC$921)=MIN($BC$2:$BC$921),50,ROUND((BC181-MIN($BC$2:$BC$921))/(MAX($BC$2:$BC$921)-MIN($BC$2:$BC$921))*100,2))</f>
        <v>50</v>
      </c>
      <c r="AU181" s="8" t="n">
        <f aca="false">IF(MAX($BE$2:$BE$921)=MIN($BE$2:$BE$921),50,ROUND((BE181-MIN($BE$2:$BE$921))/(MAX($BE$2:$BE$921)-MIN($BE$2:$BE$921))*100,2))</f>
        <v>74.19</v>
      </c>
      <c r="AV181" s="8" t="n">
        <f aca="false">IF(MAX($AD$2:$AD$921)=MIN($AD$2:$AD$921),50,ROUND((AD181-MIN($AD$2:$AD$921))/(MAX($AD$2:$AD$921)-MIN($AD$2:$AD$921))*100,2))</f>
        <v>50.53</v>
      </c>
      <c r="AW181" s="8" t="n">
        <f aca="false">IF(MAX($AN$2:$AN$921)=MIN($AN$2:$AN$921),50,ROUND((AN181-MIN($AN$2:$AN$921))/(MAX($AN$2:$AN$921)-MIN($AN$2:$AN$921))*100,2))</f>
        <v>81.25</v>
      </c>
      <c r="AX181" s="8" t="n">
        <f aca="false">AQ181*100</f>
        <v>100</v>
      </c>
      <c r="AY181" s="8" t="n">
        <f aca="false">AR181*100</f>
        <v>100</v>
      </c>
      <c r="AZ181" s="8" t="n">
        <f aca="false">IFERROR(ROUND(AS181*Assumptions!$I$6+AW181*Assumptions!$I$7+AT181*Assumptions!$I$8+AU181*Assumptions!$I$9+AV181*Assumptions!$I$10+AX181*Assumptions!$I$11+AY181*Assumptions!$I$12,2),"")</f>
        <v>69.64</v>
      </c>
      <c r="BA181" s="0" t="str">
        <f aca="false">IF(AZ181="","",IF(AZ181&lt;=Assumptions!$I$18,"Below Expectation",IF(AZ181&lt;=Assumptions!$I$19,"Developing",IF(AZ181&lt;=Assumptions!$I$20,"Meets Expectation",IF(AZ181&lt;=Assumptions!$I$21,"Exceeds","Star Performer")))))</f>
        <v>Meets Expectation</v>
      </c>
      <c r="BB181" s="0" t="n">
        <f aca="false">IF(AZ181="",0,IF(AZ181&gt;=Assumptions!$I$26,1,0))</f>
        <v>1</v>
      </c>
      <c r="BC181" s="9" t="n">
        <f aca="false">IF(AL181="",2,AL181+2)</f>
        <v>2</v>
      </c>
      <c r="BD181" s="10" t="n">
        <f aca="false">IF(AM181="",ROUND(AVERAGE($AM$2:$AM$921),3),AM181)</f>
        <v>0.447</v>
      </c>
      <c r="BE181" s="9" t="n">
        <f aca="false">1-BD181</f>
        <v>0.553</v>
      </c>
    </row>
    <row r="182" customFormat="false" ht="14.25" hidden="true" customHeight="false" outlineLevel="0" collapsed="false">
      <c r="A182" s="4" t="n">
        <v>412</v>
      </c>
      <c r="B182" s="5" t="n">
        <v>50009160</v>
      </c>
      <c r="C182" s="5" t="s">
        <v>57</v>
      </c>
      <c r="D182" s="5" t="s">
        <v>1045</v>
      </c>
      <c r="E182" s="5" t="s">
        <v>252</v>
      </c>
      <c r="F182" s="5" t="s">
        <v>387</v>
      </c>
      <c r="G182" s="5" t="s">
        <v>388</v>
      </c>
      <c r="H182" s="5" t="s">
        <v>387</v>
      </c>
      <c r="I182" s="5" t="s">
        <v>63</v>
      </c>
      <c r="J182" s="5" t="s">
        <v>100</v>
      </c>
      <c r="K182" s="5" t="s">
        <v>65</v>
      </c>
      <c r="L182" s="6" t="n">
        <v>40742</v>
      </c>
      <c r="M182" s="5" t="s">
        <v>340</v>
      </c>
      <c r="N182" s="6" t="n">
        <v>31938</v>
      </c>
      <c r="O182" s="5" t="s">
        <v>262</v>
      </c>
      <c r="P182" s="5" t="s">
        <v>263</v>
      </c>
      <c r="Q182" s="5" t="s">
        <v>336</v>
      </c>
      <c r="R182" s="5" t="s">
        <v>1046</v>
      </c>
      <c r="S182" s="5" t="s">
        <v>419</v>
      </c>
      <c r="T182" s="6"/>
      <c r="U182" s="6" t="n">
        <v>45748</v>
      </c>
      <c r="V182" s="5" t="s">
        <v>83</v>
      </c>
      <c r="W182" s="5" t="s">
        <v>83</v>
      </c>
      <c r="X182" s="5" t="s">
        <v>83</v>
      </c>
      <c r="Y182" s="5" t="s">
        <v>83</v>
      </c>
      <c r="Z182" s="5" t="s">
        <v>141</v>
      </c>
      <c r="AA182" s="5" t="s">
        <v>1047</v>
      </c>
      <c r="AB182" s="0" t="n">
        <f aca="false">IFERROR(VALUE(R182),0)</f>
        <v>0.7</v>
      </c>
      <c r="AC182" s="0" t="n">
        <f aca="false">IFERROR(VALUE(M182),"")</f>
        <v>38.11</v>
      </c>
      <c r="AD182" s="0" t="n">
        <f aca="false">IFERROR(VALUE(Q182),"")</f>
        <v>14.1</v>
      </c>
      <c r="AE182" s="0" t="n">
        <f aca="false">IFERROR(VALUE(S182),"")</f>
        <v>15.5</v>
      </c>
      <c r="AF182" s="0" t="n">
        <f aca="false">IF(V182="","",VLOOKUP(V182,Assumptions!$B$6:$C$9,2,FALSE()))</f>
        <v>4</v>
      </c>
      <c r="AG182" s="0" t="n">
        <f aca="false">IF(W182="","",VLOOKUP(W182,Assumptions!$B$6:$C$9,2,FALSE()))</f>
        <v>4</v>
      </c>
      <c r="AH182" s="0" t="n">
        <f aca="false">IF(X182="","",VLOOKUP(X182,Assumptions!$B$6:$C$9,2,FALSE()))</f>
        <v>4</v>
      </c>
      <c r="AI182" s="0" t="n">
        <f aca="false">IF(Y182="","",VLOOKUP(Y182,Assumptions!$B$6:$C$9,2,FALSE()))</f>
        <v>4</v>
      </c>
      <c r="AJ182" s="0" t="n">
        <f aca="false">IF(Z182="","",VLOOKUP(Z182,Assumptions!$B$6:$C$9,2,FALSE()))</f>
        <v>3</v>
      </c>
      <c r="AK182" s="7" t="n">
        <f aca="false">IFERROR(ROUND(AVERAGE(AF182:AJ182),3),"")</f>
        <v>3.8</v>
      </c>
      <c r="AL182" s="7" t="n">
        <f aca="false">IF(OR(AF182="",AJ182=""),"",AJ182-AF182)</f>
        <v>-1</v>
      </c>
      <c r="AM182" s="7" t="n">
        <f aca="false">IF(COUNT(AF182:AJ182)&gt;=2,ROUND(_xlfn.STDEV.S(AF182:AJ182),3),"")</f>
        <v>0.447</v>
      </c>
      <c r="AN182" s="7" t="n">
        <f aca="false">ROUND((IF(AF182="",0,AF182)*Assumptions!$F$15)+(IF(AG182="",0,AG182)*Assumptions!$F$16)+(IF(AH182="",0,AH182)*Assumptions!$F$17)+(IF(AI182="",0,AI182)*Assumptions!$F$18)+(IF(AJ182="",0,AJ182)*Assumptions!$F$19),3)</f>
        <v>3.7</v>
      </c>
      <c r="AO182" s="0" t="str">
        <f aca="false">IF(AC182&lt;=20,"",IF(AC182&lt;=Assumptions!$F$6,"20-30",IF(AC182&lt;=Assumptions!$F$7,"30-40",IF(AC182&lt;=Assumptions!$F$8,"40-50",IF(AC182&lt;=Assumptions!$F$9,"50-60",IF(AC182&lt;=Assumptions!$F$10,"60+",""))))))</f>
        <v>30-40</v>
      </c>
      <c r="AP182" s="0" t="str">
        <f aca="false">IFERROR(VLOOKUP(O182,Assumptions!$B$14:$C$26,2,FALSE()),"Other")</f>
        <v>Manager</v>
      </c>
      <c r="AQ182" s="0" t="n">
        <f aca="false">IF(T182="",0,1)</f>
        <v>0</v>
      </c>
      <c r="AR182" s="0" t="n">
        <f aca="false">IF(U182="",0,1)</f>
        <v>1</v>
      </c>
      <c r="AS182" s="8" t="n">
        <f aca="false">IF(AK182="","",IF(MAX($AK$2:$AK$921)=MIN($AK$2:$AK$921),50,ROUND((AK182-MIN($AK$2:$AK$921))/(MAX($AK$2:$AK$921)-MIN($AK$2:$AK$921))*100,2)))</f>
        <v>91.43</v>
      </c>
      <c r="AT182" s="8" t="n">
        <f aca="false">IF(MAX($BC$2:$BC$921)=MIN($BC$2:$BC$921),50,ROUND((BC182-MIN($BC$2:$BC$921))/(MAX($BC$2:$BC$921)-MIN($BC$2:$BC$921))*100,2))</f>
        <v>25</v>
      </c>
      <c r="AU182" s="8" t="n">
        <f aca="false">IF(MAX($BE$2:$BE$921)=MIN($BE$2:$BE$921),50,ROUND((BE182-MIN($BE$2:$BE$921))/(MAX($BE$2:$BE$921)-MIN($BE$2:$BE$921))*100,2))</f>
        <v>74.19</v>
      </c>
      <c r="AV182" s="8" t="n">
        <f aca="false">IF(MAX($AD$2:$AD$921)=MIN($AD$2:$AD$921),50,ROUND((AD182-MIN($AD$2:$AD$921))/(MAX($AD$2:$AD$921)-MIN($AD$2:$AD$921))*100,2))</f>
        <v>38.03</v>
      </c>
      <c r="AW182" s="8" t="n">
        <f aca="false">IF(MAX($AN$2:$AN$921)=MIN($AN$2:$AN$921),50,ROUND((AN182-MIN($AN$2:$AN$921))/(MAX($AN$2:$AN$921)-MIN($AN$2:$AN$921))*100,2))</f>
        <v>92.5</v>
      </c>
      <c r="AX182" s="8" t="n">
        <f aca="false">AQ182*100</f>
        <v>0</v>
      </c>
      <c r="AY182" s="8" t="n">
        <f aca="false">AR182*100</f>
        <v>100</v>
      </c>
      <c r="AZ182" s="8" t="n">
        <f aca="false">IFERROR(ROUND(AS182*Assumptions!$I$6+AW182*Assumptions!$I$7+AT182*Assumptions!$I$8+AU182*Assumptions!$I$9+AV182*Assumptions!$I$10+AX182*Assumptions!$I$11+AY182*Assumptions!$I$12,2),"")</f>
        <v>69.61</v>
      </c>
      <c r="BA182" s="0" t="str">
        <f aca="false">IF(AZ182="","",IF(AZ182&lt;=Assumptions!$I$18,"Below Expectation",IF(AZ182&lt;=Assumptions!$I$19,"Developing",IF(AZ182&lt;=Assumptions!$I$20,"Meets Expectation",IF(AZ182&lt;=Assumptions!$I$21,"Exceeds","Star Performer")))))</f>
        <v>Meets Expectation</v>
      </c>
      <c r="BB182" s="0" t="n">
        <f aca="false">IF(AZ182="",0,IF(AZ182&gt;=Assumptions!$I$26,1,0))</f>
        <v>1</v>
      </c>
      <c r="BC182" s="9" t="n">
        <f aca="false">IF(AL182="",2,AL182+2)</f>
        <v>1</v>
      </c>
      <c r="BD182" s="10" t="n">
        <f aca="false">IF(AM182="",ROUND(AVERAGE($AM$2:$AM$921),3),AM182)</f>
        <v>0.447</v>
      </c>
      <c r="BE182" s="9" t="n">
        <f aca="false">1-BD182</f>
        <v>0.553</v>
      </c>
    </row>
    <row r="183" customFormat="false" ht="14.25" hidden="true" customHeight="false" outlineLevel="0" collapsed="false">
      <c r="A183" s="4" t="n">
        <v>95</v>
      </c>
      <c r="B183" s="5" t="n">
        <v>10026918</v>
      </c>
      <c r="C183" s="5" t="s">
        <v>85</v>
      </c>
      <c r="D183" s="5" t="s">
        <v>1048</v>
      </c>
      <c r="E183" s="5" t="s">
        <v>315</v>
      </c>
      <c r="F183" s="5" t="s">
        <v>1049</v>
      </c>
      <c r="G183" s="5" t="s">
        <v>1050</v>
      </c>
      <c r="H183" s="5" t="s">
        <v>1049</v>
      </c>
      <c r="I183" s="5" t="s">
        <v>63</v>
      </c>
      <c r="J183" s="5" t="s">
        <v>76</v>
      </c>
      <c r="K183" s="5" t="s">
        <v>65</v>
      </c>
      <c r="L183" s="6" t="n">
        <v>39545</v>
      </c>
      <c r="M183" s="5" t="s">
        <v>886</v>
      </c>
      <c r="N183" s="6" t="n">
        <v>28000</v>
      </c>
      <c r="O183" s="5" t="s">
        <v>162</v>
      </c>
      <c r="P183" s="5" t="s">
        <v>162</v>
      </c>
      <c r="Q183" s="5" t="s">
        <v>930</v>
      </c>
      <c r="R183" s="5" t="s">
        <v>541</v>
      </c>
      <c r="S183" s="5" t="s">
        <v>230</v>
      </c>
      <c r="T183" s="6" t="n">
        <v>41640</v>
      </c>
      <c r="U183" s="6" t="n">
        <v>44652</v>
      </c>
      <c r="V183" s="5" t="s">
        <v>141</v>
      </c>
      <c r="W183" s="5" t="s">
        <v>141</v>
      </c>
      <c r="X183" s="5" t="s">
        <v>141</v>
      </c>
      <c r="Y183" s="5" t="s">
        <v>141</v>
      </c>
      <c r="Z183" s="5" t="s">
        <v>141</v>
      </c>
      <c r="AA183" s="5" t="s">
        <v>1051</v>
      </c>
      <c r="AB183" s="0" t="n">
        <f aca="false">IFERROR(VALUE(R183),0)</f>
        <v>7.2</v>
      </c>
      <c r="AC183" s="0" t="n">
        <f aca="false">IFERROR(VALUE(M183),"")</f>
        <v>49.9</v>
      </c>
      <c r="AD183" s="0" t="n">
        <f aca="false">IFERROR(VALUE(Q183),"")</f>
        <v>18.2</v>
      </c>
      <c r="AE183" s="0" t="n">
        <f aca="false">IFERROR(VALUE(S183),"")</f>
        <v>25.4</v>
      </c>
      <c r="AF183" s="0" t="n">
        <f aca="false">IF(V183="","",VLOOKUP(V183,Assumptions!$B$6:$C$9,2,FALSE()))</f>
        <v>3</v>
      </c>
      <c r="AG183" s="0" t="n">
        <f aca="false">IF(W183="","",VLOOKUP(W183,Assumptions!$B$6:$C$9,2,FALSE()))</f>
        <v>3</v>
      </c>
      <c r="AH183" s="0" t="n">
        <f aca="false">IF(X183="","",VLOOKUP(X183,Assumptions!$B$6:$C$9,2,FALSE()))</f>
        <v>3</v>
      </c>
      <c r="AI183" s="0" t="n">
        <f aca="false">IF(Y183="","",VLOOKUP(Y183,Assumptions!$B$6:$C$9,2,FALSE()))</f>
        <v>3</v>
      </c>
      <c r="AJ183" s="0" t="n">
        <f aca="false">IF(Z183="","",VLOOKUP(Z183,Assumptions!$B$6:$C$9,2,FALSE()))</f>
        <v>3</v>
      </c>
      <c r="AK183" s="7" t="n">
        <f aca="false">IFERROR(ROUND(AVERAGE(AF183:AJ183),3),"")</f>
        <v>3</v>
      </c>
      <c r="AL183" s="7" t="n">
        <f aca="false">IF(OR(AF183="",AJ183=""),"",AJ183-AF183)</f>
        <v>0</v>
      </c>
      <c r="AM183" s="7" t="n">
        <f aca="false">IF(COUNT(AF183:AJ183)&gt;=2,ROUND(_xlfn.STDEV.S(AF183:AJ183),3),"")</f>
        <v>0</v>
      </c>
      <c r="AN183" s="7" t="n">
        <f aca="false">ROUND((IF(AF183="",0,AF183)*Assumptions!$F$15)+(IF(AG183="",0,AG183)*Assumptions!$F$16)+(IF(AH183="",0,AH183)*Assumptions!$F$17)+(IF(AI183="",0,AI183)*Assumptions!$F$18)+(IF(AJ183="",0,AJ183)*Assumptions!$F$19),3)</f>
        <v>3</v>
      </c>
      <c r="AO183" s="0" t="str">
        <f aca="false">IF(AC183&lt;=20,"",IF(AC183&lt;=Assumptions!$F$6,"20-30",IF(AC183&lt;=Assumptions!$F$7,"30-40",IF(AC183&lt;=Assumptions!$F$8,"40-50",IF(AC183&lt;=Assumptions!$F$9,"50-60",IF(AC183&lt;=Assumptions!$F$10,"60+",""))))))</f>
        <v>40-50</v>
      </c>
      <c r="AP183" s="0" t="str">
        <f aca="false">IFERROR(VLOOKUP(O183,Assumptions!$B$14:$C$26,2,FALSE()),"Other")</f>
        <v>Manager</v>
      </c>
      <c r="AQ183" s="0" t="n">
        <f aca="false">IF(T183="",0,1)</f>
        <v>1</v>
      </c>
      <c r="AR183" s="0" t="n">
        <f aca="false">IF(U183="",0,1)</f>
        <v>1</v>
      </c>
      <c r="AS183" s="8" t="n">
        <f aca="false">IF(AK183="","",IF(MAX($AK$2:$AK$921)=MIN($AK$2:$AK$921),50,ROUND((AK183-MIN($AK$2:$AK$921))/(MAX($AK$2:$AK$921)-MIN($AK$2:$AK$921))*100,2)))</f>
        <v>57.14</v>
      </c>
      <c r="AT183" s="8" t="n">
        <f aca="false">IF(MAX($BC$2:$BC$921)=MIN($BC$2:$BC$921),50,ROUND((BC183-MIN($BC$2:$BC$921))/(MAX($BC$2:$BC$921)-MIN($BC$2:$BC$921))*100,2))</f>
        <v>50</v>
      </c>
      <c r="AU183" s="8" t="n">
        <f aca="false">IF(MAX($BE$2:$BE$921)=MIN($BE$2:$BE$921),50,ROUND((BE183-MIN($BE$2:$BE$921))/(MAX($BE$2:$BE$921)-MIN($BE$2:$BE$921))*100,2))</f>
        <v>100</v>
      </c>
      <c r="AV183" s="8" t="n">
        <f aca="false">IF(MAX($AD$2:$AD$921)=MIN($AD$2:$AD$921),50,ROUND((AD183-MIN($AD$2:$AD$921))/(MAX($AD$2:$AD$921)-MIN($AD$2:$AD$921))*100,2))</f>
        <v>49.17</v>
      </c>
      <c r="AW183" s="8" t="n">
        <f aca="false">IF(MAX($AN$2:$AN$921)=MIN($AN$2:$AN$921),50,ROUND((AN183-MIN($AN$2:$AN$921))/(MAX($AN$2:$AN$921)-MIN($AN$2:$AN$921))*100,2))</f>
        <v>75</v>
      </c>
      <c r="AX183" s="8" t="n">
        <f aca="false">AQ183*100</f>
        <v>100</v>
      </c>
      <c r="AY183" s="8" t="n">
        <f aca="false">AR183*100</f>
        <v>100</v>
      </c>
      <c r="AZ183" s="8" t="n">
        <f aca="false">IFERROR(ROUND(AS183*Assumptions!$I$6+AW183*Assumptions!$I$7+AT183*Assumptions!$I$8+AU183*Assumptions!$I$9+AV183*Assumptions!$I$10+AX183*Assumptions!$I$11+AY183*Assumptions!$I$12,2),"")</f>
        <v>69.56</v>
      </c>
      <c r="BA183" s="0" t="str">
        <f aca="false">IF(AZ183="","",IF(AZ183&lt;=Assumptions!$I$18,"Below Expectation",IF(AZ183&lt;=Assumptions!$I$19,"Developing",IF(AZ183&lt;=Assumptions!$I$20,"Meets Expectation",IF(AZ183&lt;=Assumptions!$I$21,"Exceeds","Star Performer")))))</f>
        <v>Meets Expectation</v>
      </c>
      <c r="BB183" s="0" t="n">
        <f aca="false">IF(AZ183="",0,IF(AZ183&gt;=Assumptions!$I$26,1,0))</f>
        <v>1</v>
      </c>
      <c r="BC183" s="9" t="n">
        <f aca="false">IF(AL183="",2,AL183+2)</f>
        <v>2</v>
      </c>
      <c r="BD183" s="10" t="n">
        <f aca="false">IF(AM183="",ROUND(AVERAGE($AM$2:$AM$921),3),AM183)</f>
        <v>0</v>
      </c>
      <c r="BE183" s="9" t="n">
        <f aca="false">1-BD183</f>
        <v>1</v>
      </c>
    </row>
    <row r="184" customFormat="false" ht="14.25" hidden="true" customHeight="false" outlineLevel="0" collapsed="false">
      <c r="A184" s="4" t="n">
        <v>417</v>
      </c>
      <c r="B184" s="5" t="n">
        <v>50009789</v>
      </c>
      <c r="C184" s="5" t="s">
        <v>85</v>
      </c>
      <c r="D184" s="5" t="s">
        <v>1052</v>
      </c>
      <c r="E184" s="5" t="s">
        <v>87</v>
      </c>
      <c r="F184" s="5" t="s">
        <v>705</v>
      </c>
      <c r="G184" s="5" t="s">
        <v>706</v>
      </c>
      <c r="H184" s="5" t="s">
        <v>707</v>
      </c>
      <c r="I184" s="5" t="s">
        <v>63</v>
      </c>
      <c r="J184" s="5" t="s">
        <v>76</v>
      </c>
      <c r="K184" s="5" t="s">
        <v>309</v>
      </c>
      <c r="L184" s="6" t="n">
        <v>40882</v>
      </c>
      <c r="M184" s="5" t="s">
        <v>610</v>
      </c>
      <c r="N184" s="6" t="n">
        <v>32823</v>
      </c>
      <c r="O184" s="5" t="s">
        <v>332</v>
      </c>
      <c r="P184" s="5" t="s">
        <v>333</v>
      </c>
      <c r="Q184" s="5" t="s">
        <v>218</v>
      </c>
      <c r="R184" s="5" t="s">
        <v>115</v>
      </c>
      <c r="S184" s="5" t="s">
        <v>218</v>
      </c>
      <c r="T184" s="6"/>
      <c r="U184" s="6" t="n">
        <v>44440</v>
      </c>
      <c r="V184" s="5" t="s">
        <v>141</v>
      </c>
      <c r="W184" s="5" t="s">
        <v>83</v>
      </c>
      <c r="X184" s="5" t="s">
        <v>83</v>
      </c>
      <c r="Y184" s="5" t="s">
        <v>83</v>
      </c>
      <c r="Z184" s="5" t="s">
        <v>141</v>
      </c>
      <c r="AA184" s="5" t="s">
        <v>716</v>
      </c>
      <c r="AB184" s="0" t="n">
        <f aca="false">IFERROR(VALUE(R184),0)</f>
        <v>0</v>
      </c>
      <c r="AC184" s="0" t="n">
        <f aca="false">IFERROR(VALUE(M184),"")</f>
        <v>36.6</v>
      </c>
      <c r="AD184" s="0" t="n">
        <f aca="false">IFERROR(VALUE(Q184),"")</f>
        <v>14.6</v>
      </c>
      <c r="AE184" s="0" t="n">
        <f aca="false">IFERROR(VALUE(S184),"")</f>
        <v>14.6</v>
      </c>
      <c r="AF184" s="0" t="n">
        <f aca="false">IF(V184="","",VLOOKUP(V184,Assumptions!$B$6:$C$9,2,FALSE()))</f>
        <v>3</v>
      </c>
      <c r="AG184" s="0" t="n">
        <f aca="false">IF(W184="","",VLOOKUP(W184,Assumptions!$B$6:$C$9,2,FALSE()))</f>
        <v>4</v>
      </c>
      <c r="AH184" s="0" t="n">
        <f aca="false">IF(X184="","",VLOOKUP(X184,Assumptions!$B$6:$C$9,2,FALSE()))</f>
        <v>4</v>
      </c>
      <c r="AI184" s="0" t="n">
        <f aca="false">IF(Y184="","",VLOOKUP(Y184,Assumptions!$B$6:$C$9,2,FALSE()))</f>
        <v>4</v>
      </c>
      <c r="AJ184" s="0" t="n">
        <f aca="false">IF(Z184="","",VLOOKUP(Z184,Assumptions!$B$6:$C$9,2,FALSE()))</f>
        <v>3</v>
      </c>
      <c r="AK184" s="7" t="n">
        <f aca="false">IFERROR(ROUND(AVERAGE(AF184:AJ184),3),"")</f>
        <v>3.6</v>
      </c>
      <c r="AL184" s="7" t="n">
        <f aca="false">IF(OR(AF184="",AJ184=""),"",AJ184-AF184)</f>
        <v>0</v>
      </c>
      <c r="AM184" s="7" t="n">
        <f aca="false">IF(COUNT(AF184:AJ184)&gt;=2,ROUND(_xlfn.STDEV.S(AF184:AJ184),3),"")</f>
        <v>0.548</v>
      </c>
      <c r="AN184" s="7" t="n">
        <f aca="false">ROUND((IF(AF184="",0,AF184)*Assumptions!$F$15)+(IF(AG184="",0,AG184)*Assumptions!$F$16)+(IF(AH184="",0,AH184)*Assumptions!$F$17)+(IF(AI184="",0,AI184)*Assumptions!$F$18)+(IF(AJ184="",0,AJ184)*Assumptions!$F$19),3)</f>
        <v>3.6</v>
      </c>
      <c r="AO184" s="0" t="str">
        <f aca="false">IF(AC184&lt;=20,"",IF(AC184&lt;=Assumptions!$F$6,"20-30",IF(AC184&lt;=Assumptions!$F$7,"30-40",IF(AC184&lt;=Assumptions!$F$8,"40-50",IF(AC184&lt;=Assumptions!$F$9,"50-60",IF(AC184&lt;=Assumptions!$F$10,"60+",""))))))</f>
        <v>30-40</v>
      </c>
      <c r="AP184" s="0" t="str">
        <f aca="false">IFERROR(VLOOKUP(O184,Assumptions!$B$14:$C$26,2,FALSE()),"Other")</f>
        <v>Manager</v>
      </c>
      <c r="AQ184" s="0" t="n">
        <f aca="false">IF(T184="",0,1)</f>
        <v>0</v>
      </c>
      <c r="AR184" s="0" t="n">
        <f aca="false">IF(U184="",0,1)</f>
        <v>1</v>
      </c>
      <c r="AS184" s="8" t="n">
        <f aca="false">IF(AK184="","",IF(MAX($AK$2:$AK$921)=MIN($AK$2:$AK$921),50,ROUND((AK184-MIN($AK$2:$AK$921))/(MAX($AK$2:$AK$921)-MIN($AK$2:$AK$921))*100,2)))</f>
        <v>82.85</v>
      </c>
      <c r="AT184" s="8" t="n">
        <f aca="false">IF(MAX($BC$2:$BC$921)=MIN($BC$2:$BC$921),50,ROUND((BC184-MIN($BC$2:$BC$921))/(MAX($BC$2:$BC$921)-MIN($BC$2:$BC$921))*100,2))</f>
        <v>50</v>
      </c>
      <c r="AU184" s="8" t="n">
        <f aca="false">IF(MAX($BE$2:$BE$921)=MIN($BE$2:$BE$921),50,ROUND((BE184-MIN($BE$2:$BE$921))/(MAX($BE$2:$BE$921)-MIN($BE$2:$BE$921))*100,2))</f>
        <v>68.36</v>
      </c>
      <c r="AV184" s="8" t="n">
        <f aca="false">IF(MAX($AD$2:$AD$921)=MIN($AD$2:$AD$921),50,ROUND((AD184-MIN($AD$2:$AD$921))/(MAX($AD$2:$AD$921)-MIN($AD$2:$AD$921))*100,2))</f>
        <v>39.39</v>
      </c>
      <c r="AW184" s="8" t="n">
        <f aca="false">IF(MAX($AN$2:$AN$921)=MIN($AN$2:$AN$921),50,ROUND((AN184-MIN($AN$2:$AN$921))/(MAX($AN$2:$AN$921)-MIN($AN$2:$AN$921))*100,2))</f>
        <v>90</v>
      </c>
      <c r="AX184" s="8" t="n">
        <f aca="false">AQ184*100</f>
        <v>0</v>
      </c>
      <c r="AY184" s="8" t="n">
        <f aca="false">AR184*100</f>
        <v>100</v>
      </c>
      <c r="AZ184" s="8" t="n">
        <f aca="false">IFERROR(ROUND(AS184*Assumptions!$I$6+AW184*Assumptions!$I$7+AT184*Assumptions!$I$8+AU184*Assumptions!$I$9+AV184*Assumptions!$I$10+AX184*Assumptions!$I$11+AY184*Assumptions!$I$12,2),"")</f>
        <v>69.55</v>
      </c>
      <c r="BA184" s="0" t="str">
        <f aca="false">IF(AZ184="","",IF(AZ184&lt;=Assumptions!$I$18,"Below Expectation",IF(AZ184&lt;=Assumptions!$I$19,"Developing",IF(AZ184&lt;=Assumptions!$I$20,"Meets Expectation",IF(AZ184&lt;=Assumptions!$I$21,"Exceeds","Star Performer")))))</f>
        <v>Meets Expectation</v>
      </c>
      <c r="BB184" s="0" t="n">
        <f aca="false">IF(AZ184="",0,IF(AZ184&gt;=Assumptions!$I$26,1,0))</f>
        <v>1</v>
      </c>
      <c r="BC184" s="9" t="n">
        <f aca="false">IF(AL184="",2,AL184+2)</f>
        <v>2</v>
      </c>
      <c r="BD184" s="10" t="n">
        <f aca="false">IF(AM184="",ROUND(AVERAGE($AM$2:$AM$921),3),AM184)</f>
        <v>0.548</v>
      </c>
      <c r="BE184" s="9" t="n">
        <f aca="false">1-BD184</f>
        <v>0.452</v>
      </c>
    </row>
    <row r="185" customFormat="false" ht="14.25" hidden="true" customHeight="false" outlineLevel="0" collapsed="false">
      <c r="A185" s="4" t="n">
        <v>409</v>
      </c>
      <c r="B185" s="5" t="n">
        <v>50008918</v>
      </c>
      <c r="C185" s="5" t="s">
        <v>57</v>
      </c>
      <c r="D185" s="5" t="s">
        <v>1053</v>
      </c>
      <c r="E185" s="5" t="s">
        <v>500</v>
      </c>
      <c r="F185" s="5" t="s">
        <v>387</v>
      </c>
      <c r="G185" s="5" t="s">
        <v>388</v>
      </c>
      <c r="H185" s="5" t="s">
        <v>387</v>
      </c>
      <c r="I185" s="5" t="s">
        <v>63</v>
      </c>
      <c r="J185" s="5" t="s">
        <v>100</v>
      </c>
      <c r="K185" s="5" t="s">
        <v>65</v>
      </c>
      <c r="L185" s="6" t="n">
        <v>40707</v>
      </c>
      <c r="M185" s="5" t="s">
        <v>1054</v>
      </c>
      <c r="N185" s="6" t="n">
        <v>32326</v>
      </c>
      <c r="O185" s="5" t="s">
        <v>332</v>
      </c>
      <c r="P185" s="5" t="s">
        <v>333</v>
      </c>
      <c r="Q185" s="5" t="s">
        <v>1009</v>
      </c>
      <c r="R185" s="5" t="s">
        <v>115</v>
      </c>
      <c r="S185" s="5" t="s">
        <v>1009</v>
      </c>
      <c r="T185" s="6"/>
      <c r="U185" s="6" t="n">
        <v>44470</v>
      </c>
      <c r="V185" s="5" t="s">
        <v>83</v>
      </c>
      <c r="W185" s="5" t="s">
        <v>141</v>
      </c>
      <c r="X185" s="5" t="s">
        <v>83</v>
      </c>
      <c r="Y185" s="5" t="s">
        <v>141</v>
      </c>
      <c r="Z185" s="5" t="s">
        <v>83</v>
      </c>
      <c r="AA185" s="5" t="s">
        <v>1055</v>
      </c>
      <c r="AB185" s="0" t="n">
        <f aca="false">IFERROR(VALUE(R185),0)</f>
        <v>0</v>
      </c>
      <c r="AC185" s="0" t="n">
        <f aca="false">IFERROR(VALUE(M185),"")</f>
        <v>37.11</v>
      </c>
      <c r="AD185" s="0" t="n">
        <f aca="false">IFERROR(VALUE(Q185),"")</f>
        <v>14.11</v>
      </c>
      <c r="AE185" s="0" t="n">
        <f aca="false">IFERROR(VALUE(S185),"")</f>
        <v>14.11</v>
      </c>
      <c r="AF185" s="0" t="n">
        <f aca="false">IF(V185="","",VLOOKUP(V185,Assumptions!$B$6:$C$9,2,FALSE()))</f>
        <v>4</v>
      </c>
      <c r="AG185" s="0" t="n">
        <f aca="false">IF(W185="","",VLOOKUP(W185,Assumptions!$B$6:$C$9,2,FALSE()))</f>
        <v>3</v>
      </c>
      <c r="AH185" s="0" t="n">
        <f aca="false">IF(X185="","",VLOOKUP(X185,Assumptions!$B$6:$C$9,2,FALSE()))</f>
        <v>4</v>
      </c>
      <c r="AI185" s="0" t="n">
        <f aca="false">IF(Y185="","",VLOOKUP(Y185,Assumptions!$B$6:$C$9,2,FALSE()))</f>
        <v>3</v>
      </c>
      <c r="AJ185" s="0" t="n">
        <f aca="false">IF(Z185="","",VLOOKUP(Z185,Assumptions!$B$6:$C$9,2,FALSE()))</f>
        <v>4</v>
      </c>
      <c r="AK185" s="7" t="n">
        <f aca="false">IFERROR(ROUND(AVERAGE(AF185:AJ185),3),"")</f>
        <v>3.6</v>
      </c>
      <c r="AL185" s="7" t="n">
        <f aca="false">IF(OR(AF185="",AJ185=""),"",AJ185-AF185)</f>
        <v>0</v>
      </c>
      <c r="AM185" s="7" t="n">
        <f aca="false">IF(COUNT(AF185:AJ185)&gt;=2,ROUND(_xlfn.STDEV.S(AF185:AJ185),3),"")</f>
        <v>0.548</v>
      </c>
      <c r="AN185" s="7" t="n">
        <f aca="false">ROUND((IF(AF185="",0,AF185)*Assumptions!$F$15)+(IF(AG185="",0,AG185)*Assumptions!$F$16)+(IF(AH185="",0,AH185)*Assumptions!$F$17)+(IF(AI185="",0,AI185)*Assumptions!$F$18)+(IF(AJ185="",0,AJ185)*Assumptions!$F$19),3)</f>
        <v>3.6</v>
      </c>
      <c r="AO185" s="0" t="str">
        <f aca="false">IF(AC185&lt;=20,"",IF(AC185&lt;=Assumptions!$F$6,"20-30",IF(AC185&lt;=Assumptions!$F$7,"30-40",IF(AC185&lt;=Assumptions!$F$8,"40-50",IF(AC185&lt;=Assumptions!$F$9,"50-60",IF(AC185&lt;=Assumptions!$F$10,"60+",""))))))</f>
        <v>30-40</v>
      </c>
      <c r="AP185" s="0" t="str">
        <f aca="false">IFERROR(VLOOKUP(O185,Assumptions!$B$14:$C$26,2,FALSE()),"Other")</f>
        <v>Manager</v>
      </c>
      <c r="AQ185" s="0" t="n">
        <f aca="false">IF(T185="",0,1)</f>
        <v>0</v>
      </c>
      <c r="AR185" s="0" t="n">
        <f aca="false">IF(U185="",0,1)</f>
        <v>1</v>
      </c>
      <c r="AS185" s="8" t="n">
        <f aca="false">IF(AK185="","",IF(MAX($AK$2:$AK$921)=MIN($AK$2:$AK$921),50,ROUND((AK185-MIN($AK$2:$AK$921))/(MAX($AK$2:$AK$921)-MIN($AK$2:$AK$921))*100,2)))</f>
        <v>82.85</v>
      </c>
      <c r="AT185" s="8" t="n">
        <f aca="false">IF(MAX($BC$2:$BC$921)=MIN($BC$2:$BC$921),50,ROUND((BC185-MIN($BC$2:$BC$921))/(MAX($BC$2:$BC$921)-MIN($BC$2:$BC$921))*100,2))</f>
        <v>50</v>
      </c>
      <c r="AU185" s="8" t="n">
        <f aca="false">IF(MAX($BE$2:$BE$921)=MIN($BE$2:$BE$921),50,ROUND((BE185-MIN($BE$2:$BE$921))/(MAX($BE$2:$BE$921)-MIN($BE$2:$BE$921))*100,2))</f>
        <v>68.36</v>
      </c>
      <c r="AV185" s="8" t="n">
        <f aca="false">IF(MAX($AD$2:$AD$921)=MIN($AD$2:$AD$921),50,ROUND((AD185-MIN($AD$2:$AD$921))/(MAX($AD$2:$AD$921)-MIN($AD$2:$AD$921))*100,2))</f>
        <v>38.05</v>
      </c>
      <c r="AW185" s="8" t="n">
        <f aca="false">IF(MAX($AN$2:$AN$921)=MIN($AN$2:$AN$921),50,ROUND((AN185-MIN($AN$2:$AN$921))/(MAX($AN$2:$AN$921)-MIN($AN$2:$AN$921))*100,2))</f>
        <v>90</v>
      </c>
      <c r="AX185" s="8" t="n">
        <f aca="false">AQ185*100</f>
        <v>0</v>
      </c>
      <c r="AY185" s="8" t="n">
        <f aca="false">AR185*100</f>
        <v>100</v>
      </c>
      <c r="AZ185" s="8" t="n">
        <f aca="false">IFERROR(ROUND(AS185*Assumptions!$I$6+AW185*Assumptions!$I$7+AT185*Assumptions!$I$8+AU185*Assumptions!$I$9+AV185*Assumptions!$I$10+AX185*Assumptions!$I$11+AY185*Assumptions!$I$12,2),"")</f>
        <v>69.41</v>
      </c>
      <c r="BA185" s="0" t="str">
        <f aca="false">IF(AZ185="","",IF(AZ185&lt;=Assumptions!$I$18,"Below Expectation",IF(AZ185&lt;=Assumptions!$I$19,"Developing",IF(AZ185&lt;=Assumptions!$I$20,"Meets Expectation",IF(AZ185&lt;=Assumptions!$I$21,"Exceeds","Star Performer")))))</f>
        <v>Meets Expectation</v>
      </c>
      <c r="BB185" s="0" t="n">
        <f aca="false">IF(AZ185="",0,IF(AZ185&gt;=Assumptions!$I$26,1,0))</f>
        <v>1</v>
      </c>
      <c r="BC185" s="9" t="n">
        <f aca="false">IF(AL185="",2,AL185+2)</f>
        <v>2</v>
      </c>
      <c r="BD185" s="10" t="n">
        <f aca="false">IF(AM185="",ROUND(AVERAGE($AM$2:$AM$921),3),AM185)</f>
        <v>0.548</v>
      </c>
      <c r="BE185" s="9" t="n">
        <f aca="false">1-BD185</f>
        <v>0.452</v>
      </c>
    </row>
    <row r="186" customFormat="false" ht="14.25" hidden="false" customHeight="false" outlineLevel="0" collapsed="false">
      <c r="A186" s="4" t="n">
        <v>453</v>
      </c>
      <c r="B186" s="5" t="n">
        <v>55017209</v>
      </c>
      <c r="C186" s="5" t="s">
        <v>106</v>
      </c>
      <c r="D186" s="5" t="s">
        <v>1056</v>
      </c>
      <c r="E186" s="5" t="s">
        <v>305</v>
      </c>
      <c r="F186" s="5" t="s">
        <v>608</v>
      </c>
      <c r="G186" s="5" t="s">
        <v>609</v>
      </c>
      <c r="H186" s="5" t="s">
        <v>608</v>
      </c>
      <c r="I186" s="5" t="s">
        <v>63</v>
      </c>
      <c r="J186" s="5" t="s">
        <v>112</v>
      </c>
      <c r="K186" s="5" t="s">
        <v>65</v>
      </c>
      <c r="L186" s="6" t="n">
        <v>42429</v>
      </c>
      <c r="M186" s="5" t="s">
        <v>1057</v>
      </c>
      <c r="N186" s="6" t="n">
        <v>32511</v>
      </c>
      <c r="O186" s="5" t="s">
        <v>332</v>
      </c>
      <c r="P186" s="5" t="s">
        <v>333</v>
      </c>
      <c r="Q186" s="5" t="s">
        <v>373</v>
      </c>
      <c r="R186" s="5" t="s">
        <v>629</v>
      </c>
      <c r="S186" s="5" t="s">
        <v>374</v>
      </c>
      <c r="T186" s="6"/>
      <c r="U186" s="6" t="n">
        <v>45992</v>
      </c>
      <c r="V186" s="5" t="s">
        <v>141</v>
      </c>
      <c r="W186" s="5" t="s">
        <v>141</v>
      </c>
      <c r="X186" s="5" t="s">
        <v>141</v>
      </c>
      <c r="Y186" s="5" t="s">
        <v>83</v>
      </c>
      <c r="Z186" s="5" t="s">
        <v>83</v>
      </c>
      <c r="AA186" s="5" t="s">
        <v>1058</v>
      </c>
      <c r="AB186" s="0" t="n">
        <f aca="false">IFERROR(VALUE(R186),0)</f>
        <v>2.1</v>
      </c>
      <c r="AC186" s="0" t="n">
        <f aca="false">IFERROR(VALUE(M186),"")</f>
        <v>37.5</v>
      </c>
      <c r="AD186" s="0" t="n">
        <f aca="false">IFERROR(VALUE(Q186),"")</f>
        <v>10.3</v>
      </c>
      <c r="AE186" s="0" t="n">
        <f aca="false">IFERROR(VALUE(S186),"")</f>
        <v>12.4</v>
      </c>
      <c r="AF186" s="0" t="n">
        <f aca="false">IF(V186="","",VLOOKUP(V186,Assumptions!$B$6:$C$9,2,FALSE()))</f>
        <v>3</v>
      </c>
      <c r="AG186" s="0" t="n">
        <f aca="false">IF(W186="","",VLOOKUP(W186,Assumptions!$B$6:$C$9,2,FALSE()))</f>
        <v>3</v>
      </c>
      <c r="AH186" s="0" t="n">
        <f aca="false">IF(X186="","",VLOOKUP(X186,Assumptions!$B$6:$C$9,2,FALSE()))</f>
        <v>3</v>
      </c>
      <c r="AI186" s="0" t="n">
        <f aca="false">IF(Y186="","",VLOOKUP(Y186,Assumptions!$B$6:$C$9,2,FALSE()))</f>
        <v>4</v>
      </c>
      <c r="AJ186" s="0" t="n">
        <f aca="false">IF(Z186="","",VLOOKUP(Z186,Assumptions!$B$6:$C$9,2,FALSE()))</f>
        <v>4</v>
      </c>
      <c r="AK186" s="7" t="n">
        <f aca="false">IFERROR(ROUND(AVERAGE(AF186:AJ186),3),"")</f>
        <v>3.4</v>
      </c>
      <c r="AL186" s="7" t="n">
        <f aca="false">IF(OR(AF186="",AJ186=""),"",AJ186-AF186)</f>
        <v>1</v>
      </c>
      <c r="AM186" s="7" t="n">
        <f aca="false">IF(COUNT(AF186:AJ186)&gt;=2,ROUND(_xlfn.STDEV.S(AF186:AJ186),3),"")</f>
        <v>0.548</v>
      </c>
      <c r="AN186" s="7" t="n">
        <f aca="false">ROUND((IF(AF186="",0,AF186)*Assumptions!$F$15)+(IF(AG186="",0,AG186)*Assumptions!$F$16)+(IF(AH186="",0,AH186)*Assumptions!$F$17)+(IF(AI186="",0,AI186)*Assumptions!$F$18)+(IF(AJ186="",0,AJ186)*Assumptions!$F$19),3)</f>
        <v>3.55</v>
      </c>
      <c r="AO186" s="0" t="str">
        <f aca="false">IF(AC186&lt;=20,"",IF(AC186&lt;=Assumptions!$F$6,"20-30",IF(AC186&lt;=Assumptions!$F$7,"30-40",IF(AC186&lt;=Assumptions!$F$8,"40-50",IF(AC186&lt;=Assumptions!$F$9,"50-60",IF(AC186&lt;=Assumptions!$F$10,"60+",""))))))</f>
        <v>30-40</v>
      </c>
      <c r="AP186" s="0" t="str">
        <f aca="false">IFERROR(VLOOKUP(O186,Assumptions!$B$14:$C$26,2,FALSE()),"Other")</f>
        <v>Manager</v>
      </c>
      <c r="AQ186" s="0" t="n">
        <f aca="false">IF(T186="",0,1)</f>
        <v>0</v>
      </c>
      <c r="AR186" s="0" t="n">
        <f aca="false">IF(U186="",0,1)</f>
        <v>1</v>
      </c>
      <c r="AS186" s="8" t="n">
        <f aca="false">IF(AK186="","",IF(MAX($AK$2:$AK$921)=MIN($AK$2:$AK$921),50,ROUND((AK186-MIN($AK$2:$AK$921))/(MAX($AK$2:$AK$921)-MIN($AK$2:$AK$921))*100,2)))</f>
        <v>74.28</v>
      </c>
      <c r="AT186" s="8" t="n">
        <f aca="false">IF(MAX($BC$2:$BC$921)=MIN($BC$2:$BC$921),50,ROUND((BC186-MIN($BC$2:$BC$921))/(MAX($BC$2:$BC$921)-MIN($BC$2:$BC$921))*100,2))</f>
        <v>75</v>
      </c>
      <c r="AU186" s="8" t="n">
        <f aca="false">IF(MAX($BE$2:$BE$921)=MIN($BE$2:$BE$921),50,ROUND((BE186-MIN($BE$2:$BE$921))/(MAX($BE$2:$BE$921)-MIN($BE$2:$BE$921))*100,2))</f>
        <v>68.36</v>
      </c>
      <c r="AV186" s="8" t="n">
        <f aca="false">IF(MAX($AD$2:$AD$921)=MIN($AD$2:$AD$921),50,ROUND((AD186-MIN($AD$2:$AD$921))/(MAX($AD$2:$AD$921)-MIN($AD$2:$AD$921))*100,2))</f>
        <v>27.7</v>
      </c>
      <c r="AW186" s="8" t="n">
        <f aca="false">IF(MAX($AN$2:$AN$921)=MIN($AN$2:$AN$921),50,ROUND((AN186-MIN($AN$2:$AN$921))/(MAX($AN$2:$AN$921)-MIN($AN$2:$AN$921))*100,2))</f>
        <v>88.75</v>
      </c>
      <c r="AX186" s="8" t="n">
        <f aca="false">AQ186*100</f>
        <v>0</v>
      </c>
      <c r="AY186" s="8" t="n">
        <f aca="false">AR186*100</f>
        <v>100</v>
      </c>
      <c r="AZ186" s="8" t="n">
        <f aca="false">IFERROR(ROUND(AS186*Assumptions!$I$6+AW186*Assumptions!$I$7+AT186*Assumptions!$I$8+AU186*Assumptions!$I$9+AV186*Assumptions!$I$10+AX186*Assumptions!$I$11+AY186*Assumptions!$I$12,2),"")</f>
        <v>69.31</v>
      </c>
      <c r="BA186" s="0" t="str">
        <f aca="false">IF(AZ186="","",IF(AZ186&lt;=Assumptions!$I$18,"Below Expectation",IF(AZ186&lt;=Assumptions!$I$19,"Developing",IF(AZ186&lt;=Assumptions!$I$20,"Meets Expectation",IF(AZ186&lt;=Assumptions!$I$21,"Exceeds","Star Performer")))))</f>
        <v>Meets Expectation</v>
      </c>
      <c r="BB186" s="0" t="n">
        <f aca="false">IF(AZ186="",0,IF(AZ186&gt;=Assumptions!$I$26,1,0))</f>
        <v>1</v>
      </c>
      <c r="BC186" s="9" t="n">
        <f aca="false">IF(AL186="",2,AL186+2)</f>
        <v>3</v>
      </c>
      <c r="BD186" s="10" t="n">
        <f aca="false">IF(AM186="",ROUND(AVERAGE($AM$2:$AM$921),3),AM186)</f>
        <v>0.548</v>
      </c>
      <c r="BE186" s="9" t="n">
        <f aca="false">1-BD186</f>
        <v>0.452</v>
      </c>
    </row>
    <row r="187" customFormat="false" ht="14.25" hidden="true" customHeight="false" outlineLevel="0" collapsed="false">
      <c r="A187" s="4" t="n">
        <v>102</v>
      </c>
      <c r="B187" s="5" t="n">
        <v>10031138</v>
      </c>
      <c r="C187" s="5" t="s">
        <v>666</v>
      </c>
      <c r="D187" s="5" t="s">
        <v>1059</v>
      </c>
      <c r="E187" s="5" t="s">
        <v>841</v>
      </c>
      <c r="F187" s="5" t="s">
        <v>380</v>
      </c>
      <c r="G187" s="5" t="s">
        <v>379</v>
      </c>
      <c r="H187" s="5" t="s">
        <v>380</v>
      </c>
      <c r="I187" s="5" t="s">
        <v>63</v>
      </c>
      <c r="J187" s="5" t="s">
        <v>100</v>
      </c>
      <c r="K187" s="5" t="s">
        <v>65</v>
      </c>
      <c r="L187" s="6" t="n">
        <v>40662</v>
      </c>
      <c r="M187" s="5" t="s">
        <v>509</v>
      </c>
      <c r="N187" s="6" t="n">
        <v>31852</v>
      </c>
      <c r="O187" s="5" t="s">
        <v>262</v>
      </c>
      <c r="P187" s="5" t="s">
        <v>263</v>
      </c>
      <c r="Q187" s="5" t="s">
        <v>1060</v>
      </c>
      <c r="R187" s="5" t="s">
        <v>472</v>
      </c>
      <c r="S187" s="5" t="s">
        <v>1061</v>
      </c>
      <c r="T187" s="6" t="n">
        <v>42217</v>
      </c>
      <c r="U187" s="6" t="n">
        <v>46113</v>
      </c>
      <c r="V187" s="5" t="s">
        <v>631</v>
      </c>
      <c r="W187" s="5" t="s">
        <v>83</v>
      </c>
      <c r="X187" s="5" t="s">
        <v>83</v>
      </c>
      <c r="Y187" s="5" t="s">
        <v>141</v>
      </c>
      <c r="Z187" s="5" t="s">
        <v>141</v>
      </c>
      <c r="AA187" s="5" t="s">
        <v>1062</v>
      </c>
      <c r="AB187" s="0" t="n">
        <f aca="false">IFERROR(VALUE(R187),0)</f>
        <v>1.4</v>
      </c>
      <c r="AC187" s="0" t="n">
        <f aca="false">IFERROR(VALUE(M187),"")</f>
        <v>39.2</v>
      </c>
      <c r="AD187" s="0" t="n">
        <f aca="false">IFERROR(VALUE(Q187),"")</f>
        <v>15.1</v>
      </c>
      <c r="AE187" s="0" t="n">
        <f aca="false">IFERROR(VALUE(S187),"")</f>
        <v>16.5</v>
      </c>
      <c r="AF187" s="0" t="n">
        <f aca="false">IF(V187="","",VLOOKUP(V187,Assumptions!$B$6:$C$9,2,FALSE()))</f>
        <v>2</v>
      </c>
      <c r="AG187" s="0" t="n">
        <f aca="false">IF(W187="","",VLOOKUP(W187,Assumptions!$B$6:$C$9,2,FALSE()))</f>
        <v>4</v>
      </c>
      <c r="AH187" s="0" t="n">
        <f aca="false">IF(X187="","",VLOOKUP(X187,Assumptions!$B$6:$C$9,2,FALSE()))</f>
        <v>4</v>
      </c>
      <c r="AI187" s="0" t="n">
        <f aca="false">IF(Y187="","",VLOOKUP(Y187,Assumptions!$B$6:$C$9,2,FALSE()))</f>
        <v>3</v>
      </c>
      <c r="AJ187" s="0" t="n">
        <f aca="false">IF(Z187="","",VLOOKUP(Z187,Assumptions!$B$6:$C$9,2,FALSE()))</f>
        <v>3</v>
      </c>
      <c r="AK187" s="7" t="n">
        <f aca="false">IFERROR(ROUND(AVERAGE(AF187:AJ187),3),"")</f>
        <v>3.2</v>
      </c>
      <c r="AL187" s="7" t="n">
        <f aca="false">IF(OR(AF187="",AJ187=""),"",AJ187-AF187)</f>
        <v>1</v>
      </c>
      <c r="AM187" s="7" t="n">
        <f aca="false">IF(COUNT(AF187:AJ187)&gt;=2,ROUND(_xlfn.STDEV.S(AF187:AJ187),3),"")</f>
        <v>0.837</v>
      </c>
      <c r="AN187" s="7" t="n">
        <f aca="false">ROUND((IF(AF187="",0,AF187)*Assumptions!$F$15)+(IF(AG187="",0,AG187)*Assumptions!$F$16)+(IF(AH187="",0,AH187)*Assumptions!$F$17)+(IF(AI187="",0,AI187)*Assumptions!$F$18)+(IF(AJ187="",0,AJ187)*Assumptions!$F$19),3)</f>
        <v>3.25</v>
      </c>
      <c r="AO187" s="0" t="str">
        <f aca="false">IF(AC187&lt;=20,"",IF(AC187&lt;=Assumptions!$F$6,"20-30",IF(AC187&lt;=Assumptions!$F$7,"30-40",IF(AC187&lt;=Assumptions!$F$8,"40-50",IF(AC187&lt;=Assumptions!$F$9,"50-60",IF(AC187&lt;=Assumptions!$F$10,"60+",""))))))</f>
        <v>30-40</v>
      </c>
      <c r="AP187" s="0" t="str">
        <f aca="false">IFERROR(VLOOKUP(O187,Assumptions!$B$14:$C$26,2,FALSE()),"Other")</f>
        <v>Manager</v>
      </c>
      <c r="AQ187" s="0" t="n">
        <f aca="false">IF(T187="",0,1)</f>
        <v>1</v>
      </c>
      <c r="AR187" s="0" t="n">
        <f aca="false">IF(U187="",0,1)</f>
        <v>1</v>
      </c>
      <c r="AS187" s="8" t="n">
        <f aca="false">IF(AK187="","",IF(MAX($AK$2:$AK$921)=MIN($AK$2:$AK$921),50,ROUND((AK187-MIN($AK$2:$AK$921))/(MAX($AK$2:$AK$921)-MIN($AK$2:$AK$921))*100,2)))</f>
        <v>65.71</v>
      </c>
      <c r="AT187" s="8" t="n">
        <f aca="false">IF(MAX($BC$2:$BC$921)=MIN($BC$2:$BC$921),50,ROUND((BC187-MIN($BC$2:$BC$921))/(MAX($BC$2:$BC$921)-MIN($BC$2:$BC$921))*100,2))</f>
        <v>75</v>
      </c>
      <c r="AU187" s="8" t="n">
        <f aca="false">IF(MAX($BE$2:$BE$921)=MIN($BE$2:$BE$921),50,ROUND((BE187-MIN($BE$2:$BE$921))/(MAX($BE$2:$BE$921)-MIN($BE$2:$BE$921))*100,2))</f>
        <v>51.67</v>
      </c>
      <c r="AV187" s="8" t="n">
        <f aca="false">IF(MAX($AD$2:$AD$921)=MIN($AD$2:$AD$921),50,ROUND((AD187-MIN($AD$2:$AD$921))/(MAX($AD$2:$AD$921)-MIN($AD$2:$AD$921))*100,2))</f>
        <v>40.74</v>
      </c>
      <c r="AW187" s="8" t="n">
        <f aca="false">IF(MAX($AN$2:$AN$921)=MIN($AN$2:$AN$921),50,ROUND((AN187-MIN($AN$2:$AN$921))/(MAX($AN$2:$AN$921)-MIN($AN$2:$AN$921))*100,2))</f>
        <v>81.25</v>
      </c>
      <c r="AX187" s="8" t="n">
        <f aca="false">AQ187*100</f>
        <v>100</v>
      </c>
      <c r="AY187" s="8" t="n">
        <f aca="false">AR187*100</f>
        <v>100</v>
      </c>
      <c r="AZ187" s="8" t="n">
        <f aca="false">IFERROR(ROUND(AS187*Assumptions!$I$6+AW187*Assumptions!$I$7+AT187*Assumptions!$I$8+AU187*Assumptions!$I$9+AV187*Assumptions!$I$10+AX187*Assumptions!$I$11+AY187*Assumptions!$I$12,2),"")</f>
        <v>69.04</v>
      </c>
      <c r="BA187" s="0" t="str">
        <f aca="false">IF(AZ187="","",IF(AZ187&lt;=Assumptions!$I$18,"Below Expectation",IF(AZ187&lt;=Assumptions!$I$19,"Developing",IF(AZ187&lt;=Assumptions!$I$20,"Meets Expectation",IF(AZ187&lt;=Assumptions!$I$21,"Exceeds","Star Performer")))))</f>
        <v>Meets Expectation</v>
      </c>
      <c r="BB187" s="0" t="n">
        <f aca="false">IF(AZ187="",0,IF(AZ187&gt;=Assumptions!$I$26,1,0))</f>
        <v>0</v>
      </c>
      <c r="BC187" s="9" t="n">
        <f aca="false">IF(AL187="",2,AL187+2)</f>
        <v>3</v>
      </c>
      <c r="BD187" s="10" t="n">
        <f aca="false">IF(AM187="",ROUND(AVERAGE($AM$2:$AM$921),3),AM187)</f>
        <v>0.837</v>
      </c>
      <c r="BE187" s="9" t="n">
        <f aca="false">1-BD187</f>
        <v>0.163</v>
      </c>
    </row>
    <row r="188" customFormat="false" ht="14.25" hidden="true" customHeight="false" outlineLevel="0" collapsed="false">
      <c r="A188" s="4" t="n">
        <v>367</v>
      </c>
      <c r="B188" s="5" t="n">
        <v>37102220</v>
      </c>
      <c r="C188" s="5" t="s">
        <v>85</v>
      </c>
      <c r="D188" s="5" t="s">
        <v>1063</v>
      </c>
      <c r="E188" s="5" t="s">
        <v>137</v>
      </c>
      <c r="F188" s="5" t="s">
        <v>236</v>
      </c>
      <c r="G188" s="5" t="s">
        <v>237</v>
      </c>
      <c r="H188" s="5" t="s">
        <v>238</v>
      </c>
      <c r="I188" s="5" t="s">
        <v>63</v>
      </c>
      <c r="J188" s="5" t="s">
        <v>76</v>
      </c>
      <c r="K188" s="5" t="s">
        <v>65</v>
      </c>
      <c r="L188" s="6" t="n">
        <v>39548</v>
      </c>
      <c r="M188" s="5" t="s">
        <v>1064</v>
      </c>
      <c r="N188" s="6" t="n">
        <v>27927</v>
      </c>
      <c r="O188" s="5" t="s">
        <v>122</v>
      </c>
      <c r="P188" s="5" t="s">
        <v>123</v>
      </c>
      <c r="Q188" s="5" t="s">
        <v>471</v>
      </c>
      <c r="R188" s="5" t="s">
        <v>164</v>
      </c>
      <c r="S188" s="5" t="s">
        <v>1065</v>
      </c>
      <c r="T188" s="6" t="n">
        <v>43206</v>
      </c>
      <c r="U188" s="6" t="n">
        <v>46113</v>
      </c>
      <c r="V188" s="5" t="s">
        <v>141</v>
      </c>
      <c r="W188" s="5" t="s">
        <v>83</v>
      </c>
      <c r="X188" s="5" t="s">
        <v>141</v>
      </c>
      <c r="Y188" s="5" t="s">
        <v>141</v>
      </c>
      <c r="Z188" s="5" t="s">
        <v>141</v>
      </c>
      <c r="AA188" s="5" t="s">
        <v>1066</v>
      </c>
      <c r="AB188" s="0" t="n">
        <f aca="false">IFERROR(VALUE(R188),0)</f>
        <v>3.5</v>
      </c>
      <c r="AC188" s="0" t="n">
        <f aca="false">IFERROR(VALUE(M188),"")</f>
        <v>49.11</v>
      </c>
      <c r="AD188" s="0" t="n">
        <f aca="false">IFERROR(VALUE(Q188),"")</f>
        <v>18.1</v>
      </c>
      <c r="AE188" s="0" t="n">
        <f aca="false">IFERROR(VALUE(S188),"")</f>
        <v>21.6</v>
      </c>
      <c r="AF188" s="0" t="n">
        <f aca="false">IF(V188="","",VLOOKUP(V188,Assumptions!$B$6:$C$9,2,FALSE()))</f>
        <v>3</v>
      </c>
      <c r="AG188" s="0" t="n">
        <f aca="false">IF(W188="","",VLOOKUP(W188,Assumptions!$B$6:$C$9,2,FALSE()))</f>
        <v>4</v>
      </c>
      <c r="AH188" s="0" t="n">
        <f aca="false">IF(X188="","",VLOOKUP(X188,Assumptions!$B$6:$C$9,2,FALSE()))</f>
        <v>3</v>
      </c>
      <c r="AI188" s="0" t="n">
        <f aca="false">IF(Y188="","",VLOOKUP(Y188,Assumptions!$B$6:$C$9,2,FALSE()))</f>
        <v>3</v>
      </c>
      <c r="AJ188" s="0" t="n">
        <f aca="false">IF(Z188="","",VLOOKUP(Z188,Assumptions!$B$6:$C$9,2,FALSE()))</f>
        <v>3</v>
      </c>
      <c r="AK188" s="7" t="n">
        <f aca="false">IFERROR(ROUND(AVERAGE(AF188:AJ188),3),"")</f>
        <v>3.2</v>
      </c>
      <c r="AL188" s="7" t="n">
        <f aca="false">IF(OR(AF188="",AJ188=""),"",AJ188-AF188)</f>
        <v>0</v>
      </c>
      <c r="AM188" s="7" t="n">
        <f aca="false">IF(COUNT(AF188:AJ188)&gt;=2,ROUND(_xlfn.STDEV.S(AF188:AJ188),3),"")</f>
        <v>0.447</v>
      </c>
      <c r="AN188" s="7" t="n">
        <f aca="false">ROUND((IF(AF188="",0,AF188)*Assumptions!$F$15)+(IF(AG188="",0,AG188)*Assumptions!$F$16)+(IF(AH188="",0,AH188)*Assumptions!$F$17)+(IF(AI188="",0,AI188)*Assumptions!$F$18)+(IF(AJ188="",0,AJ188)*Assumptions!$F$19),3)</f>
        <v>3.15</v>
      </c>
      <c r="AO188" s="0" t="str">
        <f aca="false">IF(AC188&lt;=20,"",IF(AC188&lt;=Assumptions!$F$6,"20-30",IF(AC188&lt;=Assumptions!$F$7,"30-40",IF(AC188&lt;=Assumptions!$F$8,"40-50",IF(AC188&lt;=Assumptions!$F$9,"50-60",IF(AC188&lt;=Assumptions!$F$10,"60+",""))))))</f>
        <v>40-50</v>
      </c>
      <c r="AP188" s="0" t="str">
        <f aca="false">IFERROR(VLOOKUP(O188,Assumptions!$B$14:$C$26,2,FALSE()),"Other")</f>
        <v>Leadership</v>
      </c>
      <c r="AQ188" s="0" t="n">
        <f aca="false">IF(T188="",0,1)</f>
        <v>1</v>
      </c>
      <c r="AR188" s="0" t="n">
        <f aca="false">IF(U188="",0,1)</f>
        <v>1</v>
      </c>
      <c r="AS188" s="8" t="n">
        <f aca="false">IF(AK188="","",IF(MAX($AK$2:$AK$921)=MIN($AK$2:$AK$921),50,ROUND((AK188-MIN($AK$2:$AK$921))/(MAX($AK$2:$AK$921)-MIN($AK$2:$AK$921))*100,2)))</f>
        <v>65.71</v>
      </c>
      <c r="AT188" s="8" t="n">
        <f aca="false">IF(MAX($BC$2:$BC$921)=MIN($BC$2:$BC$921),50,ROUND((BC188-MIN($BC$2:$BC$921))/(MAX($BC$2:$BC$921)-MIN($BC$2:$BC$921))*100,2))</f>
        <v>50</v>
      </c>
      <c r="AU188" s="8" t="n">
        <f aca="false">IF(MAX($BE$2:$BE$921)=MIN($BE$2:$BE$921),50,ROUND((BE188-MIN($BE$2:$BE$921))/(MAX($BE$2:$BE$921)-MIN($BE$2:$BE$921))*100,2))</f>
        <v>74.19</v>
      </c>
      <c r="AV188" s="8" t="n">
        <f aca="false">IF(MAX($AD$2:$AD$921)=MIN($AD$2:$AD$921),50,ROUND((AD188-MIN($AD$2:$AD$921))/(MAX($AD$2:$AD$921)-MIN($AD$2:$AD$921))*100,2))</f>
        <v>48.9</v>
      </c>
      <c r="AW188" s="8" t="n">
        <f aca="false">IF(MAX($AN$2:$AN$921)=MIN($AN$2:$AN$921),50,ROUND((AN188-MIN($AN$2:$AN$921))/(MAX($AN$2:$AN$921)-MIN($AN$2:$AN$921))*100,2))</f>
        <v>78.75</v>
      </c>
      <c r="AX188" s="8" t="n">
        <f aca="false">AQ188*100</f>
        <v>100</v>
      </c>
      <c r="AY188" s="8" t="n">
        <f aca="false">AR188*100</f>
        <v>100</v>
      </c>
      <c r="AZ188" s="8" t="n">
        <f aca="false">IFERROR(ROUND(AS188*Assumptions!$I$6+AW188*Assumptions!$I$7+AT188*Assumptions!$I$8+AU188*Assumptions!$I$9+AV188*Assumptions!$I$10+AX188*Assumptions!$I$11+AY188*Assumptions!$I$12,2),"")</f>
        <v>68.98</v>
      </c>
      <c r="BA188" s="0" t="str">
        <f aca="false">IF(AZ188="","",IF(AZ188&lt;=Assumptions!$I$18,"Below Expectation",IF(AZ188&lt;=Assumptions!$I$19,"Developing",IF(AZ188&lt;=Assumptions!$I$20,"Meets Expectation",IF(AZ188&lt;=Assumptions!$I$21,"Exceeds","Star Performer")))))</f>
        <v>Meets Expectation</v>
      </c>
      <c r="BB188" s="0" t="n">
        <f aca="false">IF(AZ188="",0,IF(AZ188&gt;=Assumptions!$I$26,1,0))</f>
        <v>0</v>
      </c>
      <c r="BC188" s="9" t="n">
        <f aca="false">IF(AL188="",2,AL188+2)</f>
        <v>2</v>
      </c>
      <c r="BD188" s="10" t="n">
        <f aca="false">IF(AM188="",ROUND(AVERAGE($AM$2:$AM$921),3),AM188)</f>
        <v>0.447</v>
      </c>
      <c r="BE188" s="9" t="n">
        <f aca="false">1-BD188</f>
        <v>0.553</v>
      </c>
    </row>
    <row r="189" customFormat="false" ht="14.25" hidden="true" customHeight="false" outlineLevel="0" collapsed="false">
      <c r="A189" s="4" t="n">
        <v>126</v>
      </c>
      <c r="B189" s="5" t="n">
        <v>10041575</v>
      </c>
      <c r="C189" s="5" t="s">
        <v>57</v>
      </c>
      <c r="D189" s="5" t="s">
        <v>1067</v>
      </c>
      <c r="E189" s="5" t="s">
        <v>456</v>
      </c>
      <c r="F189" s="5" t="s">
        <v>387</v>
      </c>
      <c r="G189" s="5" t="s">
        <v>388</v>
      </c>
      <c r="H189" s="5" t="s">
        <v>387</v>
      </c>
      <c r="I189" s="5" t="s">
        <v>63</v>
      </c>
      <c r="J189" s="5" t="s">
        <v>100</v>
      </c>
      <c r="K189" s="5" t="s">
        <v>65</v>
      </c>
      <c r="L189" s="6" t="n">
        <v>41673</v>
      </c>
      <c r="M189" s="5" t="s">
        <v>663</v>
      </c>
      <c r="N189" s="6" t="n">
        <v>31080</v>
      </c>
      <c r="O189" s="5" t="s">
        <v>262</v>
      </c>
      <c r="P189" s="5" t="s">
        <v>263</v>
      </c>
      <c r="Q189" s="5" t="s">
        <v>374</v>
      </c>
      <c r="R189" s="5" t="s">
        <v>491</v>
      </c>
      <c r="S189" s="5" t="s">
        <v>272</v>
      </c>
      <c r="T189" s="6"/>
      <c r="U189" s="6" t="n">
        <v>45748</v>
      </c>
      <c r="V189" s="5" t="s">
        <v>141</v>
      </c>
      <c r="W189" s="5" t="s">
        <v>83</v>
      </c>
      <c r="X189" s="5" t="s">
        <v>83</v>
      </c>
      <c r="Y189" s="5" t="s">
        <v>83</v>
      </c>
      <c r="Z189" s="5" t="s">
        <v>141</v>
      </c>
      <c r="AA189" s="5" t="s">
        <v>1068</v>
      </c>
      <c r="AB189" s="0" t="n">
        <f aca="false">IFERROR(VALUE(R189),0)</f>
        <v>4.7</v>
      </c>
      <c r="AC189" s="0" t="n">
        <f aca="false">IFERROR(VALUE(M189),"")</f>
        <v>41.4</v>
      </c>
      <c r="AD189" s="0" t="n">
        <f aca="false">IFERROR(VALUE(Q189),"")</f>
        <v>12.4</v>
      </c>
      <c r="AE189" s="0" t="n">
        <f aca="false">IFERROR(VALUE(S189),"")</f>
        <v>16.11</v>
      </c>
      <c r="AF189" s="0" t="n">
        <f aca="false">IF(V189="","",VLOOKUP(V189,Assumptions!$B$6:$C$9,2,FALSE()))</f>
        <v>3</v>
      </c>
      <c r="AG189" s="0" t="n">
        <f aca="false">IF(W189="","",VLOOKUP(W189,Assumptions!$B$6:$C$9,2,FALSE()))</f>
        <v>4</v>
      </c>
      <c r="AH189" s="0" t="n">
        <f aca="false">IF(X189="","",VLOOKUP(X189,Assumptions!$B$6:$C$9,2,FALSE()))</f>
        <v>4</v>
      </c>
      <c r="AI189" s="0" t="n">
        <f aca="false">IF(Y189="","",VLOOKUP(Y189,Assumptions!$B$6:$C$9,2,FALSE()))</f>
        <v>4</v>
      </c>
      <c r="AJ189" s="0" t="n">
        <f aca="false">IF(Z189="","",VLOOKUP(Z189,Assumptions!$B$6:$C$9,2,FALSE()))</f>
        <v>3</v>
      </c>
      <c r="AK189" s="7" t="n">
        <f aca="false">IFERROR(ROUND(AVERAGE(AF189:AJ189),3),"")</f>
        <v>3.6</v>
      </c>
      <c r="AL189" s="7" t="n">
        <f aca="false">IF(OR(AF189="",AJ189=""),"",AJ189-AF189)</f>
        <v>0</v>
      </c>
      <c r="AM189" s="7" t="n">
        <f aca="false">IF(COUNT(AF189:AJ189)&gt;=2,ROUND(_xlfn.STDEV.S(AF189:AJ189),3),"")</f>
        <v>0.548</v>
      </c>
      <c r="AN189" s="7" t="n">
        <f aca="false">ROUND((IF(AF189="",0,AF189)*Assumptions!$F$15)+(IF(AG189="",0,AG189)*Assumptions!$F$16)+(IF(AH189="",0,AH189)*Assumptions!$F$17)+(IF(AI189="",0,AI189)*Assumptions!$F$18)+(IF(AJ189="",0,AJ189)*Assumptions!$F$19),3)</f>
        <v>3.6</v>
      </c>
      <c r="AO189" s="0" t="str">
        <f aca="false">IF(AC189&lt;=20,"",IF(AC189&lt;=Assumptions!$F$6,"20-30",IF(AC189&lt;=Assumptions!$F$7,"30-40",IF(AC189&lt;=Assumptions!$F$8,"40-50",IF(AC189&lt;=Assumptions!$F$9,"50-60",IF(AC189&lt;=Assumptions!$F$10,"60+",""))))))</f>
        <v>40-50</v>
      </c>
      <c r="AP189" s="0" t="str">
        <f aca="false">IFERROR(VLOOKUP(O189,Assumptions!$B$14:$C$26,2,FALSE()),"Other")</f>
        <v>Manager</v>
      </c>
      <c r="AQ189" s="0" t="n">
        <f aca="false">IF(T189="",0,1)</f>
        <v>0</v>
      </c>
      <c r="AR189" s="0" t="n">
        <f aca="false">IF(U189="",0,1)</f>
        <v>1</v>
      </c>
      <c r="AS189" s="8" t="n">
        <f aca="false">IF(AK189="","",IF(MAX($AK$2:$AK$921)=MIN($AK$2:$AK$921),50,ROUND((AK189-MIN($AK$2:$AK$921))/(MAX($AK$2:$AK$921)-MIN($AK$2:$AK$921))*100,2)))</f>
        <v>82.85</v>
      </c>
      <c r="AT189" s="8" t="n">
        <f aca="false">IF(MAX($BC$2:$BC$921)=MIN($BC$2:$BC$921),50,ROUND((BC189-MIN($BC$2:$BC$921))/(MAX($BC$2:$BC$921)-MIN($BC$2:$BC$921))*100,2))</f>
        <v>50</v>
      </c>
      <c r="AU189" s="8" t="n">
        <f aca="false">IF(MAX($BE$2:$BE$921)=MIN($BE$2:$BE$921),50,ROUND((BE189-MIN($BE$2:$BE$921))/(MAX($BE$2:$BE$921)-MIN($BE$2:$BE$921))*100,2))</f>
        <v>68.36</v>
      </c>
      <c r="AV189" s="8" t="n">
        <f aca="false">IF(MAX($AD$2:$AD$921)=MIN($AD$2:$AD$921),50,ROUND((AD189-MIN($AD$2:$AD$921))/(MAX($AD$2:$AD$921)-MIN($AD$2:$AD$921))*100,2))</f>
        <v>33.41</v>
      </c>
      <c r="AW189" s="8" t="n">
        <f aca="false">IF(MAX($AN$2:$AN$921)=MIN($AN$2:$AN$921),50,ROUND((AN189-MIN($AN$2:$AN$921))/(MAX($AN$2:$AN$921)-MIN($AN$2:$AN$921))*100,2))</f>
        <v>90</v>
      </c>
      <c r="AX189" s="8" t="n">
        <f aca="false">AQ189*100</f>
        <v>0</v>
      </c>
      <c r="AY189" s="8" t="n">
        <f aca="false">AR189*100</f>
        <v>100</v>
      </c>
      <c r="AZ189" s="8" t="n">
        <f aca="false">IFERROR(ROUND(AS189*Assumptions!$I$6+AW189*Assumptions!$I$7+AT189*Assumptions!$I$8+AU189*Assumptions!$I$9+AV189*Assumptions!$I$10+AX189*Assumptions!$I$11+AY189*Assumptions!$I$12,2),"")</f>
        <v>68.95</v>
      </c>
      <c r="BA189" s="0" t="str">
        <f aca="false">IF(AZ189="","",IF(AZ189&lt;=Assumptions!$I$18,"Below Expectation",IF(AZ189&lt;=Assumptions!$I$19,"Developing",IF(AZ189&lt;=Assumptions!$I$20,"Meets Expectation",IF(AZ189&lt;=Assumptions!$I$21,"Exceeds","Star Performer")))))</f>
        <v>Meets Expectation</v>
      </c>
      <c r="BB189" s="0" t="n">
        <f aca="false">IF(AZ189="",0,IF(AZ189&gt;=Assumptions!$I$26,1,0))</f>
        <v>0</v>
      </c>
      <c r="BC189" s="9" t="n">
        <f aca="false">IF(AL189="",2,AL189+2)</f>
        <v>2</v>
      </c>
      <c r="BD189" s="10" t="n">
        <f aca="false">IF(AM189="",ROUND(AVERAGE($AM$2:$AM$921),3),AM189)</f>
        <v>0.548</v>
      </c>
      <c r="BE189" s="9" t="n">
        <f aca="false">1-BD189</f>
        <v>0.452</v>
      </c>
    </row>
    <row r="190" customFormat="false" ht="14.25" hidden="true" customHeight="false" outlineLevel="0" collapsed="false">
      <c r="A190" s="4" t="n">
        <v>383</v>
      </c>
      <c r="B190" s="5" t="n">
        <v>50007707</v>
      </c>
      <c r="C190" s="5" t="s">
        <v>85</v>
      </c>
      <c r="D190" s="5" t="s">
        <v>1069</v>
      </c>
      <c r="E190" s="5" t="s">
        <v>1070</v>
      </c>
      <c r="F190" s="5" t="s">
        <v>267</v>
      </c>
      <c r="G190" s="5" t="s">
        <v>268</v>
      </c>
      <c r="H190" s="5" t="s">
        <v>267</v>
      </c>
      <c r="I190" s="5" t="s">
        <v>63</v>
      </c>
      <c r="J190" s="5" t="s">
        <v>76</v>
      </c>
      <c r="K190" s="5" t="s">
        <v>65</v>
      </c>
      <c r="L190" s="6" t="n">
        <v>40406</v>
      </c>
      <c r="M190" s="5" t="s">
        <v>1071</v>
      </c>
      <c r="N190" s="6" t="n">
        <v>31043</v>
      </c>
      <c r="O190" s="5" t="s">
        <v>262</v>
      </c>
      <c r="P190" s="5" t="s">
        <v>263</v>
      </c>
      <c r="Q190" s="5" t="s">
        <v>286</v>
      </c>
      <c r="R190" s="5" t="s">
        <v>472</v>
      </c>
      <c r="S190" s="5" t="s">
        <v>882</v>
      </c>
      <c r="T190" s="6" t="n">
        <v>41518</v>
      </c>
      <c r="U190" s="6" t="n">
        <v>44440</v>
      </c>
      <c r="V190" s="5" t="s">
        <v>141</v>
      </c>
      <c r="W190" s="5" t="s">
        <v>141</v>
      </c>
      <c r="X190" s="5" t="s">
        <v>141</v>
      </c>
      <c r="Y190" s="5" t="s">
        <v>141</v>
      </c>
      <c r="Z190" s="5" t="s">
        <v>141</v>
      </c>
      <c r="AA190" s="5" t="s">
        <v>1072</v>
      </c>
      <c r="AB190" s="0" t="n">
        <f aca="false">IFERROR(VALUE(R190),0)</f>
        <v>1.4</v>
      </c>
      <c r="AC190" s="0" t="n">
        <f aca="false">IFERROR(VALUE(M190),"")</f>
        <v>41.5</v>
      </c>
      <c r="AD190" s="0" t="n">
        <f aca="false">IFERROR(VALUE(Q190),"")</f>
        <v>15.9</v>
      </c>
      <c r="AE190" s="0" t="n">
        <f aca="false">IFERROR(VALUE(S190),"")</f>
        <v>17.1</v>
      </c>
      <c r="AF190" s="0" t="n">
        <f aca="false">IF(V190="","",VLOOKUP(V190,Assumptions!$B$6:$C$9,2,FALSE()))</f>
        <v>3</v>
      </c>
      <c r="AG190" s="0" t="n">
        <f aca="false">IF(W190="","",VLOOKUP(W190,Assumptions!$B$6:$C$9,2,FALSE()))</f>
        <v>3</v>
      </c>
      <c r="AH190" s="0" t="n">
        <f aca="false">IF(X190="","",VLOOKUP(X190,Assumptions!$B$6:$C$9,2,FALSE()))</f>
        <v>3</v>
      </c>
      <c r="AI190" s="0" t="n">
        <f aca="false">IF(Y190="","",VLOOKUP(Y190,Assumptions!$B$6:$C$9,2,FALSE()))</f>
        <v>3</v>
      </c>
      <c r="AJ190" s="0" t="n">
        <f aca="false">IF(Z190="","",VLOOKUP(Z190,Assumptions!$B$6:$C$9,2,FALSE()))</f>
        <v>3</v>
      </c>
      <c r="AK190" s="7" t="n">
        <f aca="false">IFERROR(ROUND(AVERAGE(AF190:AJ190),3),"")</f>
        <v>3</v>
      </c>
      <c r="AL190" s="7" t="n">
        <f aca="false">IF(OR(AF190="",AJ190=""),"",AJ190-AF190)</f>
        <v>0</v>
      </c>
      <c r="AM190" s="7" t="n">
        <f aca="false">IF(COUNT(AF190:AJ190)&gt;=2,ROUND(_xlfn.STDEV.S(AF190:AJ190),3),"")</f>
        <v>0</v>
      </c>
      <c r="AN190" s="7" t="n">
        <f aca="false">ROUND((IF(AF190="",0,AF190)*Assumptions!$F$15)+(IF(AG190="",0,AG190)*Assumptions!$F$16)+(IF(AH190="",0,AH190)*Assumptions!$F$17)+(IF(AI190="",0,AI190)*Assumptions!$F$18)+(IF(AJ190="",0,AJ190)*Assumptions!$F$19),3)</f>
        <v>3</v>
      </c>
      <c r="AO190" s="0" t="str">
        <f aca="false">IF(AC190&lt;=20,"",IF(AC190&lt;=Assumptions!$F$6,"20-30",IF(AC190&lt;=Assumptions!$F$7,"30-40",IF(AC190&lt;=Assumptions!$F$8,"40-50",IF(AC190&lt;=Assumptions!$F$9,"50-60",IF(AC190&lt;=Assumptions!$F$10,"60+",""))))))</f>
        <v>40-50</v>
      </c>
      <c r="AP190" s="0" t="str">
        <f aca="false">IFERROR(VLOOKUP(O190,Assumptions!$B$14:$C$26,2,FALSE()),"Other")</f>
        <v>Manager</v>
      </c>
      <c r="AQ190" s="0" t="n">
        <f aca="false">IF(T190="",0,1)</f>
        <v>1</v>
      </c>
      <c r="AR190" s="0" t="n">
        <f aca="false">IF(U190="",0,1)</f>
        <v>1</v>
      </c>
      <c r="AS190" s="8" t="n">
        <f aca="false">IF(AK190="","",IF(MAX($AK$2:$AK$921)=MIN($AK$2:$AK$921),50,ROUND((AK190-MIN($AK$2:$AK$921))/(MAX($AK$2:$AK$921)-MIN($AK$2:$AK$921))*100,2)))</f>
        <v>57.14</v>
      </c>
      <c r="AT190" s="8" t="n">
        <f aca="false">IF(MAX($BC$2:$BC$921)=MIN($BC$2:$BC$921),50,ROUND((BC190-MIN($BC$2:$BC$921))/(MAX($BC$2:$BC$921)-MIN($BC$2:$BC$921))*100,2))</f>
        <v>50</v>
      </c>
      <c r="AU190" s="8" t="n">
        <f aca="false">IF(MAX($BE$2:$BE$921)=MIN($BE$2:$BE$921),50,ROUND((BE190-MIN($BE$2:$BE$921))/(MAX($BE$2:$BE$921)-MIN($BE$2:$BE$921))*100,2))</f>
        <v>100</v>
      </c>
      <c r="AV190" s="8" t="n">
        <f aca="false">IF(MAX($AD$2:$AD$921)=MIN($AD$2:$AD$921),50,ROUND((AD190-MIN($AD$2:$AD$921))/(MAX($AD$2:$AD$921)-MIN($AD$2:$AD$921))*100,2))</f>
        <v>42.92</v>
      </c>
      <c r="AW190" s="8" t="n">
        <f aca="false">IF(MAX($AN$2:$AN$921)=MIN($AN$2:$AN$921),50,ROUND((AN190-MIN($AN$2:$AN$921))/(MAX($AN$2:$AN$921)-MIN($AN$2:$AN$921))*100,2))</f>
        <v>75</v>
      </c>
      <c r="AX190" s="8" t="n">
        <f aca="false">AQ190*100</f>
        <v>100</v>
      </c>
      <c r="AY190" s="8" t="n">
        <f aca="false">AR190*100</f>
        <v>100</v>
      </c>
      <c r="AZ190" s="8" t="n">
        <f aca="false">IFERROR(ROUND(AS190*Assumptions!$I$6+AW190*Assumptions!$I$7+AT190*Assumptions!$I$8+AU190*Assumptions!$I$9+AV190*Assumptions!$I$10+AX190*Assumptions!$I$11+AY190*Assumptions!$I$12,2),"")</f>
        <v>68.93</v>
      </c>
      <c r="BA190" s="0" t="str">
        <f aca="false">IF(AZ190="","",IF(AZ190&lt;=Assumptions!$I$18,"Below Expectation",IF(AZ190&lt;=Assumptions!$I$19,"Developing",IF(AZ190&lt;=Assumptions!$I$20,"Meets Expectation",IF(AZ190&lt;=Assumptions!$I$21,"Exceeds","Star Performer")))))</f>
        <v>Meets Expectation</v>
      </c>
      <c r="BB190" s="0" t="n">
        <f aca="false">IF(AZ190="",0,IF(AZ190&gt;=Assumptions!$I$26,1,0))</f>
        <v>0</v>
      </c>
      <c r="BC190" s="9" t="n">
        <f aca="false">IF(AL190="",2,AL190+2)</f>
        <v>2</v>
      </c>
      <c r="BD190" s="10" t="n">
        <f aca="false">IF(AM190="",ROUND(AVERAGE($AM$2:$AM$921),3),AM190)</f>
        <v>0</v>
      </c>
      <c r="BE190" s="9" t="n">
        <f aca="false">1-BD190</f>
        <v>1</v>
      </c>
    </row>
    <row r="191" customFormat="false" ht="14.25" hidden="true" customHeight="false" outlineLevel="0" collapsed="false">
      <c r="A191" s="4" t="n">
        <v>49</v>
      </c>
      <c r="B191" s="5" t="n">
        <v>10010717</v>
      </c>
      <c r="C191" s="5" t="s">
        <v>666</v>
      </c>
      <c r="D191" s="5" t="s">
        <v>1073</v>
      </c>
      <c r="E191" s="5" t="s">
        <v>666</v>
      </c>
      <c r="F191" s="5" t="s">
        <v>1074</v>
      </c>
      <c r="G191" s="5" t="s">
        <v>1075</v>
      </c>
      <c r="H191" s="5" t="s">
        <v>1074</v>
      </c>
      <c r="I191" s="5" t="s">
        <v>63</v>
      </c>
      <c r="J191" s="5" t="s">
        <v>100</v>
      </c>
      <c r="K191" s="5" t="s">
        <v>65</v>
      </c>
      <c r="L191" s="6" t="n">
        <v>33884</v>
      </c>
      <c r="M191" s="5" t="s">
        <v>1076</v>
      </c>
      <c r="N191" s="6" t="n">
        <v>25139</v>
      </c>
      <c r="O191" s="5" t="s">
        <v>89</v>
      </c>
      <c r="P191" s="5" t="s">
        <v>90</v>
      </c>
      <c r="Q191" s="5" t="s">
        <v>1077</v>
      </c>
      <c r="R191" s="5" t="s">
        <v>115</v>
      </c>
      <c r="S191" s="5" t="s">
        <v>1077</v>
      </c>
      <c r="T191" s="6"/>
      <c r="U191" s="6" t="n">
        <v>44562</v>
      </c>
      <c r="V191" s="5" t="s">
        <v>141</v>
      </c>
      <c r="W191" s="5" t="s">
        <v>141</v>
      </c>
      <c r="X191" s="5" t="s">
        <v>141</v>
      </c>
      <c r="Y191" s="5" t="s">
        <v>141</v>
      </c>
      <c r="Z191" s="5" t="s">
        <v>141</v>
      </c>
      <c r="AA191" s="5" t="s">
        <v>1078</v>
      </c>
      <c r="AB191" s="0" t="n">
        <f aca="false">IFERROR(VALUE(R191),0)</f>
        <v>0</v>
      </c>
      <c r="AC191" s="0" t="n">
        <f aca="false">IFERROR(VALUE(M191),"")</f>
        <v>57.7</v>
      </c>
      <c r="AD191" s="0" t="n">
        <f aca="false">IFERROR(VALUE(Q191),"")</f>
        <v>33.8</v>
      </c>
      <c r="AE191" s="0" t="n">
        <f aca="false">IFERROR(VALUE(S191),"")</f>
        <v>33.8</v>
      </c>
      <c r="AF191" s="0" t="n">
        <f aca="false">IF(V191="","",VLOOKUP(V191,Assumptions!$B$6:$C$9,2,FALSE()))</f>
        <v>3</v>
      </c>
      <c r="AG191" s="0" t="n">
        <f aca="false">IF(W191="","",VLOOKUP(W191,Assumptions!$B$6:$C$9,2,FALSE()))</f>
        <v>3</v>
      </c>
      <c r="AH191" s="0" t="n">
        <f aca="false">IF(X191="","",VLOOKUP(X191,Assumptions!$B$6:$C$9,2,FALSE()))</f>
        <v>3</v>
      </c>
      <c r="AI191" s="0" t="n">
        <f aca="false">IF(Y191="","",VLOOKUP(Y191,Assumptions!$B$6:$C$9,2,FALSE()))</f>
        <v>3</v>
      </c>
      <c r="AJ191" s="0" t="n">
        <f aca="false">IF(Z191="","",VLOOKUP(Z191,Assumptions!$B$6:$C$9,2,FALSE()))</f>
        <v>3</v>
      </c>
      <c r="AK191" s="7" t="n">
        <f aca="false">IFERROR(ROUND(AVERAGE(AF191:AJ191),3),"")</f>
        <v>3</v>
      </c>
      <c r="AL191" s="7" t="n">
        <f aca="false">IF(OR(AF191="",AJ191=""),"",AJ191-AF191)</f>
        <v>0</v>
      </c>
      <c r="AM191" s="7" t="n">
        <f aca="false">IF(COUNT(AF191:AJ191)&gt;=2,ROUND(_xlfn.STDEV.S(AF191:AJ191),3),"")</f>
        <v>0</v>
      </c>
      <c r="AN191" s="7" t="n">
        <f aca="false">ROUND((IF(AF191="",0,AF191)*Assumptions!$F$15)+(IF(AG191="",0,AG191)*Assumptions!$F$16)+(IF(AH191="",0,AH191)*Assumptions!$F$17)+(IF(AI191="",0,AI191)*Assumptions!$F$18)+(IF(AJ191="",0,AJ191)*Assumptions!$F$19),3)</f>
        <v>3</v>
      </c>
      <c r="AO191" s="0" t="str">
        <f aca="false">IF(AC191&lt;=20,"",IF(AC191&lt;=Assumptions!$F$6,"20-30",IF(AC191&lt;=Assumptions!$F$7,"30-40",IF(AC191&lt;=Assumptions!$F$8,"40-50",IF(AC191&lt;=Assumptions!$F$9,"50-60",IF(AC191&lt;=Assumptions!$F$10,"60+",""))))))</f>
        <v>50-60</v>
      </c>
      <c r="AP191" s="0" t="str">
        <f aca="false">IFERROR(VLOOKUP(O191,Assumptions!$B$14:$C$26,2,FALSE()),"Other")</f>
        <v>Leadership</v>
      </c>
      <c r="AQ191" s="0" t="n">
        <f aca="false">IF(T191="",0,1)</f>
        <v>0</v>
      </c>
      <c r="AR191" s="0" t="n">
        <f aca="false">IF(U191="",0,1)</f>
        <v>1</v>
      </c>
      <c r="AS191" s="8" t="n">
        <f aca="false">IF(AK191="","",IF(MAX($AK$2:$AK$921)=MIN($AK$2:$AK$921),50,ROUND((AK191-MIN($AK$2:$AK$921))/(MAX($AK$2:$AK$921)-MIN($AK$2:$AK$921))*100,2)))</f>
        <v>57.14</v>
      </c>
      <c r="AT191" s="8" t="n">
        <f aca="false">IF(MAX($BC$2:$BC$921)=MIN($BC$2:$BC$921),50,ROUND((BC191-MIN($BC$2:$BC$921))/(MAX($BC$2:$BC$921)-MIN($BC$2:$BC$921))*100,2))</f>
        <v>50</v>
      </c>
      <c r="AU191" s="8" t="n">
        <f aca="false">IF(MAX($BE$2:$BE$921)=MIN($BE$2:$BE$921),50,ROUND((BE191-MIN($BE$2:$BE$921))/(MAX($BE$2:$BE$921)-MIN($BE$2:$BE$921))*100,2))</f>
        <v>100</v>
      </c>
      <c r="AV191" s="8" t="n">
        <f aca="false">IF(MAX($AD$2:$AD$921)=MIN($AD$2:$AD$921),50,ROUND((AD191-MIN($AD$2:$AD$921))/(MAX($AD$2:$AD$921)-MIN($AD$2:$AD$921))*100,2))</f>
        <v>91.57</v>
      </c>
      <c r="AW191" s="8" t="n">
        <f aca="false">IF(MAX($AN$2:$AN$921)=MIN($AN$2:$AN$921),50,ROUND((AN191-MIN($AN$2:$AN$921))/(MAX($AN$2:$AN$921)-MIN($AN$2:$AN$921))*100,2))</f>
        <v>75</v>
      </c>
      <c r="AX191" s="8" t="n">
        <f aca="false">AQ191*100</f>
        <v>0</v>
      </c>
      <c r="AY191" s="8" t="n">
        <f aca="false">AR191*100</f>
        <v>100</v>
      </c>
      <c r="AZ191" s="8" t="n">
        <f aca="false">IFERROR(ROUND(AS191*Assumptions!$I$6+AW191*Assumptions!$I$7+AT191*Assumptions!$I$8+AU191*Assumptions!$I$9+AV191*Assumptions!$I$10+AX191*Assumptions!$I$11+AY191*Assumptions!$I$12,2),"")</f>
        <v>68.8</v>
      </c>
      <c r="BA191" s="0" t="str">
        <f aca="false">IF(AZ191="","",IF(AZ191&lt;=Assumptions!$I$18,"Below Expectation",IF(AZ191&lt;=Assumptions!$I$19,"Developing",IF(AZ191&lt;=Assumptions!$I$20,"Meets Expectation",IF(AZ191&lt;=Assumptions!$I$21,"Exceeds","Star Performer")))))</f>
        <v>Meets Expectation</v>
      </c>
      <c r="BB191" s="0" t="n">
        <f aca="false">IF(AZ191="",0,IF(AZ191&gt;=Assumptions!$I$26,1,0))</f>
        <v>0</v>
      </c>
      <c r="BC191" s="9" t="n">
        <f aca="false">IF(AL191="",2,AL191+2)</f>
        <v>2</v>
      </c>
      <c r="BD191" s="10" t="n">
        <f aca="false">IF(AM191="",ROUND(AVERAGE($AM$2:$AM$921),3),AM191)</f>
        <v>0</v>
      </c>
      <c r="BE191" s="9" t="n">
        <f aca="false">1-BD191</f>
        <v>1</v>
      </c>
    </row>
    <row r="192" customFormat="false" ht="14.25" hidden="true" customHeight="false" outlineLevel="0" collapsed="false">
      <c r="A192" s="4" t="n">
        <v>160</v>
      </c>
      <c r="B192" s="5" t="n">
        <v>10050098</v>
      </c>
      <c r="C192" s="5" t="s">
        <v>858</v>
      </c>
      <c r="D192" s="5" t="s">
        <v>1079</v>
      </c>
      <c r="E192" s="5" t="s">
        <v>1080</v>
      </c>
      <c r="F192" s="5" t="s">
        <v>1081</v>
      </c>
      <c r="G192" s="5" t="s">
        <v>1082</v>
      </c>
      <c r="H192" s="5" t="s">
        <v>1081</v>
      </c>
      <c r="I192" s="5" t="s">
        <v>63</v>
      </c>
      <c r="J192" s="5" t="s">
        <v>100</v>
      </c>
      <c r="K192" s="5" t="s">
        <v>65</v>
      </c>
      <c r="L192" s="6" t="n">
        <v>42177</v>
      </c>
      <c r="M192" s="5" t="s">
        <v>285</v>
      </c>
      <c r="N192" s="6" t="n">
        <v>30981</v>
      </c>
      <c r="O192" s="5" t="s">
        <v>122</v>
      </c>
      <c r="P192" s="5" t="s">
        <v>123</v>
      </c>
      <c r="Q192" s="5" t="s">
        <v>497</v>
      </c>
      <c r="R192" s="5" t="s">
        <v>439</v>
      </c>
      <c r="S192" s="5" t="s">
        <v>1083</v>
      </c>
      <c r="T192" s="6" t="n">
        <v>43009</v>
      </c>
      <c r="U192" s="6"/>
      <c r="V192" s="5" t="s">
        <v>141</v>
      </c>
      <c r="W192" s="5" t="s">
        <v>83</v>
      </c>
      <c r="X192" s="5" t="s">
        <v>141</v>
      </c>
      <c r="Y192" s="5" t="s">
        <v>141</v>
      </c>
      <c r="Z192" s="5" t="s">
        <v>83</v>
      </c>
      <c r="AA192" s="5" t="s">
        <v>1084</v>
      </c>
      <c r="AB192" s="0" t="n">
        <f aca="false">IFERROR(VALUE(R192),0)</f>
        <v>7.1</v>
      </c>
      <c r="AC192" s="0" t="n">
        <f aca="false">IFERROR(VALUE(M192),"")</f>
        <v>41.7</v>
      </c>
      <c r="AD192" s="0" t="n">
        <f aca="false">IFERROR(VALUE(Q192),"")</f>
        <v>10.11</v>
      </c>
      <c r="AE192" s="0" t="n">
        <f aca="false">IFERROR(VALUE(S192),"")</f>
        <v>18</v>
      </c>
      <c r="AF192" s="0" t="n">
        <f aca="false">IF(V192="","",VLOOKUP(V192,Assumptions!$B$6:$C$9,2,FALSE()))</f>
        <v>3</v>
      </c>
      <c r="AG192" s="0" t="n">
        <f aca="false">IF(W192="","",VLOOKUP(W192,Assumptions!$B$6:$C$9,2,FALSE()))</f>
        <v>4</v>
      </c>
      <c r="AH192" s="0" t="n">
        <f aca="false">IF(X192="","",VLOOKUP(X192,Assumptions!$B$6:$C$9,2,FALSE()))</f>
        <v>3</v>
      </c>
      <c r="AI192" s="0" t="n">
        <f aca="false">IF(Y192="","",VLOOKUP(Y192,Assumptions!$B$6:$C$9,2,FALSE()))</f>
        <v>3</v>
      </c>
      <c r="AJ192" s="0" t="n">
        <f aca="false">IF(Z192="","",VLOOKUP(Z192,Assumptions!$B$6:$C$9,2,FALSE()))</f>
        <v>4</v>
      </c>
      <c r="AK192" s="7" t="n">
        <f aca="false">IFERROR(ROUND(AVERAGE(AF192:AJ192),3),"")</f>
        <v>3.4</v>
      </c>
      <c r="AL192" s="7" t="n">
        <f aca="false">IF(OR(AF192="",AJ192=""),"",AJ192-AF192)</f>
        <v>1</v>
      </c>
      <c r="AM192" s="7" t="n">
        <f aca="false">IF(COUNT(AF192:AJ192)&gt;=2,ROUND(_xlfn.STDEV.S(AF192:AJ192),3),"")</f>
        <v>0.548</v>
      </c>
      <c r="AN192" s="7" t="n">
        <f aca="false">ROUND((IF(AF192="",0,AF192)*Assumptions!$F$15)+(IF(AG192="",0,AG192)*Assumptions!$F$16)+(IF(AH192="",0,AH192)*Assumptions!$F$17)+(IF(AI192="",0,AI192)*Assumptions!$F$18)+(IF(AJ192="",0,AJ192)*Assumptions!$F$19),3)</f>
        <v>3.45</v>
      </c>
      <c r="AO192" s="0" t="str">
        <f aca="false">IF(AC192&lt;=20,"",IF(AC192&lt;=Assumptions!$F$6,"20-30",IF(AC192&lt;=Assumptions!$F$7,"30-40",IF(AC192&lt;=Assumptions!$F$8,"40-50",IF(AC192&lt;=Assumptions!$F$9,"50-60",IF(AC192&lt;=Assumptions!$F$10,"60+",""))))))</f>
        <v>40-50</v>
      </c>
      <c r="AP192" s="0" t="str">
        <f aca="false">IFERROR(VLOOKUP(O192,Assumptions!$B$14:$C$26,2,FALSE()),"Other")</f>
        <v>Leadership</v>
      </c>
      <c r="AQ192" s="0" t="n">
        <f aca="false">IF(T192="",0,1)</f>
        <v>1</v>
      </c>
      <c r="AR192" s="0" t="n">
        <f aca="false">IF(U192="",0,1)</f>
        <v>0</v>
      </c>
      <c r="AS192" s="8" t="n">
        <f aca="false">IF(AK192="","",IF(MAX($AK$2:$AK$921)=MIN($AK$2:$AK$921),50,ROUND((AK192-MIN($AK$2:$AK$921))/(MAX($AK$2:$AK$921)-MIN($AK$2:$AK$921))*100,2)))</f>
        <v>74.28</v>
      </c>
      <c r="AT192" s="8" t="n">
        <f aca="false">IF(MAX($BC$2:$BC$921)=MIN($BC$2:$BC$921),50,ROUND((BC192-MIN($BC$2:$BC$921))/(MAX($BC$2:$BC$921)-MIN($BC$2:$BC$921))*100,2))</f>
        <v>75</v>
      </c>
      <c r="AU192" s="8" t="n">
        <f aca="false">IF(MAX($BE$2:$BE$921)=MIN($BE$2:$BE$921),50,ROUND((BE192-MIN($BE$2:$BE$921))/(MAX($BE$2:$BE$921)-MIN($BE$2:$BE$921))*100,2))</f>
        <v>68.36</v>
      </c>
      <c r="AV192" s="8" t="n">
        <f aca="false">IF(MAX($AD$2:$AD$921)=MIN($AD$2:$AD$921),50,ROUND((AD192-MIN($AD$2:$AD$921))/(MAX($AD$2:$AD$921)-MIN($AD$2:$AD$921))*100,2))</f>
        <v>27.18</v>
      </c>
      <c r="AW192" s="8" t="n">
        <f aca="false">IF(MAX($AN$2:$AN$921)=MIN($AN$2:$AN$921),50,ROUND((AN192-MIN($AN$2:$AN$921))/(MAX($AN$2:$AN$921)-MIN($AN$2:$AN$921))*100,2))</f>
        <v>86.25</v>
      </c>
      <c r="AX192" s="8" t="n">
        <f aca="false">AQ192*100</f>
        <v>100</v>
      </c>
      <c r="AY192" s="8" t="n">
        <f aca="false">AR192*100</f>
        <v>0</v>
      </c>
      <c r="AZ192" s="8" t="n">
        <f aca="false">IFERROR(ROUND(AS192*Assumptions!$I$6+AW192*Assumptions!$I$7+AT192*Assumptions!$I$8+AU192*Assumptions!$I$9+AV192*Assumptions!$I$10+AX192*Assumptions!$I$11+AY192*Assumptions!$I$12,2),"")</f>
        <v>68.76</v>
      </c>
      <c r="BA192" s="0" t="str">
        <f aca="false">IF(AZ192="","",IF(AZ192&lt;=Assumptions!$I$18,"Below Expectation",IF(AZ192&lt;=Assumptions!$I$19,"Developing",IF(AZ192&lt;=Assumptions!$I$20,"Meets Expectation",IF(AZ192&lt;=Assumptions!$I$21,"Exceeds","Star Performer")))))</f>
        <v>Meets Expectation</v>
      </c>
      <c r="BB192" s="0" t="n">
        <f aca="false">IF(AZ192="",0,IF(AZ192&gt;=Assumptions!$I$26,1,0))</f>
        <v>0</v>
      </c>
      <c r="BC192" s="9" t="n">
        <f aca="false">IF(AL192="",2,AL192+2)</f>
        <v>3</v>
      </c>
      <c r="BD192" s="10" t="n">
        <f aca="false">IF(AM192="",ROUND(AVERAGE($AM$2:$AM$921),3),AM192)</f>
        <v>0.548</v>
      </c>
      <c r="BE192" s="9" t="n">
        <f aca="false">1-BD192</f>
        <v>0.452</v>
      </c>
    </row>
    <row r="193" customFormat="false" ht="14.25" hidden="true" customHeight="false" outlineLevel="0" collapsed="false">
      <c r="A193" s="4" t="n">
        <v>244</v>
      </c>
      <c r="B193" s="5" t="n">
        <v>10062884</v>
      </c>
      <c r="C193" s="5" t="s">
        <v>85</v>
      </c>
      <c r="D193" s="5" t="s">
        <v>1085</v>
      </c>
      <c r="E193" s="5" t="s">
        <v>751</v>
      </c>
      <c r="F193" s="5" t="s">
        <v>380</v>
      </c>
      <c r="G193" s="5" t="s">
        <v>379</v>
      </c>
      <c r="H193" s="5" t="s">
        <v>380</v>
      </c>
      <c r="I193" s="5" t="s">
        <v>63</v>
      </c>
      <c r="J193" s="5" t="s">
        <v>76</v>
      </c>
      <c r="K193" s="5" t="s">
        <v>65</v>
      </c>
      <c r="L193" s="6" t="n">
        <v>43227</v>
      </c>
      <c r="M193" s="5" t="s">
        <v>340</v>
      </c>
      <c r="N193" s="6" t="n">
        <v>31940</v>
      </c>
      <c r="O193" s="5" t="s">
        <v>262</v>
      </c>
      <c r="P193" s="5" t="s">
        <v>263</v>
      </c>
      <c r="Q193" s="5" t="s">
        <v>1086</v>
      </c>
      <c r="R193" s="5" t="s">
        <v>147</v>
      </c>
      <c r="S193" s="5" t="s">
        <v>734</v>
      </c>
      <c r="T193" s="6"/>
      <c r="U193" s="6" t="n">
        <v>46113</v>
      </c>
      <c r="V193" s="5" t="s">
        <v>141</v>
      </c>
      <c r="W193" s="5" t="s">
        <v>141</v>
      </c>
      <c r="X193" s="5" t="s">
        <v>141</v>
      </c>
      <c r="Y193" s="5" t="s">
        <v>83</v>
      </c>
      <c r="Z193" s="5" t="s">
        <v>83</v>
      </c>
      <c r="AA193" s="5" t="s">
        <v>1087</v>
      </c>
      <c r="AB193" s="0" t="n">
        <f aca="false">IFERROR(VALUE(R193),0)</f>
        <v>5.6</v>
      </c>
      <c r="AC193" s="0" t="n">
        <f aca="false">IFERROR(VALUE(M193),"")</f>
        <v>38.11</v>
      </c>
      <c r="AD193" s="0" t="n">
        <f aca="false">IFERROR(VALUE(Q193),"")</f>
        <v>8.1</v>
      </c>
      <c r="AE193" s="0" t="n">
        <f aca="false">IFERROR(VALUE(S193),"")</f>
        <v>13.7</v>
      </c>
      <c r="AF193" s="0" t="n">
        <f aca="false">IF(V193="","",VLOOKUP(V193,Assumptions!$B$6:$C$9,2,FALSE()))</f>
        <v>3</v>
      </c>
      <c r="AG193" s="0" t="n">
        <f aca="false">IF(W193="","",VLOOKUP(W193,Assumptions!$B$6:$C$9,2,FALSE()))</f>
        <v>3</v>
      </c>
      <c r="AH193" s="0" t="n">
        <f aca="false">IF(X193="","",VLOOKUP(X193,Assumptions!$B$6:$C$9,2,FALSE()))</f>
        <v>3</v>
      </c>
      <c r="AI193" s="0" t="n">
        <f aca="false">IF(Y193="","",VLOOKUP(Y193,Assumptions!$B$6:$C$9,2,FALSE()))</f>
        <v>4</v>
      </c>
      <c r="AJ193" s="0" t="n">
        <f aca="false">IF(Z193="","",VLOOKUP(Z193,Assumptions!$B$6:$C$9,2,FALSE()))</f>
        <v>4</v>
      </c>
      <c r="AK193" s="7" t="n">
        <f aca="false">IFERROR(ROUND(AVERAGE(AF193:AJ193),3),"")</f>
        <v>3.4</v>
      </c>
      <c r="AL193" s="7" t="n">
        <f aca="false">IF(OR(AF193="",AJ193=""),"",AJ193-AF193)</f>
        <v>1</v>
      </c>
      <c r="AM193" s="7" t="n">
        <f aca="false">IF(COUNT(AF193:AJ193)&gt;=2,ROUND(_xlfn.STDEV.S(AF193:AJ193),3),"")</f>
        <v>0.548</v>
      </c>
      <c r="AN193" s="7" t="n">
        <f aca="false">ROUND((IF(AF193="",0,AF193)*Assumptions!$F$15)+(IF(AG193="",0,AG193)*Assumptions!$F$16)+(IF(AH193="",0,AH193)*Assumptions!$F$17)+(IF(AI193="",0,AI193)*Assumptions!$F$18)+(IF(AJ193="",0,AJ193)*Assumptions!$F$19),3)</f>
        <v>3.55</v>
      </c>
      <c r="AO193" s="0" t="str">
        <f aca="false">IF(AC193&lt;=20,"",IF(AC193&lt;=Assumptions!$F$6,"20-30",IF(AC193&lt;=Assumptions!$F$7,"30-40",IF(AC193&lt;=Assumptions!$F$8,"40-50",IF(AC193&lt;=Assumptions!$F$9,"50-60",IF(AC193&lt;=Assumptions!$F$10,"60+",""))))))</f>
        <v>30-40</v>
      </c>
      <c r="AP193" s="0" t="str">
        <f aca="false">IFERROR(VLOOKUP(O193,Assumptions!$B$14:$C$26,2,FALSE()),"Other")</f>
        <v>Manager</v>
      </c>
      <c r="AQ193" s="0" t="n">
        <f aca="false">IF(T193="",0,1)</f>
        <v>0</v>
      </c>
      <c r="AR193" s="0" t="n">
        <f aca="false">IF(U193="",0,1)</f>
        <v>1</v>
      </c>
      <c r="AS193" s="8" t="n">
        <f aca="false">IF(AK193="","",IF(MAX($AK$2:$AK$921)=MIN($AK$2:$AK$921),50,ROUND((AK193-MIN($AK$2:$AK$921))/(MAX($AK$2:$AK$921)-MIN($AK$2:$AK$921))*100,2)))</f>
        <v>74.28</v>
      </c>
      <c r="AT193" s="8" t="n">
        <f aca="false">IF(MAX($BC$2:$BC$921)=MIN($BC$2:$BC$921),50,ROUND((BC193-MIN($BC$2:$BC$921))/(MAX($BC$2:$BC$921)-MIN($BC$2:$BC$921))*100,2))</f>
        <v>75</v>
      </c>
      <c r="AU193" s="8" t="n">
        <f aca="false">IF(MAX($BE$2:$BE$921)=MIN($BE$2:$BE$921),50,ROUND((BE193-MIN($BE$2:$BE$921))/(MAX($BE$2:$BE$921)-MIN($BE$2:$BE$921))*100,2))</f>
        <v>68.36</v>
      </c>
      <c r="AV193" s="8" t="n">
        <f aca="false">IF(MAX($AD$2:$AD$921)=MIN($AD$2:$AD$921),50,ROUND((AD193-MIN($AD$2:$AD$921))/(MAX($AD$2:$AD$921)-MIN($AD$2:$AD$921))*100,2))</f>
        <v>21.72</v>
      </c>
      <c r="AW193" s="8" t="n">
        <f aca="false">IF(MAX($AN$2:$AN$921)=MIN($AN$2:$AN$921),50,ROUND((AN193-MIN($AN$2:$AN$921))/(MAX($AN$2:$AN$921)-MIN($AN$2:$AN$921))*100,2))</f>
        <v>88.75</v>
      </c>
      <c r="AX193" s="8" t="n">
        <f aca="false">AQ193*100</f>
        <v>0</v>
      </c>
      <c r="AY193" s="8" t="n">
        <f aca="false">AR193*100</f>
        <v>100</v>
      </c>
      <c r="AZ193" s="8" t="n">
        <f aca="false">IFERROR(ROUND(AS193*Assumptions!$I$6+AW193*Assumptions!$I$7+AT193*Assumptions!$I$8+AU193*Assumptions!$I$9+AV193*Assumptions!$I$10+AX193*Assumptions!$I$11+AY193*Assumptions!$I$12,2),"")</f>
        <v>68.71</v>
      </c>
      <c r="BA193" s="0" t="str">
        <f aca="false">IF(AZ193="","",IF(AZ193&lt;=Assumptions!$I$18,"Below Expectation",IF(AZ193&lt;=Assumptions!$I$19,"Developing",IF(AZ193&lt;=Assumptions!$I$20,"Meets Expectation",IF(AZ193&lt;=Assumptions!$I$21,"Exceeds","Star Performer")))))</f>
        <v>Meets Expectation</v>
      </c>
      <c r="BB193" s="0" t="n">
        <f aca="false">IF(AZ193="",0,IF(AZ193&gt;=Assumptions!$I$26,1,0))</f>
        <v>0</v>
      </c>
      <c r="BC193" s="9" t="n">
        <f aca="false">IF(AL193="",2,AL193+2)</f>
        <v>3</v>
      </c>
      <c r="BD193" s="10" t="n">
        <f aca="false">IF(AM193="",ROUND(AVERAGE($AM$2:$AM$921),3),AM193)</f>
        <v>0.548</v>
      </c>
      <c r="BE193" s="9" t="n">
        <f aca="false">1-BD193</f>
        <v>0.452</v>
      </c>
    </row>
    <row r="194" customFormat="false" ht="14.25" hidden="true" customHeight="false" outlineLevel="0" collapsed="false">
      <c r="A194" s="4" t="n">
        <v>200</v>
      </c>
      <c r="B194" s="5" t="n">
        <v>10055969</v>
      </c>
      <c r="C194" s="5" t="s">
        <v>57</v>
      </c>
      <c r="D194" s="5" t="s">
        <v>1088</v>
      </c>
      <c r="E194" s="5" t="s">
        <v>208</v>
      </c>
      <c r="F194" s="5" t="s">
        <v>387</v>
      </c>
      <c r="G194" s="5" t="s">
        <v>388</v>
      </c>
      <c r="H194" s="5" t="s">
        <v>387</v>
      </c>
      <c r="I194" s="5" t="s">
        <v>63</v>
      </c>
      <c r="J194" s="5" t="s">
        <v>100</v>
      </c>
      <c r="K194" s="5" t="s">
        <v>65</v>
      </c>
      <c r="L194" s="6" t="n">
        <v>42681</v>
      </c>
      <c r="M194" s="5" t="s">
        <v>1089</v>
      </c>
      <c r="N194" s="6" t="n">
        <v>31144</v>
      </c>
      <c r="O194" s="5" t="s">
        <v>262</v>
      </c>
      <c r="P194" s="5" t="s">
        <v>263</v>
      </c>
      <c r="Q194" s="5" t="s">
        <v>71</v>
      </c>
      <c r="R194" s="5" t="s">
        <v>302</v>
      </c>
      <c r="S194" s="5" t="s">
        <v>959</v>
      </c>
      <c r="T194" s="6"/>
      <c r="U194" s="6" t="n">
        <v>45748</v>
      </c>
      <c r="V194" s="5" t="s">
        <v>83</v>
      </c>
      <c r="W194" s="5" t="s">
        <v>83</v>
      </c>
      <c r="X194" s="5" t="s">
        <v>83</v>
      </c>
      <c r="Y194" s="5" t="s">
        <v>83</v>
      </c>
      <c r="Z194" s="5" t="s">
        <v>141</v>
      </c>
      <c r="AA194" s="5" t="s">
        <v>1090</v>
      </c>
      <c r="AB194" s="0" t="n">
        <f aca="false">IFERROR(VALUE(R194),0)</f>
        <v>5.8</v>
      </c>
      <c r="AC194" s="0" t="n">
        <f aca="false">IFERROR(VALUE(M194),"")</f>
        <v>41.2</v>
      </c>
      <c r="AD194" s="0" t="n">
        <f aca="false">IFERROR(VALUE(Q194),"")</f>
        <v>9.7</v>
      </c>
      <c r="AE194" s="0" t="n">
        <f aca="false">IFERROR(VALUE(S194),"")</f>
        <v>15.3</v>
      </c>
      <c r="AF194" s="0" t="n">
        <f aca="false">IF(V194="","",VLOOKUP(V194,Assumptions!$B$6:$C$9,2,FALSE()))</f>
        <v>4</v>
      </c>
      <c r="AG194" s="0" t="n">
        <f aca="false">IF(W194="","",VLOOKUP(W194,Assumptions!$B$6:$C$9,2,FALSE()))</f>
        <v>4</v>
      </c>
      <c r="AH194" s="0" t="n">
        <f aca="false">IF(X194="","",VLOOKUP(X194,Assumptions!$B$6:$C$9,2,FALSE()))</f>
        <v>4</v>
      </c>
      <c r="AI194" s="0" t="n">
        <f aca="false">IF(Y194="","",VLOOKUP(Y194,Assumptions!$B$6:$C$9,2,FALSE()))</f>
        <v>4</v>
      </c>
      <c r="AJ194" s="0" t="n">
        <f aca="false">IF(Z194="","",VLOOKUP(Z194,Assumptions!$B$6:$C$9,2,FALSE()))</f>
        <v>3</v>
      </c>
      <c r="AK194" s="7" t="n">
        <f aca="false">IFERROR(ROUND(AVERAGE(AF194:AJ194),3),"")</f>
        <v>3.8</v>
      </c>
      <c r="AL194" s="7" t="n">
        <f aca="false">IF(OR(AF194="",AJ194=""),"",AJ194-AF194)</f>
        <v>-1</v>
      </c>
      <c r="AM194" s="7" t="n">
        <f aca="false">IF(COUNT(AF194:AJ194)&gt;=2,ROUND(_xlfn.STDEV.S(AF194:AJ194),3),"")</f>
        <v>0.447</v>
      </c>
      <c r="AN194" s="7" t="n">
        <f aca="false">ROUND((IF(AF194="",0,AF194)*Assumptions!$F$15)+(IF(AG194="",0,AG194)*Assumptions!$F$16)+(IF(AH194="",0,AH194)*Assumptions!$F$17)+(IF(AI194="",0,AI194)*Assumptions!$F$18)+(IF(AJ194="",0,AJ194)*Assumptions!$F$19),3)</f>
        <v>3.7</v>
      </c>
      <c r="AO194" s="0" t="str">
        <f aca="false">IF(AC194&lt;=20,"",IF(AC194&lt;=Assumptions!$F$6,"20-30",IF(AC194&lt;=Assumptions!$F$7,"30-40",IF(AC194&lt;=Assumptions!$F$8,"40-50",IF(AC194&lt;=Assumptions!$F$9,"50-60",IF(AC194&lt;=Assumptions!$F$10,"60+",""))))))</f>
        <v>40-50</v>
      </c>
      <c r="AP194" s="0" t="str">
        <f aca="false">IFERROR(VLOOKUP(O194,Assumptions!$B$14:$C$26,2,FALSE()),"Other")</f>
        <v>Manager</v>
      </c>
      <c r="AQ194" s="0" t="n">
        <f aca="false">IF(T194="",0,1)</f>
        <v>0</v>
      </c>
      <c r="AR194" s="0" t="n">
        <f aca="false">IF(U194="",0,1)</f>
        <v>1</v>
      </c>
      <c r="AS194" s="8" t="n">
        <f aca="false">IF(AK194="","",IF(MAX($AK$2:$AK$921)=MIN($AK$2:$AK$921),50,ROUND((AK194-MIN($AK$2:$AK$921))/(MAX($AK$2:$AK$921)-MIN($AK$2:$AK$921))*100,2)))</f>
        <v>91.43</v>
      </c>
      <c r="AT194" s="8" t="n">
        <f aca="false">IF(MAX($BC$2:$BC$921)=MIN($BC$2:$BC$921),50,ROUND((BC194-MIN($BC$2:$BC$921))/(MAX($BC$2:$BC$921)-MIN($BC$2:$BC$921))*100,2))</f>
        <v>25</v>
      </c>
      <c r="AU194" s="8" t="n">
        <f aca="false">IF(MAX($BE$2:$BE$921)=MIN($BE$2:$BE$921),50,ROUND((BE194-MIN($BE$2:$BE$921))/(MAX($BE$2:$BE$921)-MIN($BE$2:$BE$921))*100,2))</f>
        <v>74.19</v>
      </c>
      <c r="AV194" s="8" t="n">
        <f aca="false">IF(MAX($AD$2:$AD$921)=MIN($AD$2:$AD$921),50,ROUND((AD194-MIN($AD$2:$AD$921))/(MAX($AD$2:$AD$921)-MIN($AD$2:$AD$921))*100,2))</f>
        <v>26.07</v>
      </c>
      <c r="AW194" s="8" t="n">
        <f aca="false">IF(MAX($AN$2:$AN$921)=MIN($AN$2:$AN$921),50,ROUND((AN194-MIN($AN$2:$AN$921))/(MAX($AN$2:$AN$921)-MIN($AN$2:$AN$921))*100,2))</f>
        <v>92.5</v>
      </c>
      <c r="AX194" s="8" t="n">
        <f aca="false">AQ194*100</f>
        <v>0</v>
      </c>
      <c r="AY194" s="8" t="n">
        <f aca="false">AR194*100</f>
        <v>100</v>
      </c>
      <c r="AZ194" s="8" t="n">
        <f aca="false">IFERROR(ROUND(AS194*Assumptions!$I$6+AW194*Assumptions!$I$7+AT194*Assumptions!$I$8+AU194*Assumptions!$I$9+AV194*Assumptions!$I$10+AX194*Assumptions!$I$11+AY194*Assumptions!$I$12,2),"")</f>
        <v>68.41</v>
      </c>
      <c r="BA194" s="0" t="str">
        <f aca="false">IF(AZ194="","",IF(AZ194&lt;=Assumptions!$I$18,"Below Expectation",IF(AZ194&lt;=Assumptions!$I$19,"Developing",IF(AZ194&lt;=Assumptions!$I$20,"Meets Expectation",IF(AZ194&lt;=Assumptions!$I$21,"Exceeds","Star Performer")))))</f>
        <v>Meets Expectation</v>
      </c>
      <c r="BB194" s="0" t="n">
        <f aca="false">IF(AZ194="",0,IF(AZ194&gt;=Assumptions!$I$26,1,0))</f>
        <v>0</v>
      </c>
      <c r="BC194" s="9" t="n">
        <f aca="false">IF(AL194="",2,AL194+2)</f>
        <v>1</v>
      </c>
      <c r="BD194" s="10" t="n">
        <f aca="false">IF(AM194="",ROUND(AVERAGE($AM$2:$AM$921),3),AM194)</f>
        <v>0.447</v>
      </c>
      <c r="BE194" s="9" t="n">
        <f aca="false">1-BD194</f>
        <v>0.553</v>
      </c>
    </row>
    <row r="195" customFormat="false" ht="14.25" hidden="true" customHeight="false" outlineLevel="0" collapsed="false">
      <c r="A195" s="4" t="n">
        <v>205</v>
      </c>
      <c r="B195" s="5" t="n">
        <v>10056106</v>
      </c>
      <c r="C195" s="5"/>
      <c r="D195" s="5" t="s">
        <v>1091</v>
      </c>
      <c r="E195" s="5" t="s">
        <v>1092</v>
      </c>
      <c r="F195" s="5" t="s">
        <v>258</v>
      </c>
      <c r="G195" s="5" t="s">
        <v>259</v>
      </c>
      <c r="H195" s="5" t="s">
        <v>260</v>
      </c>
      <c r="I195" s="5" t="s">
        <v>63</v>
      </c>
      <c r="J195" s="5" t="s">
        <v>76</v>
      </c>
      <c r="K195" s="5" t="s">
        <v>65</v>
      </c>
      <c r="L195" s="6" t="n">
        <v>42702</v>
      </c>
      <c r="M195" s="5" t="s">
        <v>1093</v>
      </c>
      <c r="N195" s="6" t="n">
        <v>28322</v>
      </c>
      <c r="O195" s="5" t="s">
        <v>262</v>
      </c>
      <c r="P195" s="5" t="s">
        <v>263</v>
      </c>
      <c r="Q195" s="5" t="s">
        <v>1094</v>
      </c>
      <c r="R195" s="5" t="s">
        <v>1095</v>
      </c>
      <c r="S195" s="5" t="s">
        <v>1096</v>
      </c>
      <c r="T195" s="6"/>
      <c r="U195" s="6" t="n">
        <v>44440</v>
      </c>
      <c r="V195" s="5" t="s">
        <v>83</v>
      </c>
      <c r="W195" s="5" t="s">
        <v>83</v>
      </c>
      <c r="X195" s="5" t="s">
        <v>83</v>
      </c>
      <c r="Y195" s="5" t="s">
        <v>83</v>
      </c>
      <c r="Z195" s="5" t="s">
        <v>141</v>
      </c>
      <c r="AA195" s="5" t="s">
        <v>1097</v>
      </c>
      <c r="AB195" s="0" t="n">
        <f aca="false">IFERROR(VALUE(R195),0)</f>
        <v>17.8</v>
      </c>
      <c r="AC195" s="0" t="n">
        <f aca="false">IFERROR(VALUE(M195),"")</f>
        <v>48.1</v>
      </c>
      <c r="AD195" s="0" t="n">
        <f aca="false">IFERROR(VALUE(Q195),"")</f>
        <v>9.6</v>
      </c>
      <c r="AE195" s="0" t="n">
        <f aca="false">IFERROR(VALUE(S195),"")</f>
        <v>27.2</v>
      </c>
      <c r="AF195" s="0" t="n">
        <f aca="false">IF(V195="","",VLOOKUP(V195,Assumptions!$B$6:$C$9,2,FALSE()))</f>
        <v>4</v>
      </c>
      <c r="AG195" s="0" t="n">
        <f aca="false">IF(W195="","",VLOOKUP(W195,Assumptions!$B$6:$C$9,2,FALSE()))</f>
        <v>4</v>
      </c>
      <c r="AH195" s="0" t="n">
        <f aca="false">IF(X195="","",VLOOKUP(X195,Assumptions!$B$6:$C$9,2,FALSE()))</f>
        <v>4</v>
      </c>
      <c r="AI195" s="0" t="n">
        <f aca="false">IF(Y195="","",VLOOKUP(Y195,Assumptions!$B$6:$C$9,2,FALSE()))</f>
        <v>4</v>
      </c>
      <c r="AJ195" s="0" t="n">
        <f aca="false">IF(Z195="","",VLOOKUP(Z195,Assumptions!$B$6:$C$9,2,FALSE()))</f>
        <v>3</v>
      </c>
      <c r="AK195" s="7" t="n">
        <f aca="false">IFERROR(ROUND(AVERAGE(AF195:AJ195),3),"")</f>
        <v>3.8</v>
      </c>
      <c r="AL195" s="7" t="n">
        <f aca="false">IF(OR(AF195="",AJ195=""),"",AJ195-AF195)</f>
        <v>-1</v>
      </c>
      <c r="AM195" s="7" t="n">
        <f aca="false">IF(COUNT(AF195:AJ195)&gt;=2,ROUND(_xlfn.STDEV.S(AF195:AJ195),3),"")</f>
        <v>0.447</v>
      </c>
      <c r="AN195" s="7" t="n">
        <f aca="false">ROUND((IF(AF195="",0,AF195)*Assumptions!$F$15)+(IF(AG195="",0,AG195)*Assumptions!$F$16)+(IF(AH195="",0,AH195)*Assumptions!$F$17)+(IF(AI195="",0,AI195)*Assumptions!$F$18)+(IF(AJ195="",0,AJ195)*Assumptions!$F$19),3)</f>
        <v>3.7</v>
      </c>
      <c r="AO195" s="0" t="str">
        <f aca="false">IF(AC195&lt;=20,"",IF(AC195&lt;=Assumptions!$F$6,"20-30",IF(AC195&lt;=Assumptions!$F$7,"30-40",IF(AC195&lt;=Assumptions!$F$8,"40-50",IF(AC195&lt;=Assumptions!$F$9,"50-60",IF(AC195&lt;=Assumptions!$F$10,"60+",""))))))</f>
        <v>40-50</v>
      </c>
      <c r="AP195" s="0" t="str">
        <f aca="false">IFERROR(VLOOKUP(O195,Assumptions!$B$14:$C$26,2,FALSE()),"Other")</f>
        <v>Manager</v>
      </c>
      <c r="AQ195" s="0" t="n">
        <f aca="false">IF(T195="",0,1)</f>
        <v>0</v>
      </c>
      <c r="AR195" s="0" t="n">
        <f aca="false">IF(U195="",0,1)</f>
        <v>1</v>
      </c>
      <c r="AS195" s="8" t="n">
        <f aca="false">IF(AK195="","",IF(MAX($AK$2:$AK$921)=MIN($AK$2:$AK$921),50,ROUND((AK195-MIN($AK$2:$AK$921))/(MAX($AK$2:$AK$921)-MIN($AK$2:$AK$921))*100,2)))</f>
        <v>91.43</v>
      </c>
      <c r="AT195" s="8" t="n">
        <f aca="false">IF(MAX($BC$2:$BC$921)=MIN($BC$2:$BC$921),50,ROUND((BC195-MIN($BC$2:$BC$921))/(MAX($BC$2:$BC$921)-MIN($BC$2:$BC$921))*100,2))</f>
        <v>25</v>
      </c>
      <c r="AU195" s="8" t="n">
        <f aca="false">IF(MAX($BE$2:$BE$921)=MIN($BE$2:$BE$921),50,ROUND((BE195-MIN($BE$2:$BE$921))/(MAX($BE$2:$BE$921)-MIN($BE$2:$BE$921))*100,2))</f>
        <v>74.19</v>
      </c>
      <c r="AV195" s="8" t="n">
        <f aca="false">IF(MAX($AD$2:$AD$921)=MIN($AD$2:$AD$921),50,ROUND((AD195-MIN($AD$2:$AD$921))/(MAX($AD$2:$AD$921)-MIN($AD$2:$AD$921))*100,2))</f>
        <v>25.8</v>
      </c>
      <c r="AW195" s="8" t="n">
        <f aca="false">IF(MAX($AN$2:$AN$921)=MIN($AN$2:$AN$921),50,ROUND((AN195-MIN($AN$2:$AN$921))/(MAX($AN$2:$AN$921)-MIN($AN$2:$AN$921))*100,2))</f>
        <v>92.5</v>
      </c>
      <c r="AX195" s="8" t="n">
        <f aca="false">AQ195*100</f>
        <v>0</v>
      </c>
      <c r="AY195" s="8" t="n">
        <f aca="false">AR195*100</f>
        <v>100</v>
      </c>
      <c r="AZ195" s="8" t="n">
        <f aca="false">IFERROR(ROUND(AS195*Assumptions!$I$6+AW195*Assumptions!$I$7+AT195*Assumptions!$I$8+AU195*Assumptions!$I$9+AV195*Assumptions!$I$10+AX195*Assumptions!$I$11+AY195*Assumptions!$I$12,2),"")</f>
        <v>68.39</v>
      </c>
      <c r="BA195" s="0" t="str">
        <f aca="false">IF(AZ195="","",IF(AZ195&lt;=Assumptions!$I$18,"Below Expectation",IF(AZ195&lt;=Assumptions!$I$19,"Developing",IF(AZ195&lt;=Assumptions!$I$20,"Meets Expectation",IF(AZ195&lt;=Assumptions!$I$21,"Exceeds","Star Performer")))))</f>
        <v>Meets Expectation</v>
      </c>
      <c r="BB195" s="0" t="n">
        <f aca="false">IF(AZ195="",0,IF(AZ195&gt;=Assumptions!$I$26,1,0))</f>
        <v>0</v>
      </c>
      <c r="BC195" s="9" t="n">
        <f aca="false">IF(AL195="",2,AL195+2)</f>
        <v>1</v>
      </c>
      <c r="BD195" s="10" t="n">
        <f aca="false">IF(AM195="",ROUND(AVERAGE($AM$2:$AM$921),3),AM195)</f>
        <v>0.447</v>
      </c>
      <c r="BE195" s="9" t="n">
        <f aca="false">1-BD195</f>
        <v>0.553</v>
      </c>
    </row>
    <row r="196" customFormat="false" ht="14.25" hidden="true" customHeight="false" outlineLevel="0" collapsed="false">
      <c r="A196" s="4" t="n">
        <v>523</v>
      </c>
      <c r="B196" s="5" t="n">
        <v>55046314</v>
      </c>
      <c r="C196" s="5" t="s">
        <v>57</v>
      </c>
      <c r="D196" s="5" t="s">
        <v>1098</v>
      </c>
      <c r="E196" s="5" t="s">
        <v>607</v>
      </c>
      <c r="F196" s="5" t="s">
        <v>608</v>
      </c>
      <c r="G196" s="5" t="s">
        <v>609</v>
      </c>
      <c r="H196" s="5" t="s">
        <v>608</v>
      </c>
      <c r="I196" s="5" t="s">
        <v>63</v>
      </c>
      <c r="J196" s="5" t="s">
        <v>100</v>
      </c>
      <c r="K196" s="5" t="s">
        <v>65</v>
      </c>
      <c r="L196" s="6" t="n">
        <v>44581</v>
      </c>
      <c r="M196" s="5" t="s">
        <v>1099</v>
      </c>
      <c r="N196" s="6" t="n">
        <v>34098</v>
      </c>
      <c r="O196" s="5" t="s">
        <v>332</v>
      </c>
      <c r="P196" s="5" t="s">
        <v>333</v>
      </c>
      <c r="Q196" s="5" t="s">
        <v>545</v>
      </c>
      <c r="R196" s="5" t="s">
        <v>1100</v>
      </c>
      <c r="S196" s="5" t="s">
        <v>391</v>
      </c>
      <c r="T196" s="6"/>
      <c r="U196" s="6" t="n">
        <v>45748</v>
      </c>
      <c r="V196" s="5"/>
      <c r="W196" s="5" t="s">
        <v>141</v>
      </c>
      <c r="X196" s="5" t="s">
        <v>83</v>
      </c>
      <c r="Y196" s="5" t="s">
        <v>83</v>
      </c>
      <c r="Z196" s="5" t="s">
        <v>83</v>
      </c>
      <c r="AA196" s="5" t="s">
        <v>1101</v>
      </c>
      <c r="AB196" s="0" t="n">
        <f aca="false">IFERROR(VALUE(R196),0)</f>
        <v>6.6</v>
      </c>
      <c r="AC196" s="0" t="n">
        <f aca="false">IFERROR(VALUE(M196),"")</f>
        <v>33</v>
      </c>
      <c r="AD196" s="0" t="n">
        <f aca="false">IFERROR(VALUE(Q196),"")</f>
        <v>4.4</v>
      </c>
      <c r="AE196" s="0" t="n">
        <f aca="false">IFERROR(VALUE(S196),"")</f>
        <v>10.1</v>
      </c>
      <c r="AF196" s="0" t="str">
        <f aca="false">IF(V196="","",VLOOKUP(V196,Assumptions!$B$6:$C$9,2,FALSE()))</f>
        <v/>
      </c>
      <c r="AG196" s="0" t="n">
        <f aca="false">IF(W196="","",VLOOKUP(W196,Assumptions!$B$6:$C$9,2,FALSE()))</f>
        <v>3</v>
      </c>
      <c r="AH196" s="0" t="n">
        <f aca="false">IF(X196="","",VLOOKUP(X196,Assumptions!$B$6:$C$9,2,FALSE()))</f>
        <v>4</v>
      </c>
      <c r="AI196" s="0" t="n">
        <f aca="false">IF(Y196="","",VLOOKUP(Y196,Assumptions!$B$6:$C$9,2,FALSE()))</f>
        <v>4</v>
      </c>
      <c r="AJ196" s="0" t="n">
        <f aca="false">IF(Z196="","",VLOOKUP(Z196,Assumptions!$B$6:$C$9,2,FALSE()))</f>
        <v>4</v>
      </c>
      <c r="AK196" s="7" t="n">
        <f aca="false">IFERROR(ROUND(AVERAGE(AF196:AJ196),3),"")</f>
        <v>3.75</v>
      </c>
      <c r="AL196" s="7" t="str">
        <f aca="false">IF(OR(AF196="",AJ196=""),"",AJ196-AF196)</f>
        <v/>
      </c>
      <c r="AM196" s="7" t="n">
        <f aca="false">IF(COUNT(AF196:AJ196)&gt;=2,ROUND(_xlfn.STDEV.S(AF196:AJ196),3),"")</f>
        <v>0.5</v>
      </c>
      <c r="AN196" s="7" t="n">
        <f aca="false">ROUND((IF(AF196="",0,AF196)*Assumptions!$F$15)+(IF(AG196="",0,AG196)*Assumptions!$F$16)+(IF(AH196="",0,AH196)*Assumptions!$F$17)+(IF(AI196="",0,AI196)*Assumptions!$F$18)+(IF(AJ196="",0,AJ196)*Assumptions!$F$19),3)</f>
        <v>3.45</v>
      </c>
      <c r="AO196" s="0" t="str">
        <f aca="false">IF(AC196&lt;=20,"",IF(AC196&lt;=Assumptions!$F$6,"20-30",IF(AC196&lt;=Assumptions!$F$7,"30-40",IF(AC196&lt;=Assumptions!$F$8,"40-50",IF(AC196&lt;=Assumptions!$F$9,"50-60",IF(AC196&lt;=Assumptions!$F$10,"60+",""))))))</f>
        <v>30-40</v>
      </c>
      <c r="AP196" s="0" t="str">
        <f aca="false">IFERROR(VLOOKUP(O196,Assumptions!$B$14:$C$26,2,FALSE()),"Other")</f>
        <v>Manager</v>
      </c>
      <c r="AQ196" s="0" t="n">
        <f aca="false">IF(T196="",0,1)</f>
        <v>0</v>
      </c>
      <c r="AR196" s="0" t="n">
        <f aca="false">IF(U196="",0,1)</f>
        <v>1</v>
      </c>
      <c r="AS196" s="8" t="n">
        <f aca="false">IF(AK196="","",IF(MAX($AK$2:$AK$921)=MIN($AK$2:$AK$921),50,ROUND((AK196-MIN($AK$2:$AK$921))/(MAX($AK$2:$AK$921)-MIN($AK$2:$AK$921))*100,2)))</f>
        <v>89.28</v>
      </c>
      <c r="AT196" s="8" t="n">
        <f aca="false">IF(MAX($BC$2:$BC$921)=MIN($BC$2:$BC$921),50,ROUND((BC196-MIN($BC$2:$BC$921))/(MAX($BC$2:$BC$921)-MIN($BC$2:$BC$921))*100,2))</f>
        <v>50</v>
      </c>
      <c r="AU196" s="8" t="n">
        <f aca="false">IF(MAX($BE$2:$BE$921)=MIN($BE$2:$BE$921),50,ROUND((BE196-MIN($BE$2:$BE$921))/(MAX($BE$2:$BE$921)-MIN($BE$2:$BE$921))*100,2))</f>
        <v>71.13</v>
      </c>
      <c r="AV196" s="8" t="n">
        <f aca="false">IF(MAX($AD$2:$AD$921)=MIN($AD$2:$AD$921),50,ROUND((AD196-MIN($AD$2:$AD$921))/(MAX($AD$2:$AD$921)-MIN($AD$2:$AD$921))*100,2))</f>
        <v>11.66</v>
      </c>
      <c r="AW196" s="8" t="n">
        <f aca="false">IF(MAX($AN$2:$AN$921)=MIN($AN$2:$AN$921),50,ROUND((AN196-MIN($AN$2:$AN$921))/(MAX($AN$2:$AN$921)-MIN($AN$2:$AN$921))*100,2))</f>
        <v>86.25</v>
      </c>
      <c r="AX196" s="8" t="n">
        <f aca="false">AQ196*100</f>
        <v>0</v>
      </c>
      <c r="AY196" s="8" t="n">
        <f aca="false">AR196*100</f>
        <v>100</v>
      </c>
      <c r="AZ196" s="8" t="n">
        <f aca="false">IFERROR(ROUND(AS196*Assumptions!$I$6+AW196*Assumptions!$I$7+AT196*Assumptions!$I$8+AU196*Assumptions!$I$9+AV196*Assumptions!$I$10+AX196*Assumptions!$I$11+AY196*Assumptions!$I$12,2),"")</f>
        <v>68.37</v>
      </c>
      <c r="BA196" s="0" t="str">
        <f aca="false">IF(AZ196="","",IF(AZ196&lt;=Assumptions!$I$18,"Below Expectation",IF(AZ196&lt;=Assumptions!$I$19,"Developing",IF(AZ196&lt;=Assumptions!$I$20,"Meets Expectation",IF(AZ196&lt;=Assumptions!$I$21,"Exceeds","Star Performer")))))</f>
        <v>Meets Expectation</v>
      </c>
      <c r="BB196" s="0" t="n">
        <f aca="false">IF(AZ196="",0,IF(AZ196&gt;=Assumptions!$I$26,1,0))</f>
        <v>0</v>
      </c>
      <c r="BC196" s="9" t="n">
        <f aca="false">IF(AL196="",2,AL196+2)</f>
        <v>2</v>
      </c>
      <c r="BD196" s="10" t="n">
        <f aca="false">IF(AM196="",ROUND(AVERAGE($AM$2:$AM$921),3),AM196)</f>
        <v>0.5</v>
      </c>
      <c r="BE196" s="9" t="n">
        <f aca="false">1-BD196</f>
        <v>0.5</v>
      </c>
    </row>
    <row r="197" customFormat="false" ht="14.25" hidden="false" customHeight="false" outlineLevel="0" collapsed="false">
      <c r="A197" s="4" t="n">
        <v>715</v>
      </c>
      <c r="B197" s="5" t="n">
        <v>55066442</v>
      </c>
      <c r="C197" s="5" t="s">
        <v>106</v>
      </c>
      <c r="D197" s="5" t="s">
        <v>1102</v>
      </c>
      <c r="E197" s="5" t="s">
        <v>108</v>
      </c>
      <c r="F197" s="5" t="s">
        <v>378</v>
      </c>
      <c r="G197" s="5" t="s">
        <v>379</v>
      </c>
      <c r="H197" s="5" t="s">
        <v>380</v>
      </c>
      <c r="I197" s="5" t="s">
        <v>63</v>
      </c>
      <c r="J197" s="5" t="s">
        <v>112</v>
      </c>
      <c r="K197" s="5" t="s">
        <v>65</v>
      </c>
      <c r="L197" s="6" t="n">
        <v>44986</v>
      </c>
      <c r="M197" s="5" t="s">
        <v>1103</v>
      </c>
      <c r="N197" s="6" t="n">
        <v>35186</v>
      </c>
      <c r="O197" s="5" t="s">
        <v>332</v>
      </c>
      <c r="P197" s="5" t="s">
        <v>333</v>
      </c>
      <c r="Q197" s="5" t="s">
        <v>1042</v>
      </c>
      <c r="R197" s="5" t="s">
        <v>491</v>
      </c>
      <c r="S197" s="5" t="s">
        <v>940</v>
      </c>
      <c r="T197" s="6"/>
      <c r="U197" s="6"/>
      <c r="V197" s="5"/>
      <c r="W197" s="5"/>
      <c r="X197" s="5" t="s">
        <v>83</v>
      </c>
      <c r="Y197" s="5" t="s">
        <v>83</v>
      </c>
      <c r="Z197" s="5" t="s">
        <v>83</v>
      </c>
      <c r="AA197" s="5" t="s">
        <v>1104</v>
      </c>
      <c r="AB197" s="0" t="n">
        <f aca="false">IFERROR(VALUE(R197),0)</f>
        <v>4.7</v>
      </c>
      <c r="AC197" s="0" t="n">
        <f aca="false">IFERROR(VALUE(M197),"")</f>
        <v>30.1</v>
      </c>
      <c r="AD197" s="0" t="n">
        <f aca="false">IFERROR(VALUE(Q197),"")</f>
        <v>3.3</v>
      </c>
      <c r="AE197" s="0" t="n">
        <f aca="false">IFERROR(VALUE(S197),"")</f>
        <v>7.1</v>
      </c>
      <c r="AF197" s="0" t="str">
        <f aca="false">IF(V197="","",VLOOKUP(V197,Assumptions!$B$6:$C$9,2,FALSE()))</f>
        <v/>
      </c>
      <c r="AG197" s="0" t="str">
        <f aca="false">IF(W197="","",VLOOKUP(W197,Assumptions!$B$6:$C$9,2,FALSE()))</f>
        <v/>
      </c>
      <c r="AH197" s="0" t="n">
        <f aca="false">IF(X197="","",VLOOKUP(X197,Assumptions!$B$6:$C$9,2,FALSE()))</f>
        <v>4</v>
      </c>
      <c r="AI197" s="0" t="n">
        <f aca="false">IF(Y197="","",VLOOKUP(Y197,Assumptions!$B$6:$C$9,2,FALSE()))</f>
        <v>4</v>
      </c>
      <c r="AJ197" s="0" t="n">
        <f aca="false">IF(Z197="","",VLOOKUP(Z197,Assumptions!$B$6:$C$9,2,FALSE()))</f>
        <v>4</v>
      </c>
      <c r="AK197" s="7" t="n">
        <f aca="false">IFERROR(ROUND(AVERAGE(AF197:AJ197),3),"")</f>
        <v>4</v>
      </c>
      <c r="AL197" s="7" t="str">
        <f aca="false">IF(OR(AF197="",AJ197=""),"",AJ197-AF197)</f>
        <v/>
      </c>
      <c r="AM197" s="7" t="n">
        <f aca="false">IF(COUNT(AF197:AJ197)&gt;=2,ROUND(_xlfn.STDEV.S(AF197:AJ197),3),"")</f>
        <v>0</v>
      </c>
      <c r="AN197" s="7" t="n">
        <f aca="false">ROUND((IF(AF197="",0,AF197)*Assumptions!$F$15)+(IF(AG197="",0,AG197)*Assumptions!$F$16)+(IF(AH197="",0,AH197)*Assumptions!$F$17)+(IF(AI197="",0,AI197)*Assumptions!$F$18)+(IF(AJ197="",0,AJ197)*Assumptions!$F$19),3)</f>
        <v>3</v>
      </c>
      <c r="AO197" s="0" t="str">
        <f aca="false">IF(AC197&lt;=20,"",IF(AC197&lt;=Assumptions!$F$6,"20-30",IF(AC197&lt;=Assumptions!$F$7,"30-40",IF(AC197&lt;=Assumptions!$F$8,"40-50",IF(AC197&lt;=Assumptions!$F$9,"50-60",IF(AC197&lt;=Assumptions!$F$10,"60+",""))))))</f>
        <v>30-40</v>
      </c>
      <c r="AP197" s="0" t="str">
        <f aca="false">IFERROR(VLOOKUP(O197,Assumptions!$B$14:$C$26,2,FALSE()),"Other")</f>
        <v>Manager</v>
      </c>
      <c r="AQ197" s="0" t="n">
        <f aca="false">IF(T197="",0,1)</f>
        <v>0</v>
      </c>
      <c r="AR197" s="0" t="n">
        <f aca="false">IF(U197="",0,1)</f>
        <v>0</v>
      </c>
      <c r="AS197" s="8" t="n">
        <f aca="false">IF(AK197="","",IF(MAX($AK$2:$AK$921)=MIN($AK$2:$AK$921),50,ROUND((AK197-MIN($AK$2:$AK$921))/(MAX($AK$2:$AK$921)-MIN($AK$2:$AK$921))*100,2)))</f>
        <v>100</v>
      </c>
      <c r="AT197" s="8" t="n">
        <f aca="false">IF(MAX($BC$2:$BC$921)=MIN($BC$2:$BC$921),50,ROUND((BC197-MIN($BC$2:$BC$921))/(MAX($BC$2:$BC$921)-MIN($BC$2:$BC$921))*100,2))</f>
        <v>50</v>
      </c>
      <c r="AU197" s="8" t="n">
        <f aca="false">IF(MAX($BE$2:$BE$921)=MIN($BE$2:$BE$921),50,ROUND((BE197-MIN($BE$2:$BE$921))/(MAX($BE$2:$BE$921)-MIN($BE$2:$BE$921))*100,2))</f>
        <v>100</v>
      </c>
      <c r="AV197" s="8" t="n">
        <f aca="false">IF(MAX($AD$2:$AD$921)=MIN($AD$2:$AD$921),50,ROUND((AD197-MIN($AD$2:$AD$921))/(MAX($AD$2:$AD$921)-MIN($AD$2:$AD$921))*100,2))</f>
        <v>8.67</v>
      </c>
      <c r="AW197" s="8" t="n">
        <f aca="false">IF(MAX($AN$2:$AN$921)=MIN($AN$2:$AN$921),50,ROUND((AN197-MIN($AN$2:$AN$921))/(MAX($AN$2:$AN$921)-MIN($AN$2:$AN$921))*100,2))</f>
        <v>75</v>
      </c>
      <c r="AX197" s="8" t="n">
        <f aca="false">AQ197*100</f>
        <v>0</v>
      </c>
      <c r="AY197" s="8" t="n">
        <f aca="false">AR197*100</f>
        <v>0</v>
      </c>
      <c r="AZ197" s="8" t="n">
        <f aca="false">IFERROR(ROUND(AS197*Assumptions!$I$6+AW197*Assumptions!$I$7+AT197*Assumptions!$I$8+AU197*Assumptions!$I$9+AV197*Assumptions!$I$10+AX197*Assumptions!$I$11+AY197*Assumptions!$I$12,2),"")</f>
        <v>68.37</v>
      </c>
      <c r="BA197" s="0" t="str">
        <f aca="false">IF(AZ197="","",IF(AZ197&lt;=Assumptions!$I$18,"Below Expectation",IF(AZ197&lt;=Assumptions!$I$19,"Developing",IF(AZ197&lt;=Assumptions!$I$20,"Meets Expectation",IF(AZ197&lt;=Assumptions!$I$21,"Exceeds","Star Performer")))))</f>
        <v>Meets Expectation</v>
      </c>
      <c r="BB197" s="0" t="n">
        <f aca="false">IF(AZ197="",0,IF(AZ197&gt;=Assumptions!$I$26,1,0))</f>
        <v>0</v>
      </c>
      <c r="BC197" s="9" t="n">
        <f aca="false">IF(AL197="",2,AL197+2)</f>
        <v>2</v>
      </c>
      <c r="BD197" s="10" t="n">
        <f aca="false">IF(AM197="",ROUND(AVERAGE($AM$2:$AM$921),3),AM197)</f>
        <v>0</v>
      </c>
      <c r="BE197" s="9" t="n">
        <f aca="false">1-BD197</f>
        <v>1</v>
      </c>
    </row>
    <row r="198" customFormat="false" ht="14.25" hidden="false" customHeight="false" outlineLevel="0" collapsed="false">
      <c r="A198" s="4" t="n">
        <v>726</v>
      </c>
      <c r="B198" s="5" t="n">
        <v>55067522</v>
      </c>
      <c r="C198" s="5" t="s">
        <v>106</v>
      </c>
      <c r="D198" s="5" t="s">
        <v>1105</v>
      </c>
      <c r="E198" s="5" t="s">
        <v>108</v>
      </c>
      <c r="F198" s="5" t="s">
        <v>378</v>
      </c>
      <c r="G198" s="5" t="s">
        <v>379</v>
      </c>
      <c r="H198" s="5" t="s">
        <v>380</v>
      </c>
      <c r="I198" s="5" t="s">
        <v>63</v>
      </c>
      <c r="J198" s="5" t="s">
        <v>112</v>
      </c>
      <c r="K198" s="5" t="s">
        <v>309</v>
      </c>
      <c r="L198" s="6" t="n">
        <v>45013</v>
      </c>
      <c r="M198" s="5" t="s">
        <v>838</v>
      </c>
      <c r="N198" s="6" t="n">
        <v>35758</v>
      </c>
      <c r="O198" s="5" t="s">
        <v>332</v>
      </c>
      <c r="P198" s="5" t="s">
        <v>333</v>
      </c>
      <c r="Q198" s="5" t="s">
        <v>103</v>
      </c>
      <c r="R198" s="5" t="s">
        <v>445</v>
      </c>
      <c r="S198" s="5" t="s">
        <v>604</v>
      </c>
      <c r="T198" s="6"/>
      <c r="U198" s="6"/>
      <c r="V198" s="5"/>
      <c r="W198" s="5"/>
      <c r="X198" s="5" t="s">
        <v>83</v>
      </c>
      <c r="Y198" s="5" t="s">
        <v>83</v>
      </c>
      <c r="Z198" s="5" t="s">
        <v>83</v>
      </c>
      <c r="AA198" s="5" t="s">
        <v>1106</v>
      </c>
      <c r="AB198" s="0" t="n">
        <f aca="false">IFERROR(VALUE(R198),0)</f>
        <v>3.8</v>
      </c>
      <c r="AC198" s="0" t="n">
        <f aca="false">IFERROR(VALUE(M198),"")</f>
        <v>28.6</v>
      </c>
      <c r="AD198" s="0" t="n">
        <f aca="false">IFERROR(VALUE(Q198),"")</f>
        <v>3.2</v>
      </c>
      <c r="AE198" s="0" t="n">
        <f aca="false">IFERROR(VALUE(S198),"")</f>
        <v>6.1</v>
      </c>
      <c r="AF198" s="0" t="str">
        <f aca="false">IF(V198="","",VLOOKUP(V198,Assumptions!$B$6:$C$9,2,FALSE()))</f>
        <v/>
      </c>
      <c r="AG198" s="0" t="str">
        <f aca="false">IF(W198="","",VLOOKUP(W198,Assumptions!$B$6:$C$9,2,FALSE()))</f>
        <v/>
      </c>
      <c r="AH198" s="0" t="n">
        <f aca="false">IF(X198="","",VLOOKUP(X198,Assumptions!$B$6:$C$9,2,FALSE()))</f>
        <v>4</v>
      </c>
      <c r="AI198" s="0" t="n">
        <f aca="false">IF(Y198="","",VLOOKUP(Y198,Assumptions!$B$6:$C$9,2,FALSE()))</f>
        <v>4</v>
      </c>
      <c r="AJ198" s="0" t="n">
        <f aca="false">IF(Z198="","",VLOOKUP(Z198,Assumptions!$B$6:$C$9,2,FALSE()))</f>
        <v>4</v>
      </c>
      <c r="AK198" s="7" t="n">
        <f aca="false">IFERROR(ROUND(AVERAGE(AF198:AJ198),3),"")</f>
        <v>4</v>
      </c>
      <c r="AL198" s="7" t="str">
        <f aca="false">IF(OR(AF198="",AJ198=""),"",AJ198-AF198)</f>
        <v/>
      </c>
      <c r="AM198" s="7" t="n">
        <f aca="false">IF(COUNT(AF198:AJ198)&gt;=2,ROUND(_xlfn.STDEV.S(AF198:AJ198),3),"")</f>
        <v>0</v>
      </c>
      <c r="AN198" s="7" t="n">
        <f aca="false">ROUND((IF(AF198="",0,AF198)*Assumptions!$F$15)+(IF(AG198="",0,AG198)*Assumptions!$F$16)+(IF(AH198="",0,AH198)*Assumptions!$F$17)+(IF(AI198="",0,AI198)*Assumptions!$F$18)+(IF(AJ198="",0,AJ198)*Assumptions!$F$19),3)</f>
        <v>3</v>
      </c>
      <c r="AO198" s="0" t="str">
        <f aca="false">IF(AC198&lt;=20,"",IF(AC198&lt;=Assumptions!$F$6,"20-30",IF(AC198&lt;=Assumptions!$F$7,"30-40",IF(AC198&lt;=Assumptions!$F$8,"40-50",IF(AC198&lt;=Assumptions!$F$9,"50-60",IF(AC198&lt;=Assumptions!$F$10,"60+",""))))))</f>
        <v>20-30</v>
      </c>
      <c r="AP198" s="0" t="str">
        <f aca="false">IFERROR(VLOOKUP(O198,Assumptions!$B$14:$C$26,2,FALSE()),"Other")</f>
        <v>Manager</v>
      </c>
      <c r="AQ198" s="0" t="n">
        <f aca="false">IF(T198="",0,1)</f>
        <v>0</v>
      </c>
      <c r="AR198" s="0" t="n">
        <f aca="false">IF(U198="",0,1)</f>
        <v>0</v>
      </c>
      <c r="AS198" s="8" t="n">
        <f aca="false">IF(AK198="","",IF(MAX($AK$2:$AK$921)=MIN($AK$2:$AK$921),50,ROUND((AK198-MIN($AK$2:$AK$921))/(MAX($AK$2:$AK$921)-MIN($AK$2:$AK$921))*100,2)))</f>
        <v>100</v>
      </c>
      <c r="AT198" s="8" t="n">
        <f aca="false">IF(MAX($BC$2:$BC$921)=MIN($BC$2:$BC$921),50,ROUND((BC198-MIN($BC$2:$BC$921))/(MAX($BC$2:$BC$921)-MIN($BC$2:$BC$921))*100,2))</f>
        <v>50</v>
      </c>
      <c r="AU198" s="8" t="n">
        <f aca="false">IF(MAX($BE$2:$BE$921)=MIN($BE$2:$BE$921),50,ROUND((BE198-MIN($BE$2:$BE$921))/(MAX($BE$2:$BE$921)-MIN($BE$2:$BE$921))*100,2))</f>
        <v>100</v>
      </c>
      <c r="AV198" s="8" t="n">
        <f aca="false">IF(MAX($AD$2:$AD$921)=MIN($AD$2:$AD$921),50,ROUND((AD198-MIN($AD$2:$AD$921))/(MAX($AD$2:$AD$921)-MIN($AD$2:$AD$921))*100,2))</f>
        <v>8.4</v>
      </c>
      <c r="AW198" s="8" t="n">
        <f aca="false">IF(MAX($AN$2:$AN$921)=MIN($AN$2:$AN$921),50,ROUND((AN198-MIN($AN$2:$AN$921))/(MAX($AN$2:$AN$921)-MIN($AN$2:$AN$921))*100,2))</f>
        <v>75</v>
      </c>
      <c r="AX198" s="8" t="n">
        <f aca="false">AQ198*100</f>
        <v>0</v>
      </c>
      <c r="AY198" s="8" t="n">
        <f aca="false">AR198*100</f>
        <v>0</v>
      </c>
      <c r="AZ198" s="8" t="n">
        <f aca="false">IFERROR(ROUND(AS198*Assumptions!$I$6+AW198*Assumptions!$I$7+AT198*Assumptions!$I$8+AU198*Assumptions!$I$9+AV198*Assumptions!$I$10+AX198*Assumptions!$I$11+AY198*Assumptions!$I$12,2),"")</f>
        <v>68.34</v>
      </c>
      <c r="BA198" s="0" t="str">
        <f aca="false">IF(AZ198="","",IF(AZ198&lt;=Assumptions!$I$18,"Below Expectation",IF(AZ198&lt;=Assumptions!$I$19,"Developing",IF(AZ198&lt;=Assumptions!$I$20,"Meets Expectation",IF(AZ198&lt;=Assumptions!$I$21,"Exceeds","Star Performer")))))</f>
        <v>Meets Expectation</v>
      </c>
      <c r="BB198" s="0" t="n">
        <f aca="false">IF(AZ198="",0,IF(AZ198&gt;=Assumptions!$I$26,1,0))</f>
        <v>0</v>
      </c>
      <c r="BC198" s="9" t="n">
        <f aca="false">IF(AL198="",2,AL198+2)</f>
        <v>2</v>
      </c>
      <c r="BD198" s="10" t="n">
        <f aca="false">IF(AM198="",ROUND(AVERAGE($AM$2:$AM$921),3),AM198)</f>
        <v>0</v>
      </c>
      <c r="BE198" s="9" t="n">
        <f aca="false">1-BD198</f>
        <v>1</v>
      </c>
    </row>
    <row r="199" customFormat="false" ht="14.25" hidden="true" customHeight="false" outlineLevel="0" collapsed="false">
      <c r="A199" s="4" t="n">
        <v>159</v>
      </c>
      <c r="B199" s="5" t="n">
        <v>10050045</v>
      </c>
      <c r="C199" s="5" t="s">
        <v>85</v>
      </c>
      <c r="D199" s="5" t="s">
        <v>1107</v>
      </c>
      <c r="E199" s="5" t="s">
        <v>1108</v>
      </c>
      <c r="F199" s="5" t="s">
        <v>267</v>
      </c>
      <c r="G199" s="5" t="s">
        <v>268</v>
      </c>
      <c r="H199" s="5" t="s">
        <v>267</v>
      </c>
      <c r="I199" s="5" t="s">
        <v>63</v>
      </c>
      <c r="J199" s="5" t="s">
        <v>76</v>
      </c>
      <c r="K199" s="5" t="s">
        <v>65</v>
      </c>
      <c r="L199" s="6" t="n">
        <v>42177</v>
      </c>
      <c r="M199" s="5" t="s">
        <v>131</v>
      </c>
      <c r="N199" s="6" t="n">
        <v>29197</v>
      </c>
      <c r="O199" s="5" t="s">
        <v>162</v>
      </c>
      <c r="P199" s="5" t="s">
        <v>162</v>
      </c>
      <c r="Q199" s="5" t="s">
        <v>497</v>
      </c>
      <c r="R199" s="5" t="s">
        <v>334</v>
      </c>
      <c r="S199" s="5" t="s">
        <v>1109</v>
      </c>
      <c r="T199" s="6"/>
      <c r="U199" s="6" t="n">
        <v>46113</v>
      </c>
      <c r="V199" s="5" t="s">
        <v>83</v>
      </c>
      <c r="W199" s="5" t="s">
        <v>141</v>
      </c>
      <c r="X199" s="5" t="s">
        <v>83</v>
      </c>
      <c r="Y199" s="5" t="s">
        <v>141</v>
      </c>
      <c r="Z199" s="5" t="s">
        <v>83</v>
      </c>
      <c r="AA199" s="5" t="s">
        <v>1110</v>
      </c>
      <c r="AB199" s="0" t="n">
        <f aca="false">IFERROR(VALUE(R199),0)</f>
        <v>11.3</v>
      </c>
      <c r="AC199" s="0" t="n">
        <f aca="false">IFERROR(VALUE(M199),"")</f>
        <v>46.6</v>
      </c>
      <c r="AD199" s="0" t="n">
        <f aca="false">IFERROR(VALUE(Q199),"")</f>
        <v>10.11</v>
      </c>
      <c r="AE199" s="0" t="n">
        <f aca="false">IFERROR(VALUE(S199),"")</f>
        <v>22.2</v>
      </c>
      <c r="AF199" s="0" t="n">
        <f aca="false">IF(V199="","",VLOOKUP(V199,Assumptions!$B$6:$C$9,2,FALSE()))</f>
        <v>4</v>
      </c>
      <c r="AG199" s="0" t="n">
        <f aca="false">IF(W199="","",VLOOKUP(W199,Assumptions!$B$6:$C$9,2,FALSE()))</f>
        <v>3</v>
      </c>
      <c r="AH199" s="0" t="n">
        <f aca="false">IF(X199="","",VLOOKUP(X199,Assumptions!$B$6:$C$9,2,FALSE()))</f>
        <v>4</v>
      </c>
      <c r="AI199" s="0" t="n">
        <f aca="false">IF(Y199="","",VLOOKUP(Y199,Assumptions!$B$6:$C$9,2,FALSE()))</f>
        <v>3</v>
      </c>
      <c r="AJ199" s="0" t="n">
        <f aca="false">IF(Z199="","",VLOOKUP(Z199,Assumptions!$B$6:$C$9,2,FALSE()))</f>
        <v>4</v>
      </c>
      <c r="AK199" s="7" t="n">
        <f aca="false">IFERROR(ROUND(AVERAGE(AF199:AJ199),3),"")</f>
        <v>3.6</v>
      </c>
      <c r="AL199" s="7" t="n">
        <f aca="false">IF(OR(AF199="",AJ199=""),"",AJ199-AF199)</f>
        <v>0</v>
      </c>
      <c r="AM199" s="7" t="n">
        <f aca="false">IF(COUNT(AF199:AJ199)&gt;=2,ROUND(_xlfn.STDEV.S(AF199:AJ199),3),"")</f>
        <v>0.548</v>
      </c>
      <c r="AN199" s="7" t="n">
        <f aca="false">ROUND((IF(AF199="",0,AF199)*Assumptions!$F$15)+(IF(AG199="",0,AG199)*Assumptions!$F$16)+(IF(AH199="",0,AH199)*Assumptions!$F$17)+(IF(AI199="",0,AI199)*Assumptions!$F$18)+(IF(AJ199="",0,AJ199)*Assumptions!$F$19),3)</f>
        <v>3.6</v>
      </c>
      <c r="AO199" s="0" t="str">
        <f aca="false">IF(AC199&lt;=20,"",IF(AC199&lt;=Assumptions!$F$6,"20-30",IF(AC199&lt;=Assumptions!$F$7,"30-40",IF(AC199&lt;=Assumptions!$F$8,"40-50",IF(AC199&lt;=Assumptions!$F$9,"50-60",IF(AC199&lt;=Assumptions!$F$10,"60+",""))))))</f>
        <v>40-50</v>
      </c>
      <c r="AP199" s="0" t="str">
        <f aca="false">IFERROR(VLOOKUP(O199,Assumptions!$B$14:$C$26,2,FALSE()),"Other")</f>
        <v>Manager</v>
      </c>
      <c r="AQ199" s="0" t="n">
        <f aca="false">IF(T199="",0,1)</f>
        <v>0</v>
      </c>
      <c r="AR199" s="0" t="n">
        <f aca="false">IF(U199="",0,1)</f>
        <v>1</v>
      </c>
      <c r="AS199" s="8" t="n">
        <f aca="false">IF(AK199="","",IF(MAX($AK$2:$AK$921)=MIN($AK$2:$AK$921),50,ROUND((AK199-MIN($AK$2:$AK$921))/(MAX($AK$2:$AK$921)-MIN($AK$2:$AK$921))*100,2)))</f>
        <v>82.85</v>
      </c>
      <c r="AT199" s="8" t="n">
        <f aca="false">IF(MAX($BC$2:$BC$921)=MIN($BC$2:$BC$921),50,ROUND((BC199-MIN($BC$2:$BC$921))/(MAX($BC$2:$BC$921)-MIN($BC$2:$BC$921))*100,2))</f>
        <v>50</v>
      </c>
      <c r="AU199" s="8" t="n">
        <f aca="false">IF(MAX($BE$2:$BE$921)=MIN($BE$2:$BE$921),50,ROUND((BE199-MIN($BE$2:$BE$921))/(MAX($BE$2:$BE$921)-MIN($BE$2:$BE$921))*100,2))</f>
        <v>68.36</v>
      </c>
      <c r="AV199" s="8" t="n">
        <f aca="false">IF(MAX($AD$2:$AD$921)=MIN($AD$2:$AD$921),50,ROUND((AD199-MIN($AD$2:$AD$921))/(MAX($AD$2:$AD$921)-MIN($AD$2:$AD$921))*100,2))</f>
        <v>27.18</v>
      </c>
      <c r="AW199" s="8" t="n">
        <f aca="false">IF(MAX($AN$2:$AN$921)=MIN($AN$2:$AN$921),50,ROUND((AN199-MIN($AN$2:$AN$921))/(MAX($AN$2:$AN$921)-MIN($AN$2:$AN$921))*100,2))</f>
        <v>90</v>
      </c>
      <c r="AX199" s="8" t="n">
        <f aca="false">AQ199*100</f>
        <v>0</v>
      </c>
      <c r="AY199" s="8" t="n">
        <f aca="false">AR199*100</f>
        <v>100</v>
      </c>
      <c r="AZ199" s="8" t="n">
        <f aca="false">IFERROR(ROUND(AS199*Assumptions!$I$6+AW199*Assumptions!$I$7+AT199*Assumptions!$I$8+AU199*Assumptions!$I$9+AV199*Assumptions!$I$10+AX199*Assumptions!$I$11+AY199*Assumptions!$I$12,2),"")</f>
        <v>68.33</v>
      </c>
      <c r="BA199" s="0" t="str">
        <f aca="false">IF(AZ199="","",IF(AZ199&lt;=Assumptions!$I$18,"Below Expectation",IF(AZ199&lt;=Assumptions!$I$19,"Developing",IF(AZ199&lt;=Assumptions!$I$20,"Meets Expectation",IF(AZ199&lt;=Assumptions!$I$21,"Exceeds","Star Performer")))))</f>
        <v>Meets Expectation</v>
      </c>
      <c r="BB199" s="0" t="n">
        <f aca="false">IF(AZ199="",0,IF(AZ199&gt;=Assumptions!$I$26,1,0))</f>
        <v>0</v>
      </c>
      <c r="BC199" s="9" t="n">
        <f aca="false">IF(AL199="",2,AL199+2)</f>
        <v>2</v>
      </c>
      <c r="BD199" s="10" t="n">
        <f aca="false">IF(AM199="",ROUND(AVERAGE($AM$2:$AM$921),3),AM199)</f>
        <v>0.548</v>
      </c>
      <c r="BE199" s="9" t="n">
        <f aca="false">1-BD199</f>
        <v>0.452</v>
      </c>
    </row>
    <row r="200" customFormat="false" ht="14.25" hidden="true" customHeight="false" outlineLevel="0" collapsed="false">
      <c r="A200" s="4" t="n">
        <v>187</v>
      </c>
      <c r="B200" s="5" t="n">
        <v>10054537</v>
      </c>
      <c r="C200" s="5" t="s">
        <v>57</v>
      </c>
      <c r="D200" s="5" t="s">
        <v>1111</v>
      </c>
      <c r="E200" s="5" t="s">
        <v>229</v>
      </c>
      <c r="F200" s="5" t="s">
        <v>387</v>
      </c>
      <c r="G200" s="5" t="s">
        <v>388</v>
      </c>
      <c r="H200" s="5" t="s">
        <v>387</v>
      </c>
      <c r="I200" s="5" t="s">
        <v>63</v>
      </c>
      <c r="J200" s="5" t="s">
        <v>100</v>
      </c>
      <c r="K200" s="5" t="s">
        <v>65</v>
      </c>
      <c r="L200" s="6" t="n">
        <v>42555</v>
      </c>
      <c r="M200" s="5" t="s">
        <v>1112</v>
      </c>
      <c r="N200" s="6" t="n">
        <v>30678</v>
      </c>
      <c r="O200" s="5" t="s">
        <v>332</v>
      </c>
      <c r="P200" s="5" t="s">
        <v>333</v>
      </c>
      <c r="Q200" s="5" t="s">
        <v>599</v>
      </c>
      <c r="R200" s="5" t="s">
        <v>701</v>
      </c>
      <c r="S200" s="5" t="s">
        <v>1113</v>
      </c>
      <c r="T200" s="6"/>
      <c r="U200" s="6" t="n">
        <v>44652</v>
      </c>
      <c r="V200" s="5" t="s">
        <v>83</v>
      </c>
      <c r="W200" s="5" t="s">
        <v>141</v>
      </c>
      <c r="X200" s="5" t="s">
        <v>141</v>
      </c>
      <c r="Y200" s="5" t="s">
        <v>83</v>
      </c>
      <c r="Z200" s="5" t="s">
        <v>83</v>
      </c>
      <c r="AA200" s="5" t="s">
        <v>1114</v>
      </c>
      <c r="AB200" s="0" t="n">
        <f aca="false">IFERROR(VALUE(R200),0)</f>
        <v>6.11</v>
      </c>
      <c r="AC200" s="0" t="n">
        <f aca="false">IFERROR(VALUE(M200),"")</f>
        <v>42.5</v>
      </c>
      <c r="AD200" s="0" t="n">
        <f aca="false">IFERROR(VALUE(Q200),"")</f>
        <v>9.11</v>
      </c>
      <c r="AE200" s="0" t="n">
        <f aca="false">IFERROR(VALUE(S200),"")</f>
        <v>16.1</v>
      </c>
      <c r="AF200" s="0" t="n">
        <f aca="false">IF(V200="","",VLOOKUP(V200,Assumptions!$B$6:$C$9,2,FALSE()))</f>
        <v>4</v>
      </c>
      <c r="AG200" s="0" t="n">
        <f aca="false">IF(W200="","",VLOOKUP(W200,Assumptions!$B$6:$C$9,2,FALSE()))</f>
        <v>3</v>
      </c>
      <c r="AH200" s="0" t="n">
        <f aca="false">IF(X200="","",VLOOKUP(X200,Assumptions!$B$6:$C$9,2,FALSE()))</f>
        <v>3</v>
      </c>
      <c r="AI200" s="0" t="n">
        <f aca="false">IF(Y200="","",VLOOKUP(Y200,Assumptions!$B$6:$C$9,2,FALSE()))</f>
        <v>4</v>
      </c>
      <c r="AJ200" s="0" t="n">
        <f aca="false">IF(Z200="","",VLOOKUP(Z200,Assumptions!$B$6:$C$9,2,FALSE()))</f>
        <v>4</v>
      </c>
      <c r="AK200" s="7" t="n">
        <f aca="false">IFERROR(ROUND(AVERAGE(AF200:AJ200),3),"")</f>
        <v>3.6</v>
      </c>
      <c r="AL200" s="7" t="n">
        <f aca="false">IF(OR(AF200="",AJ200=""),"",AJ200-AF200)</f>
        <v>0</v>
      </c>
      <c r="AM200" s="7" t="n">
        <f aca="false">IF(COUNT(AF200:AJ200)&gt;=2,ROUND(_xlfn.STDEV.S(AF200:AJ200),3),"")</f>
        <v>0.548</v>
      </c>
      <c r="AN200" s="7" t="n">
        <f aca="false">ROUND((IF(AF200="",0,AF200)*Assumptions!$F$15)+(IF(AG200="",0,AG200)*Assumptions!$F$16)+(IF(AH200="",0,AH200)*Assumptions!$F$17)+(IF(AI200="",0,AI200)*Assumptions!$F$18)+(IF(AJ200="",0,AJ200)*Assumptions!$F$19),3)</f>
        <v>3.65</v>
      </c>
      <c r="AO200" s="0" t="str">
        <f aca="false">IF(AC200&lt;=20,"",IF(AC200&lt;=Assumptions!$F$6,"20-30",IF(AC200&lt;=Assumptions!$F$7,"30-40",IF(AC200&lt;=Assumptions!$F$8,"40-50",IF(AC200&lt;=Assumptions!$F$9,"50-60",IF(AC200&lt;=Assumptions!$F$10,"60+",""))))))</f>
        <v>40-50</v>
      </c>
      <c r="AP200" s="0" t="str">
        <f aca="false">IFERROR(VLOOKUP(O200,Assumptions!$B$14:$C$26,2,FALSE()),"Other")</f>
        <v>Manager</v>
      </c>
      <c r="AQ200" s="0" t="n">
        <f aca="false">IF(T200="",0,1)</f>
        <v>0</v>
      </c>
      <c r="AR200" s="0" t="n">
        <f aca="false">IF(U200="",0,1)</f>
        <v>1</v>
      </c>
      <c r="AS200" s="8" t="n">
        <f aca="false">IF(AK200="","",IF(MAX($AK$2:$AK$921)=MIN($AK$2:$AK$921),50,ROUND((AK200-MIN($AK$2:$AK$921))/(MAX($AK$2:$AK$921)-MIN($AK$2:$AK$921))*100,2)))</f>
        <v>82.85</v>
      </c>
      <c r="AT200" s="8" t="n">
        <f aca="false">IF(MAX($BC$2:$BC$921)=MIN($BC$2:$BC$921),50,ROUND((BC200-MIN($BC$2:$BC$921))/(MAX($BC$2:$BC$921)-MIN($BC$2:$BC$921))*100,2))</f>
        <v>50</v>
      </c>
      <c r="AU200" s="8" t="n">
        <f aca="false">IF(MAX($BE$2:$BE$921)=MIN($BE$2:$BE$921),50,ROUND((BE200-MIN($BE$2:$BE$921))/(MAX($BE$2:$BE$921)-MIN($BE$2:$BE$921))*100,2))</f>
        <v>68.36</v>
      </c>
      <c r="AV200" s="8" t="n">
        <f aca="false">IF(MAX($AD$2:$AD$921)=MIN($AD$2:$AD$921),50,ROUND((AD200-MIN($AD$2:$AD$921))/(MAX($AD$2:$AD$921)-MIN($AD$2:$AD$921))*100,2))</f>
        <v>24.46</v>
      </c>
      <c r="AW200" s="8" t="n">
        <f aca="false">IF(MAX($AN$2:$AN$921)=MIN($AN$2:$AN$921),50,ROUND((AN200-MIN($AN$2:$AN$921))/(MAX($AN$2:$AN$921)-MIN($AN$2:$AN$921))*100,2))</f>
        <v>91.25</v>
      </c>
      <c r="AX200" s="8" t="n">
        <f aca="false">AQ200*100</f>
        <v>0</v>
      </c>
      <c r="AY200" s="8" t="n">
        <f aca="false">AR200*100</f>
        <v>100</v>
      </c>
      <c r="AZ200" s="8" t="n">
        <f aca="false">IFERROR(ROUND(AS200*Assumptions!$I$6+AW200*Assumptions!$I$7+AT200*Assumptions!$I$8+AU200*Assumptions!$I$9+AV200*Assumptions!$I$10+AX200*Assumptions!$I$11+AY200*Assumptions!$I$12,2),"")</f>
        <v>68.31</v>
      </c>
      <c r="BA200" s="0" t="str">
        <f aca="false">IF(AZ200="","",IF(AZ200&lt;=Assumptions!$I$18,"Below Expectation",IF(AZ200&lt;=Assumptions!$I$19,"Developing",IF(AZ200&lt;=Assumptions!$I$20,"Meets Expectation",IF(AZ200&lt;=Assumptions!$I$21,"Exceeds","Star Performer")))))</f>
        <v>Meets Expectation</v>
      </c>
      <c r="BB200" s="0" t="n">
        <f aca="false">IF(AZ200="",0,IF(AZ200&gt;=Assumptions!$I$26,1,0))</f>
        <v>0</v>
      </c>
      <c r="BC200" s="9" t="n">
        <f aca="false">IF(AL200="",2,AL200+2)</f>
        <v>2</v>
      </c>
      <c r="BD200" s="10" t="n">
        <f aca="false">IF(AM200="",ROUND(AVERAGE($AM$2:$AM$921),3),AM200)</f>
        <v>0.548</v>
      </c>
      <c r="BE200" s="9" t="n">
        <f aca="false">1-BD200</f>
        <v>0.452</v>
      </c>
    </row>
    <row r="201" customFormat="false" ht="14.25" hidden="false" customHeight="false" outlineLevel="0" collapsed="false">
      <c r="A201" s="4" t="n">
        <v>731</v>
      </c>
      <c r="B201" s="5" t="n">
        <v>55068301</v>
      </c>
      <c r="C201" s="5" t="s">
        <v>106</v>
      </c>
      <c r="D201" s="5" t="s">
        <v>1115</v>
      </c>
      <c r="E201" s="5" t="s">
        <v>108</v>
      </c>
      <c r="F201" s="5" t="s">
        <v>380</v>
      </c>
      <c r="G201" s="5" t="s">
        <v>379</v>
      </c>
      <c r="H201" s="5" t="s">
        <v>380</v>
      </c>
      <c r="I201" s="5" t="s">
        <v>63</v>
      </c>
      <c r="J201" s="5" t="s">
        <v>112</v>
      </c>
      <c r="K201" s="5" t="s">
        <v>309</v>
      </c>
      <c r="L201" s="6" t="n">
        <v>45040</v>
      </c>
      <c r="M201" s="5" t="s">
        <v>1116</v>
      </c>
      <c r="N201" s="6" t="n">
        <v>35582</v>
      </c>
      <c r="O201" s="5" t="s">
        <v>332</v>
      </c>
      <c r="P201" s="5" t="s">
        <v>333</v>
      </c>
      <c r="Q201" s="5" t="s">
        <v>1002</v>
      </c>
      <c r="R201" s="5" t="s">
        <v>591</v>
      </c>
      <c r="S201" s="5" t="s">
        <v>701</v>
      </c>
      <c r="T201" s="6"/>
      <c r="U201" s="6"/>
      <c r="V201" s="5"/>
      <c r="W201" s="5"/>
      <c r="X201" s="5" t="s">
        <v>83</v>
      </c>
      <c r="Y201" s="5" t="s">
        <v>83</v>
      </c>
      <c r="Z201" s="5" t="s">
        <v>83</v>
      </c>
      <c r="AA201" s="5" t="s">
        <v>1117</v>
      </c>
      <c r="AB201" s="0" t="n">
        <f aca="false">IFERROR(VALUE(R201),0)</f>
        <v>3.1</v>
      </c>
      <c r="AC201" s="0" t="n">
        <f aca="false">IFERROR(VALUE(M201),"")</f>
        <v>29</v>
      </c>
      <c r="AD201" s="0" t="n">
        <f aca="false">IFERROR(VALUE(Q201),"")</f>
        <v>3.1</v>
      </c>
      <c r="AE201" s="0" t="n">
        <f aca="false">IFERROR(VALUE(S201),"")</f>
        <v>6.11</v>
      </c>
      <c r="AF201" s="0" t="str">
        <f aca="false">IF(V201="","",VLOOKUP(V201,Assumptions!$B$6:$C$9,2,FALSE()))</f>
        <v/>
      </c>
      <c r="AG201" s="0" t="str">
        <f aca="false">IF(W201="","",VLOOKUP(W201,Assumptions!$B$6:$C$9,2,FALSE()))</f>
        <v/>
      </c>
      <c r="AH201" s="0" t="n">
        <f aca="false">IF(X201="","",VLOOKUP(X201,Assumptions!$B$6:$C$9,2,FALSE()))</f>
        <v>4</v>
      </c>
      <c r="AI201" s="0" t="n">
        <f aca="false">IF(Y201="","",VLOOKUP(Y201,Assumptions!$B$6:$C$9,2,FALSE()))</f>
        <v>4</v>
      </c>
      <c r="AJ201" s="0" t="n">
        <f aca="false">IF(Z201="","",VLOOKUP(Z201,Assumptions!$B$6:$C$9,2,FALSE()))</f>
        <v>4</v>
      </c>
      <c r="AK201" s="7" t="n">
        <f aca="false">IFERROR(ROUND(AVERAGE(AF201:AJ201),3),"")</f>
        <v>4</v>
      </c>
      <c r="AL201" s="7" t="str">
        <f aca="false">IF(OR(AF201="",AJ201=""),"",AJ201-AF201)</f>
        <v/>
      </c>
      <c r="AM201" s="7" t="n">
        <f aca="false">IF(COUNT(AF201:AJ201)&gt;=2,ROUND(_xlfn.STDEV.S(AF201:AJ201),3),"")</f>
        <v>0</v>
      </c>
      <c r="AN201" s="7" t="n">
        <f aca="false">ROUND((IF(AF201="",0,AF201)*Assumptions!$F$15)+(IF(AG201="",0,AG201)*Assumptions!$F$16)+(IF(AH201="",0,AH201)*Assumptions!$F$17)+(IF(AI201="",0,AI201)*Assumptions!$F$18)+(IF(AJ201="",0,AJ201)*Assumptions!$F$19),3)</f>
        <v>3</v>
      </c>
      <c r="AO201" s="0" t="str">
        <f aca="false">IF(AC201&lt;=20,"",IF(AC201&lt;=Assumptions!$F$6,"20-30",IF(AC201&lt;=Assumptions!$F$7,"30-40",IF(AC201&lt;=Assumptions!$F$8,"40-50",IF(AC201&lt;=Assumptions!$F$9,"50-60",IF(AC201&lt;=Assumptions!$F$10,"60+",""))))))</f>
        <v>20-30</v>
      </c>
      <c r="AP201" s="0" t="str">
        <f aca="false">IFERROR(VLOOKUP(O201,Assumptions!$B$14:$C$26,2,FALSE()),"Other")</f>
        <v>Manager</v>
      </c>
      <c r="AQ201" s="0" t="n">
        <f aca="false">IF(T201="",0,1)</f>
        <v>0</v>
      </c>
      <c r="AR201" s="0" t="n">
        <f aca="false">IF(U201="",0,1)</f>
        <v>0</v>
      </c>
      <c r="AS201" s="8" t="n">
        <f aca="false">IF(AK201="","",IF(MAX($AK$2:$AK$921)=MIN($AK$2:$AK$921),50,ROUND((AK201-MIN($AK$2:$AK$921))/(MAX($AK$2:$AK$921)-MIN($AK$2:$AK$921))*100,2)))</f>
        <v>100</v>
      </c>
      <c r="AT201" s="8" t="n">
        <f aca="false">IF(MAX($BC$2:$BC$921)=MIN($BC$2:$BC$921),50,ROUND((BC201-MIN($BC$2:$BC$921))/(MAX($BC$2:$BC$921)-MIN($BC$2:$BC$921))*100,2))</f>
        <v>50</v>
      </c>
      <c r="AU201" s="8" t="n">
        <f aca="false">IF(MAX($BE$2:$BE$921)=MIN($BE$2:$BE$921),50,ROUND((BE201-MIN($BE$2:$BE$921))/(MAX($BE$2:$BE$921)-MIN($BE$2:$BE$921))*100,2))</f>
        <v>100</v>
      </c>
      <c r="AV201" s="8" t="n">
        <f aca="false">IF(MAX($AD$2:$AD$921)=MIN($AD$2:$AD$921),50,ROUND((AD201-MIN($AD$2:$AD$921))/(MAX($AD$2:$AD$921)-MIN($AD$2:$AD$921))*100,2))</f>
        <v>8.13</v>
      </c>
      <c r="AW201" s="8" t="n">
        <f aca="false">IF(MAX($AN$2:$AN$921)=MIN($AN$2:$AN$921),50,ROUND((AN201-MIN($AN$2:$AN$921))/(MAX($AN$2:$AN$921)-MIN($AN$2:$AN$921))*100,2))</f>
        <v>75</v>
      </c>
      <c r="AX201" s="8" t="n">
        <f aca="false">AQ201*100</f>
        <v>0</v>
      </c>
      <c r="AY201" s="8" t="n">
        <f aca="false">AR201*100</f>
        <v>0</v>
      </c>
      <c r="AZ201" s="8" t="n">
        <f aca="false">IFERROR(ROUND(AS201*Assumptions!$I$6+AW201*Assumptions!$I$7+AT201*Assumptions!$I$8+AU201*Assumptions!$I$9+AV201*Assumptions!$I$10+AX201*Assumptions!$I$11+AY201*Assumptions!$I$12,2),"")</f>
        <v>68.31</v>
      </c>
      <c r="BA201" s="0" t="str">
        <f aca="false">IF(AZ201="","",IF(AZ201&lt;=Assumptions!$I$18,"Below Expectation",IF(AZ201&lt;=Assumptions!$I$19,"Developing",IF(AZ201&lt;=Assumptions!$I$20,"Meets Expectation",IF(AZ201&lt;=Assumptions!$I$21,"Exceeds","Star Performer")))))</f>
        <v>Meets Expectation</v>
      </c>
      <c r="BB201" s="0" t="n">
        <f aca="false">IF(AZ201="",0,IF(AZ201&gt;=Assumptions!$I$26,1,0))</f>
        <v>0</v>
      </c>
      <c r="BC201" s="9" t="n">
        <f aca="false">IF(AL201="",2,AL201+2)</f>
        <v>2</v>
      </c>
      <c r="BD201" s="10" t="n">
        <f aca="false">IF(AM201="",ROUND(AVERAGE($AM$2:$AM$921),3),AM201)</f>
        <v>0</v>
      </c>
      <c r="BE201" s="9" t="n">
        <f aca="false">1-BD201</f>
        <v>1</v>
      </c>
    </row>
    <row r="202" customFormat="false" ht="14.25" hidden="true" customHeight="false" outlineLevel="0" collapsed="false">
      <c r="A202" s="4" t="n">
        <v>189</v>
      </c>
      <c r="B202" s="5" t="n">
        <v>10054911</v>
      </c>
      <c r="C202" s="5" t="s">
        <v>57</v>
      </c>
      <c r="D202" s="5" t="s">
        <v>1118</v>
      </c>
      <c r="E202" s="5" t="s">
        <v>514</v>
      </c>
      <c r="F202" s="5" t="s">
        <v>387</v>
      </c>
      <c r="G202" s="5" t="s">
        <v>388</v>
      </c>
      <c r="H202" s="5" t="s">
        <v>387</v>
      </c>
      <c r="I202" s="5" t="s">
        <v>63</v>
      </c>
      <c r="J202" s="5" t="s">
        <v>100</v>
      </c>
      <c r="K202" s="5" t="s">
        <v>65</v>
      </c>
      <c r="L202" s="6" t="n">
        <v>42569</v>
      </c>
      <c r="M202" s="5" t="s">
        <v>1119</v>
      </c>
      <c r="N202" s="6" t="n">
        <v>31361</v>
      </c>
      <c r="O202" s="5" t="s">
        <v>332</v>
      </c>
      <c r="P202" s="5" t="s">
        <v>333</v>
      </c>
      <c r="Q202" s="5" t="s">
        <v>546</v>
      </c>
      <c r="R202" s="5" t="s">
        <v>213</v>
      </c>
      <c r="S202" s="5" t="s">
        <v>1120</v>
      </c>
      <c r="T202" s="6" t="n">
        <v>43405</v>
      </c>
      <c r="U202" s="6"/>
      <c r="V202" s="5" t="s">
        <v>83</v>
      </c>
      <c r="W202" s="5" t="s">
        <v>141</v>
      </c>
      <c r="X202" s="5" t="s">
        <v>141</v>
      </c>
      <c r="Y202" s="5" t="s">
        <v>83</v>
      </c>
      <c r="Z202" s="5" t="s">
        <v>83</v>
      </c>
      <c r="AA202" s="5" t="s">
        <v>1121</v>
      </c>
      <c r="AB202" s="0" t="n">
        <f aca="false">IFERROR(VALUE(R202),0)</f>
        <v>5.2</v>
      </c>
      <c r="AC202" s="0" t="n">
        <f aca="false">IFERROR(VALUE(M202),"")</f>
        <v>40.6</v>
      </c>
      <c r="AD202" s="0" t="n">
        <f aca="false">IFERROR(VALUE(Q202),"")</f>
        <v>9.1</v>
      </c>
      <c r="AE202" s="0" t="n">
        <f aca="false">IFERROR(VALUE(S202),"")</f>
        <v>15</v>
      </c>
      <c r="AF202" s="0" t="n">
        <f aca="false">IF(V202="","",VLOOKUP(V202,Assumptions!$B$6:$C$9,2,FALSE()))</f>
        <v>4</v>
      </c>
      <c r="AG202" s="0" t="n">
        <f aca="false">IF(W202="","",VLOOKUP(W202,Assumptions!$B$6:$C$9,2,FALSE()))</f>
        <v>3</v>
      </c>
      <c r="AH202" s="0" t="n">
        <f aca="false">IF(X202="","",VLOOKUP(X202,Assumptions!$B$6:$C$9,2,FALSE()))</f>
        <v>3</v>
      </c>
      <c r="AI202" s="0" t="n">
        <f aca="false">IF(Y202="","",VLOOKUP(Y202,Assumptions!$B$6:$C$9,2,FALSE()))</f>
        <v>4</v>
      </c>
      <c r="AJ202" s="0" t="n">
        <f aca="false">IF(Z202="","",VLOOKUP(Z202,Assumptions!$B$6:$C$9,2,FALSE()))</f>
        <v>4</v>
      </c>
      <c r="AK202" s="7" t="n">
        <f aca="false">IFERROR(ROUND(AVERAGE(AF202:AJ202),3),"")</f>
        <v>3.6</v>
      </c>
      <c r="AL202" s="7" t="n">
        <f aca="false">IF(OR(AF202="",AJ202=""),"",AJ202-AF202)</f>
        <v>0</v>
      </c>
      <c r="AM202" s="7" t="n">
        <f aca="false">IF(COUNT(AF202:AJ202)&gt;=2,ROUND(_xlfn.STDEV.S(AF202:AJ202),3),"")</f>
        <v>0.548</v>
      </c>
      <c r="AN202" s="7" t="n">
        <f aca="false">ROUND((IF(AF202="",0,AF202)*Assumptions!$F$15)+(IF(AG202="",0,AG202)*Assumptions!$F$16)+(IF(AH202="",0,AH202)*Assumptions!$F$17)+(IF(AI202="",0,AI202)*Assumptions!$F$18)+(IF(AJ202="",0,AJ202)*Assumptions!$F$19),3)</f>
        <v>3.65</v>
      </c>
      <c r="AO202" s="0" t="str">
        <f aca="false">IF(AC202&lt;=20,"",IF(AC202&lt;=Assumptions!$F$6,"20-30",IF(AC202&lt;=Assumptions!$F$7,"30-40",IF(AC202&lt;=Assumptions!$F$8,"40-50",IF(AC202&lt;=Assumptions!$F$9,"50-60",IF(AC202&lt;=Assumptions!$F$10,"60+",""))))))</f>
        <v>40-50</v>
      </c>
      <c r="AP202" s="0" t="str">
        <f aca="false">IFERROR(VLOOKUP(O202,Assumptions!$B$14:$C$26,2,FALSE()),"Other")</f>
        <v>Manager</v>
      </c>
      <c r="AQ202" s="0" t="n">
        <f aca="false">IF(T202="",0,1)</f>
        <v>1</v>
      </c>
      <c r="AR202" s="0" t="n">
        <f aca="false">IF(U202="",0,1)</f>
        <v>0</v>
      </c>
      <c r="AS202" s="8" t="n">
        <f aca="false">IF(AK202="","",IF(MAX($AK$2:$AK$921)=MIN($AK$2:$AK$921),50,ROUND((AK202-MIN($AK$2:$AK$921))/(MAX($AK$2:$AK$921)-MIN($AK$2:$AK$921))*100,2)))</f>
        <v>82.85</v>
      </c>
      <c r="AT202" s="8" t="n">
        <f aca="false">IF(MAX($BC$2:$BC$921)=MIN($BC$2:$BC$921),50,ROUND((BC202-MIN($BC$2:$BC$921))/(MAX($BC$2:$BC$921)-MIN($BC$2:$BC$921))*100,2))</f>
        <v>50</v>
      </c>
      <c r="AU202" s="8" t="n">
        <f aca="false">IF(MAX($BE$2:$BE$921)=MIN($BE$2:$BE$921),50,ROUND((BE202-MIN($BE$2:$BE$921))/(MAX($BE$2:$BE$921)-MIN($BE$2:$BE$921))*100,2))</f>
        <v>68.36</v>
      </c>
      <c r="AV202" s="8" t="n">
        <f aca="false">IF(MAX($AD$2:$AD$921)=MIN($AD$2:$AD$921),50,ROUND((AD202-MIN($AD$2:$AD$921))/(MAX($AD$2:$AD$921)-MIN($AD$2:$AD$921))*100,2))</f>
        <v>24.44</v>
      </c>
      <c r="AW202" s="8" t="n">
        <f aca="false">IF(MAX($AN$2:$AN$921)=MIN($AN$2:$AN$921),50,ROUND((AN202-MIN($AN$2:$AN$921))/(MAX($AN$2:$AN$921)-MIN($AN$2:$AN$921))*100,2))</f>
        <v>91.25</v>
      </c>
      <c r="AX202" s="8" t="n">
        <f aca="false">AQ202*100</f>
        <v>100</v>
      </c>
      <c r="AY202" s="8" t="n">
        <f aca="false">AR202*100</f>
        <v>0</v>
      </c>
      <c r="AZ202" s="8" t="n">
        <f aca="false">IFERROR(ROUND(AS202*Assumptions!$I$6+AW202*Assumptions!$I$7+AT202*Assumptions!$I$8+AU202*Assumptions!$I$9+AV202*Assumptions!$I$10+AX202*Assumptions!$I$11+AY202*Assumptions!$I$12,2),"")</f>
        <v>68.3</v>
      </c>
      <c r="BA202" s="0" t="str">
        <f aca="false">IF(AZ202="","",IF(AZ202&lt;=Assumptions!$I$18,"Below Expectation",IF(AZ202&lt;=Assumptions!$I$19,"Developing",IF(AZ202&lt;=Assumptions!$I$20,"Meets Expectation",IF(AZ202&lt;=Assumptions!$I$21,"Exceeds","Star Performer")))))</f>
        <v>Meets Expectation</v>
      </c>
      <c r="BB202" s="0" t="n">
        <f aca="false">IF(AZ202="",0,IF(AZ202&gt;=Assumptions!$I$26,1,0))</f>
        <v>0</v>
      </c>
      <c r="BC202" s="9" t="n">
        <f aca="false">IF(AL202="",2,AL202+2)</f>
        <v>2</v>
      </c>
      <c r="BD202" s="10" t="n">
        <f aca="false">IF(AM202="",ROUND(AVERAGE($AM$2:$AM$921),3),AM202)</f>
        <v>0.548</v>
      </c>
      <c r="BE202" s="9" t="n">
        <f aca="false">1-BD202</f>
        <v>0.452</v>
      </c>
    </row>
    <row r="203" customFormat="false" ht="14.25" hidden="true" customHeight="false" outlineLevel="0" collapsed="false">
      <c r="A203" s="4" t="n">
        <v>116</v>
      </c>
      <c r="B203" s="5" t="n">
        <v>10035813</v>
      </c>
      <c r="C203" s="5" t="s">
        <v>85</v>
      </c>
      <c r="D203" s="5" t="s">
        <v>1122</v>
      </c>
      <c r="E203" s="5" t="s">
        <v>315</v>
      </c>
      <c r="F203" s="5" t="s">
        <v>705</v>
      </c>
      <c r="G203" s="5" t="s">
        <v>706</v>
      </c>
      <c r="H203" s="5" t="s">
        <v>707</v>
      </c>
      <c r="I203" s="5" t="s">
        <v>63</v>
      </c>
      <c r="J203" s="5" t="s">
        <v>76</v>
      </c>
      <c r="K203" s="5" t="s">
        <v>65</v>
      </c>
      <c r="L203" s="6" t="n">
        <v>41276</v>
      </c>
      <c r="M203" s="5" t="s">
        <v>1123</v>
      </c>
      <c r="N203" s="6" t="n">
        <v>31437</v>
      </c>
      <c r="O203" s="5" t="s">
        <v>332</v>
      </c>
      <c r="P203" s="5" t="s">
        <v>333</v>
      </c>
      <c r="Q203" s="5" t="s">
        <v>1124</v>
      </c>
      <c r="R203" s="5" t="s">
        <v>459</v>
      </c>
      <c r="S203" s="5" t="s">
        <v>577</v>
      </c>
      <c r="T203" s="6" t="n">
        <v>43739</v>
      </c>
      <c r="U203" s="6" t="n">
        <v>43556</v>
      </c>
      <c r="V203" s="5" t="s">
        <v>141</v>
      </c>
      <c r="W203" s="5" t="s">
        <v>141</v>
      </c>
      <c r="X203" s="5" t="s">
        <v>141</v>
      </c>
      <c r="Y203" s="5" t="s">
        <v>141</v>
      </c>
      <c r="Z203" s="5" t="s">
        <v>141</v>
      </c>
      <c r="AA203" s="5" t="s">
        <v>1125</v>
      </c>
      <c r="AB203" s="0" t="n">
        <f aca="false">IFERROR(VALUE(R203),0)</f>
        <v>7</v>
      </c>
      <c r="AC203" s="0" t="n">
        <f aca="false">IFERROR(VALUE(M203),"")</f>
        <v>40.4</v>
      </c>
      <c r="AD203" s="0" t="n">
        <f aca="false">IFERROR(VALUE(Q203),"")</f>
        <v>13.5</v>
      </c>
      <c r="AE203" s="0" t="n">
        <f aca="false">IFERROR(VALUE(S203),"")</f>
        <v>20.5</v>
      </c>
      <c r="AF203" s="0" t="n">
        <f aca="false">IF(V203="","",VLOOKUP(V203,Assumptions!$B$6:$C$9,2,FALSE()))</f>
        <v>3</v>
      </c>
      <c r="AG203" s="0" t="n">
        <f aca="false">IF(W203="","",VLOOKUP(W203,Assumptions!$B$6:$C$9,2,FALSE()))</f>
        <v>3</v>
      </c>
      <c r="AH203" s="0" t="n">
        <f aca="false">IF(X203="","",VLOOKUP(X203,Assumptions!$B$6:$C$9,2,FALSE()))</f>
        <v>3</v>
      </c>
      <c r="AI203" s="0" t="n">
        <f aca="false">IF(Y203="","",VLOOKUP(Y203,Assumptions!$B$6:$C$9,2,FALSE()))</f>
        <v>3</v>
      </c>
      <c r="AJ203" s="0" t="n">
        <f aca="false">IF(Z203="","",VLOOKUP(Z203,Assumptions!$B$6:$C$9,2,FALSE()))</f>
        <v>3</v>
      </c>
      <c r="AK203" s="7" t="n">
        <f aca="false">IFERROR(ROUND(AVERAGE(AF203:AJ203),3),"")</f>
        <v>3</v>
      </c>
      <c r="AL203" s="7" t="n">
        <f aca="false">IF(OR(AF203="",AJ203=""),"",AJ203-AF203)</f>
        <v>0</v>
      </c>
      <c r="AM203" s="7" t="n">
        <f aca="false">IF(COUNT(AF203:AJ203)&gt;=2,ROUND(_xlfn.STDEV.S(AF203:AJ203),3),"")</f>
        <v>0</v>
      </c>
      <c r="AN203" s="7" t="n">
        <f aca="false">ROUND((IF(AF203="",0,AF203)*Assumptions!$F$15)+(IF(AG203="",0,AG203)*Assumptions!$F$16)+(IF(AH203="",0,AH203)*Assumptions!$F$17)+(IF(AI203="",0,AI203)*Assumptions!$F$18)+(IF(AJ203="",0,AJ203)*Assumptions!$F$19),3)</f>
        <v>3</v>
      </c>
      <c r="AO203" s="0" t="str">
        <f aca="false">IF(AC203&lt;=20,"",IF(AC203&lt;=Assumptions!$F$6,"20-30",IF(AC203&lt;=Assumptions!$F$7,"30-40",IF(AC203&lt;=Assumptions!$F$8,"40-50",IF(AC203&lt;=Assumptions!$F$9,"50-60",IF(AC203&lt;=Assumptions!$F$10,"60+",""))))))</f>
        <v>40-50</v>
      </c>
      <c r="AP203" s="0" t="str">
        <f aca="false">IFERROR(VLOOKUP(O203,Assumptions!$B$14:$C$26,2,FALSE()),"Other")</f>
        <v>Manager</v>
      </c>
      <c r="AQ203" s="0" t="n">
        <f aca="false">IF(T203="",0,1)</f>
        <v>1</v>
      </c>
      <c r="AR203" s="0" t="n">
        <f aca="false">IF(U203="",0,1)</f>
        <v>1</v>
      </c>
      <c r="AS203" s="8" t="n">
        <f aca="false">IF(AK203="","",IF(MAX($AK$2:$AK$921)=MIN($AK$2:$AK$921),50,ROUND((AK203-MIN($AK$2:$AK$921))/(MAX($AK$2:$AK$921)-MIN($AK$2:$AK$921))*100,2)))</f>
        <v>57.14</v>
      </c>
      <c r="AT203" s="8" t="n">
        <f aca="false">IF(MAX($BC$2:$BC$921)=MIN($BC$2:$BC$921),50,ROUND((BC203-MIN($BC$2:$BC$921))/(MAX($BC$2:$BC$921)-MIN($BC$2:$BC$921))*100,2))</f>
        <v>50</v>
      </c>
      <c r="AU203" s="8" t="n">
        <f aca="false">IF(MAX($BE$2:$BE$921)=MIN($BE$2:$BE$921),50,ROUND((BE203-MIN($BE$2:$BE$921))/(MAX($BE$2:$BE$921)-MIN($BE$2:$BE$921))*100,2))</f>
        <v>100</v>
      </c>
      <c r="AV203" s="8" t="n">
        <f aca="false">IF(MAX($AD$2:$AD$921)=MIN($AD$2:$AD$921),50,ROUND((AD203-MIN($AD$2:$AD$921))/(MAX($AD$2:$AD$921)-MIN($AD$2:$AD$921))*100,2))</f>
        <v>36.4</v>
      </c>
      <c r="AW203" s="8" t="n">
        <f aca="false">IF(MAX($AN$2:$AN$921)=MIN($AN$2:$AN$921),50,ROUND((AN203-MIN($AN$2:$AN$921))/(MAX($AN$2:$AN$921)-MIN($AN$2:$AN$921))*100,2))</f>
        <v>75</v>
      </c>
      <c r="AX203" s="8" t="n">
        <f aca="false">AQ203*100</f>
        <v>100</v>
      </c>
      <c r="AY203" s="8" t="n">
        <f aca="false">AR203*100</f>
        <v>100</v>
      </c>
      <c r="AZ203" s="8" t="n">
        <f aca="false">IFERROR(ROUND(AS203*Assumptions!$I$6+AW203*Assumptions!$I$7+AT203*Assumptions!$I$8+AU203*Assumptions!$I$9+AV203*Assumptions!$I$10+AX203*Assumptions!$I$11+AY203*Assumptions!$I$12,2),"")</f>
        <v>68.28</v>
      </c>
      <c r="BA203" s="0" t="str">
        <f aca="false">IF(AZ203="","",IF(AZ203&lt;=Assumptions!$I$18,"Below Expectation",IF(AZ203&lt;=Assumptions!$I$19,"Developing",IF(AZ203&lt;=Assumptions!$I$20,"Meets Expectation",IF(AZ203&lt;=Assumptions!$I$21,"Exceeds","Star Performer")))))</f>
        <v>Meets Expectation</v>
      </c>
      <c r="BB203" s="0" t="n">
        <f aca="false">IF(AZ203="",0,IF(AZ203&gt;=Assumptions!$I$26,1,0))</f>
        <v>0</v>
      </c>
      <c r="BC203" s="9" t="n">
        <f aca="false">IF(AL203="",2,AL203+2)</f>
        <v>2</v>
      </c>
      <c r="BD203" s="10" t="n">
        <f aca="false">IF(AM203="",ROUND(AVERAGE($AM$2:$AM$921),3),AM203)</f>
        <v>0</v>
      </c>
      <c r="BE203" s="9" t="n">
        <f aca="false">1-BD203</f>
        <v>1</v>
      </c>
    </row>
    <row r="204" customFormat="false" ht="14.25" hidden="true" customHeight="false" outlineLevel="0" collapsed="false">
      <c r="A204" s="4" t="n">
        <v>756</v>
      </c>
      <c r="B204" s="5" t="n">
        <v>55082454</v>
      </c>
      <c r="C204" s="5" t="s">
        <v>149</v>
      </c>
      <c r="D204" s="5" t="s">
        <v>1126</v>
      </c>
      <c r="E204" s="5" t="s">
        <v>1127</v>
      </c>
      <c r="F204" s="5" t="s">
        <v>1128</v>
      </c>
      <c r="G204" s="5" t="s">
        <v>1129</v>
      </c>
      <c r="H204" s="5" t="s">
        <v>1128</v>
      </c>
      <c r="I204" s="5" t="s">
        <v>63</v>
      </c>
      <c r="J204" s="5" t="s">
        <v>100</v>
      </c>
      <c r="K204" s="5" t="s">
        <v>65</v>
      </c>
      <c r="L204" s="6" t="n">
        <v>45197</v>
      </c>
      <c r="M204" s="5" t="s">
        <v>1130</v>
      </c>
      <c r="N204" s="6" t="n">
        <v>28079</v>
      </c>
      <c r="O204" s="5" t="s">
        <v>89</v>
      </c>
      <c r="P204" s="5" t="s">
        <v>90</v>
      </c>
      <c r="Q204" s="5" t="s">
        <v>920</v>
      </c>
      <c r="R204" s="5" t="s">
        <v>1131</v>
      </c>
      <c r="S204" s="5" t="s">
        <v>132</v>
      </c>
      <c r="T204" s="6"/>
      <c r="U204" s="6"/>
      <c r="V204" s="5"/>
      <c r="W204" s="5"/>
      <c r="X204" s="5" t="s">
        <v>83</v>
      </c>
      <c r="Y204" s="5" t="s">
        <v>83</v>
      </c>
      <c r="Z204" s="5" t="s">
        <v>83</v>
      </c>
      <c r="AA204" s="5" t="s">
        <v>1132</v>
      </c>
      <c r="AB204" s="0" t="n">
        <f aca="false">IFERROR(VALUE(R204),0)</f>
        <v>20.11</v>
      </c>
      <c r="AC204" s="0" t="n">
        <f aca="false">IFERROR(VALUE(M204),"")</f>
        <v>49.6</v>
      </c>
      <c r="AD204" s="0" t="n">
        <f aca="false">IFERROR(VALUE(Q204),"")</f>
        <v>2.8</v>
      </c>
      <c r="AE204" s="0" t="n">
        <f aca="false">IFERROR(VALUE(S204),"")</f>
        <v>23.7</v>
      </c>
      <c r="AF204" s="0" t="str">
        <f aca="false">IF(V204="","",VLOOKUP(V204,Assumptions!$B$6:$C$9,2,FALSE()))</f>
        <v/>
      </c>
      <c r="AG204" s="0" t="str">
        <f aca="false">IF(W204="","",VLOOKUP(W204,Assumptions!$B$6:$C$9,2,FALSE()))</f>
        <v/>
      </c>
      <c r="AH204" s="0" t="n">
        <f aca="false">IF(X204="","",VLOOKUP(X204,Assumptions!$B$6:$C$9,2,FALSE()))</f>
        <v>4</v>
      </c>
      <c r="AI204" s="0" t="n">
        <f aca="false">IF(Y204="","",VLOOKUP(Y204,Assumptions!$B$6:$C$9,2,FALSE()))</f>
        <v>4</v>
      </c>
      <c r="AJ204" s="0" t="n">
        <f aca="false">IF(Z204="","",VLOOKUP(Z204,Assumptions!$B$6:$C$9,2,FALSE()))</f>
        <v>4</v>
      </c>
      <c r="AK204" s="7" t="n">
        <f aca="false">IFERROR(ROUND(AVERAGE(AF204:AJ204),3),"")</f>
        <v>4</v>
      </c>
      <c r="AL204" s="7" t="str">
        <f aca="false">IF(OR(AF204="",AJ204=""),"",AJ204-AF204)</f>
        <v/>
      </c>
      <c r="AM204" s="7" t="n">
        <f aca="false">IF(COUNT(AF204:AJ204)&gt;=2,ROUND(_xlfn.STDEV.S(AF204:AJ204),3),"")</f>
        <v>0</v>
      </c>
      <c r="AN204" s="7" t="n">
        <f aca="false">ROUND((IF(AF204="",0,AF204)*Assumptions!$F$15)+(IF(AG204="",0,AG204)*Assumptions!$F$16)+(IF(AH204="",0,AH204)*Assumptions!$F$17)+(IF(AI204="",0,AI204)*Assumptions!$F$18)+(IF(AJ204="",0,AJ204)*Assumptions!$F$19),3)</f>
        <v>3</v>
      </c>
      <c r="AO204" s="0" t="str">
        <f aca="false">IF(AC204&lt;=20,"",IF(AC204&lt;=Assumptions!$F$6,"20-30",IF(AC204&lt;=Assumptions!$F$7,"30-40",IF(AC204&lt;=Assumptions!$F$8,"40-50",IF(AC204&lt;=Assumptions!$F$9,"50-60",IF(AC204&lt;=Assumptions!$F$10,"60+",""))))))</f>
        <v>40-50</v>
      </c>
      <c r="AP204" s="0" t="str">
        <f aca="false">IFERROR(VLOOKUP(O204,Assumptions!$B$14:$C$26,2,FALSE()),"Other")</f>
        <v>Leadership</v>
      </c>
      <c r="AQ204" s="0" t="n">
        <f aca="false">IF(T204="",0,1)</f>
        <v>0</v>
      </c>
      <c r="AR204" s="0" t="n">
        <f aca="false">IF(U204="",0,1)</f>
        <v>0</v>
      </c>
      <c r="AS204" s="8" t="n">
        <f aca="false">IF(AK204="","",IF(MAX($AK$2:$AK$921)=MIN($AK$2:$AK$921),50,ROUND((AK204-MIN($AK$2:$AK$921))/(MAX($AK$2:$AK$921)-MIN($AK$2:$AK$921))*100,2)))</f>
        <v>100</v>
      </c>
      <c r="AT204" s="8" t="n">
        <f aca="false">IF(MAX($BC$2:$BC$921)=MIN($BC$2:$BC$921),50,ROUND((BC204-MIN($BC$2:$BC$921))/(MAX($BC$2:$BC$921)-MIN($BC$2:$BC$921))*100,2))</f>
        <v>50</v>
      </c>
      <c r="AU204" s="8" t="n">
        <f aca="false">IF(MAX($BE$2:$BE$921)=MIN($BE$2:$BE$921),50,ROUND((BE204-MIN($BE$2:$BE$921))/(MAX($BE$2:$BE$921)-MIN($BE$2:$BE$921))*100,2))</f>
        <v>100</v>
      </c>
      <c r="AV204" s="8" t="n">
        <f aca="false">IF(MAX($AD$2:$AD$921)=MIN($AD$2:$AD$921),50,ROUND((AD204-MIN($AD$2:$AD$921))/(MAX($AD$2:$AD$921)-MIN($AD$2:$AD$921))*100,2))</f>
        <v>7.31</v>
      </c>
      <c r="AW204" s="8" t="n">
        <f aca="false">IF(MAX($AN$2:$AN$921)=MIN($AN$2:$AN$921),50,ROUND((AN204-MIN($AN$2:$AN$921))/(MAX($AN$2:$AN$921)-MIN($AN$2:$AN$921))*100,2))</f>
        <v>75</v>
      </c>
      <c r="AX204" s="8" t="n">
        <f aca="false">AQ204*100</f>
        <v>0</v>
      </c>
      <c r="AY204" s="8" t="n">
        <f aca="false">AR204*100</f>
        <v>0</v>
      </c>
      <c r="AZ204" s="8" t="n">
        <f aca="false">IFERROR(ROUND(AS204*Assumptions!$I$6+AW204*Assumptions!$I$7+AT204*Assumptions!$I$8+AU204*Assumptions!$I$9+AV204*Assumptions!$I$10+AX204*Assumptions!$I$11+AY204*Assumptions!$I$12,2),"")</f>
        <v>68.23</v>
      </c>
      <c r="BA204" s="0" t="str">
        <f aca="false">IF(AZ204="","",IF(AZ204&lt;=Assumptions!$I$18,"Below Expectation",IF(AZ204&lt;=Assumptions!$I$19,"Developing",IF(AZ204&lt;=Assumptions!$I$20,"Meets Expectation",IF(AZ204&lt;=Assumptions!$I$21,"Exceeds","Star Performer")))))</f>
        <v>Meets Expectation</v>
      </c>
      <c r="BB204" s="0" t="n">
        <f aca="false">IF(AZ204="",0,IF(AZ204&gt;=Assumptions!$I$26,1,0))</f>
        <v>0</v>
      </c>
      <c r="BC204" s="9" t="n">
        <f aca="false">IF(AL204="",2,AL204+2)</f>
        <v>2</v>
      </c>
      <c r="BD204" s="10" t="n">
        <f aca="false">IF(AM204="",ROUND(AVERAGE($AM$2:$AM$921),3),AM204)</f>
        <v>0</v>
      </c>
      <c r="BE204" s="9" t="n">
        <f aca="false">1-BD204</f>
        <v>1</v>
      </c>
    </row>
    <row r="205" customFormat="false" ht="14.25" hidden="true" customHeight="false" outlineLevel="0" collapsed="false">
      <c r="A205" s="4" t="n">
        <v>121</v>
      </c>
      <c r="B205" s="5" t="n">
        <v>10039309</v>
      </c>
      <c r="C205" s="5" t="s">
        <v>149</v>
      </c>
      <c r="D205" s="5" t="s">
        <v>1133</v>
      </c>
      <c r="E205" s="5" t="s">
        <v>718</v>
      </c>
      <c r="F205" s="5" t="s">
        <v>245</v>
      </c>
      <c r="G205" s="5" t="s">
        <v>246</v>
      </c>
      <c r="H205" s="5" t="s">
        <v>245</v>
      </c>
      <c r="I205" s="5" t="s">
        <v>63</v>
      </c>
      <c r="J205" s="5" t="s">
        <v>100</v>
      </c>
      <c r="K205" s="5" t="s">
        <v>65</v>
      </c>
      <c r="L205" s="6" t="n">
        <v>41527</v>
      </c>
      <c r="M205" s="5" t="s">
        <v>598</v>
      </c>
      <c r="N205" s="6" t="n">
        <v>33547</v>
      </c>
      <c r="O205" s="5" t="s">
        <v>162</v>
      </c>
      <c r="P205" s="5" t="s">
        <v>162</v>
      </c>
      <c r="Q205" s="5" t="s">
        <v>1134</v>
      </c>
      <c r="R205" s="5" t="s">
        <v>115</v>
      </c>
      <c r="S205" s="5" t="s">
        <v>1134</v>
      </c>
      <c r="T205" s="6" t="n">
        <v>42917</v>
      </c>
      <c r="U205" s="6" t="n">
        <v>46113</v>
      </c>
      <c r="V205" s="5" t="s">
        <v>141</v>
      </c>
      <c r="W205" s="5" t="s">
        <v>141</v>
      </c>
      <c r="X205" s="5" t="s">
        <v>141</v>
      </c>
      <c r="Y205" s="5" t="s">
        <v>141</v>
      </c>
      <c r="Z205" s="5" t="s">
        <v>141</v>
      </c>
      <c r="AA205" s="5" t="s">
        <v>1135</v>
      </c>
      <c r="AB205" s="0" t="n">
        <f aca="false">IFERROR(VALUE(R205),0)</f>
        <v>0</v>
      </c>
      <c r="AC205" s="0" t="n">
        <f aca="false">IFERROR(VALUE(M205),"")</f>
        <v>34.7</v>
      </c>
      <c r="AD205" s="0" t="n">
        <f aca="false">IFERROR(VALUE(Q205),"")</f>
        <v>12.8</v>
      </c>
      <c r="AE205" s="0" t="n">
        <f aca="false">IFERROR(VALUE(S205),"")</f>
        <v>12.8</v>
      </c>
      <c r="AF205" s="0" t="n">
        <f aca="false">IF(V205="","",VLOOKUP(V205,Assumptions!$B$6:$C$9,2,FALSE()))</f>
        <v>3</v>
      </c>
      <c r="AG205" s="0" t="n">
        <f aca="false">IF(W205="","",VLOOKUP(W205,Assumptions!$B$6:$C$9,2,FALSE()))</f>
        <v>3</v>
      </c>
      <c r="AH205" s="0" t="n">
        <f aca="false">IF(X205="","",VLOOKUP(X205,Assumptions!$B$6:$C$9,2,FALSE()))</f>
        <v>3</v>
      </c>
      <c r="AI205" s="0" t="n">
        <f aca="false">IF(Y205="","",VLOOKUP(Y205,Assumptions!$B$6:$C$9,2,FALSE()))</f>
        <v>3</v>
      </c>
      <c r="AJ205" s="0" t="n">
        <f aca="false">IF(Z205="","",VLOOKUP(Z205,Assumptions!$B$6:$C$9,2,FALSE()))</f>
        <v>3</v>
      </c>
      <c r="AK205" s="7" t="n">
        <f aca="false">IFERROR(ROUND(AVERAGE(AF205:AJ205),3),"")</f>
        <v>3</v>
      </c>
      <c r="AL205" s="7" t="n">
        <f aca="false">IF(OR(AF205="",AJ205=""),"",AJ205-AF205)</f>
        <v>0</v>
      </c>
      <c r="AM205" s="7" t="n">
        <f aca="false">IF(COUNT(AF205:AJ205)&gt;=2,ROUND(_xlfn.STDEV.S(AF205:AJ205),3),"")</f>
        <v>0</v>
      </c>
      <c r="AN205" s="7" t="n">
        <f aca="false">ROUND((IF(AF205="",0,AF205)*Assumptions!$F$15)+(IF(AG205="",0,AG205)*Assumptions!$F$16)+(IF(AH205="",0,AH205)*Assumptions!$F$17)+(IF(AI205="",0,AI205)*Assumptions!$F$18)+(IF(AJ205="",0,AJ205)*Assumptions!$F$19),3)</f>
        <v>3</v>
      </c>
      <c r="AO205" s="0" t="str">
        <f aca="false">IF(AC205&lt;=20,"",IF(AC205&lt;=Assumptions!$F$6,"20-30",IF(AC205&lt;=Assumptions!$F$7,"30-40",IF(AC205&lt;=Assumptions!$F$8,"40-50",IF(AC205&lt;=Assumptions!$F$9,"50-60",IF(AC205&lt;=Assumptions!$F$10,"60+",""))))))</f>
        <v>30-40</v>
      </c>
      <c r="AP205" s="0" t="str">
        <f aca="false">IFERROR(VLOOKUP(O205,Assumptions!$B$14:$C$26,2,FALSE()),"Other")</f>
        <v>Manager</v>
      </c>
      <c r="AQ205" s="0" t="n">
        <f aca="false">IF(T205="",0,1)</f>
        <v>1</v>
      </c>
      <c r="AR205" s="0" t="n">
        <f aca="false">IF(U205="",0,1)</f>
        <v>1</v>
      </c>
      <c r="AS205" s="8" t="n">
        <f aca="false">IF(AK205="","",IF(MAX($AK$2:$AK$921)=MIN($AK$2:$AK$921),50,ROUND((AK205-MIN($AK$2:$AK$921))/(MAX($AK$2:$AK$921)-MIN($AK$2:$AK$921))*100,2)))</f>
        <v>57.14</v>
      </c>
      <c r="AT205" s="8" t="n">
        <f aca="false">IF(MAX($BC$2:$BC$921)=MIN($BC$2:$BC$921),50,ROUND((BC205-MIN($BC$2:$BC$921))/(MAX($BC$2:$BC$921)-MIN($BC$2:$BC$921))*100,2))</f>
        <v>50</v>
      </c>
      <c r="AU205" s="8" t="n">
        <f aca="false">IF(MAX($BE$2:$BE$921)=MIN($BE$2:$BE$921),50,ROUND((BE205-MIN($BE$2:$BE$921))/(MAX($BE$2:$BE$921)-MIN($BE$2:$BE$921))*100,2))</f>
        <v>100</v>
      </c>
      <c r="AV205" s="8" t="n">
        <f aca="false">IF(MAX($AD$2:$AD$921)=MIN($AD$2:$AD$921),50,ROUND((AD205-MIN($AD$2:$AD$921))/(MAX($AD$2:$AD$921)-MIN($AD$2:$AD$921))*100,2))</f>
        <v>34.49</v>
      </c>
      <c r="AW205" s="8" t="n">
        <f aca="false">IF(MAX($AN$2:$AN$921)=MIN($AN$2:$AN$921),50,ROUND((AN205-MIN($AN$2:$AN$921))/(MAX($AN$2:$AN$921)-MIN($AN$2:$AN$921))*100,2))</f>
        <v>75</v>
      </c>
      <c r="AX205" s="8" t="n">
        <f aca="false">AQ205*100</f>
        <v>100</v>
      </c>
      <c r="AY205" s="8" t="n">
        <f aca="false">AR205*100</f>
        <v>100</v>
      </c>
      <c r="AZ205" s="8" t="n">
        <f aca="false">IFERROR(ROUND(AS205*Assumptions!$I$6+AW205*Assumptions!$I$7+AT205*Assumptions!$I$8+AU205*Assumptions!$I$9+AV205*Assumptions!$I$10+AX205*Assumptions!$I$11+AY205*Assumptions!$I$12,2),"")</f>
        <v>68.09</v>
      </c>
      <c r="BA205" s="0" t="str">
        <f aca="false">IF(AZ205="","",IF(AZ205&lt;=Assumptions!$I$18,"Below Expectation",IF(AZ205&lt;=Assumptions!$I$19,"Developing",IF(AZ205&lt;=Assumptions!$I$20,"Meets Expectation",IF(AZ205&lt;=Assumptions!$I$21,"Exceeds","Star Performer")))))</f>
        <v>Meets Expectation</v>
      </c>
      <c r="BB205" s="0" t="n">
        <f aca="false">IF(AZ205="",0,IF(AZ205&gt;=Assumptions!$I$26,1,0))</f>
        <v>0</v>
      </c>
      <c r="BC205" s="9" t="n">
        <f aca="false">IF(AL205="",2,AL205+2)</f>
        <v>2</v>
      </c>
      <c r="BD205" s="10" t="n">
        <f aca="false">IF(AM205="",ROUND(AVERAGE($AM$2:$AM$921),3),AM205)</f>
        <v>0</v>
      </c>
      <c r="BE205" s="9" t="n">
        <f aca="false">1-BD205</f>
        <v>1</v>
      </c>
    </row>
    <row r="206" customFormat="false" ht="14.25" hidden="true" customHeight="false" outlineLevel="0" collapsed="false">
      <c r="A206" s="4" t="n">
        <v>184</v>
      </c>
      <c r="B206" s="5" t="n">
        <v>10054448</v>
      </c>
      <c r="C206" s="5" t="s">
        <v>85</v>
      </c>
      <c r="D206" s="5" t="s">
        <v>1136</v>
      </c>
      <c r="E206" s="5" t="s">
        <v>87</v>
      </c>
      <c r="F206" s="5" t="s">
        <v>705</v>
      </c>
      <c r="G206" s="5" t="s">
        <v>706</v>
      </c>
      <c r="H206" s="5" t="s">
        <v>707</v>
      </c>
      <c r="I206" s="5" t="s">
        <v>63</v>
      </c>
      <c r="J206" s="5" t="s">
        <v>76</v>
      </c>
      <c r="K206" s="5" t="s">
        <v>65</v>
      </c>
      <c r="L206" s="6" t="n">
        <v>42548</v>
      </c>
      <c r="M206" s="5" t="s">
        <v>1032</v>
      </c>
      <c r="N206" s="6" t="n">
        <v>32667</v>
      </c>
      <c r="O206" s="5" t="s">
        <v>332</v>
      </c>
      <c r="P206" s="5" t="s">
        <v>333</v>
      </c>
      <c r="Q206" s="5" t="s">
        <v>599</v>
      </c>
      <c r="R206" s="5" t="s">
        <v>352</v>
      </c>
      <c r="S206" s="5" t="s">
        <v>1137</v>
      </c>
      <c r="T206" s="6"/>
      <c r="U206" s="6" t="n">
        <v>44652</v>
      </c>
      <c r="V206" s="5" t="s">
        <v>83</v>
      </c>
      <c r="W206" s="5" t="s">
        <v>141</v>
      </c>
      <c r="X206" s="5" t="s">
        <v>83</v>
      </c>
      <c r="Y206" s="5" t="s">
        <v>141</v>
      </c>
      <c r="Z206" s="5" t="s">
        <v>83</v>
      </c>
      <c r="AA206" s="5" t="s">
        <v>1138</v>
      </c>
      <c r="AB206" s="0" t="n">
        <f aca="false">IFERROR(VALUE(R206),0)</f>
        <v>4.6</v>
      </c>
      <c r="AC206" s="0" t="n">
        <f aca="false">IFERROR(VALUE(M206),"")</f>
        <v>37</v>
      </c>
      <c r="AD206" s="0" t="n">
        <f aca="false">IFERROR(VALUE(Q206),"")</f>
        <v>9.11</v>
      </c>
      <c r="AE206" s="0" t="n">
        <f aca="false">IFERROR(VALUE(S206),"")</f>
        <v>14.5</v>
      </c>
      <c r="AF206" s="0" t="n">
        <f aca="false">IF(V206="","",VLOOKUP(V206,Assumptions!$B$6:$C$9,2,FALSE()))</f>
        <v>4</v>
      </c>
      <c r="AG206" s="0" t="n">
        <f aca="false">IF(W206="","",VLOOKUP(W206,Assumptions!$B$6:$C$9,2,FALSE()))</f>
        <v>3</v>
      </c>
      <c r="AH206" s="0" t="n">
        <f aca="false">IF(X206="","",VLOOKUP(X206,Assumptions!$B$6:$C$9,2,FALSE()))</f>
        <v>4</v>
      </c>
      <c r="AI206" s="0" t="n">
        <f aca="false">IF(Y206="","",VLOOKUP(Y206,Assumptions!$B$6:$C$9,2,FALSE()))</f>
        <v>3</v>
      </c>
      <c r="AJ206" s="0" t="n">
        <f aca="false">IF(Z206="","",VLOOKUP(Z206,Assumptions!$B$6:$C$9,2,FALSE()))</f>
        <v>4</v>
      </c>
      <c r="AK206" s="7" t="n">
        <f aca="false">IFERROR(ROUND(AVERAGE(AF206:AJ206),3),"")</f>
        <v>3.6</v>
      </c>
      <c r="AL206" s="7" t="n">
        <f aca="false">IF(OR(AF206="",AJ206=""),"",AJ206-AF206)</f>
        <v>0</v>
      </c>
      <c r="AM206" s="7" t="n">
        <f aca="false">IF(COUNT(AF206:AJ206)&gt;=2,ROUND(_xlfn.STDEV.S(AF206:AJ206),3),"")</f>
        <v>0.548</v>
      </c>
      <c r="AN206" s="7" t="n">
        <f aca="false">ROUND((IF(AF206="",0,AF206)*Assumptions!$F$15)+(IF(AG206="",0,AG206)*Assumptions!$F$16)+(IF(AH206="",0,AH206)*Assumptions!$F$17)+(IF(AI206="",0,AI206)*Assumptions!$F$18)+(IF(AJ206="",0,AJ206)*Assumptions!$F$19),3)</f>
        <v>3.6</v>
      </c>
      <c r="AO206" s="0" t="str">
        <f aca="false">IF(AC206&lt;=20,"",IF(AC206&lt;=Assumptions!$F$6,"20-30",IF(AC206&lt;=Assumptions!$F$7,"30-40",IF(AC206&lt;=Assumptions!$F$8,"40-50",IF(AC206&lt;=Assumptions!$F$9,"50-60",IF(AC206&lt;=Assumptions!$F$10,"60+",""))))))</f>
        <v>30-40</v>
      </c>
      <c r="AP206" s="0" t="str">
        <f aca="false">IFERROR(VLOOKUP(O206,Assumptions!$B$14:$C$26,2,FALSE()),"Other")</f>
        <v>Manager</v>
      </c>
      <c r="AQ206" s="0" t="n">
        <f aca="false">IF(T206="",0,1)</f>
        <v>0</v>
      </c>
      <c r="AR206" s="0" t="n">
        <f aca="false">IF(U206="",0,1)</f>
        <v>1</v>
      </c>
      <c r="AS206" s="8" t="n">
        <f aca="false">IF(AK206="","",IF(MAX($AK$2:$AK$921)=MIN($AK$2:$AK$921),50,ROUND((AK206-MIN($AK$2:$AK$921))/(MAX($AK$2:$AK$921)-MIN($AK$2:$AK$921))*100,2)))</f>
        <v>82.85</v>
      </c>
      <c r="AT206" s="8" t="n">
        <f aca="false">IF(MAX($BC$2:$BC$921)=MIN($BC$2:$BC$921),50,ROUND((BC206-MIN($BC$2:$BC$921))/(MAX($BC$2:$BC$921)-MIN($BC$2:$BC$921))*100,2))</f>
        <v>50</v>
      </c>
      <c r="AU206" s="8" t="n">
        <f aca="false">IF(MAX($BE$2:$BE$921)=MIN($BE$2:$BE$921),50,ROUND((BE206-MIN($BE$2:$BE$921))/(MAX($BE$2:$BE$921)-MIN($BE$2:$BE$921))*100,2))</f>
        <v>68.36</v>
      </c>
      <c r="AV206" s="8" t="n">
        <f aca="false">IF(MAX($AD$2:$AD$921)=MIN($AD$2:$AD$921),50,ROUND((AD206-MIN($AD$2:$AD$921))/(MAX($AD$2:$AD$921)-MIN($AD$2:$AD$921))*100,2))</f>
        <v>24.46</v>
      </c>
      <c r="AW206" s="8" t="n">
        <f aca="false">IF(MAX($AN$2:$AN$921)=MIN($AN$2:$AN$921),50,ROUND((AN206-MIN($AN$2:$AN$921))/(MAX($AN$2:$AN$921)-MIN($AN$2:$AN$921))*100,2))</f>
        <v>90</v>
      </c>
      <c r="AX206" s="8" t="n">
        <f aca="false">AQ206*100</f>
        <v>0</v>
      </c>
      <c r="AY206" s="8" t="n">
        <f aca="false">AR206*100</f>
        <v>100</v>
      </c>
      <c r="AZ206" s="8" t="n">
        <f aca="false">IFERROR(ROUND(AS206*Assumptions!$I$6+AW206*Assumptions!$I$7+AT206*Assumptions!$I$8+AU206*Assumptions!$I$9+AV206*Assumptions!$I$10+AX206*Assumptions!$I$11+AY206*Assumptions!$I$12,2),"")</f>
        <v>68.06</v>
      </c>
      <c r="BA206" s="0" t="str">
        <f aca="false">IF(AZ206="","",IF(AZ206&lt;=Assumptions!$I$18,"Below Expectation",IF(AZ206&lt;=Assumptions!$I$19,"Developing",IF(AZ206&lt;=Assumptions!$I$20,"Meets Expectation",IF(AZ206&lt;=Assumptions!$I$21,"Exceeds","Star Performer")))))</f>
        <v>Meets Expectation</v>
      </c>
      <c r="BB206" s="0" t="n">
        <f aca="false">IF(AZ206="",0,IF(AZ206&gt;=Assumptions!$I$26,1,0))</f>
        <v>0</v>
      </c>
      <c r="BC206" s="9" t="n">
        <f aca="false">IF(AL206="",2,AL206+2)</f>
        <v>2</v>
      </c>
      <c r="BD206" s="10" t="n">
        <f aca="false">IF(AM206="",ROUND(AVERAGE($AM$2:$AM$921),3),AM206)</f>
        <v>0.548</v>
      </c>
      <c r="BE206" s="9" t="n">
        <f aca="false">1-BD206</f>
        <v>0.452</v>
      </c>
    </row>
    <row r="207" customFormat="false" ht="14.25" hidden="true" customHeight="false" outlineLevel="0" collapsed="false">
      <c r="A207" s="4" t="n">
        <v>242</v>
      </c>
      <c r="B207" s="5" t="n">
        <v>10061721</v>
      </c>
      <c r="C207" s="5" t="s">
        <v>57</v>
      </c>
      <c r="D207" s="5" t="s">
        <v>1139</v>
      </c>
      <c r="E207" s="5" t="s">
        <v>456</v>
      </c>
      <c r="F207" s="5" t="s">
        <v>387</v>
      </c>
      <c r="G207" s="5" t="s">
        <v>388</v>
      </c>
      <c r="H207" s="5" t="s">
        <v>387</v>
      </c>
      <c r="I207" s="5" t="s">
        <v>63</v>
      </c>
      <c r="J207" s="5" t="s">
        <v>100</v>
      </c>
      <c r="K207" s="5" t="s">
        <v>65</v>
      </c>
      <c r="L207" s="6" t="n">
        <v>43143</v>
      </c>
      <c r="M207" s="5" t="s">
        <v>261</v>
      </c>
      <c r="N207" s="6" t="n">
        <v>32134</v>
      </c>
      <c r="O207" s="5" t="s">
        <v>262</v>
      </c>
      <c r="P207" s="5" t="s">
        <v>263</v>
      </c>
      <c r="Q207" s="5" t="s">
        <v>1140</v>
      </c>
      <c r="R207" s="5" t="s">
        <v>486</v>
      </c>
      <c r="S207" s="5" t="s">
        <v>715</v>
      </c>
      <c r="T207" s="6"/>
      <c r="U207" s="6" t="n">
        <v>45748</v>
      </c>
      <c r="V207" s="5" t="s">
        <v>83</v>
      </c>
      <c r="W207" s="5" t="s">
        <v>83</v>
      </c>
      <c r="X207" s="5" t="s">
        <v>83</v>
      </c>
      <c r="Y207" s="5" t="s">
        <v>83</v>
      </c>
      <c r="Z207" s="5" t="s">
        <v>141</v>
      </c>
      <c r="AA207" s="5" t="s">
        <v>1141</v>
      </c>
      <c r="AB207" s="0" t="n">
        <f aca="false">IFERROR(VALUE(R207),0)</f>
        <v>6.5</v>
      </c>
      <c r="AC207" s="0" t="n">
        <f aca="false">IFERROR(VALUE(M207),"")</f>
        <v>38.5</v>
      </c>
      <c r="AD207" s="0" t="n">
        <f aca="false">IFERROR(VALUE(Q207),"")</f>
        <v>8.3</v>
      </c>
      <c r="AE207" s="0" t="n">
        <f aca="false">IFERROR(VALUE(S207),"")</f>
        <v>14.8</v>
      </c>
      <c r="AF207" s="0" t="n">
        <f aca="false">IF(V207="","",VLOOKUP(V207,Assumptions!$B$6:$C$9,2,FALSE()))</f>
        <v>4</v>
      </c>
      <c r="AG207" s="0" t="n">
        <f aca="false">IF(W207="","",VLOOKUP(W207,Assumptions!$B$6:$C$9,2,FALSE()))</f>
        <v>4</v>
      </c>
      <c r="AH207" s="0" t="n">
        <f aca="false">IF(X207="","",VLOOKUP(X207,Assumptions!$B$6:$C$9,2,FALSE()))</f>
        <v>4</v>
      </c>
      <c r="AI207" s="0" t="n">
        <f aca="false">IF(Y207="","",VLOOKUP(Y207,Assumptions!$B$6:$C$9,2,FALSE()))</f>
        <v>4</v>
      </c>
      <c r="AJ207" s="0" t="n">
        <f aca="false">IF(Z207="","",VLOOKUP(Z207,Assumptions!$B$6:$C$9,2,FALSE()))</f>
        <v>3</v>
      </c>
      <c r="AK207" s="7" t="n">
        <f aca="false">IFERROR(ROUND(AVERAGE(AF207:AJ207),3),"")</f>
        <v>3.8</v>
      </c>
      <c r="AL207" s="7" t="n">
        <f aca="false">IF(OR(AF207="",AJ207=""),"",AJ207-AF207)</f>
        <v>-1</v>
      </c>
      <c r="AM207" s="7" t="n">
        <f aca="false">IF(COUNT(AF207:AJ207)&gt;=2,ROUND(_xlfn.STDEV.S(AF207:AJ207),3),"")</f>
        <v>0.447</v>
      </c>
      <c r="AN207" s="7" t="n">
        <f aca="false">ROUND((IF(AF207="",0,AF207)*Assumptions!$F$15)+(IF(AG207="",0,AG207)*Assumptions!$F$16)+(IF(AH207="",0,AH207)*Assumptions!$F$17)+(IF(AI207="",0,AI207)*Assumptions!$F$18)+(IF(AJ207="",0,AJ207)*Assumptions!$F$19),3)</f>
        <v>3.7</v>
      </c>
      <c r="AO207" s="0" t="str">
        <f aca="false">IF(AC207&lt;=20,"",IF(AC207&lt;=Assumptions!$F$6,"20-30",IF(AC207&lt;=Assumptions!$F$7,"30-40",IF(AC207&lt;=Assumptions!$F$8,"40-50",IF(AC207&lt;=Assumptions!$F$9,"50-60",IF(AC207&lt;=Assumptions!$F$10,"60+",""))))))</f>
        <v>30-40</v>
      </c>
      <c r="AP207" s="0" t="str">
        <f aca="false">IFERROR(VLOOKUP(O207,Assumptions!$B$14:$C$26,2,FALSE()),"Other")</f>
        <v>Manager</v>
      </c>
      <c r="AQ207" s="0" t="n">
        <f aca="false">IF(T207="",0,1)</f>
        <v>0</v>
      </c>
      <c r="AR207" s="0" t="n">
        <f aca="false">IF(U207="",0,1)</f>
        <v>1</v>
      </c>
      <c r="AS207" s="8" t="n">
        <f aca="false">IF(AK207="","",IF(MAX($AK$2:$AK$921)=MIN($AK$2:$AK$921),50,ROUND((AK207-MIN($AK$2:$AK$921))/(MAX($AK$2:$AK$921)-MIN($AK$2:$AK$921))*100,2)))</f>
        <v>91.43</v>
      </c>
      <c r="AT207" s="8" t="n">
        <f aca="false">IF(MAX($BC$2:$BC$921)=MIN($BC$2:$BC$921),50,ROUND((BC207-MIN($BC$2:$BC$921))/(MAX($BC$2:$BC$921)-MIN($BC$2:$BC$921))*100,2))</f>
        <v>25</v>
      </c>
      <c r="AU207" s="8" t="n">
        <f aca="false">IF(MAX($BE$2:$BE$921)=MIN($BE$2:$BE$921),50,ROUND((BE207-MIN($BE$2:$BE$921))/(MAX($BE$2:$BE$921)-MIN($BE$2:$BE$921))*100,2))</f>
        <v>74.19</v>
      </c>
      <c r="AV207" s="8" t="n">
        <f aca="false">IF(MAX($AD$2:$AD$921)=MIN($AD$2:$AD$921),50,ROUND((AD207-MIN($AD$2:$AD$921))/(MAX($AD$2:$AD$921)-MIN($AD$2:$AD$921))*100,2))</f>
        <v>22.26</v>
      </c>
      <c r="AW207" s="8" t="n">
        <f aca="false">IF(MAX($AN$2:$AN$921)=MIN($AN$2:$AN$921),50,ROUND((AN207-MIN($AN$2:$AN$921))/(MAX($AN$2:$AN$921)-MIN($AN$2:$AN$921))*100,2))</f>
        <v>92.5</v>
      </c>
      <c r="AX207" s="8" t="n">
        <f aca="false">AQ207*100</f>
        <v>0</v>
      </c>
      <c r="AY207" s="8" t="n">
        <f aca="false">AR207*100</f>
        <v>100</v>
      </c>
      <c r="AZ207" s="8" t="n">
        <f aca="false">IFERROR(ROUND(AS207*Assumptions!$I$6+AW207*Assumptions!$I$7+AT207*Assumptions!$I$8+AU207*Assumptions!$I$9+AV207*Assumptions!$I$10+AX207*Assumptions!$I$11+AY207*Assumptions!$I$12,2),"")</f>
        <v>68.03</v>
      </c>
      <c r="BA207" s="0" t="str">
        <f aca="false">IF(AZ207="","",IF(AZ207&lt;=Assumptions!$I$18,"Below Expectation",IF(AZ207&lt;=Assumptions!$I$19,"Developing",IF(AZ207&lt;=Assumptions!$I$20,"Meets Expectation",IF(AZ207&lt;=Assumptions!$I$21,"Exceeds","Star Performer")))))</f>
        <v>Meets Expectation</v>
      </c>
      <c r="BB207" s="0" t="n">
        <f aca="false">IF(AZ207="",0,IF(AZ207&gt;=Assumptions!$I$26,1,0))</f>
        <v>0</v>
      </c>
      <c r="BC207" s="9" t="n">
        <f aca="false">IF(AL207="",2,AL207+2)</f>
        <v>1</v>
      </c>
      <c r="BD207" s="10" t="n">
        <f aca="false">IF(AM207="",ROUND(AVERAGE($AM$2:$AM$921),3),AM207)</f>
        <v>0.447</v>
      </c>
      <c r="BE207" s="9" t="n">
        <f aca="false">1-BD207</f>
        <v>0.553</v>
      </c>
    </row>
    <row r="208" customFormat="false" ht="14.25" hidden="false" customHeight="false" outlineLevel="0" collapsed="false">
      <c r="A208" s="4" t="n">
        <v>458</v>
      </c>
      <c r="B208" s="5" t="n">
        <v>55028813</v>
      </c>
      <c r="C208" s="5" t="s">
        <v>106</v>
      </c>
      <c r="D208" s="5" t="s">
        <v>1142</v>
      </c>
      <c r="E208" s="5" t="s">
        <v>108</v>
      </c>
      <c r="F208" s="5" t="s">
        <v>463</v>
      </c>
      <c r="G208" s="5" t="s">
        <v>484</v>
      </c>
      <c r="H208" s="5" t="s">
        <v>483</v>
      </c>
      <c r="I208" s="5" t="s">
        <v>63</v>
      </c>
      <c r="J208" s="5" t="s">
        <v>112</v>
      </c>
      <c r="K208" s="5" t="s">
        <v>65</v>
      </c>
      <c r="L208" s="6" t="n">
        <v>43223</v>
      </c>
      <c r="M208" s="5" t="s">
        <v>1143</v>
      </c>
      <c r="N208" s="6" t="n">
        <v>33507</v>
      </c>
      <c r="O208" s="5" t="s">
        <v>332</v>
      </c>
      <c r="P208" s="5" t="s">
        <v>333</v>
      </c>
      <c r="Q208" s="5" t="s">
        <v>1086</v>
      </c>
      <c r="R208" s="5" t="s">
        <v>287</v>
      </c>
      <c r="S208" s="5" t="s">
        <v>686</v>
      </c>
      <c r="T208" s="6"/>
      <c r="U208" s="6" t="n">
        <v>45992</v>
      </c>
      <c r="V208" s="5" t="s">
        <v>83</v>
      </c>
      <c r="W208" s="5" t="s">
        <v>141</v>
      </c>
      <c r="X208" s="5" t="s">
        <v>141</v>
      </c>
      <c r="Y208" s="5" t="s">
        <v>83</v>
      </c>
      <c r="Z208" s="5" t="s">
        <v>83</v>
      </c>
      <c r="AA208" s="5" t="s">
        <v>1144</v>
      </c>
      <c r="AB208" s="0" t="n">
        <f aca="false">IFERROR(VALUE(R208),0)</f>
        <v>4</v>
      </c>
      <c r="AC208" s="0" t="n">
        <f aca="false">IFERROR(VALUE(M208),"")</f>
        <v>34.8</v>
      </c>
      <c r="AD208" s="0" t="n">
        <f aca="false">IFERROR(VALUE(Q208),"")</f>
        <v>8.1</v>
      </c>
      <c r="AE208" s="0" t="n">
        <f aca="false">IFERROR(VALUE(S208),"")</f>
        <v>12.1</v>
      </c>
      <c r="AF208" s="0" t="n">
        <f aca="false">IF(V208="","",VLOOKUP(V208,Assumptions!$B$6:$C$9,2,FALSE()))</f>
        <v>4</v>
      </c>
      <c r="AG208" s="0" t="n">
        <f aca="false">IF(W208="","",VLOOKUP(W208,Assumptions!$B$6:$C$9,2,FALSE()))</f>
        <v>3</v>
      </c>
      <c r="AH208" s="0" t="n">
        <f aca="false">IF(X208="","",VLOOKUP(X208,Assumptions!$B$6:$C$9,2,FALSE()))</f>
        <v>3</v>
      </c>
      <c r="AI208" s="0" t="n">
        <f aca="false">IF(Y208="","",VLOOKUP(Y208,Assumptions!$B$6:$C$9,2,FALSE()))</f>
        <v>4</v>
      </c>
      <c r="AJ208" s="0" t="n">
        <f aca="false">IF(Z208="","",VLOOKUP(Z208,Assumptions!$B$6:$C$9,2,FALSE()))</f>
        <v>4</v>
      </c>
      <c r="AK208" s="7" t="n">
        <f aca="false">IFERROR(ROUND(AVERAGE(AF208:AJ208),3),"")</f>
        <v>3.6</v>
      </c>
      <c r="AL208" s="7" t="n">
        <f aca="false">IF(OR(AF208="",AJ208=""),"",AJ208-AF208)</f>
        <v>0</v>
      </c>
      <c r="AM208" s="7" t="n">
        <f aca="false">IF(COUNT(AF208:AJ208)&gt;=2,ROUND(_xlfn.STDEV.S(AF208:AJ208),3),"")</f>
        <v>0.548</v>
      </c>
      <c r="AN208" s="7" t="n">
        <f aca="false">ROUND((IF(AF208="",0,AF208)*Assumptions!$F$15)+(IF(AG208="",0,AG208)*Assumptions!$F$16)+(IF(AH208="",0,AH208)*Assumptions!$F$17)+(IF(AI208="",0,AI208)*Assumptions!$F$18)+(IF(AJ208="",0,AJ208)*Assumptions!$F$19),3)</f>
        <v>3.65</v>
      </c>
      <c r="AO208" s="0" t="str">
        <f aca="false">IF(AC208&lt;=20,"",IF(AC208&lt;=Assumptions!$F$6,"20-30",IF(AC208&lt;=Assumptions!$F$7,"30-40",IF(AC208&lt;=Assumptions!$F$8,"40-50",IF(AC208&lt;=Assumptions!$F$9,"50-60",IF(AC208&lt;=Assumptions!$F$10,"60+",""))))))</f>
        <v>30-40</v>
      </c>
      <c r="AP208" s="0" t="str">
        <f aca="false">IFERROR(VLOOKUP(O208,Assumptions!$B$14:$C$26,2,FALSE()),"Other")</f>
        <v>Manager</v>
      </c>
      <c r="AQ208" s="0" t="n">
        <f aca="false">IF(T208="",0,1)</f>
        <v>0</v>
      </c>
      <c r="AR208" s="0" t="n">
        <f aca="false">IF(U208="",0,1)</f>
        <v>1</v>
      </c>
      <c r="AS208" s="8" t="n">
        <f aca="false">IF(AK208="","",IF(MAX($AK$2:$AK$921)=MIN($AK$2:$AK$921),50,ROUND((AK208-MIN($AK$2:$AK$921))/(MAX($AK$2:$AK$921)-MIN($AK$2:$AK$921))*100,2)))</f>
        <v>82.85</v>
      </c>
      <c r="AT208" s="8" t="n">
        <f aca="false">IF(MAX($BC$2:$BC$921)=MIN($BC$2:$BC$921),50,ROUND((BC208-MIN($BC$2:$BC$921))/(MAX($BC$2:$BC$921)-MIN($BC$2:$BC$921))*100,2))</f>
        <v>50</v>
      </c>
      <c r="AU208" s="8" t="n">
        <f aca="false">IF(MAX($BE$2:$BE$921)=MIN($BE$2:$BE$921),50,ROUND((BE208-MIN($BE$2:$BE$921))/(MAX($BE$2:$BE$921)-MIN($BE$2:$BE$921))*100,2))</f>
        <v>68.36</v>
      </c>
      <c r="AV208" s="8" t="n">
        <f aca="false">IF(MAX($AD$2:$AD$921)=MIN($AD$2:$AD$921),50,ROUND((AD208-MIN($AD$2:$AD$921))/(MAX($AD$2:$AD$921)-MIN($AD$2:$AD$921))*100,2))</f>
        <v>21.72</v>
      </c>
      <c r="AW208" s="8" t="n">
        <f aca="false">IF(MAX($AN$2:$AN$921)=MIN($AN$2:$AN$921),50,ROUND((AN208-MIN($AN$2:$AN$921))/(MAX($AN$2:$AN$921)-MIN($AN$2:$AN$921))*100,2))</f>
        <v>91.25</v>
      </c>
      <c r="AX208" s="8" t="n">
        <f aca="false">AQ208*100</f>
        <v>0</v>
      </c>
      <c r="AY208" s="8" t="n">
        <f aca="false">AR208*100</f>
        <v>100</v>
      </c>
      <c r="AZ208" s="8" t="n">
        <f aca="false">IFERROR(ROUND(AS208*Assumptions!$I$6+AW208*Assumptions!$I$7+AT208*Assumptions!$I$8+AU208*Assumptions!$I$9+AV208*Assumptions!$I$10+AX208*Assumptions!$I$11+AY208*Assumptions!$I$12,2),"")</f>
        <v>68.03</v>
      </c>
      <c r="BA208" s="0" t="str">
        <f aca="false">IF(AZ208="","",IF(AZ208&lt;=Assumptions!$I$18,"Below Expectation",IF(AZ208&lt;=Assumptions!$I$19,"Developing",IF(AZ208&lt;=Assumptions!$I$20,"Meets Expectation",IF(AZ208&lt;=Assumptions!$I$21,"Exceeds","Star Performer")))))</f>
        <v>Meets Expectation</v>
      </c>
      <c r="BB208" s="0" t="n">
        <f aca="false">IF(AZ208="",0,IF(AZ208&gt;=Assumptions!$I$26,1,0))</f>
        <v>0</v>
      </c>
      <c r="BC208" s="9" t="n">
        <f aca="false">IF(AL208="",2,AL208+2)</f>
        <v>2</v>
      </c>
      <c r="BD208" s="10" t="n">
        <f aca="false">IF(AM208="",ROUND(AVERAGE($AM$2:$AM$921),3),AM208)</f>
        <v>0.548</v>
      </c>
      <c r="BE208" s="9" t="n">
        <f aca="false">1-BD208</f>
        <v>0.452</v>
      </c>
    </row>
    <row r="209" customFormat="false" ht="14.25" hidden="true" customHeight="false" outlineLevel="0" collapsed="false">
      <c r="A209" s="4" t="n">
        <v>52</v>
      </c>
      <c r="B209" s="5" t="n">
        <v>10012522</v>
      </c>
      <c r="C209" s="5" t="s">
        <v>57</v>
      </c>
      <c r="D209" s="5" t="s">
        <v>1145</v>
      </c>
      <c r="E209" s="5" t="s">
        <v>607</v>
      </c>
      <c r="F209" s="5" t="s">
        <v>209</v>
      </c>
      <c r="G209" s="5" t="s">
        <v>210</v>
      </c>
      <c r="H209" s="5" t="s">
        <v>209</v>
      </c>
      <c r="I209" s="5" t="s">
        <v>63</v>
      </c>
      <c r="J209" s="5" t="s">
        <v>100</v>
      </c>
      <c r="K209" s="5" t="s">
        <v>65</v>
      </c>
      <c r="L209" s="6" t="n">
        <v>38824</v>
      </c>
      <c r="M209" s="5" t="s">
        <v>1146</v>
      </c>
      <c r="N209" s="6" t="n">
        <v>30129</v>
      </c>
      <c r="O209" s="5" t="s">
        <v>162</v>
      </c>
      <c r="P209" s="5" t="s">
        <v>162</v>
      </c>
      <c r="Q209" s="5" t="s">
        <v>644</v>
      </c>
      <c r="R209" s="5" t="s">
        <v>164</v>
      </c>
      <c r="S209" s="5" t="s">
        <v>1147</v>
      </c>
      <c r="T209" s="6" t="n">
        <v>41365</v>
      </c>
      <c r="U209" s="6" t="n">
        <v>45748</v>
      </c>
      <c r="V209" s="5" t="s">
        <v>83</v>
      </c>
      <c r="W209" s="5" t="s">
        <v>83</v>
      </c>
      <c r="X209" s="5" t="s">
        <v>141</v>
      </c>
      <c r="Y209" s="5" t="s">
        <v>141</v>
      </c>
      <c r="Z209" s="5" t="s">
        <v>141</v>
      </c>
      <c r="AA209" s="5" t="s">
        <v>1148</v>
      </c>
      <c r="AB209" s="0" t="n">
        <f aca="false">IFERROR(VALUE(R209),0)</f>
        <v>3.5</v>
      </c>
      <c r="AC209" s="0" t="n">
        <f aca="false">IFERROR(VALUE(M209),"")</f>
        <v>43.11</v>
      </c>
      <c r="AD209" s="0" t="n">
        <f aca="false">IFERROR(VALUE(Q209),"")</f>
        <v>20.1</v>
      </c>
      <c r="AE209" s="0" t="n">
        <f aca="false">IFERROR(VALUE(S209),"")</f>
        <v>23.6</v>
      </c>
      <c r="AF209" s="0" t="n">
        <f aca="false">IF(V209="","",VLOOKUP(V209,Assumptions!$B$6:$C$9,2,FALSE()))</f>
        <v>4</v>
      </c>
      <c r="AG209" s="0" t="n">
        <f aca="false">IF(W209="","",VLOOKUP(W209,Assumptions!$B$6:$C$9,2,FALSE()))</f>
        <v>4</v>
      </c>
      <c r="AH209" s="0" t="n">
        <f aca="false">IF(X209="","",VLOOKUP(X209,Assumptions!$B$6:$C$9,2,FALSE()))</f>
        <v>3</v>
      </c>
      <c r="AI209" s="0" t="n">
        <f aca="false">IF(Y209="","",VLOOKUP(Y209,Assumptions!$B$6:$C$9,2,FALSE()))</f>
        <v>3</v>
      </c>
      <c r="AJ209" s="0" t="n">
        <f aca="false">IF(Z209="","",VLOOKUP(Z209,Assumptions!$B$6:$C$9,2,FALSE()))</f>
        <v>3</v>
      </c>
      <c r="AK209" s="7" t="n">
        <f aca="false">IFERROR(ROUND(AVERAGE(AF209:AJ209),3),"")</f>
        <v>3.4</v>
      </c>
      <c r="AL209" s="7" t="n">
        <f aca="false">IF(OR(AF209="",AJ209=""),"",AJ209-AF209)</f>
        <v>-1</v>
      </c>
      <c r="AM209" s="7" t="n">
        <f aca="false">IF(COUNT(AF209:AJ209)&gt;=2,ROUND(_xlfn.STDEV.S(AF209:AJ209),3),"")</f>
        <v>0.548</v>
      </c>
      <c r="AN209" s="7" t="n">
        <f aca="false">ROUND((IF(AF209="",0,AF209)*Assumptions!$F$15)+(IF(AG209="",0,AG209)*Assumptions!$F$16)+(IF(AH209="",0,AH209)*Assumptions!$F$17)+(IF(AI209="",0,AI209)*Assumptions!$F$18)+(IF(AJ209="",0,AJ209)*Assumptions!$F$19),3)</f>
        <v>3.25</v>
      </c>
      <c r="AO209" s="0" t="str">
        <f aca="false">IF(AC209&lt;=20,"",IF(AC209&lt;=Assumptions!$F$6,"20-30",IF(AC209&lt;=Assumptions!$F$7,"30-40",IF(AC209&lt;=Assumptions!$F$8,"40-50",IF(AC209&lt;=Assumptions!$F$9,"50-60",IF(AC209&lt;=Assumptions!$F$10,"60+",""))))))</f>
        <v>40-50</v>
      </c>
      <c r="AP209" s="0" t="str">
        <f aca="false">IFERROR(VLOOKUP(O209,Assumptions!$B$14:$C$26,2,FALSE()),"Other")</f>
        <v>Manager</v>
      </c>
      <c r="AQ209" s="0" t="n">
        <f aca="false">IF(T209="",0,1)</f>
        <v>1</v>
      </c>
      <c r="AR209" s="0" t="n">
        <f aca="false">IF(U209="",0,1)</f>
        <v>1</v>
      </c>
      <c r="AS209" s="8" t="n">
        <f aca="false">IF(AK209="","",IF(MAX($AK$2:$AK$921)=MIN($AK$2:$AK$921),50,ROUND((AK209-MIN($AK$2:$AK$921))/(MAX($AK$2:$AK$921)-MIN($AK$2:$AK$921))*100,2)))</f>
        <v>74.28</v>
      </c>
      <c r="AT209" s="8" t="n">
        <f aca="false">IF(MAX($BC$2:$BC$921)=MIN($BC$2:$BC$921),50,ROUND((BC209-MIN($BC$2:$BC$921))/(MAX($BC$2:$BC$921)-MIN($BC$2:$BC$921))*100,2))</f>
        <v>25</v>
      </c>
      <c r="AU209" s="8" t="n">
        <f aca="false">IF(MAX($BE$2:$BE$921)=MIN($BE$2:$BE$921),50,ROUND((BE209-MIN($BE$2:$BE$921))/(MAX($BE$2:$BE$921)-MIN($BE$2:$BE$921))*100,2))</f>
        <v>68.36</v>
      </c>
      <c r="AV209" s="8" t="n">
        <f aca="false">IF(MAX($AD$2:$AD$921)=MIN($AD$2:$AD$921),50,ROUND((AD209-MIN($AD$2:$AD$921))/(MAX($AD$2:$AD$921)-MIN($AD$2:$AD$921))*100,2))</f>
        <v>54.34</v>
      </c>
      <c r="AW209" s="8" t="n">
        <f aca="false">IF(MAX($AN$2:$AN$921)=MIN($AN$2:$AN$921),50,ROUND((AN209-MIN($AN$2:$AN$921))/(MAX($AN$2:$AN$921)-MIN($AN$2:$AN$921))*100,2))</f>
        <v>81.25</v>
      </c>
      <c r="AX209" s="8" t="n">
        <f aca="false">AQ209*100</f>
        <v>100</v>
      </c>
      <c r="AY209" s="8" t="n">
        <f aca="false">AR209*100</f>
        <v>100</v>
      </c>
      <c r="AZ209" s="8" t="n">
        <f aca="false">IFERROR(ROUND(AS209*Assumptions!$I$6+AW209*Assumptions!$I$7+AT209*Assumptions!$I$8+AU209*Assumptions!$I$9+AV209*Assumptions!$I$10+AX209*Assumptions!$I$11+AY209*Assumptions!$I$12,2),"")</f>
        <v>67.97</v>
      </c>
      <c r="BA209" s="0" t="str">
        <f aca="false">IF(AZ209="","",IF(AZ209&lt;=Assumptions!$I$18,"Below Expectation",IF(AZ209&lt;=Assumptions!$I$19,"Developing",IF(AZ209&lt;=Assumptions!$I$20,"Meets Expectation",IF(AZ209&lt;=Assumptions!$I$21,"Exceeds","Star Performer")))))</f>
        <v>Meets Expectation</v>
      </c>
      <c r="BB209" s="0" t="n">
        <f aca="false">IF(AZ209="",0,IF(AZ209&gt;=Assumptions!$I$26,1,0))</f>
        <v>0</v>
      </c>
      <c r="BC209" s="9" t="n">
        <f aca="false">IF(AL209="",2,AL209+2)</f>
        <v>1</v>
      </c>
      <c r="BD209" s="10" t="n">
        <f aca="false">IF(AM209="",ROUND(AVERAGE($AM$2:$AM$921),3),AM209)</f>
        <v>0.548</v>
      </c>
      <c r="BE209" s="9" t="n">
        <f aca="false">1-BD209</f>
        <v>0.452</v>
      </c>
    </row>
    <row r="210" customFormat="false" ht="14.25" hidden="true" customHeight="false" outlineLevel="0" collapsed="false">
      <c r="A210" s="4" t="n">
        <v>253</v>
      </c>
      <c r="B210" s="5" t="n">
        <v>10066249</v>
      </c>
      <c r="C210" s="5" t="s">
        <v>57</v>
      </c>
      <c r="D210" s="5" t="s">
        <v>1149</v>
      </c>
      <c r="E210" s="5" t="s">
        <v>1150</v>
      </c>
      <c r="F210" s="5" t="s">
        <v>608</v>
      </c>
      <c r="G210" s="5" t="s">
        <v>609</v>
      </c>
      <c r="H210" s="5" t="s">
        <v>608</v>
      </c>
      <c r="I210" s="5" t="s">
        <v>63</v>
      </c>
      <c r="J210" s="5" t="s">
        <v>100</v>
      </c>
      <c r="K210" s="5" t="s">
        <v>65</v>
      </c>
      <c r="L210" s="6" t="n">
        <v>43423</v>
      </c>
      <c r="M210" s="5" t="s">
        <v>1018</v>
      </c>
      <c r="N210" s="6" t="n">
        <v>29785</v>
      </c>
      <c r="O210" s="5" t="s">
        <v>332</v>
      </c>
      <c r="P210" s="5" t="s">
        <v>333</v>
      </c>
      <c r="Q210" s="5" t="s">
        <v>807</v>
      </c>
      <c r="R210" s="5" t="s">
        <v>1151</v>
      </c>
      <c r="S210" s="5" t="s">
        <v>323</v>
      </c>
      <c r="T210" s="6"/>
      <c r="U210" s="6" t="n">
        <v>45748</v>
      </c>
      <c r="V210" s="5" t="s">
        <v>83</v>
      </c>
      <c r="W210" s="5" t="s">
        <v>83</v>
      </c>
      <c r="X210" s="5" t="s">
        <v>83</v>
      </c>
      <c r="Y210" s="5" t="s">
        <v>83</v>
      </c>
      <c r="Z210" s="5" t="s">
        <v>141</v>
      </c>
      <c r="AA210" s="5" t="s">
        <v>1152</v>
      </c>
      <c r="AB210" s="0" t="n">
        <f aca="false">IFERROR(VALUE(R210),0)</f>
        <v>11.11</v>
      </c>
      <c r="AC210" s="0" t="n">
        <f aca="false">IFERROR(VALUE(M210),"")</f>
        <v>44.1</v>
      </c>
      <c r="AD210" s="0" t="n">
        <f aca="false">IFERROR(VALUE(Q210),"")</f>
        <v>7.6</v>
      </c>
      <c r="AE210" s="0" t="n">
        <f aca="false">IFERROR(VALUE(S210),"")</f>
        <v>19.5</v>
      </c>
      <c r="AF210" s="0" t="n">
        <f aca="false">IF(V210="","",VLOOKUP(V210,Assumptions!$B$6:$C$9,2,FALSE()))</f>
        <v>4</v>
      </c>
      <c r="AG210" s="0" t="n">
        <f aca="false">IF(W210="","",VLOOKUP(W210,Assumptions!$B$6:$C$9,2,FALSE()))</f>
        <v>4</v>
      </c>
      <c r="AH210" s="0" t="n">
        <f aca="false">IF(X210="","",VLOOKUP(X210,Assumptions!$B$6:$C$9,2,FALSE()))</f>
        <v>4</v>
      </c>
      <c r="AI210" s="0" t="n">
        <f aca="false">IF(Y210="","",VLOOKUP(Y210,Assumptions!$B$6:$C$9,2,FALSE()))</f>
        <v>4</v>
      </c>
      <c r="AJ210" s="0" t="n">
        <f aca="false">IF(Z210="","",VLOOKUP(Z210,Assumptions!$B$6:$C$9,2,FALSE()))</f>
        <v>3</v>
      </c>
      <c r="AK210" s="7" t="n">
        <f aca="false">IFERROR(ROUND(AVERAGE(AF210:AJ210),3),"")</f>
        <v>3.8</v>
      </c>
      <c r="AL210" s="7" t="n">
        <f aca="false">IF(OR(AF210="",AJ210=""),"",AJ210-AF210)</f>
        <v>-1</v>
      </c>
      <c r="AM210" s="7" t="n">
        <f aca="false">IF(COUNT(AF210:AJ210)&gt;=2,ROUND(_xlfn.STDEV.S(AF210:AJ210),3),"")</f>
        <v>0.447</v>
      </c>
      <c r="AN210" s="7" t="n">
        <f aca="false">ROUND((IF(AF210="",0,AF210)*Assumptions!$F$15)+(IF(AG210="",0,AG210)*Assumptions!$F$16)+(IF(AH210="",0,AH210)*Assumptions!$F$17)+(IF(AI210="",0,AI210)*Assumptions!$F$18)+(IF(AJ210="",0,AJ210)*Assumptions!$F$19),3)</f>
        <v>3.7</v>
      </c>
      <c r="AO210" s="0" t="str">
        <f aca="false">IF(AC210&lt;=20,"",IF(AC210&lt;=Assumptions!$F$6,"20-30",IF(AC210&lt;=Assumptions!$F$7,"30-40",IF(AC210&lt;=Assumptions!$F$8,"40-50",IF(AC210&lt;=Assumptions!$F$9,"50-60",IF(AC210&lt;=Assumptions!$F$10,"60+",""))))))</f>
        <v>40-50</v>
      </c>
      <c r="AP210" s="0" t="str">
        <f aca="false">IFERROR(VLOOKUP(O210,Assumptions!$B$14:$C$26,2,FALSE()),"Other")</f>
        <v>Manager</v>
      </c>
      <c r="AQ210" s="0" t="n">
        <f aca="false">IF(T210="",0,1)</f>
        <v>0</v>
      </c>
      <c r="AR210" s="0" t="n">
        <f aca="false">IF(U210="",0,1)</f>
        <v>1</v>
      </c>
      <c r="AS210" s="8" t="n">
        <f aca="false">IF(AK210="","",IF(MAX($AK$2:$AK$921)=MIN($AK$2:$AK$921),50,ROUND((AK210-MIN($AK$2:$AK$921))/(MAX($AK$2:$AK$921)-MIN($AK$2:$AK$921))*100,2)))</f>
        <v>91.43</v>
      </c>
      <c r="AT210" s="8" t="n">
        <f aca="false">IF(MAX($BC$2:$BC$921)=MIN($BC$2:$BC$921),50,ROUND((BC210-MIN($BC$2:$BC$921))/(MAX($BC$2:$BC$921)-MIN($BC$2:$BC$921))*100,2))</f>
        <v>25</v>
      </c>
      <c r="AU210" s="8" t="n">
        <f aca="false">IF(MAX($BE$2:$BE$921)=MIN($BE$2:$BE$921),50,ROUND((BE210-MIN($BE$2:$BE$921))/(MAX($BE$2:$BE$921)-MIN($BE$2:$BE$921))*100,2))</f>
        <v>74.19</v>
      </c>
      <c r="AV210" s="8" t="n">
        <f aca="false">IF(MAX($AD$2:$AD$921)=MIN($AD$2:$AD$921),50,ROUND((AD210-MIN($AD$2:$AD$921))/(MAX($AD$2:$AD$921)-MIN($AD$2:$AD$921))*100,2))</f>
        <v>20.36</v>
      </c>
      <c r="AW210" s="8" t="n">
        <f aca="false">IF(MAX($AN$2:$AN$921)=MIN($AN$2:$AN$921),50,ROUND((AN210-MIN($AN$2:$AN$921))/(MAX($AN$2:$AN$921)-MIN($AN$2:$AN$921))*100,2))</f>
        <v>92.5</v>
      </c>
      <c r="AX210" s="8" t="n">
        <f aca="false">AQ210*100</f>
        <v>0</v>
      </c>
      <c r="AY210" s="8" t="n">
        <f aca="false">AR210*100</f>
        <v>100</v>
      </c>
      <c r="AZ210" s="8" t="n">
        <f aca="false">IFERROR(ROUND(AS210*Assumptions!$I$6+AW210*Assumptions!$I$7+AT210*Assumptions!$I$8+AU210*Assumptions!$I$9+AV210*Assumptions!$I$10+AX210*Assumptions!$I$11+AY210*Assumptions!$I$12,2),"")</f>
        <v>67.84</v>
      </c>
      <c r="BA210" s="0" t="str">
        <f aca="false">IF(AZ210="","",IF(AZ210&lt;=Assumptions!$I$18,"Below Expectation",IF(AZ210&lt;=Assumptions!$I$19,"Developing",IF(AZ210&lt;=Assumptions!$I$20,"Meets Expectation",IF(AZ210&lt;=Assumptions!$I$21,"Exceeds","Star Performer")))))</f>
        <v>Meets Expectation</v>
      </c>
      <c r="BB210" s="0" t="n">
        <f aca="false">IF(AZ210="",0,IF(AZ210&gt;=Assumptions!$I$26,1,0))</f>
        <v>0</v>
      </c>
      <c r="BC210" s="9" t="n">
        <f aca="false">IF(AL210="",2,AL210+2)</f>
        <v>1</v>
      </c>
      <c r="BD210" s="10" t="n">
        <f aca="false">IF(AM210="",ROUND(AVERAGE($AM$2:$AM$921),3),AM210)</f>
        <v>0.447</v>
      </c>
      <c r="BE210" s="9" t="n">
        <f aca="false">1-BD210</f>
        <v>0.553</v>
      </c>
    </row>
    <row r="211" customFormat="false" ht="14.25" hidden="false" customHeight="false" outlineLevel="0" collapsed="false">
      <c r="A211" s="4" t="n">
        <v>305</v>
      </c>
      <c r="B211" s="5" t="n">
        <v>10071903</v>
      </c>
      <c r="C211" s="5" t="s">
        <v>106</v>
      </c>
      <c r="D211" s="5" t="s">
        <v>1153</v>
      </c>
      <c r="E211" s="5" t="s">
        <v>108</v>
      </c>
      <c r="F211" s="5" t="s">
        <v>483</v>
      </c>
      <c r="G211" s="5" t="s">
        <v>484</v>
      </c>
      <c r="H211" s="5" t="s">
        <v>483</v>
      </c>
      <c r="I211" s="5" t="s">
        <v>63</v>
      </c>
      <c r="J211" s="5" t="s">
        <v>112</v>
      </c>
      <c r="K211" s="5" t="s">
        <v>65</v>
      </c>
      <c r="L211" s="6" t="n">
        <v>43871</v>
      </c>
      <c r="M211" s="5" t="s">
        <v>277</v>
      </c>
      <c r="N211" s="6" t="n">
        <v>34705</v>
      </c>
      <c r="O211" s="5" t="s">
        <v>332</v>
      </c>
      <c r="P211" s="5" t="s">
        <v>333</v>
      </c>
      <c r="Q211" s="5" t="s">
        <v>495</v>
      </c>
      <c r="R211" s="5" t="s">
        <v>433</v>
      </c>
      <c r="S211" s="5" t="s">
        <v>569</v>
      </c>
      <c r="T211" s="6"/>
      <c r="U211" s="6" t="n">
        <v>45992</v>
      </c>
      <c r="V211" s="5" t="s">
        <v>141</v>
      </c>
      <c r="W211" s="5" t="s">
        <v>83</v>
      </c>
      <c r="X211" s="5" t="s">
        <v>141</v>
      </c>
      <c r="Y211" s="5" t="s">
        <v>141</v>
      </c>
      <c r="Z211" s="5" t="s">
        <v>83</v>
      </c>
      <c r="AA211" s="5" t="s">
        <v>1154</v>
      </c>
      <c r="AB211" s="0" t="n">
        <f aca="false">IFERROR(VALUE(R211),0)</f>
        <v>3</v>
      </c>
      <c r="AC211" s="0" t="n">
        <f aca="false">IFERROR(VALUE(M211),"")</f>
        <v>31.5</v>
      </c>
      <c r="AD211" s="0" t="n">
        <f aca="false">IFERROR(VALUE(Q211),"")</f>
        <v>6.3</v>
      </c>
      <c r="AE211" s="0" t="n">
        <f aca="false">IFERROR(VALUE(S211),"")</f>
        <v>9.3</v>
      </c>
      <c r="AF211" s="0" t="n">
        <f aca="false">IF(V211="","",VLOOKUP(V211,Assumptions!$B$6:$C$9,2,FALSE()))</f>
        <v>3</v>
      </c>
      <c r="AG211" s="0" t="n">
        <f aca="false">IF(W211="","",VLOOKUP(W211,Assumptions!$B$6:$C$9,2,FALSE()))</f>
        <v>4</v>
      </c>
      <c r="AH211" s="0" t="n">
        <f aca="false">IF(X211="","",VLOOKUP(X211,Assumptions!$B$6:$C$9,2,FALSE()))</f>
        <v>3</v>
      </c>
      <c r="AI211" s="0" t="n">
        <f aca="false">IF(Y211="","",VLOOKUP(Y211,Assumptions!$B$6:$C$9,2,FALSE()))</f>
        <v>3</v>
      </c>
      <c r="AJ211" s="0" t="n">
        <f aca="false">IF(Z211="","",VLOOKUP(Z211,Assumptions!$B$6:$C$9,2,FALSE()))</f>
        <v>4</v>
      </c>
      <c r="AK211" s="7" t="n">
        <f aca="false">IFERROR(ROUND(AVERAGE(AF211:AJ211),3),"")</f>
        <v>3.4</v>
      </c>
      <c r="AL211" s="7" t="n">
        <f aca="false">IF(OR(AF211="",AJ211=""),"",AJ211-AF211)</f>
        <v>1</v>
      </c>
      <c r="AM211" s="7" t="n">
        <f aca="false">IF(COUNT(AF211:AJ211)&gt;=2,ROUND(_xlfn.STDEV.S(AF211:AJ211),3),"")</f>
        <v>0.548</v>
      </c>
      <c r="AN211" s="7" t="n">
        <f aca="false">ROUND((IF(AF211="",0,AF211)*Assumptions!$F$15)+(IF(AG211="",0,AG211)*Assumptions!$F$16)+(IF(AH211="",0,AH211)*Assumptions!$F$17)+(IF(AI211="",0,AI211)*Assumptions!$F$18)+(IF(AJ211="",0,AJ211)*Assumptions!$F$19),3)</f>
        <v>3.45</v>
      </c>
      <c r="AO211" s="0" t="str">
        <f aca="false">IF(AC211&lt;=20,"",IF(AC211&lt;=Assumptions!$F$6,"20-30",IF(AC211&lt;=Assumptions!$F$7,"30-40",IF(AC211&lt;=Assumptions!$F$8,"40-50",IF(AC211&lt;=Assumptions!$F$9,"50-60",IF(AC211&lt;=Assumptions!$F$10,"60+",""))))))</f>
        <v>30-40</v>
      </c>
      <c r="AP211" s="0" t="str">
        <f aca="false">IFERROR(VLOOKUP(O211,Assumptions!$B$14:$C$26,2,FALSE()),"Other")</f>
        <v>Manager</v>
      </c>
      <c r="AQ211" s="0" t="n">
        <f aca="false">IF(T211="",0,1)</f>
        <v>0</v>
      </c>
      <c r="AR211" s="0" t="n">
        <f aca="false">IF(U211="",0,1)</f>
        <v>1</v>
      </c>
      <c r="AS211" s="8" t="n">
        <f aca="false">IF(AK211="","",IF(MAX($AK$2:$AK$921)=MIN($AK$2:$AK$921),50,ROUND((AK211-MIN($AK$2:$AK$921))/(MAX($AK$2:$AK$921)-MIN($AK$2:$AK$921))*100,2)))</f>
        <v>74.28</v>
      </c>
      <c r="AT211" s="8" t="n">
        <f aca="false">IF(MAX($BC$2:$BC$921)=MIN($BC$2:$BC$921),50,ROUND((BC211-MIN($BC$2:$BC$921))/(MAX($BC$2:$BC$921)-MIN($BC$2:$BC$921))*100,2))</f>
        <v>75</v>
      </c>
      <c r="AU211" s="8" t="n">
        <f aca="false">IF(MAX($BE$2:$BE$921)=MIN($BE$2:$BE$921),50,ROUND((BE211-MIN($BE$2:$BE$921))/(MAX($BE$2:$BE$921)-MIN($BE$2:$BE$921))*100,2))</f>
        <v>68.36</v>
      </c>
      <c r="AV211" s="8" t="n">
        <f aca="false">IF(MAX($AD$2:$AD$921)=MIN($AD$2:$AD$921),50,ROUND((AD211-MIN($AD$2:$AD$921))/(MAX($AD$2:$AD$921)-MIN($AD$2:$AD$921))*100,2))</f>
        <v>16.83</v>
      </c>
      <c r="AW211" s="8" t="n">
        <f aca="false">IF(MAX($AN$2:$AN$921)=MIN($AN$2:$AN$921),50,ROUND((AN211-MIN($AN$2:$AN$921))/(MAX($AN$2:$AN$921)-MIN($AN$2:$AN$921))*100,2))</f>
        <v>86.25</v>
      </c>
      <c r="AX211" s="8" t="n">
        <f aca="false">AQ211*100</f>
        <v>0</v>
      </c>
      <c r="AY211" s="8" t="n">
        <f aca="false">AR211*100</f>
        <v>100</v>
      </c>
      <c r="AZ211" s="8" t="n">
        <f aca="false">IFERROR(ROUND(AS211*Assumptions!$I$6+AW211*Assumptions!$I$7+AT211*Assumptions!$I$8+AU211*Assumptions!$I$9+AV211*Assumptions!$I$10+AX211*Assumptions!$I$11+AY211*Assumptions!$I$12,2),"")</f>
        <v>67.72</v>
      </c>
      <c r="BA211" s="0" t="str">
        <f aca="false">IF(AZ211="","",IF(AZ211&lt;=Assumptions!$I$18,"Below Expectation",IF(AZ211&lt;=Assumptions!$I$19,"Developing",IF(AZ211&lt;=Assumptions!$I$20,"Meets Expectation",IF(AZ211&lt;=Assumptions!$I$21,"Exceeds","Star Performer")))))</f>
        <v>Meets Expectation</v>
      </c>
      <c r="BB211" s="0" t="n">
        <f aca="false">IF(AZ211="",0,IF(AZ211&gt;=Assumptions!$I$26,1,0))</f>
        <v>0</v>
      </c>
      <c r="BC211" s="9" t="n">
        <f aca="false">IF(AL211="",2,AL211+2)</f>
        <v>3</v>
      </c>
      <c r="BD211" s="10" t="n">
        <f aca="false">IF(AM211="",ROUND(AVERAGE($AM$2:$AM$921),3),AM211)</f>
        <v>0.548</v>
      </c>
      <c r="BE211" s="9" t="n">
        <f aca="false">1-BD211</f>
        <v>0.452</v>
      </c>
    </row>
    <row r="212" customFormat="false" ht="14.25" hidden="true" customHeight="false" outlineLevel="0" collapsed="false">
      <c r="A212" s="4" t="n">
        <v>351</v>
      </c>
      <c r="B212" s="5" t="n">
        <v>37100467</v>
      </c>
      <c r="C212" s="5" t="s">
        <v>57</v>
      </c>
      <c r="D212" s="5" t="s">
        <v>1155</v>
      </c>
      <c r="E212" s="5" t="s">
        <v>208</v>
      </c>
      <c r="F212" s="5" t="s">
        <v>387</v>
      </c>
      <c r="G212" s="5" t="s">
        <v>388</v>
      </c>
      <c r="H212" s="5" t="s">
        <v>387</v>
      </c>
      <c r="I212" s="5" t="s">
        <v>63</v>
      </c>
      <c r="J212" s="5" t="s">
        <v>100</v>
      </c>
      <c r="K212" s="5" t="s">
        <v>65</v>
      </c>
      <c r="L212" s="6" t="n">
        <v>38930</v>
      </c>
      <c r="M212" s="5" t="s">
        <v>902</v>
      </c>
      <c r="N212" s="6" t="n">
        <v>29303</v>
      </c>
      <c r="O212" s="5" t="s">
        <v>332</v>
      </c>
      <c r="P212" s="5" t="s">
        <v>333</v>
      </c>
      <c r="Q212" s="5" t="s">
        <v>908</v>
      </c>
      <c r="R212" s="5" t="s">
        <v>486</v>
      </c>
      <c r="S212" s="5" t="s">
        <v>536</v>
      </c>
      <c r="T212" s="6"/>
      <c r="U212" s="6"/>
      <c r="V212" s="5" t="s">
        <v>631</v>
      </c>
      <c r="W212" s="5" t="s">
        <v>83</v>
      </c>
      <c r="X212" s="5" t="s">
        <v>141</v>
      </c>
      <c r="Y212" s="5" t="s">
        <v>83</v>
      </c>
      <c r="Z212" s="5" t="s">
        <v>83</v>
      </c>
      <c r="AA212" s="5" t="s">
        <v>1156</v>
      </c>
      <c r="AB212" s="0" t="n">
        <f aca="false">IFERROR(VALUE(R212),0)</f>
        <v>6.5</v>
      </c>
      <c r="AC212" s="0" t="n">
        <f aca="false">IFERROR(VALUE(M212),"")</f>
        <v>46.2</v>
      </c>
      <c r="AD212" s="0" t="n">
        <f aca="false">IFERROR(VALUE(Q212),"")</f>
        <v>19.1</v>
      </c>
      <c r="AE212" s="0" t="n">
        <f aca="false">IFERROR(VALUE(S212),"")</f>
        <v>26.3</v>
      </c>
      <c r="AF212" s="0" t="n">
        <f aca="false">IF(V212="","",VLOOKUP(V212,Assumptions!$B$6:$C$9,2,FALSE()))</f>
        <v>2</v>
      </c>
      <c r="AG212" s="0" t="n">
        <f aca="false">IF(W212="","",VLOOKUP(W212,Assumptions!$B$6:$C$9,2,FALSE()))</f>
        <v>4</v>
      </c>
      <c r="AH212" s="0" t="n">
        <f aca="false">IF(X212="","",VLOOKUP(X212,Assumptions!$B$6:$C$9,2,FALSE()))</f>
        <v>3</v>
      </c>
      <c r="AI212" s="0" t="n">
        <f aca="false">IF(Y212="","",VLOOKUP(Y212,Assumptions!$B$6:$C$9,2,FALSE()))</f>
        <v>4</v>
      </c>
      <c r="AJ212" s="0" t="n">
        <f aca="false">IF(Z212="","",VLOOKUP(Z212,Assumptions!$B$6:$C$9,2,FALSE()))</f>
        <v>4</v>
      </c>
      <c r="AK212" s="7" t="n">
        <f aca="false">IFERROR(ROUND(AVERAGE(AF212:AJ212),3),"")</f>
        <v>3.4</v>
      </c>
      <c r="AL212" s="7" t="n">
        <f aca="false">IF(OR(AF212="",AJ212=""),"",AJ212-AF212)</f>
        <v>2</v>
      </c>
      <c r="AM212" s="7" t="n">
        <f aca="false">IF(COUNT(AF212:AJ212)&gt;=2,ROUND(_xlfn.STDEV.S(AF212:AJ212),3),"")</f>
        <v>0.894</v>
      </c>
      <c r="AN212" s="7" t="n">
        <f aca="false">ROUND((IF(AF212="",0,AF212)*Assumptions!$F$15)+(IF(AG212="",0,AG212)*Assumptions!$F$16)+(IF(AH212="",0,AH212)*Assumptions!$F$17)+(IF(AI212="",0,AI212)*Assumptions!$F$18)+(IF(AJ212="",0,AJ212)*Assumptions!$F$19),3)</f>
        <v>3.6</v>
      </c>
      <c r="AO212" s="0" t="str">
        <f aca="false">IF(AC212&lt;=20,"",IF(AC212&lt;=Assumptions!$F$6,"20-30",IF(AC212&lt;=Assumptions!$F$7,"30-40",IF(AC212&lt;=Assumptions!$F$8,"40-50",IF(AC212&lt;=Assumptions!$F$9,"50-60",IF(AC212&lt;=Assumptions!$F$10,"60+",""))))))</f>
        <v>40-50</v>
      </c>
      <c r="AP212" s="0" t="str">
        <f aca="false">IFERROR(VLOOKUP(O212,Assumptions!$B$14:$C$26,2,FALSE()),"Other")</f>
        <v>Manager</v>
      </c>
      <c r="AQ212" s="0" t="n">
        <f aca="false">IF(T212="",0,1)</f>
        <v>0</v>
      </c>
      <c r="AR212" s="0" t="n">
        <f aca="false">IF(U212="",0,1)</f>
        <v>0</v>
      </c>
      <c r="AS212" s="8" t="n">
        <f aca="false">IF(AK212="","",IF(MAX($AK$2:$AK$921)=MIN($AK$2:$AK$921),50,ROUND((AK212-MIN($AK$2:$AK$921))/(MAX($AK$2:$AK$921)-MIN($AK$2:$AK$921))*100,2)))</f>
        <v>74.28</v>
      </c>
      <c r="AT212" s="8" t="n">
        <f aca="false">IF(MAX($BC$2:$BC$921)=MIN($BC$2:$BC$921),50,ROUND((BC212-MIN($BC$2:$BC$921))/(MAX($BC$2:$BC$921)-MIN($BC$2:$BC$921))*100,2))</f>
        <v>100</v>
      </c>
      <c r="AU212" s="8" t="n">
        <f aca="false">IF(MAX($BE$2:$BE$921)=MIN($BE$2:$BE$921),50,ROUND((BE212-MIN($BE$2:$BE$921))/(MAX($BE$2:$BE$921)-MIN($BE$2:$BE$921))*100,2))</f>
        <v>48.38</v>
      </c>
      <c r="AV212" s="8" t="n">
        <f aca="false">IF(MAX($AD$2:$AD$921)=MIN($AD$2:$AD$921),50,ROUND((AD212-MIN($AD$2:$AD$921))/(MAX($AD$2:$AD$921)-MIN($AD$2:$AD$921))*100,2))</f>
        <v>51.62</v>
      </c>
      <c r="AW212" s="8" t="n">
        <f aca="false">IF(MAX($AN$2:$AN$921)=MIN($AN$2:$AN$921),50,ROUND((AN212-MIN($AN$2:$AN$921))/(MAX($AN$2:$AN$921)-MIN($AN$2:$AN$921))*100,2))</f>
        <v>90</v>
      </c>
      <c r="AX212" s="8" t="n">
        <f aca="false">AQ212*100</f>
        <v>0</v>
      </c>
      <c r="AY212" s="8" t="n">
        <f aca="false">AR212*100</f>
        <v>0</v>
      </c>
      <c r="AZ212" s="8" t="n">
        <f aca="false">IFERROR(ROUND(AS212*Assumptions!$I$6+AW212*Assumptions!$I$7+AT212*Assumptions!$I$8+AU212*Assumptions!$I$9+AV212*Assumptions!$I$10+AX212*Assumptions!$I$11+AY212*Assumptions!$I$12,2),"")</f>
        <v>67.7</v>
      </c>
      <c r="BA212" s="0" t="str">
        <f aca="false">IF(AZ212="","",IF(AZ212&lt;=Assumptions!$I$18,"Below Expectation",IF(AZ212&lt;=Assumptions!$I$19,"Developing",IF(AZ212&lt;=Assumptions!$I$20,"Meets Expectation",IF(AZ212&lt;=Assumptions!$I$21,"Exceeds","Star Performer")))))</f>
        <v>Meets Expectation</v>
      </c>
      <c r="BB212" s="0" t="n">
        <f aca="false">IF(AZ212="",0,IF(AZ212&gt;=Assumptions!$I$26,1,0))</f>
        <v>0</v>
      </c>
      <c r="BC212" s="9" t="n">
        <f aca="false">IF(AL212="",2,AL212+2)</f>
        <v>4</v>
      </c>
      <c r="BD212" s="10" t="n">
        <f aca="false">IF(AM212="",ROUND(AVERAGE($AM$2:$AM$921),3),AM212)</f>
        <v>0.894</v>
      </c>
      <c r="BE212" s="9" t="n">
        <f aca="false">1-BD212</f>
        <v>0.106</v>
      </c>
    </row>
    <row r="213" customFormat="false" ht="14.25" hidden="true" customHeight="false" outlineLevel="0" collapsed="false">
      <c r="A213" s="4" t="n">
        <v>252</v>
      </c>
      <c r="B213" s="5" t="n">
        <v>10066248</v>
      </c>
      <c r="C213" s="5" t="s">
        <v>57</v>
      </c>
      <c r="D213" s="5" t="s">
        <v>1157</v>
      </c>
      <c r="E213" s="5" t="s">
        <v>1150</v>
      </c>
      <c r="F213" s="5" t="s">
        <v>608</v>
      </c>
      <c r="G213" s="5" t="s">
        <v>609</v>
      </c>
      <c r="H213" s="5" t="s">
        <v>608</v>
      </c>
      <c r="I213" s="5" t="s">
        <v>63</v>
      </c>
      <c r="J213" s="5" t="s">
        <v>100</v>
      </c>
      <c r="K213" s="5" t="s">
        <v>65</v>
      </c>
      <c r="L213" s="6" t="n">
        <v>43423</v>
      </c>
      <c r="M213" s="5" t="s">
        <v>450</v>
      </c>
      <c r="N213" s="6" t="n">
        <v>31204</v>
      </c>
      <c r="O213" s="5" t="s">
        <v>332</v>
      </c>
      <c r="P213" s="5" t="s">
        <v>333</v>
      </c>
      <c r="Q213" s="5" t="s">
        <v>807</v>
      </c>
      <c r="R213" s="5" t="s">
        <v>1158</v>
      </c>
      <c r="S213" s="5" t="s">
        <v>460</v>
      </c>
      <c r="T213" s="6"/>
      <c r="U213" s="6" t="n">
        <v>45748</v>
      </c>
      <c r="V213" s="5" t="s">
        <v>141</v>
      </c>
      <c r="W213" s="5" t="s">
        <v>83</v>
      </c>
      <c r="X213" s="5" t="s">
        <v>83</v>
      </c>
      <c r="Y213" s="5" t="s">
        <v>83</v>
      </c>
      <c r="Z213" s="5" t="s">
        <v>141</v>
      </c>
      <c r="AA213" s="5" t="s">
        <v>1159</v>
      </c>
      <c r="AB213" s="0" t="n">
        <f aca="false">IFERROR(VALUE(R213),0)</f>
        <v>8.2</v>
      </c>
      <c r="AC213" s="0" t="n">
        <f aca="false">IFERROR(VALUE(M213),"")</f>
        <v>41</v>
      </c>
      <c r="AD213" s="0" t="n">
        <f aca="false">IFERROR(VALUE(Q213),"")</f>
        <v>7.6</v>
      </c>
      <c r="AE213" s="0" t="n">
        <f aca="false">IFERROR(VALUE(S213),"")</f>
        <v>15.8</v>
      </c>
      <c r="AF213" s="0" t="n">
        <f aca="false">IF(V213="","",VLOOKUP(V213,Assumptions!$B$6:$C$9,2,FALSE()))</f>
        <v>3</v>
      </c>
      <c r="AG213" s="0" t="n">
        <f aca="false">IF(W213="","",VLOOKUP(W213,Assumptions!$B$6:$C$9,2,FALSE()))</f>
        <v>4</v>
      </c>
      <c r="AH213" s="0" t="n">
        <f aca="false">IF(X213="","",VLOOKUP(X213,Assumptions!$B$6:$C$9,2,FALSE()))</f>
        <v>4</v>
      </c>
      <c r="AI213" s="0" t="n">
        <f aca="false">IF(Y213="","",VLOOKUP(Y213,Assumptions!$B$6:$C$9,2,FALSE()))</f>
        <v>4</v>
      </c>
      <c r="AJ213" s="0" t="n">
        <f aca="false">IF(Z213="","",VLOOKUP(Z213,Assumptions!$B$6:$C$9,2,FALSE()))</f>
        <v>3</v>
      </c>
      <c r="AK213" s="7" t="n">
        <f aca="false">IFERROR(ROUND(AVERAGE(AF213:AJ213),3),"")</f>
        <v>3.6</v>
      </c>
      <c r="AL213" s="7" t="n">
        <f aca="false">IF(OR(AF213="",AJ213=""),"",AJ213-AF213)</f>
        <v>0</v>
      </c>
      <c r="AM213" s="7" t="n">
        <f aca="false">IF(COUNT(AF213:AJ213)&gt;=2,ROUND(_xlfn.STDEV.S(AF213:AJ213),3),"")</f>
        <v>0.548</v>
      </c>
      <c r="AN213" s="7" t="n">
        <f aca="false">ROUND((IF(AF213="",0,AF213)*Assumptions!$F$15)+(IF(AG213="",0,AG213)*Assumptions!$F$16)+(IF(AH213="",0,AH213)*Assumptions!$F$17)+(IF(AI213="",0,AI213)*Assumptions!$F$18)+(IF(AJ213="",0,AJ213)*Assumptions!$F$19),3)</f>
        <v>3.6</v>
      </c>
      <c r="AO213" s="0" t="str">
        <f aca="false">IF(AC213&lt;=20,"",IF(AC213&lt;=Assumptions!$F$6,"20-30",IF(AC213&lt;=Assumptions!$F$7,"30-40",IF(AC213&lt;=Assumptions!$F$8,"40-50",IF(AC213&lt;=Assumptions!$F$9,"50-60",IF(AC213&lt;=Assumptions!$F$10,"60+",""))))))</f>
        <v>40-50</v>
      </c>
      <c r="AP213" s="0" t="str">
        <f aca="false">IFERROR(VLOOKUP(O213,Assumptions!$B$14:$C$26,2,FALSE()),"Other")</f>
        <v>Manager</v>
      </c>
      <c r="AQ213" s="0" t="n">
        <f aca="false">IF(T213="",0,1)</f>
        <v>0</v>
      </c>
      <c r="AR213" s="0" t="n">
        <f aca="false">IF(U213="",0,1)</f>
        <v>1</v>
      </c>
      <c r="AS213" s="8" t="n">
        <f aca="false">IF(AK213="","",IF(MAX($AK$2:$AK$921)=MIN($AK$2:$AK$921),50,ROUND((AK213-MIN($AK$2:$AK$921))/(MAX($AK$2:$AK$921)-MIN($AK$2:$AK$921))*100,2)))</f>
        <v>82.85</v>
      </c>
      <c r="AT213" s="8" t="n">
        <f aca="false">IF(MAX($BC$2:$BC$921)=MIN($BC$2:$BC$921),50,ROUND((BC213-MIN($BC$2:$BC$921))/(MAX($BC$2:$BC$921)-MIN($BC$2:$BC$921))*100,2))</f>
        <v>50</v>
      </c>
      <c r="AU213" s="8" t="n">
        <f aca="false">IF(MAX($BE$2:$BE$921)=MIN($BE$2:$BE$921),50,ROUND((BE213-MIN($BE$2:$BE$921))/(MAX($BE$2:$BE$921)-MIN($BE$2:$BE$921))*100,2))</f>
        <v>68.36</v>
      </c>
      <c r="AV213" s="8" t="n">
        <f aca="false">IF(MAX($AD$2:$AD$921)=MIN($AD$2:$AD$921),50,ROUND((AD213-MIN($AD$2:$AD$921))/(MAX($AD$2:$AD$921)-MIN($AD$2:$AD$921))*100,2))</f>
        <v>20.36</v>
      </c>
      <c r="AW213" s="8" t="n">
        <f aca="false">IF(MAX($AN$2:$AN$921)=MIN($AN$2:$AN$921),50,ROUND((AN213-MIN($AN$2:$AN$921))/(MAX($AN$2:$AN$921)-MIN($AN$2:$AN$921))*100,2))</f>
        <v>90</v>
      </c>
      <c r="AX213" s="8" t="n">
        <f aca="false">AQ213*100</f>
        <v>0</v>
      </c>
      <c r="AY213" s="8" t="n">
        <f aca="false">AR213*100</f>
        <v>100</v>
      </c>
      <c r="AZ213" s="8" t="n">
        <f aca="false">IFERROR(ROUND(AS213*Assumptions!$I$6+AW213*Assumptions!$I$7+AT213*Assumptions!$I$8+AU213*Assumptions!$I$9+AV213*Assumptions!$I$10+AX213*Assumptions!$I$11+AY213*Assumptions!$I$12,2),"")</f>
        <v>67.65</v>
      </c>
      <c r="BA213" s="0" t="str">
        <f aca="false">IF(AZ213="","",IF(AZ213&lt;=Assumptions!$I$18,"Below Expectation",IF(AZ213&lt;=Assumptions!$I$19,"Developing",IF(AZ213&lt;=Assumptions!$I$20,"Meets Expectation",IF(AZ213&lt;=Assumptions!$I$21,"Exceeds","Star Performer")))))</f>
        <v>Meets Expectation</v>
      </c>
      <c r="BB213" s="0" t="n">
        <f aca="false">IF(AZ213="",0,IF(AZ213&gt;=Assumptions!$I$26,1,0))</f>
        <v>0</v>
      </c>
      <c r="BC213" s="9" t="n">
        <f aca="false">IF(AL213="",2,AL213+2)</f>
        <v>2</v>
      </c>
      <c r="BD213" s="10" t="n">
        <f aca="false">IF(AM213="",ROUND(AVERAGE($AM$2:$AM$921),3),AM213)</f>
        <v>0.548</v>
      </c>
      <c r="BE213" s="9" t="n">
        <f aca="false">1-BD213</f>
        <v>0.452</v>
      </c>
    </row>
    <row r="214" customFormat="false" ht="14.25" hidden="true" customHeight="false" outlineLevel="0" collapsed="false">
      <c r="A214" s="4" t="n">
        <v>263</v>
      </c>
      <c r="B214" s="5" t="n">
        <v>10067087</v>
      </c>
      <c r="C214" s="5" t="s">
        <v>149</v>
      </c>
      <c r="D214" s="5" t="s">
        <v>1160</v>
      </c>
      <c r="E214" s="5" t="s">
        <v>779</v>
      </c>
      <c r="F214" s="5" t="s">
        <v>1161</v>
      </c>
      <c r="G214" s="5" t="s">
        <v>1162</v>
      </c>
      <c r="H214" s="5" t="s">
        <v>1161</v>
      </c>
      <c r="I214" s="5" t="s">
        <v>63</v>
      </c>
      <c r="J214" s="5" t="s">
        <v>100</v>
      </c>
      <c r="K214" s="5" t="s">
        <v>65</v>
      </c>
      <c r="L214" s="6" t="n">
        <v>43500</v>
      </c>
      <c r="M214" s="5" t="s">
        <v>902</v>
      </c>
      <c r="N214" s="6" t="n">
        <v>29294</v>
      </c>
      <c r="O214" s="5" t="s">
        <v>122</v>
      </c>
      <c r="P214" s="5" t="s">
        <v>123</v>
      </c>
      <c r="Q214" s="5" t="s">
        <v>656</v>
      </c>
      <c r="R214" s="5" t="s">
        <v>270</v>
      </c>
      <c r="S214" s="5" t="s">
        <v>1163</v>
      </c>
      <c r="T214" s="6"/>
      <c r="U214" s="6" t="n">
        <v>45748</v>
      </c>
      <c r="V214" s="5" t="s">
        <v>141</v>
      </c>
      <c r="W214" s="5" t="s">
        <v>83</v>
      </c>
      <c r="X214" s="5" t="s">
        <v>83</v>
      </c>
      <c r="Y214" s="5" t="s">
        <v>83</v>
      </c>
      <c r="Z214" s="5" t="s">
        <v>141</v>
      </c>
      <c r="AA214" s="5" t="s">
        <v>1164</v>
      </c>
      <c r="AB214" s="0" t="n">
        <f aca="false">IFERROR(VALUE(R214),0)</f>
        <v>14.1</v>
      </c>
      <c r="AC214" s="0" t="n">
        <f aca="false">IFERROR(VALUE(M214),"")</f>
        <v>46.2</v>
      </c>
      <c r="AD214" s="0" t="n">
        <f aca="false">IFERROR(VALUE(Q214),"")</f>
        <v>7.4</v>
      </c>
      <c r="AE214" s="0" t="n">
        <f aca="false">IFERROR(VALUE(S214),"")</f>
        <v>21.5</v>
      </c>
      <c r="AF214" s="0" t="n">
        <f aca="false">IF(V214="","",VLOOKUP(V214,Assumptions!$B$6:$C$9,2,FALSE()))</f>
        <v>3</v>
      </c>
      <c r="AG214" s="0" t="n">
        <f aca="false">IF(W214="","",VLOOKUP(W214,Assumptions!$B$6:$C$9,2,FALSE()))</f>
        <v>4</v>
      </c>
      <c r="AH214" s="0" t="n">
        <f aca="false">IF(X214="","",VLOOKUP(X214,Assumptions!$B$6:$C$9,2,FALSE()))</f>
        <v>4</v>
      </c>
      <c r="AI214" s="0" t="n">
        <f aca="false">IF(Y214="","",VLOOKUP(Y214,Assumptions!$B$6:$C$9,2,FALSE()))</f>
        <v>4</v>
      </c>
      <c r="AJ214" s="0" t="n">
        <f aca="false">IF(Z214="","",VLOOKUP(Z214,Assumptions!$B$6:$C$9,2,FALSE()))</f>
        <v>3</v>
      </c>
      <c r="AK214" s="7" t="n">
        <f aca="false">IFERROR(ROUND(AVERAGE(AF214:AJ214),3),"")</f>
        <v>3.6</v>
      </c>
      <c r="AL214" s="7" t="n">
        <f aca="false">IF(OR(AF214="",AJ214=""),"",AJ214-AF214)</f>
        <v>0</v>
      </c>
      <c r="AM214" s="7" t="n">
        <f aca="false">IF(COUNT(AF214:AJ214)&gt;=2,ROUND(_xlfn.STDEV.S(AF214:AJ214),3),"")</f>
        <v>0.548</v>
      </c>
      <c r="AN214" s="7" t="n">
        <f aca="false">ROUND((IF(AF214="",0,AF214)*Assumptions!$F$15)+(IF(AG214="",0,AG214)*Assumptions!$F$16)+(IF(AH214="",0,AH214)*Assumptions!$F$17)+(IF(AI214="",0,AI214)*Assumptions!$F$18)+(IF(AJ214="",0,AJ214)*Assumptions!$F$19),3)</f>
        <v>3.6</v>
      </c>
      <c r="AO214" s="0" t="str">
        <f aca="false">IF(AC214&lt;=20,"",IF(AC214&lt;=Assumptions!$F$6,"20-30",IF(AC214&lt;=Assumptions!$F$7,"30-40",IF(AC214&lt;=Assumptions!$F$8,"40-50",IF(AC214&lt;=Assumptions!$F$9,"50-60",IF(AC214&lt;=Assumptions!$F$10,"60+",""))))))</f>
        <v>40-50</v>
      </c>
      <c r="AP214" s="0" t="str">
        <f aca="false">IFERROR(VLOOKUP(O214,Assumptions!$B$14:$C$26,2,FALSE()),"Other")</f>
        <v>Leadership</v>
      </c>
      <c r="AQ214" s="0" t="n">
        <f aca="false">IF(T214="",0,1)</f>
        <v>0</v>
      </c>
      <c r="AR214" s="0" t="n">
        <f aca="false">IF(U214="",0,1)</f>
        <v>1</v>
      </c>
      <c r="AS214" s="8" t="n">
        <f aca="false">IF(AK214="","",IF(MAX($AK$2:$AK$921)=MIN($AK$2:$AK$921),50,ROUND((AK214-MIN($AK$2:$AK$921))/(MAX($AK$2:$AK$921)-MIN($AK$2:$AK$921))*100,2)))</f>
        <v>82.85</v>
      </c>
      <c r="AT214" s="8" t="n">
        <f aca="false">IF(MAX($BC$2:$BC$921)=MIN($BC$2:$BC$921),50,ROUND((BC214-MIN($BC$2:$BC$921))/(MAX($BC$2:$BC$921)-MIN($BC$2:$BC$921))*100,2))</f>
        <v>50</v>
      </c>
      <c r="AU214" s="8" t="n">
        <f aca="false">IF(MAX($BE$2:$BE$921)=MIN($BE$2:$BE$921),50,ROUND((BE214-MIN($BE$2:$BE$921))/(MAX($BE$2:$BE$921)-MIN($BE$2:$BE$921))*100,2))</f>
        <v>68.36</v>
      </c>
      <c r="AV214" s="8" t="n">
        <f aca="false">IF(MAX($AD$2:$AD$921)=MIN($AD$2:$AD$921),50,ROUND((AD214-MIN($AD$2:$AD$921))/(MAX($AD$2:$AD$921)-MIN($AD$2:$AD$921))*100,2))</f>
        <v>19.82</v>
      </c>
      <c r="AW214" s="8" t="n">
        <f aca="false">IF(MAX($AN$2:$AN$921)=MIN($AN$2:$AN$921),50,ROUND((AN214-MIN($AN$2:$AN$921))/(MAX($AN$2:$AN$921)-MIN($AN$2:$AN$921))*100,2))</f>
        <v>90</v>
      </c>
      <c r="AX214" s="8" t="n">
        <f aca="false">AQ214*100</f>
        <v>0</v>
      </c>
      <c r="AY214" s="8" t="n">
        <f aca="false">AR214*100</f>
        <v>100</v>
      </c>
      <c r="AZ214" s="8" t="n">
        <f aca="false">IFERROR(ROUND(AS214*Assumptions!$I$6+AW214*Assumptions!$I$7+AT214*Assumptions!$I$8+AU214*Assumptions!$I$9+AV214*Assumptions!$I$10+AX214*Assumptions!$I$11+AY214*Assumptions!$I$12,2),"")</f>
        <v>67.59</v>
      </c>
      <c r="BA214" s="0" t="str">
        <f aca="false">IF(AZ214="","",IF(AZ214&lt;=Assumptions!$I$18,"Below Expectation",IF(AZ214&lt;=Assumptions!$I$19,"Developing",IF(AZ214&lt;=Assumptions!$I$20,"Meets Expectation",IF(AZ214&lt;=Assumptions!$I$21,"Exceeds","Star Performer")))))</f>
        <v>Meets Expectation</v>
      </c>
      <c r="BB214" s="0" t="n">
        <f aca="false">IF(AZ214="",0,IF(AZ214&gt;=Assumptions!$I$26,1,0))</f>
        <v>0</v>
      </c>
      <c r="BC214" s="9" t="n">
        <f aca="false">IF(AL214="",2,AL214+2)</f>
        <v>2</v>
      </c>
      <c r="BD214" s="10" t="n">
        <f aca="false">IF(AM214="",ROUND(AVERAGE($AM$2:$AM$921),3),AM214)</f>
        <v>0.548</v>
      </c>
      <c r="BE214" s="9" t="n">
        <f aca="false">1-BD214</f>
        <v>0.452</v>
      </c>
    </row>
    <row r="215" customFormat="false" ht="14.25" hidden="true" customHeight="false" outlineLevel="0" collapsed="false">
      <c r="A215" s="4" t="n">
        <v>60</v>
      </c>
      <c r="B215" s="5" t="n">
        <v>10019224</v>
      </c>
      <c r="C215" s="5" t="s">
        <v>57</v>
      </c>
      <c r="D215" s="5" t="s">
        <v>1165</v>
      </c>
      <c r="E215" s="5" t="s">
        <v>514</v>
      </c>
      <c r="F215" s="5" t="s">
        <v>436</v>
      </c>
      <c r="G215" s="5" t="s">
        <v>437</v>
      </c>
      <c r="H215" s="5" t="s">
        <v>438</v>
      </c>
      <c r="I215" s="5" t="s">
        <v>63</v>
      </c>
      <c r="J215" s="5" t="s">
        <v>100</v>
      </c>
      <c r="K215" s="5" t="s">
        <v>65</v>
      </c>
      <c r="L215" s="6" t="n">
        <v>39104</v>
      </c>
      <c r="M215" s="5" t="s">
        <v>1093</v>
      </c>
      <c r="N215" s="6" t="n">
        <v>28340</v>
      </c>
      <c r="O215" s="5" t="s">
        <v>122</v>
      </c>
      <c r="P215" s="5" t="s">
        <v>123</v>
      </c>
      <c r="Q215" s="5" t="s">
        <v>1166</v>
      </c>
      <c r="R215" s="5" t="s">
        <v>723</v>
      </c>
      <c r="S215" s="5" t="s">
        <v>1167</v>
      </c>
      <c r="T215" s="6" t="n">
        <v>42917</v>
      </c>
      <c r="U215" s="6"/>
      <c r="V215" s="5" t="s">
        <v>141</v>
      </c>
      <c r="W215" s="5" t="s">
        <v>141</v>
      </c>
      <c r="X215" s="5" t="s">
        <v>83</v>
      </c>
      <c r="Y215" s="5" t="s">
        <v>83</v>
      </c>
      <c r="Z215" s="5" t="s">
        <v>141</v>
      </c>
      <c r="AA215" s="5" t="s">
        <v>1168</v>
      </c>
      <c r="AB215" s="0" t="n">
        <f aca="false">IFERROR(VALUE(R215),0)</f>
        <v>7.3</v>
      </c>
      <c r="AC215" s="0" t="n">
        <f aca="false">IFERROR(VALUE(M215),"")</f>
        <v>48.1</v>
      </c>
      <c r="AD215" s="0" t="n">
        <f aca="false">IFERROR(VALUE(Q215),"")</f>
        <v>19.4</v>
      </c>
      <c r="AE215" s="0" t="n">
        <f aca="false">IFERROR(VALUE(S215),"")</f>
        <v>26.7</v>
      </c>
      <c r="AF215" s="0" t="n">
        <f aca="false">IF(V215="","",VLOOKUP(V215,Assumptions!$B$6:$C$9,2,FALSE()))</f>
        <v>3</v>
      </c>
      <c r="AG215" s="0" t="n">
        <f aca="false">IF(W215="","",VLOOKUP(W215,Assumptions!$B$6:$C$9,2,FALSE()))</f>
        <v>3</v>
      </c>
      <c r="AH215" s="0" t="n">
        <f aca="false">IF(X215="","",VLOOKUP(X215,Assumptions!$B$6:$C$9,2,FALSE()))</f>
        <v>4</v>
      </c>
      <c r="AI215" s="0" t="n">
        <f aca="false">IF(Y215="","",VLOOKUP(Y215,Assumptions!$B$6:$C$9,2,FALSE()))</f>
        <v>4</v>
      </c>
      <c r="AJ215" s="0" t="n">
        <f aca="false">IF(Z215="","",VLOOKUP(Z215,Assumptions!$B$6:$C$9,2,FALSE()))</f>
        <v>3</v>
      </c>
      <c r="AK215" s="7" t="n">
        <f aca="false">IFERROR(ROUND(AVERAGE(AF215:AJ215),3),"")</f>
        <v>3.4</v>
      </c>
      <c r="AL215" s="7" t="n">
        <f aca="false">IF(OR(AF215="",AJ215=""),"",AJ215-AF215)</f>
        <v>0</v>
      </c>
      <c r="AM215" s="7" t="n">
        <f aca="false">IF(COUNT(AF215:AJ215)&gt;=2,ROUND(_xlfn.STDEV.S(AF215:AJ215),3),"")</f>
        <v>0.548</v>
      </c>
      <c r="AN215" s="7" t="n">
        <f aca="false">ROUND((IF(AF215="",0,AF215)*Assumptions!$F$15)+(IF(AG215="",0,AG215)*Assumptions!$F$16)+(IF(AH215="",0,AH215)*Assumptions!$F$17)+(IF(AI215="",0,AI215)*Assumptions!$F$18)+(IF(AJ215="",0,AJ215)*Assumptions!$F$19),3)</f>
        <v>3.45</v>
      </c>
      <c r="AO215" s="0" t="str">
        <f aca="false">IF(AC215&lt;=20,"",IF(AC215&lt;=Assumptions!$F$6,"20-30",IF(AC215&lt;=Assumptions!$F$7,"30-40",IF(AC215&lt;=Assumptions!$F$8,"40-50",IF(AC215&lt;=Assumptions!$F$9,"50-60",IF(AC215&lt;=Assumptions!$F$10,"60+",""))))))</f>
        <v>40-50</v>
      </c>
      <c r="AP215" s="0" t="str">
        <f aca="false">IFERROR(VLOOKUP(O215,Assumptions!$B$14:$C$26,2,FALSE()),"Other")</f>
        <v>Leadership</v>
      </c>
      <c r="AQ215" s="0" t="n">
        <f aca="false">IF(T215="",0,1)</f>
        <v>1</v>
      </c>
      <c r="AR215" s="0" t="n">
        <f aca="false">IF(U215="",0,1)</f>
        <v>0</v>
      </c>
      <c r="AS215" s="8" t="n">
        <f aca="false">IF(AK215="","",IF(MAX($AK$2:$AK$921)=MIN($AK$2:$AK$921),50,ROUND((AK215-MIN($AK$2:$AK$921))/(MAX($AK$2:$AK$921)-MIN($AK$2:$AK$921))*100,2)))</f>
        <v>74.28</v>
      </c>
      <c r="AT215" s="8" t="n">
        <f aca="false">IF(MAX($BC$2:$BC$921)=MIN($BC$2:$BC$921),50,ROUND((BC215-MIN($BC$2:$BC$921))/(MAX($BC$2:$BC$921)-MIN($BC$2:$BC$921))*100,2))</f>
        <v>50</v>
      </c>
      <c r="AU215" s="8" t="n">
        <f aca="false">IF(MAX($BE$2:$BE$921)=MIN($BE$2:$BE$921),50,ROUND((BE215-MIN($BE$2:$BE$921))/(MAX($BE$2:$BE$921)-MIN($BE$2:$BE$921))*100,2))</f>
        <v>68.36</v>
      </c>
      <c r="AV215" s="8" t="n">
        <f aca="false">IF(MAX($AD$2:$AD$921)=MIN($AD$2:$AD$921),50,ROUND((AD215-MIN($AD$2:$AD$921))/(MAX($AD$2:$AD$921)-MIN($AD$2:$AD$921))*100,2))</f>
        <v>52.43</v>
      </c>
      <c r="AW215" s="8" t="n">
        <f aca="false">IF(MAX($AN$2:$AN$921)=MIN($AN$2:$AN$921),50,ROUND((AN215-MIN($AN$2:$AN$921))/(MAX($AN$2:$AN$921)-MIN($AN$2:$AN$921))*100,2))</f>
        <v>86.25</v>
      </c>
      <c r="AX215" s="8" t="n">
        <f aca="false">AQ215*100</f>
        <v>100</v>
      </c>
      <c r="AY215" s="8" t="n">
        <f aca="false">AR215*100</f>
        <v>0</v>
      </c>
      <c r="AZ215" s="8" t="n">
        <f aca="false">IFERROR(ROUND(AS215*Assumptions!$I$6+AW215*Assumptions!$I$7+AT215*Assumptions!$I$8+AU215*Assumptions!$I$9+AV215*Assumptions!$I$10+AX215*Assumptions!$I$11+AY215*Assumptions!$I$12,2),"")</f>
        <v>67.53</v>
      </c>
      <c r="BA215" s="0" t="str">
        <f aca="false">IF(AZ215="","",IF(AZ215&lt;=Assumptions!$I$18,"Below Expectation",IF(AZ215&lt;=Assumptions!$I$19,"Developing",IF(AZ215&lt;=Assumptions!$I$20,"Meets Expectation",IF(AZ215&lt;=Assumptions!$I$21,"Exceeds","Star Performer")))))</f>
        <v>Meets Expectation</v>
      </c>
      <c r="BB215" s="0" t="n">
        <f aca="false">IF(AZ215="",0,IF(AZ215&gt;=Assumptions!$I$26,1,0))</f>
        <v>0</v>
      </c>
      <c r="BC215" s="9" t="n">
        <f aca="false">IF(AL215="",2,AL215+2)</f>
        <v>2</v>
      </c>
      <c r="BD215" s="10" t="n">
        <f aca="false">IF(AM215="",ROUND(AVERAGE($AM$2:$AM$921),3),AM215)</f>
        <v>0.548</v>
      </c>
      <c r="BE215" s="9" t="n">
        <f aca="false">1-BD215</f>
        <v>0.452</v>
      </c>
    </row>
    <row r="216" customFormat="false" ht="14.25" hidden="true" customHeight="false" outlineLevel="0" collapsed="false">
      <c r="A216" s="4" t="n">
        <v>411</v>
      </c>
      <c r="B216" s="5" t="n">
        <v>50009068</v>
      </c>
      <c r="C216" s="5" t="s">
        <v>57</v>
      </c>
      <c r="D216" s="5" t="s">
        <v>1169</v>
      </c>
      <c r="E216" s="5" t="s">
        <v>275</v>
      </c>
      <c r="F216" s="5" t="s">
        <v>387</v>
      </c>
      <c r="G216" s="5" t="s">
        <v>388</v>
      </c>
      <c r="H216" s="5" t="s">
        <v>387</v>
      </c>
      <c r="I216" s="5" t="s">
        <v>63</v>
      </c>
      <c r="J216" s="5" t="s">
        <v>100</v>
      </c>
      <c r="K216" s="5" t="s">
        <v>65</v>
      </c>
      <c r="L216" s="6" t="n">
        <v>40728</v>
      </c>
      <c r="M216" s="5" t="s">
        <v>443</v>
      </c>
      <c r="N216" s="6" t="n">
        <v>32870</v>
      </c>
      <c r="O216" s="5" t="s">
        <v>332</v>
      </c>
      <c r="P216" s="5" t="s">
        <v>333</v>
      </c>
      <c r="Q216" s="5" t="s">
        <v>1009</v>
      </c>
      <c r="R216" s="5" t="s">
        <v>115</v>
      </c>
      <c r="S216" s="5" t="s">
        <v>1009</v>
      </c>
      <c r="T216" s="6"/>
      <c r="U216" s="6" t="n">
        <v>44470</v>
      </c>
      <c r="V216" s="5" t="s">
        <v>141</v>
      </c>
      <c r="W216" s="5" t="s">
        <v>141</v>
      </c>
      <c r="X216" s="5" t="s">
        <v>141</v>
      </c>
      <c r="Y216" s="5" t="s">
        <v>141</v>
      </c>
      <c r="Z216" s="5" t="s">
        <v>83</v>
      </c>
      <c r="AA216" s="5" t="s">
        <v>1170</v>
      </c>
      <c r="AB216" s="0" t="n">
        <f aca="false">IFERROR(VALUE(R216),0)</f>
        <v>0</v>
      </c>
      <c r="AC216" s="0" t="n">
        <f aca="false">IFERROR(VALUE(M216),"")</f>
        <v>36.5</v>
      </c>
      <c r="AD216" s="0" t="n">
        <f aca="false">IFERROR(VALUE(Q216),"")</f>
        <v>14.11</v>
      </c>
      <c r="AE216" s="0" t="n">
        <f aca="false">IFERROR(VALUE(S216),"")</f>
        <v>14.11</v>
      </c>
      <c r="AF216" s="0" t="n">
        <f aca="false">IF(V216="","",VLOOKUP(V216,Assumptions!$B$6:$C$9,2,FALSE()))</f>
        <v>3</v>
      </c>
      <c r="AG216" s="0" t="n">
        <f aca="false">IF(W216="","",VLOOKUP(W216,Assumptions!$B$6:$C$9,2,FALSE()))</f>
        <v>3</v>
      </c>
      <c r="AH216" s="0" t="n">
        <f aca="false">IF(X216="","",VLOOKUP(X216,Assumptions!$B$6:$C$9,2,FALSE()))</f>
        <v>3</v>
      </c>
      <c r="AI216" s="0" t="n">
        <f aca="false">IF(Y216="","",VLOOKUP(Y216,Assumptions!$B$6:$C$9,2,FALSE()))</f>
        <v>3</v>
      </c>
      <c r="AJ216" s="0" t="n">
        <f aca="false">IF(Z216="","",VLOOKUP(Z216,Assumptions!$B$6:$C$9,2,FALSE()))</f>
        <v>4</v>
      </c>
      <c r="AK216" s="7" t="n">
        <f aca="false">IFERROR(ROUND(AVERAGE(AF216:AJ216),3),"")</f>
        <v>3.2</v>
      </c>
      <c r="AL216" s="7" t="n">
        <f aca="false">IF(OR(AF216="",AJ216=""),"",AJ216-AF216)</f>
        <v>1</v>
      </c>
      <c r="AM216" s="7" t="n">
        <f aca="false">IF(COUNT(AF216:AJ216)&gt;=2,ROUND(_xlfn.STDEV.S(AF216:AJ216),3),"")</f>
        <v>0.447</v>
      </c>
      <c r="AN216" s="7" t="n">
        <f aca="false">ROUND((IF(AF216="",0,AF216)*Assumptions!$F$15)+(IF(AG216="",0,AG216)*Assumptions!$F$16)+(IF(AH216="",0,AH216)*Assumptions!$F$17)+(IF(AI216="",0,AI216)*Assumptions!$F$18)+(IF(AJ216="",0,AJ216)*Assumptions!$F$19),3)</f>
        <v>3.3</v>
      </c>
      <c r="AO216" s="0" t="str">
        <f aca="false">IF(AC216&lt;=20,"",IF(AC216&lt;=Assumptions!$F$6,"20-30",IF(AC216&lt;=Assumptions!$F$7,"30-40",IF(AC216&lt;=Assumptions!$F$8,"40-50",IF(AC216&lt;=Assumptions!$F$9,"50-60",IF(AC216&lt;=Assumptions!$F$10,"60+",""))))))</f>
        <v>30-40</v>
      </c>
      <c r="AP216" s="0" t="str">
        <f aca="false">IFERROR(VLOOKUP(O216,Assumptions!$B$14:$C$26,2,FALSE()),"Other")</f>
        <v>Manager</v>
      </c>
      <c r="AQ216" s="0" t="n">
        <f aca="false">IF(T216="",0,1)</f>
        <v>0</v>
      </c>
      <c r="AR216" s="0" t="n">
        <f aca="false">IF(U216="",0,1)</f>
        <v>1</v>
      </c>
      <c r="AS216" s="8" t="n">
        <f aca="false">IF(AK216="","",IF(MAX($AK$2:$AK$921)=MIN($AK$2:$AK$921),50,ROUND((AK216-MIN($AK$2:$AK$921))/(MAX($AK$2:$AK$921)-MIN($AK$2:$AK$921))*100,2)))</f>
        <v>65.71</v>
      </c>
      <c r="AT216" s="8" t="n">
        <f aca="false">IF(MAX($BC$2:$BC$921)=MIN($BC$2:$BC$921),50,ROUND((BC216-MIN($BC$2:$BC$921))/(MAX($BC$2:$BC$921)-MIN($BC$2:$BC$921))*100,2))</f>
        <v>75</v>
      </c>
      <c r="AU216" s="8" t="n">
        <f aca="false">IF(MAX($BE$2:$BE$921)=MIN($BE$2:$BE$921),50,ROUND((BE216-MIN($BE$2:$BE$921))/(MAX($BE$2:$BE$921)-MIN($BE$2:$BE$921))*100,2))</f>
        <v>74.19</v>
      </c>
      <c r="AV216" s="8" t="n">
        <f aca="false">IF(MAX($AD$2:$AD$921)=MIN($AD$2:$AD$921),50,ROUND((AD216-MIN($AD$2:$AD$921))/(MAX($AD$2:$AD$921)-MIN($AD$2:$AD$921))*100,2))</f>
        <v>38.05</v>
      </c>
      <c r="AW216" s="8" t="n">
        <f aca="false">IF(MAX($AN$2:$AN$921)=MIN($AN$2:$AN$921),50,ROUND((AN216-MIN($AN$2:$AN$921))/(MAX($AN$2:$AN$921)-MIN($AN$2:$AN$921))*100,2))</f>
        <v>82.5</v>
      </c>
      <c r="AX216" s="8" t="n">
        <f aca="false">AQ216*100</f>
        <v>0</v>
      </c>
      <c r="AY216" s="8" t="n">
        <f aca="false">AR216*100</f>
        <v>100</v>
      </c>
      <c r="AZ216" s="8" t="n">
        <f aca="false">IFERROR(ROUND(AS216*Assumptions!$I$6+AW216*Assumptions!$I$7+AT216*Assumptions!$I$8+AU216*Assumptions!$I$9+AV216*Assumptions!$I$10+AX216*Assumptions!$I$11+AY216*Assumptions!$I$12,2),"")</f>
        <v>67.4</v>
      </c>
      <c r="BA216" s="0" t="str">
        <f aca="false">IF(AZ216="","",IF(AZ216&lt;=Assumptions!$I$18,"Below Expectation",IF(AZ216&lt;=Assumptions!$I$19,"Developing",IF(AZ216&lt;=Assumptions!$I$20,"Meets Expectation",IF(AZ216&lt;=Assumptions!$I$21,"Exceeds","Star Performer")))))</f>
        <v>Meets Expectation</v>
      </c>
      <c r="BB216" s="0" t="n">
        <f aca="false">IF(AZ216="",0,IF(AZ216&gt;=Assumptions!$I$26,1,0))</f>
        <v>0</v>
      </c>
      <c r="BC216" s="9" t="n">
        <f aca="false">IF(AL216="",2,AL216+2)</f>
        <v>3</v>
      </c>
      <c r="BD216" s="10" t="n">
        <f aca="false">IF(AM216="",ROUND(AVERAGE($AM$2:$AM$921),3),AM216)</f>
        <v>0.447</v>
      </c>
      <c r="BE216" s="9" t="n">
        <f aca="false">1-BD216</f>
        <v>0.553</v>
      </c>
    </row>
    <row r="217" customFormat="false" ht="14.25" hidden="true" customHeight="false" outlineLevel="0" collapsed="false">
      <c r="A217" s="4" t="n">
        <v>61</v>
      </c>
      <c r="B217" s="5" t="n">
        <v>10019389</v>
      </c>
      <c r="C217" s="5" t="s">
        <v>57</v>
      </c>
      <c r="D217" s="5" t="s">
        <v>1171</v>
      </c>
      <c r="E217" s="5" t="s">
        <v>520</v>
      </c>
      <c r="F217" s="5" t="s">
        <v>436</v>
      </c>
      <c r="G217" s="5" t="s">
        <v>437</v>
      </c>
      <c r="H217" s="5" t="s">
        <v>438</v>
      </c>
      <c r="I217" s="5" t="s">
        <v>63</v>
      </c>
      <c r="J217" s="5" t="s">
        <v>100</v>
      </c>
      <c r="K217" s="5" t="s">
        <v>65</v>
      </c>
      <c r="L217" s="6" t="n">
        <v>37725</v>
      </c>
      <c r="M217" s="5" t="s">
        <v>1172</v>
      </c>
      <c r="N217" s="6" t="n">
        <v>27085</v>
      </c>
      <c r="O217" s="5" t="s">
        <v>122</v>
      </c>
      <c r="P217" s="5" t="s">
        <v>123</v>
      </c>
      <c r="Q217" s="5" t="s">
        <v>1173</v>
      </c>
      <c r="R217" s="5" t="s">
        <v>843</v>
      </c>
      <c r="S217" s="5" t="s">
        <v>767</v>
      </c>
      <c r="T217" s="6" t="n">
        <v>43132</v>
      </c>
      <c r="U217" s="6"/>
      <c r="V217" s="5" t="s">
        <v>83</v>
      </c>
      <c r="W217" s="5" t="s">
        <v>83</v>
      </c>
      <c r="X217" s="5" t="s">
        <v>83</v>
      </c>
      <c r="Y217" s="5" t="s">
        <v>141</v>
      </c>
      <c r="Z217" s="5" t="s">
        <v>141</v>
      </c>
      <c r="AA217" s="5" t="s">
        <v>1174</v>
      </c>
      <c r="AB217" s="0" t="n">
        <f aca="false">IFERROR(VALUE(R217),0)</f>
        <v>8.7</v>
      </c>
      <c r="AC217" s="0" t="n">
        <f aca="false">IFERROR(VALUE(M217),"")</f>
        <v>52.3</v>
      </c>
      <c r="AD217" s="0" t="n">
        <f aca="false">IFERROR(VALUE(Q217),"")</f>
        <v>23.1</v>
      </c>
      <c r="AE217" s="0" t="n">
        <f aca="false">IFERROR(VALUE(S217),"")</f>
        <v>31.8</v>
      </c>
      <c r="AF217" s="0" t="n">
        <f aca="false">IF(V217="","",VLOOKUP(V217,Assumptions!$B$6:$C$9,2,FALSE()))</f>
        <v>4</v>
      </c>
      <c r="AG217" s="0" t="n">
        <f aca="false">IF(W217="","",VLOOKUP(W217,Assumptions!$B$6:$C$9,2,FALSE()))</f>
        <v>4</v>
      </c>
      <c r="AH217" s="0" t="n">
        <f aca="false">IF(X217="","",VLOOKUP(X217,Assumptions!$B$6:$C$9,2,FALSE()))</f>
        <v>4</v>
      </c>
      <c r="AI217" s="0" t="n">
        <f aca="false">IF(Y217="","",VLOOKUP(Y217,Assumptions!$B$6:$C$9,2,FALSE()))</f>
        <v>3</v>
      </c>
      <c r="AJ217" s="0" t="n">
        <f aca="false">IF(Z217="","",VLOOKUP(Z217,Assumptions!$B$6:$C$9,2,FALSE()))</f>
        <v>3</v>
      </c>
      <c r="AK217" s="7" t="n">
        <f aca="false">IFERROR(ROUND(AVERAGE(AF217:AJ217),3),"")</f>
        <v>3.6</v>
      </c>
      <c r="AL217" s="7" t="n">
        <f aca="false">IF(OR(AF217="",AJ217=""),"",AJ217-AF217)</f>
        <v>-1</v>
      </c>
      <c r="AM217" s="7" t="n">
        <f aca="false">IF(COUNT(AF217:AJ217)&gt;=2,ROUND(_xlfn.STDEV.S(AF217:AJ217),3),"")</f>
        <v>0.548</v>
      </c>
      <c r="AN217" s="7" t="n">
        <f aca="false">ROUND((IF(AF217="",0,AF217)*Assumptions!$F$15)+(IF(AG217="",0,AG217)*Assumptions!$F$16)+(IF(AH217="",0,AH217)*Assumptions!$F$17)+(IF(AI217="",0,AI217)*Assumptions!$F$18)+(IF(AJ217="",0,AJ217)*Assumptions!$F$19),3)</f>
        <v>3.45</v>
      </c>
      <c r="AO217" s="0" t="str">
        <f aca="false">IF(AC217&lt;=20,"",IF(AC217&lt;=Assumptions!$F$6,"20-30",IF(AC217&lt;=Assumptions!$F$7,"30-40",IF(AC217&lt;=Assumptions!$F$8,"40-50",IF(AC217&lt;=Assumptions!$F$9,"50-60",IF(AC217&lt;=Assumptions!$F$10,"60+",""))))))</f>
        <v>50-60</v>
      </c>
      <c r="AP217" s="0" t="str">
        <f aca="false">IFERROR(VLOOKUP(O217,Assumptions!$B$14:$C$26,2,FALSE()),"Other")</f>
        <v>Leadership</v>
      </c>
      <c r="AQ217" s="0" t="n">
        <f aca="false">IF(T217="",0,1)</f>
        <v>1</v>
      </c>
      <c r="AR217" s="0" t="n">
        <f aca="false">IF(U217="",0,1)</f>
        <v>0</v>
      </c>
      <c r="AS217" s="8" t="n">
        <f aca="false">IF(AK217="","",IF(MAX($AK$2:$AK$921)=MIN($AK$2:$AK$921),50,ROUND((AK217-MIN($AK$2:$AK$921))/(MAX($AK$2:$AK$921)-MIN($AK$2:$AK$921))*100,2)))</f>
        <v>82.85</v>
      </c>
      <c r="AT217" s="8" t="n">
        <f aca="false">IF(MAX($BC$2:$BC$921)=MIN($BC$2:$BC$921),50,ROUND((BC217-MIN($BC$2:$BC$921))/(MAX($BC$2:$BC$921)-MIN($BC$2:$BC$921))*100,2))</f>
        <v>25</v>
      </c>
      <c r="AU217" s="8" t="n">
        <f aca="false">IF(MAX($BE$2:$BE$921)=MIN($BE$2:$BE$921),50,ROUND((BE217-MIN($BE$2:$BE$921))/(MAX($BE$2:$BE$921)-MIN($BE$2:$BE$921))*100,2))</f>
        <v>68.36</v>
      </c>
      <c r="AV217" s="8" t="n">
        <f aca="false">IF(MAX($AD$2:$AD$921)=MIN($AD$2:$AD$921),50,ROUND((AD217-MIN($AD$2:$AD$921))/(MAX($AD$2:$AD$921)-MIN($AD$2:$AD$921))*100,2))</f>
        <v>62.49</v>
      </c>
      <c r="AW217" s="8" t="n">
        <f aca="false">IF(MAX($AN$2:$AN$921)=MIN($AN$2:$AN$921),50,ROUND((AN217-MIN($AN$2:$AN$921))/(MAX($AN$2:$AN$921)-MIN($AN$2:$AN$921))*100,2))</f>
        <v>86.25</v>
      </c>
      <c r="AX217" s="8" t="n">
        <f aca="false">AQ217*100</f>
        <v>100</v>
      </c>
      <c r="AY217" s="8" t="n">
        <f aca="false">AR217*100</f>
        <v>0</v>
      </c>
      <c r="AZ217" s="8" t="n">
        <f aca="false">IFERROR(ROUND(AS217*Assumptions!$I$6+AW217*Assumptions!$I$7+AT217*Assumptions!$I$8+AU217*Assumptions!$I$9+AV217*Assumptions!$I$10+AX217*Assumptions!$I$11+AY217*Assumptions!$I$12,2),"")</f>
        <v>67.36</v>
      </c>
      <c r="BA217" s="0" t="str">
        <f aca="false">IF(AZ217="","",IF(AZ217&lt;=Assumptions!$I$18,"Below Expectation",IF(AZ217&lt;=Assumptions!$I$19,"Developing",IF(AZ217&lt;=Assumptions!$I$20,"Meets Expectation",IF(AZ217&lt;=Assumptions!$I$21,"Exceeds","Star Performer")))))</f>
        <v>Meets Expectation</v>
      </c>
      <c r="BB217" s="0" t="n">
        <f aca="false">IF(AZ217="",0,IF(AZ217&gt;=Assumptions!$I$26,1,0))</f>
        <v>0</v>
      </c>
      <c r="BC217" s="9" t="n">
        <f aca="false">IF(AL217="",2,AL217+2)</f>
        <v>1</v>
      </c>
      <c r="BD217" s="10" t="n">
        <f aca="false">IF(AM217="",ROUND(AVERAGE($AM$2:$AM$921),3),AM217)</f>
        <v>0.548</v>
      </c>
      <c r="BE217" s="9" t="n">
        <f aca="false">1-BD217</f>
        <v>0.452</v>
      </c>
    </row>
    <row r="218" customFormat="false" ht="14.25" hidden="true" customHeight="false" outlineLevel="0" collapsed="false">
      <c r="A218" s="4" t="n">
        <v>273</v>
      </c>
      <c r="B218" s="5" t="n">
        <v>10067989</v>
      </c>
      <c r="C218" s="5" t="s">
        <v>858</v>
      </c>
      <c r="D218" s="5" t="s">
        <v>1175</v>
      </c>
      <c r="E218" s="5" t="s">
        <v>1176</v>
      </c>
      <c r="F218" s="5" t="s">
        <v>1177</v>
      </c>
      <c r="G218" s="5" t="s">
        <v>1178</v>
      </c>
      <c r="H218" s="5" t="s">
        <v>1177</v>
      </c>
      <c r="I218" s="5" t="s">
        <v>63</v>
      </c>
      <c r="J218" s="5" t="s">
        <v>100</v>
      </c>
      <c r="K218" s="5" t="s">
        <v>309</v>
      </c>
      <c r="L218" s="6" t="n">
        <v>43593</v>
      </c>
      <c r="M218" s="5" t="s">
        <v>1179</v>
      </c>
      <c r="N218" s="6" t="n">
        <v>31096</v>
      </c>
      <c r="O218" s="5" t="s">
        <v>162</v>
      </c>
      <c r="P218" s="5" t="s">
        <v>162</v>
      </c>
      <c r="Q218" s="5" t="s">
        <v>439</v>
      </c>
      <c r="R218" s="5" t="s">
        <v>921</v>
      </c>
      <c r="S218" s="5" t="s">
        <v>1180</v>
      </c>
      <c r="T218" s="6"/>
      <c r="U218" s="6" t="n">
        <v>46113</v>
      </c>
      <c r="V218" s="5" t="s">
        <v>83</v>
      </c>
      <c r="W218" s="5" t="s">
        <v>83</v>
      </c>
      <c r="X218" s="5" t="s">
        <v>141</v>
      </c>
      <c r="Y218" s="5" t="s">
        <v>141</v>
      </c>
      <c r="Z218" s="5" t="s">
        <v>83</v>
      </c>
      <c r="AA218" s="5" t="s">
        <v>1181</v>
      </c>
      <c r="AB218" s="0" t="n">
        <f aca="false">IFERROR(VALUE(R218),0)</f>
        <v>8.9</v>
      </c>
      <c r="AC218" s="0" t="n">
        <f aca="false">IFERROR(VALUE(M218),"")</f>
        <v>41.3</v>
      </c>
      <c r="AD218" s="0" t="n">
        <f aca="false">IFERROR(VALUE(Q218),"")</f>
        <v>7.1</v>
      </c>
      <c r="AE218" s="0" t="n">
        <f aca="false">IFERROR(VALUE(S218),"")</f>
        <v>15.1</v>
      </c>
      <c r="AF218" s="0" t="n">
        <f aca="false">IF(V218="","",VLOOKUP(V218,Assumptions!$B$6:$C$9,2,FALSE()))</f>
        <v>4</v>
      </c>
      <c r="AG218" s="0" t="n">
        <f aca="false">IF(W218="","",VLOOKUP(W218,Assumptions!$B$6:$C$9,2,FALSE()))</f>
        <v>4</v>
      </c>
      <c r="AH218" s="0" t="n">
        <f aca="false">IF(X218="","",VLOOKUP(X218,Assumptions!$B$6:$C$9,2,FALSE()))</f>
        <v>3</v>
      </c>
      <c r="AI218" s="0" t="n">
        <f aca="false">IF(Y218="","",VLOOKUP(Y218,Assumptions!$B$6:$C$9,2,FALSE()))</f>
        <v>3</v>
      </c>
      <c r="AJ218" s="0" t="n">
        <f aca="false">IF(Z218="","",VLOOKUP(Z218,Assumptions!$B$6:$C$9,2,FALSE()))</f>
        <v>4</v>
      </c>
      <c r="AK218" s="7" t="n">
        <f aca="false">IFERROR(ROUND(AVERAGE(AF218:AJ218),3),"")</f>
        <v>3.6</v>
      </c>
      <c r="AL218" s="7" t="n">
        <f aca="false">IF(OR(AF218="",AJ218=""),"",AJ218-AF218)</f>
        <v>0</v>
      </c>
      <c r="AM218" s="7" t="n">
        <f aca="false">IF(COUNT(AF218:AJ218)&gt;=2,ROUND(_xlfn.STDEV.S(AF218:AJ218),3),"")</f>
        <v>0.548</v>
      </c>
      <c r="AN218" s="7" t="n">
        <f aca="false">ROUND((IF(AF218="",0,AF218)*Assumptions!$F$15)+(IF(AG218="",0,AG218)*Assumptions!$F$16)+(IF(AH218="",0,AH218)*Assumptions!$F$17)+(IF(AI218="",0,AI218)*Assumptions!$F$18)+(IF(AJ218="",0,AJ218)*Assumptions!$F$19),3)</f>
        <v>3.55</v>
      </c>
      <c r="AO218" s="0" t="str">
        <f aca="false">IF(AC218&lt;=20,"",IF(AC218&lt;=Assumptions!$F$6,"20-30",IF(AC218&lt;=Assumptions!$F$7,"30-40",IF(AC218&lt;=Assumptions!$F$8,"40-50",IF(AC218&lt;=Assumptions!$F$9,"50-60",IF(AC218&lt;=Assumptions!$F$10,"60+",""))))))</f>
        <v>40-50</v>
      </c>
      <c r="AP218" s="0" t="str">
        <f aca="false">IFERROR(VLOOKUP(O218,Assumptions!$B$14:$C$26,2,FALSE()),"Other")</f>
        <v>Manager</v>
      </c>
      <c r="AQ218" s="0" t="n">
        <f aca="false">IF(T218="",0,1)</f>
        <v>0</v>
      </c>
      <c r="AR218" s="0" t="n">
        <f aca="false">IF(U218="",0,1)</f>
        <v>1</v>
      </c>
      <c r="AS218" s="8" t="n">
        <f aca="false">IF(AK218="","",IF(MAX($AK$2:$AK$921)=MIN($AK$2:$AK$921),50,ROUND((AK218-MIN($AK$2:$AK$921))/(MAX($AK$2:$AK$921)-MIN($AK$2:$AK$921))*100,2)))</f>
        <v>82.85</v>
      </c>
      <c r="AT218" s="8" t="n">
        <f aca="false">IF(MAX($BC$2:$BC$921)=MIN($BC$2:$BC$921),50,ROUND((BC218-MIN($BC$2:$BC$921))/(MAX($BC$2:$BC$921)-MIN($BC$2:$BC$921))*100,2))</f>
        <v>50</v>
      </c>
      <c r="AU218" s="8" t="n">
        <f aca="false">IF(MAX($BE$2:$BE$921)=MIN($BE$2:$BE$921),50,ROUND((BE218-MIN($BE$2:$BE$921))/(MAX($BE$2:$BE$921)-MIN($BE$2:$BE$921))*100,2))</f>
        <v>68.36</v>
      </c>
      <c r="AV218" s="8" t="n">
        <f aca="false">IF(MAX($AD$2:$AD$921)=MIN($AD$2:$AD$921),50,ROUND((AD218-MIN($AD$2:$AD$921))/(MAX($AD$2:$AD$921)-MIN($AD$2:$AD$921))*100,2))</f>
        <v>19</v>
      </c>
      <c r="AW218" s="8" t="n">
        <f aca="false">IF(MAX($AN$2:$AN$921)=MIN($AN$2:$AN$921),50,ROUND((AN218-MIN($AN$2:$AN$921))/(MAX($AN$2:$AN$921)-MIN($AN$2:$AN$921))*100,2))</f>
        <v>88.75</v>
      </c>
      <c r="AX218" s="8" t="n">
        <f aca="false">AQ218*100</f>
        <v>0</v>
      </c>
      <c r="AY218" s="8" t="n">
        <f aca="false">AR218*100</f>
        <v>100</v>
      </c>
      <c r="AZ218" s="8" t="n">
        <f aca="false">IFERROR(ROUND(AS218*Assumptions!$I$6+AW218*Assumptions!$I$7+AT218*Assumptions!$I$8+AU218*Assumptions!$I$9+AV218*Assumptions!$I$10+AX218*Assumptions!$I$11+AY218*Assumptions!$I$12,2),"")</f>
        <v>67.26</v>
      </c>
      <c r="BA218" s="0" t="str">
        <f aca="false">IF(AZ218="","",IF(AZ218&lt;=Assumptions!$I$18,"Below Expectation",IF(AZ218&lt;=Assumptions!$I$19,"Developing",IF(AZ218&lt;=Assumptions!$I$20,"Meets Expectation",IF(AZ218&lt;=Assumptions!$I$21,"Exceeds","Star Performer")))))</f>
        <v>Meets Expectation</v>
      </c>
      <c r="BB218" s="0" t="n">
        <f aca="false">IF(AZ218="",0,IF(AZ218&gt;=Assumptions!$I$26,1,0))</f>
        <v>0</v>
      </c>
      <c r="BC218" s="9" t="n">
        <f aca="false">IF(AL218="",2,AL218+2)</f>
        <v>2</v>
      </c>
      <c r="BD218" s="10" t="n">
        <f aca="false">IF(AM218="",ROUND(AVERAGE($AM$2:$AM$921),3),AM218)</f>
        <v>0.548</v>
      </c>
      <c r="BE218" s="9" t="n">
        <f aca="false">1-BD218</f>
        <v>0.452</v>
      </c>
    </row>
    <row r="219" customFormat="false" ht="14.25" hidden="true" customHeight="false" outlineLevel="0" collapsed="false">
      <c r="A219" s="4" t="n">
        <v>31</v>
      </c>
      <c r="B219" s="5" t="n">
        <v>2066708</v>
      </c>
      <c r="C219" s="5" t="s">
        <v>85</v>
      </c>
      <c r="D219" s="5" t="s">
        <v>1182</v>
      </c>
      <c r="E219" s="5" t="s">
        <v>751</v>
      </c>
      <c r="F219" s="5" t="s">
        <v>236</v>
      </c>
      <c r="G219" s="5" t="s">
        <v>237</v>
      </c>
      <c r="H219" s="5" t="s">
        <v>238</v>
      </c>
      <c r="I219" s="5" t="s">
        <v>63</v>
      </c>
      <c r="J219" s="5" t="s">
        <v>76</v>
      </c>
      <c r="K219" s="5" t="s">
        <v>65</v>
      </c>
      <c r="L219" s="6" t="n">
        <v>35619</v>
      </c>
      <c r="M219" s="5" t="s">
        <v>1183</v>
      </c>
      <c r="N219" s="6" t="n">
        <v>24892</v>
      </c>
      <c r="O219" s="5" t="s">
        <v>162</v>
      </c>
      <c r="P219" s="5" t="s">
        <v>162</v>
      </c>
      <c r="Q219" s="5" t="s">
        <v>1184</v>
      </c>
      <c r="R219" s="5" t="s">
        <v>701</v>
      </c>
      <c r="S219" s="5" t="s">
        <v>485</v>
      </c>
      <c r="T219" s="6" t="n">
        <v>42826</v>
      </c>
      <c r="U219" s="6"/>
      <c r="V219" s="5" t="s">
        <v>141</v>
      </c>
      <c r="W219" s="5" t="s">
        <v>141</v>
      </c>
      <c r="X219" s="5" t="s">
        <v>141</v>
      </c>
      <c r="Y219" s="5" t="s">
        <v>141</v>
      </c>
      <c r="Z219" s="5" t="s">
        <v>141</v>
      </c>
      <c r="AA219" s="5" t="s">
        <v>1185</v>
      </c>
      <c r="AB219" s="0" t="n">
        <f aca="false">IFERROR(VALUE(R219),0)</f>
        <v>6.11</v>
      </c>
      <c r="AC219" s="0" t="n">
        <f aca="false">IFERROR(VALUE(M219),"")</f>
        <v>58.3</v>
      </c>
      <c r="AD219" s="0" t="n">
        <f aca="false">IFERROR(VALUE(Q219),"")</f>
        <v>28.11</v>
      </c>
      <c r="AE219" s="0" t="n">
        <f aca="false">IFERROR(VALUE(S219),"")</f>
        <v>35.1</v>
      </c>
      <c r="AF219" s="0" t="n">
        <f aca="false">IF(V219="","",VLOOKUP(V219,Assumptions!$B$6:$C$9,2,FALSE()))</f>
        <v>3</v>
      </c>
      <c r="AG219" s="0" t="n">
        <f aca="false">IF(W219="","",VLOOKUP(W219,Assumptions!$B$6:$C$9,2,FALSE()))</f>
        <v>3</v>
      </c>
      <c r="AH219" s="0" t="n">
        <f aca="false">IF(X219="","",VLOOKUP(X219,Assumptions!$B$6:$C$9,2,FALSE()))</f>
        <v>3</v>
      </c>
      <c r="AI219" s="0" t="n">
        <f aca="false">IF(Y219="","",VLOOKUP(Y219,Assumptions!$B$6:$C$9,2,FALSE()))</f>
        <v>3</v>
      </c>
      <c r="AJ219" s="0" t="n">
        <f aca="false">IF(Z219="","",VLOOKUP(Z219,Assumptions!$B$6:$C$9,2,FALSE()))</f>
        <v>3</v>
      </c>
      <c r="AK219" s="7" t="n">
        <f aca="false">IFERROR(ROUND(AVERAGE(AF219:AJ219),3),"")</f>
        <v>3</v>
      </c>
      <c r="AL219" s="7" t="n">
        <f aca="false">IF(OR(AF219="",AJ219=""),"",AJ219-AF219)</f>
        <v>0</v>
      </c>
      <c r="AM219" s="7" t="n">
        <f aca="false">IF(COUNT(AF219:AJ219)&gt;=2,ROUND(_xlfn.STDEV.S(AF219:AJ219),3),"")</f>
        <v>0</v>
      </c>
      <c r="AN219" s="7" t="n">
        <f aca="false">ROUND((IF(AF219="",0,AF219)*Assumptions!$F$15)+(IF(AG219="",0,AG219)*Assumptions!$F$16)+(IF(AH219="",0,AH219)*Assumptions!$F$17)+(IF(AI219="",0,AI219)*Assumptions!$F$18)+(IF(AJ219="",0,AJ219)*Assumptions!$F$19),3)</f>
        <v>3</v>
      </c>
      <c r="AO219" s="0" t="str">
        <f aca="false">IF(AC219&lt;=20,"",IF(AC219&lt;=Assumptions!$F$6,"20-30",IF(AC219&lt;=Assumptions!$F$7,"30-40",IF(AC219&lt;=Assumptions!$F$8,"40-50",IF(AC219&lt;=Assumptions!$F$9,"50-60",IF(AC219&lt;=Assumptions!$F$10,"60+",""))))))</f>
        <v>50-60</v>
      </c>
      <c r="AP219" s="0" t="str">
        <f aca="false">IFERROR(VLOOKUP(O219,Assumptions!$B$14:$C$26,2,FALSE()),"Other")</f>
        <v>Manager</v>
      </c>
      <c r="AQ219" s="0" t="n">
        <f aca="false">IF(T219="",0,1)</f>
        <v>1</v>
      </c>
      <c r="AR219" s="0" t="n">
        <f aca="false">IF(U219="",0,1)</f>
        <v>0</v>
      </c>
      <c r="AS219" s="8" t="n">
        <f aca="false">IF(AK219="","",IF(MAX($AK$2:$AK$921)=MIN($AK$2:$AK$921),50,ROUND((AK219-MIN($AK$2:$AK$921))/(MAX($AK$2:$AK$921)-MIN($AK$2:$AK$921))*100,2)))</f>
        <v>57.14</v>
      </c>
      <c r="AT219" s="8" t="n">
        <f aca="false">IF(MAX($BC$2:$BC$921)=MIN($BC$2:$BC$921),50,ROUND((BC219-MIN($BC$2:$BC$921))/(MAX($BC$2:$BC$921)-MIN($BC$2:$BC$921))*100,2))</f>
        <v>50</v>
      </c>
      <c r="AU219" s="8" t="n">
        <f aca="false">IF(MAX($BE$2:$BE$921)=MIN($BE$2:$BE$921),50,ROUND((BE219-MIN($BE$2:$BE$921))/(MAX($BE$2:$BE$921)-MIN($BE$2:$BE$921))*100,2))</f>
        <v>100</v>
      </c>
      <c r="AV219" s="8" t="n">
        <f aca="false">IF(MAX($AD$2:$AD$921)=MIN($AD$2:$AD$921),50,ROUND((AD219-MIN($AD$2:$AD$921))/(MAX($AD$2:$AD$921)-MIN($AD$2:$AD$921))*100,2))</f>
        <v>76.11</v>
      </c>
      <c r="AW219" s="8" t="n">
        <f aca="false">IF(MAX($AN$2:$AN$921)=MIN($AN$2:$AN$921),50,ROUND((AN219-MIN($AN$2:$AN$921))/(MAX($AN$2:$AN$921)-MIN($AN$2:$AN$921))*100,2))</f>
        <v>75</v>
      </c>
      <c r="AX219" s="8" t="n">
        <f aca="false">AQ219*100</f>
        <v>100</v>
      </c>
      <c r="AY219" s="8" t="n">
        <f aca="false">AR219*100</f>
        <v>0</v>
      </c>
      <c r="AZ219" s="8" t="n">
        <f aca="false">IFERROR(ROUND(AS219*Assumptions!$I$6+AW219*Assumptions!$I$7+AT219*Assumptions!$I$8+AU219*Assumptions!$I$9+AV219*Assumptions!$I$10+AX219*Assumptions!$I$11+AY219*Assumptions!$I$12,2),"")</f>
        <v>67.25</v>
      </c>
      <c r="BA219" s="0" t="str">
        <f aca="false">IF(AZ219="","",IF(AZ219&lt;=Assumptions!$I$18,"Below Expectation",IF(AZ219&lt;=Assumptions!$I$19,"Developing",IF(AZ219&lt;=Assumptions!$I$20,"Meets Expectation",IF(AZ219&lt;=Assumptions!$I$21,"Exceeds","Star Performer")))))</f>
        <v>Meets Expectation</v>
      </c>
      <c r="BB219" s="0" t="n">
        <f aca="false">IF(AZ219="",0,IF(AZ219&gt;=Assumptions!$I$26,1,0))</f>
        <v>0</v>
      </c>
      <c r="BC219" s="9" t="n">
        <f aca="false">IF(AL219="",2,AL219+2)</f>
        <v>2</v>
      </c>
      <c r="BD219" s="10" t="n">
        <f aca="false">IF(AM219="",ROUND(AVERAGE($AM$2:$AM$921),3),AM219)</f>
        <v>0</v>
      </c>
      <c r="BE219" s="9" t="n">
        <f aca="false">1-BD219</f>
        <v>1</v>
      </c>
    </row>
    <row r="220" customFormat="false" ht="14.25" hidden="true" customHeight="false" outlineLevel="0" collapsed="false">
      <c r="A220" s="4" t="n">
        <v>167</v>
      </c>
      <c r="B220" s="5" t="n">
        <v>10051558</v>
      </c>
      <c r="C220" s="5" t="s">
        <v>85</v>
      </c>
      <c r="D220" s="5" t="s">
        <v>1186</v>
      </c>
      <c r="E220" s="5" t="s">
        <v>751</v>
      </c>
      <c r="F220" s="5" t="s">
        <v>1187</v>
      </c>
      <c r="G220" s="5" t="s">
        <v>619</v>
      </c>
      <c r="H220" s="5" t="s">
        <v>618</v>
      </c>
      <c r="I220" s="5" t="s">
        <v>63</v>
      </c>
      <c r="J220" s="5" t="s">
        <v>76</v>
      </c>
      <c r="K220" s="5" t="s">
        <v>65</v>
      </c>
      <c r="L220" s="6" t="n">
        <v>42257</v>
      </c>
      <c r="M220" s="5" t="s">
        <v>340</v>
      </c>
      <c r="N220" s="6" t="n">
        <v>31963</v>
      </c>
      <c r="O220" s="5" t="s">
        <v>262</v>
      </c>
      <c r="P220" s="5" t="s">
        <v>263</v>
      </c>
      <c r="Q220" s="5" t="s">
        <v>1188</v>
      </c>
      <c r="R220" s="5" t="s">
        <v>506</v>
      </c>
      <c r="S220" s="5" t="s">
        <v>1189</v>
      </c>
      <c r="T220" s="6" t="n">
        <v>43070</v>
      </c>
      <c r="U220" s="6" t="n">
        <v>44652</v>
      </c>
      <c r="V220" s="5" t="s">
        <v>141</v>
      </c>
      <c r="W220" s="5" t="s">
        <v>141</v>
      </c>
      <c r="X220" s="5" t="s">
        <v>83</v>
      </c>
      <c r="Y220" s="5" t="s">
        <v>141</v>
      </c>
      <c r="Z220" s="5" t="s">
        <v>141</v>
      </c>
      <c r="AA220" s="5" t="s">
        <v>1190</v>
      </c>
      <c r="AB220" s="0" t="n">
        <f aca="false">IFERROR(VALUE(R220),0)</f>
        <v>6.1</v>
      </c>
      <c r="AC220" s="0" t="n">
        <f aca="false">IFERROR(VALUE(M220),"")</f>
        <v>38.11</v>
      </c>
      <c r="AD220" s="0" t="n">
        <f aca="false">IFERROR(VALUE(Q220),"")</f>
        <v>10.8</v>
      </c>
      <c r="AE220" s="0" t="n">
        <f aca="false">IFERROR(VALUE(S220),"")</f>
        <v>16.9</v>
      </c>
      <c r="AF220" s="0" t="n">
        <f aca="false">IF(V220="","",VLOOKUP(V220,Assumptions!$B$6:$C$9,2,FALSE()))</f>
        <v>3</v>
      </c>
      <c r="AG220" s="0" t="n">
        <f aca="false">IF(W220="","",VLOOKUP(W220,Assumptions!$B$6:$C$9,2,FALSE()))</f>
        <v>3</v>
      </c>
      <c r="AH220" s="0" t="n">
        <f aca="false">IF(X220="","",VLOOKUP(X220,Assumptions!$B$6:$C$9,2,FALSE()))</f>
        <v>4</v>
      </c>
      <c r="AI220" s="0" t="n">
        <f aca="false">IF(Y220="","",VLOOKUP(Y220,Assumptions!$B$6:$C$9,2,FALSE()))</f>
        <v>3</v>
      </c>
      <c r="AJ220" s="0" t="n">
        <f aca="false">IF(Z220="","",VLOOKUP(Z220,Assumptions!$B$6:$C$9,2,FALSE()))</f>
        <v>3</v>
      </c>
      <c r="AK220" s="7" t="n">
        <f aca="false">IFERROR(ROUND(AVERAGE(AF220:AJ220),3),"")</f>
        <v>3.2</v>
      </c>
      <c r="AL220" s="7" t="n">
        <f aca="false">IF(OR(AF220="",AJ220=""),"",AJ220-AF220)</f>
        <v>0</v>
      </c>
      <c r="AM220" s="7" t="n">
        <f aca="false">IF(COUNT(AF220:AJ220)&gt;=2,ROUND(_xlfn.STDEV.S(AF220:AJ220),3),"")</f>
        <v>0.447</v>
      </c>
      <c r="AN220" s="7" t="n">
        <f aca="false">ROUND((IF(AF220="",0,AF220)*Assumptions!$F$15)+(IF(AG220="",0,AG220)*Assumptions!$F$16)+(IF(AH220="",0,AH220)*Assumptions!$F$17)+(IF(AI220="",0,AI220)*Assumptions!$F$18)+(IF(AJ220="",0,AJ220)*Assumptions!$F$19),3)</f>
        <v>3.2</v>
      </c>
      <c r="AO220" s="0" t="str">
        <f aca="false">IF(AC220&lt;=20,"",IF(AC220&lt;=Assumptions!$F$6,"20-30",IF(AC220&lt;=Assumptions!$F$7,"30-40",IF(AC220&lt;=Assumptions!$F$8,"40-50",IF(AC220&lt;=Assumptions!$F$9,"50-60",IF(AC220&lt;=Assumptions!$F$10,"60+",""))))))</f>
        <v>30-40</v>
      </c>
      <c r="AP220" s="0" t="str">
        <f aca="false">IFERROR(VLOOKUP(O220,Assumptions!$B$14:$C$26,2,FALSE()),"Other")</f>
        <v>Manager</v>
      </c>
      <c r="AQ220" s="0" t="n">
        <f aca="false">IF(T220="",0,1)</f>
        <v>1</v>
      </c>
      <c r="AR220" s="0" t="n">
        <f aca="false">IF(U220="",0,1)</f>
        <v>1</v>
      </c>
      <c r="AS220" s="8" t="n">
        <f aca="false">IF(AK220="","",IF(MAX($AK$2:$AK$921)=MIN($AK$2:$AK$921),50,ROUND((AK220-MIN($AK$2:$AK$921))/(MAX($AK$2:$AK$921)-MIN($AK$2:$AK$921))*100,2)))</f>
        <v>65.71</v>
      </c>
      <c r="AT220" s="8" t="n">
        <f aca="false">IF(MAX($BC$2:$BC$921)=MIN($BC$2:$BC$921),50,ROUND((BC220-MIN($BC$2:$BC$921))/(MAX($BC$2:$BC$921)-MIN($BC$2:$BC$921))*100,2))</f>
        <v>50</v>
      </c>
      <c r="AU220" s="8" t="n">
        <f aca="false">IF(MAX($BE$2:$BE$921)=MIN($BE$2:$BE$921),50,ROUND((BE220-MIN($BE$2:$BE$921))/(MAX($BE$2:$BE$921)-MIN($BE$2:$BE$921))*100,2))</f>
        <v>74.19</v>
      </c>
      <c r="AV220" s="8" t="n">
        <f aca="false">IF(MAX($AD$2:$AD$921)=MIN($AD$2:$AD$921),50,ROUND((AD220-MIN($AD$2:$AD$921))/(MAX($AD$2:$AD$921)-MIN($AD$2:$AD$921))*100,2))</f>
        <v>29.06</v>
      </c>
      <c r="AW220" s="8" t="n">
        <f aca="false">IF(MAX($AN$2:$AN$921)=MIN($AN$2:$AN$921),50,ROUND((AN220-MIN($AN$2:$AN$921))/(MAX($AN$2:$AN$921)-MIN($AN$2:$AN$921))*100,2))</f>
        <v>80</v>
      </c>
      <c r="AX220" s="8" t="n">
        <f aca="false">AQ220*100</f>
        <v>100</v>
      </c>
      <c r="AY220" s="8" t="n">
        <f aca="false">AR220*100</f>
        <v>100</v>
      </c>
      <c r="AZ220" s="8" t="n">
        <f aca="false">IFERROR(ROUND(AS220*Assumptions!$I$6+AW220*Assumptions!$I$7+AT220*Assumptions!$I$8+AU220*Assumptions!$I$9+AV220*Assumptions!$I$10+AX220*Assumptions!$I$11+AY220*Assumptions!$I$12,2),"")</f>
        <v>67.25</v>
      </c>
      <c r="BA220" s="0" t="str">
        <f aca="false">IF(AZ220="","",IF(AZ220&lt;=Assumptions!$I$18,"Below Expectation",IF(AZ220&lt;=Assumptions!$I$19,"Developing",IF(AZ220&lt;=Assumptions!$I$20,"Meets Expectation",IF(AZ220&lt;=Assumptions!$I$21,"Exceeds","Star Performer")))))</f>
        <v>Meets Expectation</v>
      </c>
      <c r="BB220" s="0" t="n">
        <f aca="false">IF(AZ220="",0,IF(AZ220&gt;=Assumptions!$I$26,1,0))</f>
        <v>0</v>
      </c>
      <c r="BC220" s="9" t="n">
        <f aca="false">IF(AL220="",2,AL220+2)</f>
        <v>2</v>
      </c>
      <c r="BD220" s="10" t="n">
        <f aca="false">IF(AM220="",ROUND(AVERAGE($AM$2:$AM$921),3),AM220)</f>
        <v>0.447</v>
      </c>
      <c r="BE220" s="9" t="n">
        <f aca="false">1-BD220</f>
        <v>0.553</v>
      </c>
    </row>
    <row r="221" customFormat="false" ht="14.25" hidden="true" customHeight="false" outlineLevel="0" collapsed="false">
      <c r="A221" s="4" t="n">
        <v>298</v>
      </c>
      <c r="B221" s="5" t="n">
        <v>10071088</v>
      </c>
      <c r="C221" s="5"/>
      <c r="D221" s="5" t="s">
        <v>1191</v>
      </c>
      <c r="E221" s="5" t="s">
        <v>1092</v>
      </c>
      <c r="F221" s="5" t="s">
        <v>1192</v>
      </c>
      <c r="G221" s="5" t="s">
        <v>379</v>
      </c>
      <c r="H221" s="5" t="s">
        <v>380</v>
      </c>
      <c r="I221" s="5" t="s">
        <v>63</v>
      </c>
      <c r="J221" s="5" t="s">
        <v>76</v>
      </c>
      <c r="K221" s="5" t="s">
        <v>65</v>
      </c>
      <c r="L221" s="6" t="n">
        <v>43801</v>
      </c>
      <c r="M221" s="5" t="s">
        <v>261</v>
      </c>
      <c r="N221" s="6" t="n">
        <v>32132</v>
      </c>
      <c r="O221" s="5" t="s">
        <v>332</v>
      </c>
      <c r="P221" s="5" t="s">
        <v>333</v>
      </c>
      <c r="Q221" s="5" t="s">
        <v>1100</v>
      </c>
      <c r="R221" s="5" t="s">
        <v>567</v>
      </c>
      <c r="S221" s="5" t="s">
        <v>218</v>
      </c>
      <c r="T221" s="6"/>
      <c r="U221" s="6"/>
      <c r="V221" s="5" t="s">
        <v>83</v>
      </c>
      <c r="W221" s="5" t="s">
        <v>141</v>
      </c>
      <c r="X221" s="5" t="s">
        <v>83</v>
      </c>
      <c r="Y221" s="5" t="s">
        <v>83</v>
      </c>
      <c r="Z221" s="5" t="s">
        <v>83</v>
      </c>
      <c r="AA221" s="5" t="s">
        <v>1193</v>
      </c>
      <c r="AB221" s="0" t="n">
        <f aca="false">IFERROR(VALUE(R221),0)</f>
        <v>8</v>
      </c>
      <c r="AC221" s="0" t="n">
        <f aca="false">IFERROR(VALUE(M221),"")</f>
        <v>38.5</v>
      </c>
      <c r="AD221" s="0" t="n">
        <f aca="false">IFERROR(VALUE(Q221),"")</f>
        <v>6.6</v>
      </c>
      <c r="AE221" s="0" t="n">
        <f aca="false">IFERROR(VALUE(S221),"")</f>
        <v>14.6</v>
      </c>
      <c r="AF221" s="0" t="n">
        <f aca="false">IF(V221="","",VLOOKUP(V221,Assumptions!$B$6:$C$9,2,FALSE()))</f>
        <v>4</v>
      </c>
      <c r="AG221" s="0" t="n">
        <f aca="false">IF(W221="","",VLOOKUP(W221,Assumptions!$B$6:$C$9,2,FALSE()))</f>
        <v>3</v>
      </c>
      <c r="AH221" s="0" t="n">
        <f aca="false">IF(X221="","",VLOOKUP(X221,Assumptions!$B$6:$C$9,2,FALSE()))</f>
        <v>4</v>
      </c>
      <c r="AI221" s="0" t="n">
        <f aca="false">IF(Y221="","",VLOOKUP(Y221,Assumptions!$B$6:$C$9,2,FALSE()))</f>
        <v>4</v>
      </c>
      <c r="AJ221" s="0" t="n">
        <f aca="false">IF(Z221="","",VLOOKUP(Z221,Assumptions!$B$6:$C$9,2,FALSE()))</f>
        <v>4</v>
      </c>
      <c r="AK221" s="7" t="n">
        <f aca="false">IFERROR(ROUND(AVERAGE(AF221:AJ221),3),"")</f>
        <v>3.8</v>
      </c>
      <c r="AL221" s="7" t="n">
        <f aca="false">IF(OR(AF221="",AJ221=""),"",AJ221-AF221)</f>
        <v>0</v>
      </c>
      <c r="AM221" s="7" t="n">
        <f aca="false">IF(COUNT(AF221:AJ221)&gt;=2,ROUND(_xlfn.STDEV.S(AF221:AJ221),3),"")</f>
        <v>0.447</v>
      </c>
      <c r="AN221" s="7" t="n">
        <f aca="false">ROUND((IF(AF221="",0,AF221)*Assumptions!$F$15)+(IF(AG221="",0,AG221)*Assumptions!$F$16)+(IF(AH221="",0,AH221)*Assumptions!$F$17)+(IF(AI221="",0,AI221)*Assumptions!$F$18)+(IF(AJ221="",0,AJ221)*Assumptions!$F$19),3)</f>
        <v>3.85</v>
      </c>
      <c r="AO221" s="0" t="str">
        <f aca="false">IF(AC221&lt;=20,"",IF(AC221&lt;=Assumptions!$F$6,"20-30",IF(AC221&lt;=Assumptions!$F$7,"30-40",IF(AC221&lt;=Assumptions!$F$8,"40-50",IF(AC221&lt;=Assumptions!$F$9,"50-60",IF(AC221&lt;=Assumptions!$F$10,"60+",""))))))</f>
        <v>30-40</v>
      </c>
      <c r="AP221" s="0" t="str">
        <f aca="false">IFERROR(VLOOKUP(O221,Assumptions!$B$14:$C$26,2,FALSE()),"Other")</f>
        <v>Manager</v>
      </c>
      <c r="AQ221" s="0" t="n">
        <f aca="false">IF(T221="",0,1)</f>
        <v>0</v>
      </c>
      <c r="AR221" s="0" t="n">
        <f aca="false">IF(U221="",0,1)</f>
        <v>0</v>
      </c>
      <c r="AS221" s="8" t="n">
        <f aca="false">IF(AK221="","",IF(MAX($AK$2:$AK$921)=MIN($AK$2:$AK$921),50,ROUND((AK221-MIN($AK$2:$AK$921))/(MAX($AK$2:$AK$921)-MIN($AK$2:$AK$921))*100,2)))</f>
        <v>91.43</v>
      </c>
      <c r="AT221" s="8" t="n">
        <f aca="false">IF(MAX($BC$2:$BC$921)=MIN($BC$2:$BC$921),50,ROUND((BC221-MIN($BC$2:$BC$921))/(MAX($BC$2:$BC$921)-MIN($BC$2:$BC$921))*100,2))</f>
        <v>50</v>
      </c>
      <c r="AU221" s="8" t="n">
        <f aca="false">IF(MAX($BE$2:$BE$921)=MIN($BE$2:$BE$921),50,ROUND((BE221-MIN($BE$2:$BE$921))/(MAX($BE$2:$BE$921)-MIN($BE$2:$BE$921))*100,2))</f>
        <v>74.19</v>
      </c>
      <c r="AV221" s="8" t="n">
        <f aca="false">IF(MAX($AD$2:$AD$921)=MIN($AD$2:$AD$921),50,ROUND((AD221-MIN($AD$2:$AD$921))/(MAX($AD$2:$AD$921)-MIN($AD$2:$AD$921))*100,2))</f>
        <v>17.64</v>
      </c>
      <c r="AW221" s="8" t="n">
        <f aca="false">IF(MAX($AN$2:$AN$921)=MIN($AN$2:$AN$921),50,ROUND((AN221-MIN($AN$2:$AN$921))/(MAX($AN$2:$AN$921)-MIN($AN$2:$AN$921))*100,2))</f>
        <v>96.25</v>
      </c>
      <c r="AX221" s="8" t="n">
        <f aca="false">AQ221*100</f>
        <v>0</v>
      </c>
      <c r="AY221" s="8" t="n">
        <f aca="false">AR221*100</f>
        <v>0</v>
      </c>
      <c r="AZ221" s="8" t="n">
        <f aca="false">IFERROR(ROUND(AS221*Assumptions!$I$6+AW221*Assumptions!$I$7+AT221*Assumptions!$I$8+AU221*Assumptions!$I$9+AV221*Assumptions!$I$10+AX221*Assumptions!$I$11+AY221*Assumptions!$I$12,2),"")</f>
        <v>67.07</v>
      </c>
      <c r="BA221" s="0" t="str">
        <f aca="false">IF(AZ221="","",IF(AZ221&lt;=Assumptions!$I$18,"Below Expectation",IF(AZ221&lt;=Assumptions!$I$19,"Developing",IF(AZ221&lt;=Assumptions!$I$20,"Meets Expectation",IF(AZ221&lt;=Assumptions!$I$21,"Exceeds","Star Performer")))))</f>
        <v>Meets Expectation</v>
      </c>
      <c r="BB221" s="0" t="n">
        <f aca="false">IF(AZ221="",0,IF(AZ221&gt;=Assumptions!$I$26,1,0))</f>
        <v>0</v>
      </c>
      <c r="BC221" s="9" t="n">
        <f aca="false">IF(AL221="",2,AL221+2)</f>
        <v>2</v>
      </c>
      <c r="BD221" s="10" t="n">
        <f aca="false">IF(AM221="",ROUND(AVERAGE($AM$2:$AM$921),3),AM221)</f>
        <v>0.447</v>
      </c>
      <c r="BE221" s="9" t="n">
        <f aca="false">1-BD221</f>
        <v>0.553</v>
      </c>
    </row>
    <row r="222" customFormat="false" ht="14.25" hidden="true" customHeight="false" outlineLevel="0" collapsed="false">
      <c r="A222" s="4" t="n">
        <v>330</v>
      </c>
      <c r="B222" s="5" t="n">
        <v>19411311</v>
      </c>
      <c r="C222" s="5" t="s">
        <v>85</v>
      </c>
      <c r="D222" s="5" t="s">
        <v>1194</v>
      </c>
      <c r="E222" s="5" t="s">
        <v>137</v>
      </c>
      <c r="F222" s="5" t="s">
        <v>349</v>
      </c>
      <c r="G222" s="5" t="s">
        <v>350</v>
      </c>
      <c r="H222" s="5" t="s">
        <v>349</v>
      </c>
      <c r="I222" s="5" t="s">
        <v>63</v>
      </c>
      <c r="J222" s="5" t="s">
        <v>76</v>
      </c>
      <c r="K222" s="5" t="s">
        <v>65</v>
      </c>
      <c r="L222" s="6" t="n">
        <v>36269</v>
      </c>
      <c r="M222" s="5" t="s">
        <v>1195</v>
      </c>
      <c r="N222" s="6" t="n">
        <v>26032</v>
      </c>
      <c r="O222" s="5" t="s">
        <v>332</v>
      </c>
      <c r="P222" s="5" t="s">
        <v>333</v>
      </c>
      <c r="Q222" s="5" t="s">
        <v>998</v>
      </c>
      <c r="R222" s="5" t="s">
        <v>656</v>
      </c>
      <c r="S222" s="5" t="s">
        <v>1196</v>
      </c>
      <c r="T222" s="6" t="n">
        <v>40269</v>
      </c>
      <c r="U222" s="6"/>
      <c r="V222" s="5" t="s">
        <v>141</v>
      </c>
      <c r="W222" s="5" t="s">
        <v>141</v>
      </c>
      <c r="X222" s="5" t="s">
        <v>141</v>
      </c>
      <c r="Y222" s="5" t="s">
        <v>141</v>
      </c>
      <c r="Z222" s="5" t="s">
        <v>141</v>
      </c>
      <c r="AA222" s="5" t="s">
        <v>1197</v>
      </c>
      <c r="AB222" s="0" t="n">
        <f aca="false">IFERROR(VALUE(R222),0)</f>
        <v>7.4</v>
      </c>
      <c r="AC222" s="0" t="n">
        <f aca="false">IFERROR(VALUE(M222),"")</f>
        <v>55.1</v>
      </c>
      <c r="AD222" s="0" t="n">
        <f aca="false">IFERROR(VALUE(Q222),"")</f>
        <v>27.1</v>
      </c>
      <c r="AE222" s="0" t="n">
        <f aca="false">IFERROR(VALUE(S222),"")</f>
        <v>34.5</v>
      </c>
      <c r="AF222" s="0" t="n">
        <f aca="false">IF(V222="","",VLOOKUP(V222,Assumptions!$B$6:$C$9,2,FALSE()))</f>
        <v>3</v>
      </c>
      <c r="AG222" s="0" t="n">
        <f aca="false">IF(W222="","",VLOOKUP(W222,Assumptions!$B$6:$C$9,2,FALSE()))</f>
        <v>3</v>
      </c>
      <c r="AH222" s="0" t="n">
        <f aca="false">IF(X222="","",VLOOKUP(X222,Assumptions!$B$6:$C$9,2,FALSE()))</f>
        <v>3</v>
      </c>
      <c r="AI222" s="0" t="n">
        <f aca="false">IF(Y222="","",VLOOKUP(Y222,Assumptions!$B$6:$C$9,2,FALSE()))</f>
        <v>3</v>
      </c>
      <c r="AJ222" s="0" t="n">
        <f aca="false">IF(Z222="","",VLOOKUP(Z222,Assumptions!$B$6:$C$9,2,FALSE()))</f>
        <v>3</v>
      </c>
      <c r="AK222" s="7" t="n">
        <f aca="false">IFERROR(ROUND(AVERAGE(AF222:AJ222),3),"")</f>
        <v>3</v>
      </c>
      <c r="AL222" s="7" t="n">
        <f aca="false">IF(OR(AF222="",AJ222=""),"",AJ222-AF222)</f>
        <v>0</v>
      </c>
      <c r="AM222" s="7" t="n">
        <f aca="false">IF(COUNT(AF222:AJ222)&gt;=2,ROUND(_xlfn.STDEV.S(AF222:AJ222),3),"")</f>
        <v>0</v>
      </c>
      <c r="AN222" s="7" t="n">
        <f aca="false">ROUND((IF(AF222="",0,AF222)*Assumptions!$F$15)+(IF(AG222="",0,AG222)*Assumptions!$F$16)+(IF(AH222="",0,AH222)*Assumptions!$F$17)+(IF(AI222="",0,AI222)*Assumptions!$F$18)+(IF(AJ222="",0,AJ222)*Assumptions!$F$19),3)</f>
        <v>3</v>
      </c>
      <c r="AO222" s="0" t="str">
        <f aca="false">IF(AC222&lt;=20,"",IF(AC222&lt;=Assumptions!$F$6,"20-30",IF(AC222&lt;=Assumptions!$F$7,"30-40",IF(AC222&lt;=Assumptions!$F$8,"40-50",IF(AC222&lt;=Assumptions!$F$9,"50-60",IF(AC222&lt;=Assumptions!$F$10,"60+",""))))))</f>
        <v>50-60</v>
      </c>
      <c r="AP222" s="0" t="str">
        <f aca="false">IFERROR(VLOOKUP(O222,Assumptions!$B$14:$C$26,2,FALSE()),"Other")</f>
        <v>Manager</v>
      </c>
      <c r="AQ222" s="0" t="n">
        <f aca="false">IF(T222="",0,1)</f>
        <v>1</v>
      </c>
      <c r="AR222" s="0" t="n">
        <f aca="false">IF(U222="",0,1)</f>
        <v>0</v>
      </c>
      <c r="AS222" s="8" t="n">
        <f aca="false">IF(AK222="","",IF(MAX($AK$2:$AK$921)=MIN($AK$2:$AK$921),50,ROUND((AK222-MIN($AK$2:$AK$921))/(MAX($AK$2:$AK$921)-MIN($AK$2:$AK$921))*100,2)))</f>
        <v>57.14</v>
      </c>
      <c r="AT222" s="8" t="n">
        <f aca="false">IF(MAX($BC$2:$BC$921)=MIN($BC$2:$BC$921),50,ROUND((BC222-MIN($BC$2:$BC$921))/(MAX($BC$2:$BC$921)-MIN($BC$2:$BC$921))*100,2))</f>
        <v>50</v>
      </c>
      <c r="AU222" s="8" t="n">
        <f aca="false">IF(MAX($BE$2:$BE$921)=MIN($BE$2:$BE$921),50,ROUND((BE222-MIN($BE$2:$BE$921))/(MAX($BE$2:$BE$921)-MIN($BE$2:$BE$921))*100,2))</f>
        <v>100</v>
      </c>
      <c r="AV222" s="8" t="n">
        <f aca="false">IF(MAX($AD$2:$AD$921)=MIN($AD$2:$AD$921),50,ROUND((AD222-MIN($AD$2:$AD$921))/(MAX($AD$2:$AD$921)-MIN($AD$2:$AD$921))*100,2))</f>
        <v>73.36</v>
      </c>
      <c r="AW222" s="8" t="n">
        <f aca="false">IF(MAX($AN$2:$AN$921)=MIN($AN$2:$AN$921),50,ROUND((AN222-MIN($AN$2:$AN$921))/(MAX($AN$2:$AN$921)-MIN($AN$2:$AN$921))*100,2))</f>
        <v>75</v>
      </c>
      <c r="AX222" s="8" t="n">
        <f aca="false">AQ222*100</f>
        <v>100</v>
      </c>
      <c r="AY222" s="8" t="n">
        <f aca="false">AR222*100</f>
        <v>0</v>
      </c>
      <c r="AZ222" s="8" t="n">
        <f aca="false">IFERROR(ROUND(AS222*Assumptions!$I$6+AW222*Assumptions!$I$7+AT222*Assumptions!$I$8+AU222*Assumptions!$I$9+AV222*Assumptions!$I$10+AX222*Assumptions!$I$11+AY222*Assumptions!$I$12,2),"")</f>
        <v>66.98</v>
      </c>
      <c r="BA222" s="0" t="str">
        <f aca="false">IF(AZ222="","",IF(AZ222&lt;=Assumptions!$I$18,"Below Expectation",IF(AZ222&lt;=Assumptions!$I$19,"Developing",IF(AZ222&lt;=Assumptions!$I$20,"Meets Expectation",IF(AZ222&lt;=Assumptions!$I$21,"Exceeds","Star Performer")))))</f>
        <v>Meets Expectation</v>
      </c>
      <c r="BB222" s="0" t="n">
        <f aca="false">IF(AZ222="",0,IF(AZ222&gt;=Assumptions!$I$26,1,0))</f>
        <v>0</v>
      </c>
      <c r="BC222" s="9" t="n">
        <f aca="false">IF(AL222="",2,AL222+2)</f>
        <v>2</v>
      </c>
      <c r="BD222" s="10" t="n">
        <f aca="false">IF(AM222="",ROUND(AVERAGE($AM$2:$AM$921),3),AM222)</f>
        <v>0</v>
      </c>
      <c r="BE222" s="9" t="n">
        <f aca="false">1-BD222</f>
        <v>1</v>
      </c>
    </row>
    <row r="223" customFormat="false" ht="14.25" hidden="false" customHeight="false" outlineLevel="0" collapsed="false">
      <c r="A223" s="4" t="n">
        <v>449</v>
      </c>
      <c r="B223" s="5" t="n">
        <v>55010364</v>
      </c>
      <c r="C223" s="5" t="s">
        <v>106</v>
      </c>
      <c r="D223" s="5" t="s">
        <v>1198</v>
      </c>
      <c r="E223" s="5" t="s">
        <v>108</v>
      </c>
      <c r="F223" s="5" t="s">
        <v>463</v>
      </c>
      <c r="G223" s="5" t="s">
        <v>464</v>
      </c>
      <c r="H223" s="5" t="s">
        <v>465</v>
      </c>
      <c r="I223" s="5" t="s">
        <v>63</v>
      </c>
      <c r="J223" s="5" t="s">
        <v>112</v>
      </c>
      <c r="K223" s="5" t="s">
        <v>65</v>
      </c>
      <c r="L223" s="6" t="n">
        <v>42265</v>
      </c>
      <c r="M223" s="5" t="s">
        <v>1199</v>
      </c>
      <c r="N223" s="6" t="n">
        <v>32405</v>
      </c>
      <c r="O223" s="5" t="s">
        <v>365</v>
      </c>
      <c r="P223" s="5" t="s">
        <v>365</v>
      </c>
      <c r="Q223" s="5" t="s">
        <v>1188</v>
      </c>
      <c r="R223" s="5" t="s">
        <v>1042</v>
      </c>
      <c r="S223" s="5" t="s">
        <v>1012</v>
      </c>
      <c r="T223" s="6"/>
      <c r="U223" s="6" t="n">
        <v>45992</v>
      </c>
      <c r="V223" s="5" t="s">
        <v>141</v>
      </c>
      <c r="W223" s="5" t="s">
        <v>141</v>
      </c>
      <c r="X223" s="5" t="s">
        <v>141</v>
      </c>
      <c r="Y223" s="5" t="s">
        <v>141</v>
      </c>
      <c r="Z223" s="5" t="s">
        <v>83</v>
      </c>
      <c r="AA223" s="5" t="s">
        <v>1010</v>
      </c>
      <c r="AB223" s="0" t="n">
        <f aca="false">IFERROR(VALUE(R223),0)</f>
        <v>3.3</v>
      </c>
      <c r="AC223" s="0" t="n">
        <f aca="false">IFERROR(VALUE(M223),"")</f>
        <v>37.8</v>
      </c>
      <c r="AD223" s="0" t="n">
        <f aca="false">IFERROR(VALUE(Q223),"")</f>
        <v>10.8</v>
      </c>
      <c r="AE223" s="0" t="n">
        <f aca="false">IFERROR(VALUE(S223),"")</f>
        <v>13.11</v>
      </c>
      <c r="AF223" s="0" t="n">
        <f aca="false">IF(V223="","",VLOOKUP(V223,Assumptions!$B$6:$C$9,2,FALSE()))</f>
        <v>3</v>
      </c>
      <c r="AG223" s="0" t="n">
        <f aca="false">IF(W223="","",VLOOKUP(W223,Assumptions!$B$6:$C$9,2,FALSE()))</f>
        <v>3</v>
      </c>
      <c r="AH223" s="0" t="n">
        <f aca="false">IF(X223="","",VLOOKUP(X223,Assumptions!$B$6:$C$9,2,FALSE()))</f>
        <v>3</v>
      </c>
      <c r="AI223" s="0" t="n">
        <f aca="false">IF(Y223="","",VLOOKUP(Y223,Assumptions!$B$6:$C$9,2,FALSE()))</f>
        <v>3</v>
      </c>
      <c r="AJ223" s="0" t="n">
        <f aca="false">IF(Z223="","",VLOOKUP(Z223,Assumptions!$B$6:$C$9,2,FALSE()))</f>
        <v>4</v>
      </c>
      <c r="AK223" s="7" t="n">
        <f aca="false">IFERROR(ROUND(AVERAGE(AF223:AJ223),3),"")</f>
        <v>3.2</v>
      </c>
      <c r="AL223" s="7" t="n">
        <f aca="false">IF(OR(AF223="",AJ223=""),"",AJ223-AF223)</f>
        <v>1</v>
      </c>
      <c r="AM223" s="7" t="n">
        <f aca="false">IF(COUNT(AF223:AJ223)&gt;=2,ROUND(_xlfn.STDEV.S(AF223:AJ223),3),"")</f>
        <v>0.447</v>
      </c>
      <c r="AN223" s="7" t="n">
        <f aca="false">ROUND((IF(AF223="",0,AF223)*Assumptions!$F$15)+(IF(AG223="",0,AG223)*Assumptions!$F$16)+(IF(AH223="",0,AH223)*Assumptions!$F$17)+(IF(AI223="",0,AI223)*Assumptions!$F$18)+(IF(AJ223="",0,AJ223)*Assumptions!$F$19),3)</f>
        <v>3.3</v>
      </c>
      <c r="AO223" s="0" t="str">
        <f aca="false">IF(AC223&lt;=20,"",IF(AC223&lt;=Assumptions!$F$6,"20-30",IF(AC223&lt;=Assumptions!$F$7,"30-40",IF(AC223&lt;=Assumptions!$F$8,"40-50",IF(AC223&lt;=Assumptions!$F$9,"50-60",IF(AC223&lt;=Assumptions!$F$10,"60+",""))))))</f>
        <v>30-40</v>
      </c>
      <c r="AP223" s="0" t="str">
        <f aca="false">IFERROR(VLOOKUP(O223,Assumptions!$B$14:$C$26,2,FALSE()),"Other")</f>
        <v>Manager</v>
      </c>
      <c r="AQ223" s="0" t="n">
        <f aca="false">IF(T223="",0,1)</f>
        <v>0</v>
      </c>
      <c r="AR223" s="0" t="n">
        <f aca="false">IF(U223="",0,1)</f>
        <v>1</v>
      </c>
      <c r="AS223" s="8" t="n">
        <f aca="false">IF(AK223="","",IF(MAX($AK$2:$AK$921)=MIN($AK$2:$AK$921),50,ROUND((AK223-MIN($AK$2:$AK$921))/(MAX($AK$2:$AK$921)-MIN($AK$2:$AK$921))*100,2)))</f>
        <v>65.71</v>
      </c>
      <c r="AT223" s="8" t="n">
        <f aca="false">IF(MAX($BC$2:$BC$921)=MIN($BC$2:$BC$921),50,ROUND((BC223-MIN($BC$2:$BC$921))/(MAX($BC$2:$BC$921)-MIN($BC$2:$BC$921))*100,2))</f>
        <v>75</v>
      </c>
      <c r="AU223" s="8" t="n">
        <f aca="false">IF(MAX($BE$2:$BE$921)=MIN($BE$2:$BE$921),50,ROUND((BE223-MIN($BE$2:$BE$921))/(MAX($BE$2:$BE$921)-MIN($BE$2:$BE$921))*100,2))</f>
        <v>74.19</v>
      </c>
      <c r="AV223" s="8" t="n">
        <f aca="false">IF(MAX($AD$2:$AD$921)=MIN($AD$2:$AD$921),50,ROUND((AD223-MIN($AD$2:$AD$921))/(MAX($AD$2:$AD$921)-MIN($AD$2:$AD$921))*100,2))</f>
        <v>29.06</v>
      </c>
      <c r="AW223" s="8" t="n">
        <f aca="false">IF(MAX($AN$2:$AN$921)=MIN($AN$2:$AN$921),50,ROUND((AN223-MIN($AN$2:$AN$921))/(MAX($AN$2:$AN$921)-MIN($AN$2:$AN$921))*100,2))</f>
        <v>82.5</v>
      </c>
      <c r="AX223" s="8" t="n">
        <f aca="false">AQ223*100</f>
        <v>0</v>
      </c>
      <c r="AY223" s="8" t="n">
        <f aca="false">AR223*100</f>
        <v>100</v>
      </c>
      <c r="AZ223" s="8" t="n">
        <f aca="false">IFERROR(ROUND(AS223*Assumptions!$I$6+AW223*Assumptions!$I$7+AT223*Assumptions!$I$8+AU223*Assumptions!$I$9+AV223*Assumptions!$I$10+AX223*Assumptions!$I$11+AY223*Assumptions!$I$12,2),"")</f>
        <v>66.5</v>
      </c>
      <c r="BA223" s="0" t="str">
        <f aca="false">IF(AZ223="","",IF(AZ223&lt;=Assumptions!$I$18,"Below Expectation",IF(AZ223&lt;=Assumptions!$I$19,"Developing",IF(AZ223&lt;=Assumptions!$I$20,"Meets Expectation",IF(AZ223&lt;=Assumptions!$I$21,"Exceeds","Star Performer")))))</f>
        <v>Meets Expectation</v>
      </c>
      <c r="BB223" s="0" t="n">
        <f aca="false">IF(AZ223="",0,IF(AZ223&gt;=Assumptions!$I$26,1,0))</f>
        <v>0</v>
      </c>
      <c r="BC223" s="9" t="n">
        <f aca="false">IF(AL223="",2,AL223+2)</f>
        <v>3</v>
      </c>
      <c r="BD223" s="10" t="n">
        <f aca="false">IF(AM223="",ROUND(AVERAGE($AM$2:$AM$921),3),AM223)</f>
        <v>0.447</v>
      </c>
      <c r="BE223" s="9" t="n">
        <f aca="false">1-BD223</f>
        <v>0.553</v>
      </c>
    </row>
    <row r="224" customFormat="false" ht="14.25" hidden="true" customHeight="false" outlineLevel="0" collapsed="false">
      <c r="A224" s="4" t="n">
        <v>284</v>
      </c>
      <c r="B224" s="5" t="n">
        <v>10068889</v>
      </c>
      <c r="C224" s="5" t="s">
        <v>526</v>
      </c>
      <c r="D224" s="5" t="s">
        <v>1200</v>
      </c>
      <c r="E224" s="5" t="s">
        <v>1008</v>
      </c>
      <c r="F224" s="5" t="s">
        <v>483</v>
      </c>
      <c r="G224" s="5" t="s">
        <v>484</v>
      </c>
      <c r="H224" s="5" t="s">
        <v>483</v>
      </c>
      <c r="I224" s="5" t="s">
        <v>63</v>
      </c>
      <c r="J224" s="5" t="s">
        <v>100</v>
      </c>
      <c r="K224" s="5" t="s">
        <v>309</v>
      </c>
      <c r="L224" s="6" t="n">
        <v>43661</v>
      </c>
      <c r="M224" s="5" t="s">
        <v>1201</v>
      </c>
      <c r="N224" s="6" t="n">
        <v>35515</v>
      </c>
      <c r="O224" s="5" t="s">
        <v>365</v>
      </c>
      <c r="P224" s="5" t="s">
        <v>365</v>
      </c>
      <c r="Q224" s="5" t="s">
        <v>604</v>
      </c>
      <c r="R224" s="5" t="s">
        <v>115</v>
      </c>
      <c r="S224" s="5" t="s">
        <v>604</v>
      </c>
      <c r="T224" s="6"/>
      <c r="U224" s="6"/>
      <c r="V224" s="5" t="s">
        <v>141</v>
      </c>
      <c r="W224" s="5" t="s">
        <v>83</v>
      </c>
      <c r="X224" s="5" t="s">
        <v>83</v>
      </c>
      <c r="Y224" s="5" t="s">
        <v>141</v>
      </c>
      <c r="Z224" s="5" t="s">
        <v>83</v>
      </c>
      <c r="AA224" s="5" t="s">
        <v>1202</v>
      </c>
      <c r="AB224" s="0" t="n">
        <f aca="false">IFERROR(VALUE(R224),0)</f>
        <v>0</v>
      </c>
      <c r="AC224" s="0" t="n">
        <f aca="false">IFERROR(VALUE(M224),"")</f>
        <v>29.2</v>
      </c>
      <c r="AD224" s="0" t="n">
        <f aca="false">IFERROR(VALUE(Q224),"")</f>
        <v>6.1</v>
      </c>
      <c r="AE224" s="0" t="n">
        <f aca="false">IFERROR(VALUE(S224),"")</f>
        <v>6.1</v>
      </c>
      <c r="AF224" s="0" t="n">
        <f aca="false">IF(V224="","",VLOOKUP(V224,Assumptions!$B$6:$C$9,2,FALSE()))</f>
        <v>3</v>
      </c>
      <c r="AG224" s="0" t="n">
        <f aca="false">IF(W224="","",VLOOKUP(W224,Assumptions!$B$6:$C$9,2,FALSE()))</f>
        <v>4</v>
      </c>
      <c r="AH224" s="0" t="n">
        <f aca="false">IF(X224="","",VLOOKUP(X224,Assumptions!$B$6:$C$9,2,FALSE()))</f>
        <v>4</v>
      </c>
      <c r="AI224" s="0" t="n">
        <f aca="false">IF(Y224="","",VLOOKUP(Y224,Assumptions!$B$6:$C$9,2,FALSE()))</f>
        <v>3</v>
      </c>
      <c r="AJ224" s="0" t="n">
        <f aca="false">IF(Z224="","",VLOOKUP(Z224,Assumptions!$B$6:$C$9,2,FALSE()))</f>
        <v>4</v>
      </c>
      <c r="AK224" s="7" t="n">
        <f aca="false">IFERROR(ROUND(AVERAGE(AF224:AJ224),3),"")</f>
        <v>3.6</v>
      </c>
      <c r="AL224" s="7" t="n">
        <f aca="false">IF(OR(AF224="",AJ224=""),"",AJ224-AF224)</f>
        <v>1</v>
      </c>
      <c r="AM224" s="7" t="n">
        <f aca="false">IF(COUNT(AF224:AJ224)&gt;=2,ROUND(_xlfn.STDEV.S(AF224:AJ224),3),"")</f>
        <v>0.548</v>
      </c>
      <c r="AN224" s="7" t="n">
        <f aca="false">ROUND((IF(AF224="",0,AF224)*Assumptions!$F$15)+(IF(AG224="",0,AG224)*Assumptions!$F$16)+(IF(AH224="",0,AH224)*Assumptions!$F$17)+(IF(AI224="",0,AI224)*Assumptions!$F$18)+(IF(AJ224="",0,AJ224)*Assumptions!$F$19),3)</f>
        <v>3.65</v>
      </c>
      <c r="AO224" s="0" t="str">
        <f aca="false">IF(AC224&lt;=20,"",IF(AC224&lt;=Assumptions!$F$6,"20-30",IF(AC224&lt;=Assumptions!$F$7,"30-40",IF(AC224&lt;=Assumptions!$F$8,"40-50",IF(AC224&lt;=Assumptions!$F$9,"50-60",IF(AC224&lt;=Assumptions!$F$10,"60+",""))))))</f>
        <v>20-30</v>
      </c>
      <c r="AP224" s="0" t="str">
        <f aca="false">IFERROR(VLOOKUP(O224,Assumptions!$B$14:$C$26,2,FALSE()),"Other")</f>
        <v>Manager</v>
      </c>
      <c r="AQ224" s="0" t="n">
        <f aca="false">IF(T224="",0,1)</f>
        <v>0</v>
      </c>
      <c r="AR224" s="0" t="n">
        <f aca="false">IF(U224="",0,1)</f>
        <v>0</v>
      </c>
      <c r="AS224" s="8" t="n">
        <f aca="false">IF(AK224="","",IF(MAX($AK$2:$AK$921)=MIN($AK$2:$AK$921),50,ROUND((AK224-MIN($AK$2:$AK$921))/(MAX($AK$2:$AK$921)-MIN($AK$2:$AK$921))*100,2)))</f>
        <v>82.85</v>
      </c>
      <c r="AT224" s="8" t="n">
        <f aca="false">IF(MAX($BC$2:$BC$921)=MIN($BC$2:$BC$921),50,ROUND((BC224-MIN($BC$2:$BC$921))/(MAX($BC$2:$BC$921)-MIN($BC$2:$BC$921))*100,2))</f>
        <v>75</v>
      </c>
      <c r="AU224" s="8" t="n">
        <f aca="false">IF(MAX($BE$2:$BE$921)=MIN($BE$2:$BE$921),50,ROUND((BE224-MIN($BE$2:$BE$921))/(MAX($BE$2:$BE$921)-MIN($BE$2:$BE$921))*100,2))</f>
        <v>68.36</v>
      </c>
      <c r="AV224" s="8" t="n">
        <f aca="false">IF(MAX($AD$2:$AD$921)=MIN($AD$2:$AD$921),50,ROUND((AD224-MIN($AD$2:$AD$921))/(MAX($AD$2:$AD$921)-MIN($AD$2:$AD$921))*100,2))</f>
        <v>16.28</v>
      </c>
      <c r="AW224" s="8" t="n">
        <f aca="false">IF(MAX($AN$2:$AN$921)=MIN($AN$2:$AN$921),50,ROUND((AN224-MIN($AN$2:$AN$921))/(MAX($AN$2:$AN$921)-MIN($AN$2:$AN$921))*100,2))</f>
        <v>91.25</v>
      </c>
      <c r="AX224" s="8" t="n">
        <f aca="false">AQ224*100</f>
        <v>0</v>
      </c>
      <c r="AY224" s="8" t="n">
        <f aca="false">AR224*100</f>
        <v>0</v>
      </c>
      <c r="AZ224" s="8" t="n">
        <f aca="false">IFERROR(ROUND(AS224*Assumptions!$I$6+AW224*Assumptions!$I$7+AT224*Assumptions!$I$8+AU224*Assumptions!$I$9+AV224*Assumptions!$I$10+AX224*Assumptions!$I$11+AY224*Assumptions!$I$12,2),"")</f>
        <v>66.24</v>
      </c>
      <c r="BA224" s="0" t="str">
        <f aca="false">IF(AZ224="","",IF(AZ224&lt;=Assumptions!$I$18,"Below Expectation",IF(AZ224&lt;=Assumptions!$I$19,"Developing",IF(AZ224&lt;=Assumptions!$I$20,"Meets Expectation",IF(AZ224&lt;=Assumptions!$I$21,"Exceeds","Star Performer")))))</f>
        <v>Meets Expectation</v>
      </c>
      <c r="BB224" s="0" t="n">
        <f aca="false">IF(AZ224="",0,IF(AZ224&gt;=Assumptions!$I$26,1,0))</f>
        <v>0</v>
      </c>
      <c r="BC224" s="9" t="n">
        <f aca="false">IF(AL224="",2,AL224+2)</f>
        <v>3</v>
      </c>
      <c r="BD224" s="10" t="n">
        <f aca="false">IF(AM224="",ROUND(AVERAGE($AM$2:$AM$921),3),AM224)</f>
        <v>0.548</v>
      </c>
      <c r="BE224" s="9" t="n">
        <f aca="false">1-BD224</f>
        <v>0.452</v>
      </c>
    </row>
    <row r="225" customFormat="false" ht="14.25" hidden="true" customHeight="false" outlineLevel="0" collapsed="false">
      <c r="A225" s="4" t="n">
        <v>398</v>
      </c>
      <c r="B225" s="5" t="n">
        <v>50008178</v>
      </c>
      <c r="C225" s="5" t="s">
        <v>57</v>
      </c>
      <c r="D225" s="5" t="s">
        <v>1203</v>
      </c>
      <c r="E225" s="5" t="s">
        <v>252</v>
      </c>
      <c r="F225" s="5" t="s">
        <v>387</v>
      </c>
      <c r="G225" s="5" t="s">
        <v>388</v>
      </c>
      <c r="H225" s="5" t="s">
        <v>387</v>
      </c>
      <c r="I225" s="5" t="s">
        <v>63</v>
      </c>
      <c r="J225" s="5" t="s">
        <v>100</v>
      </c>
      <c r="K225" s="5" t="s">
        <v>309</v>
      </c>
      <c r="L225" s="6" t="n">
        <v>40525</v>
      </c>
      <c r="M225" s="5" t="s">
        <v>247</v>
      </c>
      <c r="N225" s="6" t="n">
        <v>32559</v>
      </c>
      <c r="O225" s="5" t="s">
        <v>332</v>
      </c>
      <c r="P225" s="5" t="s">
        <v>333</v>
      </c>
      <c r="Q225" s="5" t="s">
        <v>419</v>
      </c>
      <c r="R225" s="5" t="s">
        <v>115</v>
      </c>
      <c r="S225" s="5" t="s">
        <v>419</v>
      </c>
      <c r="T225" s="6" t="n">
        <v>42917</v>
      </c>
      <c r="U225" s="6"/>
      <c r="V225" s="5" t="s">
        <v>83</v>
      </c>
      <c r="W225" s="5" t="s">
        <v>141</v>
      </c>
      <c r="X225" s="5" t="s">
        <v>141</v>
      </c>
      <c r="Y225" s="5" t="s">
        <v>141</v>
      </c>
      <c r="Z225" s="5" t="s">
        <v>83</v>
      </c>
      <c r="AA225" s="5" t="s">
        <v>1204</v>
      </c>
      <c r="AB225" s="0" t="n">
        <f aca="false">IFERROR(VALUE(R225),0)</f>
        <v>0</v>
      </c>
      <c r="AC225" s="0" t="n">
        <f aca="false">IFERROR(VALUE(M225),"")</f>
        <v>37.3</v>
      </c>
      <c r="AD225" s="0" t="n">
        <f aca="false">IFERROR(VALUE(Q225),"")</f>
        <v>15.5</v>
      </c>
      <c r="AE225" s="0" t="n">
        <f aca="false">IFERROR(VALUE(S225),"")</f>
        <v>15.5</v>
      </c>
      <c r="AF225" s="0" t="n">
        <f aca="false">IF(V225="","",VLOOKUP(V225,Assumptions!$B$6:$C$9,2,FALSE()))</f>
        <v>4</v>
      </c>
      <c r="AG225" s="0" t="n">
        <f aca="false">IF(W225="","",VLOOKUP(W225,Assumptions!$B$6:$C$9,2,FALSE()))</f>
        <v>3</v>
      </c>
      <c r="AH225" s="0" t="n">
        <f aca="false">IF(X225="","",VLOOKUP(X225,Assumptions!$B$6:$C$9,2,FALSE()))</f>
        <v>3</v>
      </c>
      <c r="AI225" s="0" t="n">
        <f aca="false">IF(Y225="","",VLOOKUP(Y225,Assumptions!$B$6:$C$9,2,FALSE()))</f>
        <v>3</v>
      </c>
      <c r="AJ225" s="0" t="n">
        <f aca="false">IF(Z225="","",VLOOKUP(Z225,Assumptions!$B$6:$C$9,2,FALSE()))</f>
        <v>4</v>
      </c>
      <c r="AK225" s="7" t="n">
        <f aca="false">IFERROR(ROUND(AVERAGE(AF225:AJ225),3),"")</f>
        <v>3.4</v>
      </c>
      <c r="AL225" s="7" t="n">
        <f aca="false">IF(OR(AF225="",AJ225=""),"",AJ225-AF225)</f>
        <v>0</v>
      </c>
      <c r="AM225" s="7" t="n">
        <f aca="false">IF(COUNT(AF225:AJ225)&gt;=2,ROUND(_xlfn.STDEV.S(AF225:AJ225),3),"")</f>
        <v>0.548</v>
      </c>
      <c r="AN225" s="7" t="n">
        <f aca="false">ROUND((IF(AF225="",0,AF225)*Assumptions!$F$15)+(IF(AG225="",0,AG225)*Assumptions!$F$16)+(IF(AH225="",0,AH225)*Assumptions!$F$17)+(IF(AI225="",0,AI225)*Assumptions!$F$18)+(IF(AJ225="",0,AJ225)*Assumptions!$F$19),3)</f>
        <v>3.4</v>
      </c>
      <c r="AO225" s="0" t="str">
        <f aca="false">IF(AC225&lt;=20,"",IF(AC225&lt;=Assumptions!$F$6,"20-30",IF(AC225&lt;=Assumptions!$F$7,"30-40",IF(AC225&lt;=Assumptions!$F$8,"40-50",IF(AC225&lt;=Assumptions!$F$9,"50-60",IF(AC225&lt;=Assumptions!$F$10,"60+",""))))))</f>
        <v>30-40</v>
      </c>
      <c r="AP225" s="0" t="str">
        <f aca="false">IFERROR(VLOOKUP(O225,Assumptions!$B$14:$C$26,2,FALSE()),"Other")</f>
        <v>Manager</v>
      </c>
      <c r="AQ225" s="0" t="n">
        <f aca="false">IF(T225="",0,1)</f>
        <v>1</v>
      </c>
      <c r="AR225" s="0" t="n">
        <f aca="false">IF(U225="",0,1)</f>
        <v>0</v>
      </c>
      <c r="AS225" s="8" t="n">
        <f aca="false">IF(AK225="","",IF(MAX($AK$2:$AK$921)=MIN($AK$2:$AK$921),50,ROUND((AK225-MIN($AK$2:$AK$921))/(MAX($AK$2:$AK$921)-MIN($AK$2:$AK$921))*100,2)))</f>
        <v>74.28</v>
      </c>
      <c r="AT225" s="8" t="n">
        <f aca="false">IF(MAX($BC$2:$BC$921)=MIN($BC$2:$BC$921),50,ROUND((BC225-MIN($BC$2:$BC$921))/(MAX($BC$2:$BC$921)-MIN($BC$2:$BC$921))*100,2))</f>
        <v>50</v>
      </c>
      <c r="AU225" s="8" t="n">
        <f aca="false">IF(MAX($BE$2:$BE$921)=MIN($BE$2:$BE$921),50,ROUND((BE225-MIN($BE$2:$BE$921))/(MAX($BE$2:$BE$921)-MIN($BE$2:$BE$921))*100,2))</f>
        <v>68.36</v>
      </c>
      <c r="AV225" s="8" t="n">
        <f aca="false">IF(MAX($AD$2:$AD$921)=MIN($AD$2:$AD$921),50,ROUND((AD225-MIN($AD$2:$AD$921))/(MAX($AD$2:$AD$921)-MIN($AD$2:$AD$921))*100,2))</f>
        <v>41.83</v>
      </c>
      <c r="AW225" s="8" t="n">
        <f aca="false">IF(MAX($AN$2:$AN$921)=MIN($AN$2:$AN$921),50,ROUND((AN225-MIN($AN$2:$AN$921))/(MAX($AN$2:$AN$921)-MIN($AN$2:$AN$921))*100,2))</f>
        <v>85</v>
      </c>
      <c r="AX225" s="8" t="n">
        <f aca="false">AQ225*100</f>
        <v>100</v>
      </c>
      <c r="AY225" s="8" t="n">
        <f aca="false">AR225*100</f>
        <v>0</v>
      </c>
      <c r="AZ225" s="8" t="n">
        <f aca="false">IFERROR(ROUND(AS225*Assumptions!$I$6+AW225*Assumptions!$I$7+AT225*Assumptions!$I$8+AU225*Assumptions!$I$9+AV225*Assumptions!$I$10+AX225*Assumptions!$I$11+AY225*Assumptions!$I$12,2),"")</f>
        <v>66.22</v>
      </c>
      <c r="BA225" s="0" t="str">
        <f aca="false">IF(AZ225="","",IF(AZ225&lt;=Assumptions!$I$18,"Below Expectation",IF(AZ225&lt;=Assumptions!$I$19,"Developing",IF(AZ225&lt;=Assumptions!$I$20,"Meets Expectation",IF(AZ225&lt;=Assumptions!$I$21,"Exceeds","Star Performer")))))</f>
        <v>Meets Expectation</v>
      </c>
      <c r="BB225" s="0" t="n">
        <f aca="false">IF(AZ225="",0,IF(AZ225&gt;=Assumptions!$I$26,1,0))</f>
        <v>0</v>
      </c>
      <c r="BC225" s="9" t="n">
        <f aca="false">IF(AL225="",2,AL225+2)</f>
        <v>2</v>
      </c>
      <c r="BD225" s="10" t="n">
        <f aca="false">IF(AM225="",ROUND(AVERAGE($AM$2:$AM$921),3),AM225)</f>
        <v>0.548</v>
      </c>
      <c r="BE225" s="9" t="n">
        <f aca="false">1-BD225</f>
        <v>0.452</v>
      </c>
    </row>
    <row r="226" customFormat="false" ht="14.25" hidden="true" customHeight="false" outlineLevel="0" collapsed="false">
      <c r="A226" s="4" t="n">
        <v>128</v>
      </c>
      <c r="B226" s="5" t="n">
        <v>10041779</v>
      </c>
      <c r="C226" s="5" t="s">
        <v>85</v>
      </c>
      <c r="D226" s="5" t="s">
        <v>1205</v>
      </c>
      <c r="E226" s="5" t="s">
        <v>137</v>
      </c>
      <c r="F226" s="5" t="s">
        <v>62</v>
      </c>
      <c r="G226" s="5" t="s">
        <v>61</v>
      </c>
      <c r="H226" s="5" t="s">
        <v>62</v>
      </c>
      <c r="I226" s="5" t="s">
        <v>63</v>
      </c>
      <c r="J226" s="5" t="s">
        <v>76</v>
      </c>
      <c r="K226" s="5" t="s">
        <v>65</v>
      </c>
      <c r="L226" s="6" t="n">
        <v>41687</v>
      </c>
      <c r="M226" s="5" t="s">
        <v>789</v>
      </c>
      <c r="N226" s="6" t="n">
        <v>30203</v>
      </c>
      <c r="O226" s="5" t="s">
        <v>89</v>
      </c>
      <c r="P226" s="5" t="s">
        <v>90</v>
      </c>
      <c r="Q226" s="5" t="s">
        <v>1033</v>
      </c>
      <c r="R226" s="5" t="s">
        <v>426</v>
      </c>
      <c r="S226" s="5" t="s">
        <v>1206</v>
      </c>
      <c r="T226" s="6" t="n">
        <v>43619</v>
      </c>
      <c r="U226" s="6" t="n">
        <v>44440</v>
      </c>
      <c r="V226" s="5" t="s">
        <v>83</v>
      </c>
      <c r="W226" s="5" t="s">
        <v>141</v>
      </c>
      <c r="X226" s="5" t="s">
        <v>83</v>
      </c>
      <c r="Y226" s="5" t="s">
        <v>141</v>
      </c>
      <c r="Z226" s="5" t="s">
        <v>141</v>
      </c>
      <c r="AA226" s="5" t="s">
        <v>1207</v>
      </c>
      <c r="AB226" s="0" t="n">
        <f aca="false">IFERROR(VALUE(R226),0)</f>
        <v>6.9</v>
      </c>
      <c r="AC226" s="0" t="n">
        <f aca="false">IFERROR(VALUE(M226),"")</f>
        <v>43.8</v>
      </c>
      <c r="AD226" s="0" t="n">
        <f aca="false">IFERROR(VALUE(Q226),"")</f>
        <v>12.3</v>
      </c>
      <c r="AE226" s="0" t="n">
        <f aca="false">IFERROR(VALUE(S226),"")</f>
        <v>19</v>
      </c>
      <c r="AF226" s="0" t="n">
        <f aca="false">IF(V226="","",VLOOKUP(V226,Assumptions!$B$6:$C$9,2,FALSE()))</f>
        <v>4</v>
      </c>
      <c r="AG226" s="0" t="n">
        <f aca="false">IF(W226="","",VLOOKUP(W226,Assumptions!$B$6:$C$9,2,FALSE()))</f>
        <v>3</v>
      </c>
      <c r="AH226" s="0" t="n">
        <f aca="false">IF(X226="","",VLOOKUP(X226,Assumptions!$B$6:$C$9,2,FALSE()))</f>
        <v>4</v>
      </c>
      <c r="AI226" s="0" t="n">
        <f aca="false">IF(Y226="","",VLOOKUP(Y226,Assumptions!$B$6:$C$9,2,FALSE()))</f>
        <v>3</v>
      </c>
      <c r="AJ226" s="0" t="n">
        <f aca="false">IF(Z226="","",VLOOKUP(Z226,Assumptions!$B$6:$C$9,2,FALSE()))</f>
        <v>3</v>
      </c>
      <c r="AK226" s="7" t="n">
        <f aca="false">IFERROR(ROUND(AVERAGE(AF226:AJ226),3),"")</f>
        <v>3.4</v>
      </c>
      <c r="AL226" s="7" t="n">
        <f aca="false">IF(OR(AF226="",AJ226=""),"",AJ226-AF226)</f>
        <v>-1</v>
      </c>
      <c r="AM226" s="7" t="n">
        <f aca="false">IF(COUNT(AF226:AJ226)&gt;=2,ROUND(_xlfn.STDEV.S(AF226:AJ226),3),"")</f>
        <v>0.548</v>
      </c>
      <c r="AN226" s="7" t="n">
        <f aca="false">ROUND((IF(AF226="",0,AF226)*Assumptions!$F$15)+(IF(AG226="",0,AG226)*Assumptions!$F$16)+(IF(AH226="",0,AH226)*Assumptions!$F$17)+(IF(AI226="",0,AI226)*Assumptions!$F$18)+(IF(AJ226="",0,AJ226)*Assumptions!$F$19),3)</f>
        <v>3.3</v>
      </c>
      <c r="AO226" s="0" t="str">
        <f aca="false">IF(AC226&lt;=20,"",IF(AC226&lt;=Assumptions!$F$6,"20-30",IF(AC226&lt;=Assumptions!$F$7,"30-40",IF(AC226&lt;=Assumptions!$F$8,"40-50",IF(AC226&lt;=Assumptions!$F$9,"50-60",IF(AC226&lt;=Assumptions!$F$10,"60+",""))))))</f>
        <v>40-50</v>
      </c>
      <c r="AP226" s="0" t="str">
        <f aca="false">IFERROR(VLOOKUP(O226,Assumptions!$B$14:$C$26,2,FALSE()),"Other")</f>
        <v>Leadership</v>
      </c>
      <c r="AQ226" s="0" t="n">
        <f aca="false">IF(T226="",0,1)</f>
        <v>1</v>
      </c>
      <c r="AR226" s="0" t="n">
        <f aca="false">IF(U226="",0,1)</f>
        <v>1</v>
      </c>
      <c r="AS226" s="8" t="n">
        <f aca="false">IF(AK226="","",IF(MAX($AK$2:$AK$921)=MIN($AK$2:$AK$921),50,ROUND((AK226-MIN($AK$2:$AK$921))/(MAX($AK$2:$AK$921)-MIN($AK$2:$AK$921))*100,2)))</f>
        <v>74.28</v>
      </c>
      <c r="AT226" s="8" t="n">
        <f aca="false">IF(MAX($BC$2:$BC$921)=MIN($BC$2:$BC$921),50,ROUND((BC226-MIN($BC$2:$BC$921))/(MAX($BC$2:$BC$921)-MIN($BC$2:$BC$921))*100,2))</f>
        <v>25</v>
      </c>
      <c r="AU226" s="8" t="n">
        <f aca="false">IF(MAX($BE$2:$BE$921)=MIN($BE$2:$BE$921),50,ROUND((BE226-MIN($BE$2:$BE$921))/(MAX($BE$2:$BE$921)-MIN($BE$2:$BE$921))*100,2))</f>
        <v>68.36</v>
      </c>
      <c r="AV226" s="8" t="n">
        <f aca="false">IF(MAX($AD$2:$AD$921)=MIN($AD$2:$AD$921),50,ROUND((AD226-MIN($AD$2:$AD$921))/(MAX($AD$2:$AD$921)-MIN($AD$2:$AD$921))*100,2))</f>
        <v>33.13</v>
      </c>
      <c r="AW226" s="8" t="n">
        <f aca="false">IF(MAX($AN$2:$AN$921)=MIN($AN$2:$AN$921),50,ROUND((AN226-MIN($AN$2:$AN$921))/(MAX($AN$2:$AN$921)-MIN($AN$2:$AN$921))*100,2))</f>
        <v>82.5</v>
      </c>
      <c r="AX226" s="8" t="n">
        <f aca="false">AQ226*100</f>
        <v>100</v>
      </c>
      <c r="AY226" s="8" t="n">
        <f aca="false">AR226*100</f>
        <v>100</v>
      </c>
      <c r="AZ226" s="8" t="n">
        <f aca="false">IFERROR(ROUND(AS226*Assumptions!$I$6+AW226*Assumptions!$I$7+AT226*Assumptions!$I$8+AU226*Assumptions!$I$9+AV226*Assumptions!$I$10+AX226*Assumptions!$I$11+AY226*Assumptions!$I$12,2),"")</f>
        <v>66.1</v>
      </c>
      <c r="BA226" s="0" t="str">
        <f aca="false">IF(AZ226="","",IF(AZ226&lt;=Assumptions!$I$18,"Below Expectation",IF(AZ226&lt;=Assumptions!$I$19,"Developing",IF(AZ226&lt;=Assumptions!$I$20,"Meets Expectation",IF(AZ226&lt;=Assumptions!$I$21,"Exceeds","Star Performer")))))</f>
        <v>Meets Expectation</v>
      </c>
      <c r="BB226" s="0" t="n">
        <f aca="false">IF(AZ226="",0,IF(AZ226&gt;=Assumptions!$I$26,1,0))</f>
        <v>0</v>
      </c>
      <c r="BC226" s="9" t="n">
        <f aca="false">IF(AL226="",2,AL226+2)</f>
        <v>1</v>
      </c>
      <c r="BD226" s="10" t="n">
        <f aca="false">IF(AM226="",ROUND(AVERAGE($AM$2:$AM$921),3),AM226)</f>
        <v>0.548</v>
      </c>
      <c r="BE226" s="9" t="n">
        <f aca="false">1-BD226</f>
        <v>0.452</v>
      </c>
    </row>
    <row r="227" customFormat="false" ht="14.25" hidden="true" customHeight="false" outlineLevel="0" collapsed="false">
      <c r="A227" s="4" t="n">
        <v>387</v>
      </c>
      <c r="B227" s="5" t="n">
        <v>50007770</v>
      </c>
      <c r="C227" s="5" t="s">
        <v>57</v>
      </c>
      <c r="D227" s="5" t="s">
        <v>1208</v>
      </c>
      <c r="E227" s="5" t="s">
        <v>208</v>
      </c>
      <c r="F227" s="5" t="s">
        <v>387</v>
      </c>
      <c r="G227" s="5" t="s">
        <v>388</v>
      </c>
      <c r="H227" s="5" t="s">
        <v>387</v>
      </c>
      <c r="I227" s="5" t="s">
        <v>63</v>
      </c>
      <c r="J227" s="5" t="s">
        <v>100</v>
      </c>
      <c r="K227" s="5" t="s">
        <v>65</v>
      </c>
      <c r="L227" s="6" t="n">
        <v>40422</v>
      </c>
      <c r="M227" s="5" t="s">
        <v>572</v>
      </c>
      <c r="N227" s="6" t="n">
        <v>28956</v>
      </c>
      <c r="O227" s="5" t="s">
        <v>262</v>
      </c>
      <c r="P227" s="5" t="s">
        <v>263</v>
      </c>
      <c r="Q227" s="5" t="s">
        <v>286</v>
      </c>
      <c r="R227" s="5" t="s">
        <v>486</v>
      </c>
      <c r="S227" s="5" t="s">
        <v>1109</v>
      </c>
      <c r="T227" s="6"/>
      <c r="U227" s="6" t="n">
        <v>45748</v>
      </c>
      <c r="V227" s="5" t="s">
        <v>141</v>
      </c>
      <c r="W227" s="5" t="s">
        <v>83</v>
      </c>
      <c r="X227" s="5" t="s">
        <v>83</v>
      </c>
      <c r="Y227" s="5" t="s">
        <v>141</v>
      </c>
      <c r="Z227" s="5" t="s">
        <v>141</v>
      </c>
      <c r="AA227" s="5" t="s">
        <v>1209</v>
      </c>
      <c r="AB227" s="0" t="n">
        <f aca="false">IFERROR(VALUE(R227),0)</f>
        <v>6.5</v>
      </c>
      <c r="AC227" s="0" t="n">
        <f aca="false">IFERROR(VALUE(M227),"")</f>
        <v>47.1</v>
      </c>
      <c r="AD227" s="0" t="n">
        <f aca="false">IFERROR(VALUE(Q227),"")</f>
        <v>15.9</v>
      </c>
      <c r="AE227" s="0" t="n">
        <f aca="false">IFERROR(VALUE(S227),"")</f>
        <v>22.2</v>
      </c>
      <c r="AF227" s="0" t="n">
        <f aca="false">IF(V227="","",VLOOKUP(V227,Assumptions!$B$6:$C$9,2,FALSE()))</f>
        <v>3</v>
      </c>
      <c r="AG227" s="0" t="n">
        <f aca="false">IF(W227="","",VLOOKUP(W227,Assumptions!$B$6:$C$9,2,FALSE()))</f>
        <v>4</v>
      </c>
      <c r="AH227" s="0" t="n">
        <f aca="false">IF(X227="","",VLOOKUP(X227,Assumptions!$B$6:$C$9,2,FALSE()))</f>
        <v>4</v>
      </c>
      <c r="AI227" s="0" t="n">
        <f aca="false">IF(Y227="","",VLOOKUP(Y227,Assumptions!$B$6:$C$9,2,FALSE()))</f>
        <v>3</v>
      </c>
      <c r="AJ227" s="0" t="n">
        <f aca="false">IF(Z227="","",VLOOKUP(Z227,Assumptions!$B$6:$C$9,2,FALSE()))</f>
        <v>3</v>
      </c>
      <c r="AK227" s="7" t="n">
        <f aca="false">IFERROR(ROUND(AVERAGE(AF227:AJ227),3),"")</f>
        <v>3.4</v>
      </c>
      <c r="AL227" s="7" t="n">
        <f aca="false">IF(OR(AF227="",AJ227=""),"",AJ227-AF227)</f>
        <v>0</v>
      </c>
      <c r="AM227" s="7" t="n">
        <f aca="false">IF(COUNT(AF227:AJ227)&gt;=2,ROUND(_xlfn.STDEV.S(AF227:AJ227),3),"")</f>
        <v>0.548</v>
      </c>
      <c r="AN227" s="7" t="n">
        <f aca="false">ROUND((IF(AF227="",0,AF227)*Assumptions!$F$15)+(IF(AG227="",0,AG227)*Assumptions!$F$16)+(IF(AH227="",0,AH227)*Assumptions!$F$17)+(IF(AI227="",0,AI227)*Assumptions!$F$18)+(IF(AJ227="",0,AJ227)*Assumptions!$F$19),3)</f>
        <v>3.35</v>
      </c>
      <c r="AO227" s="0" t="str">
        <f aca="false">IF(AC227&lt;=20,"",IF(AC227&lt;=Assumptions!$F$6,"20-30",IF(AC227&lt;=Assumptions!$F$7,"30-40",IF(AC227&lt;=Assumptions!$F$8,"40-50",IF(AC227&lt;=Assumptions!$F$9,"50-60",IF(AC227&lt;=Assumptions!$F$10,"60+",""))))))</f>
        <v>40-50</v>
      </c>
      <c r="AP227" s="0" t="str">
        <f aca="false">IFERROR(VLOOKUP(O227,Assumptions!$B$14:$C$26,2,FALSE()),"Other")</f>
        <v>Manager</v>
      </c>
      <c r="AQ227" s="0" t="n">
        <f aca="false">IF(T227="",0,1)</f>
        <v>0</v>
      </c>
      <c r="AR227" s="0" t="n">
        <f aca="false">IF(U227="",0,1)</f>
        <v>1</v>
      </c>
      <c r="AS227" s="8" t="n">
        <f aca="false">IF(AK227="","",IF(MAX($AK$2:$AK$921)=MIN($AK$2:$AK$921),50,ROUND((AK227-MIN($AK$2:$AK$921))/(MAX($AK$2:$AK$921)-MIN($AK$2:$AK$921))*100,2)))</f>
        <v>74.28</v>
      </c>
      <c r="AT227" s="8" t="n">
        <f aca="false">IF(MAX($BC$2:$BC$921)=MIN($BC$2:$BC$921),50,ROUND((BC227-MIN($BC$2:$BC$921))/(MAX($BC$2:$BC$921)-MIN($BC$2:$BC$921))*100,2))</f>
        <v>50</v>
      </c>
      <c r="AU227" s="8" t="n">
        <f aca="false">IF(MAX($BE$2:$BE$921)=MIN($BE$2:$BE$921),50,ROUND((BE227-MIN($BE$2:$BE$921))/(MAX($BE$2:$BE$921)-MIN($BE$2:$BE$921))*100,2))</f>
        <v>68.36</v>
      </c>
      <c r="AV227" s="8" t="n">
        <f aca="false">IF(MAX($AD$2:$AD$921)=MIN($AD$2:$AD$921),50,ROUND((AD227-MIN($AD$2:$AD$921))/(MAX($AD$2:$AD$921)-MIN($AD$2:$AD$921))*100,2))</f>
        <v>42.92</v>
      </c>
      <c r="AW227" s="8" t="n">
        <f aca="false">IF(MAX($AN$2:$AN$921)=MIN($AN$2:$AN$921),50,ROUND((AN227-MIN($AN$2:$AN$921))/(MAX($AN$2:$AN$921)-MIN($AN$2:$AN$921))*100,2))</f>
        <v>83.75</v>
      </c>
      <c r="AX227" s="8" t="n">
        <f aca="false">AQ227*100</f>
        <v>0</v>
      </c>
      <c r="AY227" s="8" t="n">
        <f aca="false">AR227*100</f>
        <v>100</v>
      </c>
      <c r="AZ227" s="8" t="n">
        <f aca="false">IFERROR(ROUND(AS227*Assumptions!$I$6+AW227*Assumptions!$I$7+AT227*Assumptions!$I$8+AU227*Assumptions!$I$9+AV227*Assumptions!$I$10+AX227*Assumptions!$I$11+AY227*Assumptions!$I$12,2),"")</f>
        <v>66.08</v>
      </c>
      <c r="BA227" s="0" t="str">
        <f aca="false">IF(AZ227="","",IF(AZ227&lt;=Assumptions!$I$18,"Below Expectation",IF(AZ227&lt;=Assumptions!$I$19,"Developing",IF(AZ227&lt;=Assumptions!$I$20,"Meets Expectation",IF(AZ227&lt;=Assumptions!$I$21,"Exceeds","Star Performer")))))</f>
        <v>Meets Expectation</v>
      </c>
      <c r="BB227" s="0" t="n">
        <f aca="false">IF(AZ227="",0,IF(AZ227&gt;=Assumptions!$I$26,1,0))</f>
        <v>0</v>
      </c>
      <c r="BC227" s="9" t="n">
        <f aca="false">IF(AL227="",2,AL227+2)</f>
        <v>2</v>
      </c>
      <c r="BD227" s="10" t="n">
        <f aca="false">IF(AM227="",ROUND(AVERAGE($AM$2:$AM$921),3),AM227)</f>
        <v>0.548</v>
      </c>
      <c r="BE227" s="9" t="n">
        <f aca="false">1-BD227</f>
        <v>0.452</v>
      </c>
    </row>
    <row r="228" customFormat="false" ht="14.25" hidden="true" customHeight="false" outlineLevel="0" collapsed="false">
      <c r="A228" s="4" t="n">
        <v>443</v>
      </c>
      <c r="B228" s="5" t="n">
        <v>55000317</v>
      </c>
      <c r="C228" s="5" t="s">
        <v>526</v>
      </c>
      <c r="D228" s="5" t="s">
        <v>1210</v>
      </c>
      <c r="E228" s="5" t="s">
        <v>1008</v>
      </c>
      <c r="F228" s="5" t="s">
        <v>159</v>
      </c>
      <c r="G228" s="5" t="s">
        <v>160</v>
      </c>
      <c r="H228" s="5" t="s">
        <v>159</v>
      </c>
      <c r="I228" s="5" t="s">
        <v>63</v>
      </c>
      <c r="J228" s="5" t="s">
        <v>100</v>
      </c>
      <c r="K228" s="5" t="s">
        <v>65</v>
      </c>
      <c r="L228" s="6" t="n">
        <v>41127</v>
      </c>
      <c r="M228" s="5" t="s">
        <v>806</v>
      </c>
      <c r="N228" s="6" t="n">
        <v>30504</v>
      </c>
      <c r="O228" s="5" t="s">
        <v>162</v>
      </c>
      <c r="P228" s="5" t="s">
        <v>162</v>
      </c>
      <c r="Q228" s="5" t="s">
        <v>1211</v>
      </c>
      <c r="R228" s="5" t="s">
        <v>486</v>
      </c>
      <c r="S228" s="5" t="s">
        <v>1212</v>
      </c>
      <c r="T228" s="6" t="n">
        <v>41730</v>
      </c>
      <c r="U228" s="6" t="n">
        <v>45444</v>
      </c>
      <c r="V228" s="5" t="s">
        <v>83</v>
      </c>
      <c r="W228" s="5" t="s">
        <v>83</v>
      </c>
      <c r="X228" s="5" t="s">
        <v>141</v>
      </c>
      <c r="Y228" s="5" t="s">
        <v>141</v>
      </c>
      <c r="Z228" s="5" t="s">
        <v>141</v>
      </c>
      <c r="AA228" s="5" t="s">
        <v>1213</v>
      </c>
      <c r="AB228" s="0" t="n">
        <f aca="false">IFERROR(VALUE(R228),0)</f>
        <v>6.5</v>
      </c>
      <c r="AC228" s="0" t="n">
        <f aca="false">IFERROR(VALUE(M228),"")</f>
        <v>42.11</v>
      </c>
      <c r="AD228" s="0" t="n">
        <f aca="false">IFERROR(VALUE(Q228),"")</f>
        <v>13.1</v>
      </c>
      <c r="AE228" s="0" t="n">
        <f aca="false">IFERROR(VALUE(S228),"")</f>
        <v>20.3</v>
      </c>
      <c r="AF228" s="0" t="n">
        <f aca="false">IF(V228="","",VLOOKUP(V228,Assumptions!$B$6:$C$9,2,FALSE()))</f>
        <v>4</v>
      </c>
      <c r="AG228" s="0" t="n">
        <f aca="false">IF(W228="","",VLOOKUP(W228,Assumptions!$B$6:$C$9,2,FALSE()))</f>
        <v>4</v>
      </c>
      <c r="AH228" s="0" t="n">
        <f aca="false">IF(X228="","",VLOOKUP(X228,Assumptions!$B$6:$C$9,2,FALSE()))</f>
        <v>3</v>
      </c>
      <c r="AI228" s="0" t="n">
        <f aca="false">IF(Y228="","",VLOOKUP(Y228,Assumptions!$B$6:$C$9,2,FALSE()))</f>
        <v>3</v>
      </c>
      <c r="AJ228" s="0" t="n">
        <f aca="false">IF(Z228="","",VLOOKUP(Z228,Assumptions!$B$6:$C$9,2,FALSE()))</f>
        <v>3</v>
      </c>
      <c r="AK228" s="7" t="n">
        <f aca="false">IFERROR(ROUND(AVERAGE(AF228:AJ228),3),"")</f>
        <v>3.4</v>
      </c>
      <c r="AL228" s="7" t="n">
        <f aca="false">IF(OR(AF228="",AJ228=""),"",AJ228-AF228)</f>
        <v>-1</v>
      </c>
      <c r="AM228" s="7" t="n">
        <f aca="false">IF(COUNT(AF228:AJ228)&gt;=2,ROUND(_xlfn.STDEV.S(AF228:AJ228),3),"")</f>
        <v>0.548</v>
      </c>
      <c r="AN228" s="7" t="n">
        <f aca="false">ROUND((IF(AF228="",0,AF228)*Assumptions!$F$15)+(IF(AG228="",0,AG228)*Assumptions!$F$16)+(IF(AH228="",0,AH228)*Assumptions!$F$17)+(IF(AI228="",0,AI228)*Assumptions!$F$18)+(IF(AJ228="",0,AJ228)*Assumptions!$F$19),3)</f>
        <v>3.25</v>
      </c>
      <c r="AO228" s="0" t="str">
        <f aca="false">IF(AC228&lt;=20,"",IF(AC228&lt;=Assumptions!$F$6,"20-30",IF(AC228&lt;=Assumptions!$F$7,"30-40",IF(AC228&lt;=Assumptions!$F$8,"40-50",IF(AC228&lt;=Assumptions!$F$9,"50-60",IF(AC228&lt;=Assumptions!$F$10,"60+",""))))))</f>
        <v>40-50</v>
      </c>
      <c r="AP228" s="0" t="str">
        <f aca="false">IFERROR(VLOOKUP(O228,Assumptions!$B$14:$C$26,2,FALSE()),"Other")</f>
        <v>Manager</v>
      </c>
      <c r="AQ228" s="0" t="n">
        <f aca="false">IF(T228="",0,1)</f>
        <v>1</v>
      </c>
      <c r="AR228" s="0" t="n">
        <f aca="false">IF(U228="",0,1)</f>
        <v>1</v>
      </c>
      <c r="AS228" s="8" t="n">
        <f aca="false">IF(AK228="","",IF(MAX($AK$2:$AK$921)=MIN($AK$2:$AK$921),50,ROUND((AK228-MIN($AK$2:$AK$921))/(MAX($AK$2:$AK$921)-MIN($AK$2:$AK$921))*100,2)))</f>
        <v>74.28</v>
      </c>
      <c r="AT228" s="8" t="n">
        <f aca="false">IF(MAX($BC$2:$BC$921)=MIN($BC$2:$BC$921),50,ROUND((BC228-MIN($BC$2:$BC$921))/(MAX($BC$2:$BC$921)-MIN($BC$2:$BC$921))*100,2))</f>
        <v>25</v>
      </c>
      <c r="AU228" s="8" t="n">
        <f aca="false">IF(MAX($BE$2:$BE$921)=MIN($BE$2:$BE$921),50,ROUND((BE228-MIN($BE$2:$BE$921))/(MAX($BE$2:$BE$921)-MIN($BE$2:$BE$921))*100,2))</f>
        <v>68.36</v>
      </c>
      <c r="AV228" s="8" t="n">
        <f aca="false">IF(MAX($AD$2:$AD$921)=MIN($AD$2:$AD$921),50,ROUND((AD228-MIN($AD$2:$AD$921))/(MAX($AD$2:$AD$921)-MIN($AD$2:$AD$921))*100,2))</f>
        <v>35.31</v>
      </c>
      <c r="AW228" s="8" t="n">
        <f aca="false">IF(MAX($AN$2:$AN$921)=MIN($AN$2:$AN$921),50,ROUND((AN228-MIN($AN$2:$AN$921))/(MAX($AN$2:$AN$921)-MIN($AN$2:$AN$921))*100,2))</f>
        <v>81.25</v>
      </c>
      <c r="AX228" s="8" t="n">
        <f aca="false">AQ228*100</f>
        <v>100</v>
      </c>
      <c r="AY228" s="8" t="n">
        <f aca="false">AR228*100</f>
        <v>100</v>
      </c>
      <c r="AZ228" s="8" t="n">
        <f aca="false">IFERROR(ROUND(AS228*Assumptions!$I$6+AW228*Assumptions!$I$7+AT228*Assumptions!$I$8+AU228*Assumptions!$I$9+AV228*Assumptions!$I$10+AX228*Assumptions!$I$11+AY228*Assumptions!$I$12,2),"")</f>
        <v>66.07</v>
      </c>
      <c r="BA228" s="0" t="str">
        <f aca="false">IF(AZ228="","",IF(AZ228&lt;=Assumptions!$I$18,"Below Expectation",IF(AZ228&lt;=Assumptions!$I$19,"Developing",IF(AZ228&lt;=Assumptions!$I$20,"Meets Expectation",IF(AZ228&lt;=Assumptions!$I$21,"Exceeds","Star Performer")))))</f>
        <v>Meets Expectation</v>
      </c>
      <c r="BB228" s="0" t="n">
        <f aca="false">IF(AZ228="",0,IF(AZ228&gt;=Assumptions!$I$26,1,0))</f>
        <v>0</v>
      </c>
      <c r="BC228" s="9" t="n">
        <f aca="false">IF(AL228="",2,AL228+2)</f>
        <v>1</v>
      </c>
      <c r="BD228" s="10" t="n">
        <f aca="false">IF(AM228="",ROUND(AVERAGE($AM$2:$AM$921),3),AM228)</f>
        <v>0.548</v>
      </c>
      <c r="BE228" s="9" t="n">
        <f aca="false">1-BD228</f>
        <v>0.452</v>
      </c>
    </row>
    <row r="229" customFormat="false" ht="14.25" hidden="true" customHeight="false" outlineLevel="0" collapsed="false">
      <c r="A229" s="4" t="n">
        <v>188</v>
      </c>
      <c r="B229" s="5" t="n">
        <v>10054703</v>
      </c>
      <c r="C229" s="5" t="s">
        <v>57</v>
      </c>
      <c r="D229" s="5" t="s">
        <v>1214</v>
      </c>
      <c r="E229" s="5" t="s">
        <v>208</v>
      </c>
      <c r="F229" s="5" t="s">
        <v>387</v>
      </c>
      <c r="G229" s="5" t="s">
        <v>388</v>
      </c>
      <c r="H229" s="5" t="s">
        <v>387</v>
      </c>
      <c r="I229" s="5" t="s">
        <v>63</v>
      </c>
      <c r="J229" s="5" t="s">
        <v>100</v>
      </c>
      <c r="K229" s="5" t="s">
        <v>65</v>
      </c>
      <c r="L229" s="6" t="n">
        <v>42562</v>
      </c>
      <c r="M229" s="5" t="s">
        <v>225</v>
      </c>
      <c r="N229" s="6" t="n">
        <v>29732</v>
      </c>
      <c r="O229" s="5" t="s">
        <v>262</v>
      </c>
      <c r="P229" s="5" t="s">
        <v>263</v>
      </c>
      <c r="Q229" s="5" t="s">
        <v>546</v>
      </c>
      <c r="R229" s="5" t="s">
        <v>1215</v>
      </c>
      <c r="S229" s="5" t="s">
        <v>1216</v>
      </c>
      <c r="T229" s="6"/>
      <c r="U229" s="6" t="n">
        <v>45748</v>
      </c>
      <c r="V229" s="5" t="s">
        <v>141</v>
      </c>
      <c r="W229" s="5" t="s">
        <v>141</v>
      </c>
      <c r="X229" s="5" t="s">
        <v>141</v>
      </c>
      <c r="Y229" s="5" t="s">
        <v>141</v>
      </c>
      <c r="Z229" s="5" t="s">
        <v>83</v>
      </c>
      <c r="AA229" s="5" t="s">
        <v>1217</v>
      </c>
      <c r="AB229" s="0" t="n">
        <f aca="false">IFERROR(VALUE(R229),0)</f>
        <v>7.9</v>
      </c>
      <c r="AC229" s="0" t="n">
        <f aca="false">IFERROR(VALUE(M229),"")</f>
        <v>45</v>
      </c>
      <c r="AD229" s="0" t="n">
        <f aca="false">IFERROR(VALUE(Q229),"")</f>
        <v>9.1</v>
      </c>
      <c r="AE229" s="0" t="n">
        <f aca="false">IFERROR(VALUE(S229),"")</f>
        <v>17.7</v>
      </c>
      <c r="AF229" s="0" t="n">
        <f aca="false">IF(V229="","",VLOOKUP(V229,Assumptions!$B$6:$C$9,2,FALSE()))</f>
        <v>3</v>
      </c>
      <c r="AG229" s="0" t="n">
        <f aca="false">IF(W229="","",VLOOKUP(W229,Assumptions!$B$6:$C$9,2,FALSE()))</f>
        <v>3</v>
      </c>
      <c r="AH229" s="0" t="n">
        <f aca="false">IF(X229="","",VLOOKUP(X229,Assumptions!$B$6:$C$9,2,FALSE()))</f>
        <v>3</v>
      </c>
      <c r="AI229" s="0" t="n">
        <f aca="false">IF(Y229="","",VLOOKUP(Y229,Assumptions!$B$6:$C$9,2,FALSE()))</f>
        <v>3</v>
      </c>
      <c r="AJ229" s="0" t="n">
        <f aca="false">IF(Z229="","",VLOOKUP(Z229,Assumptions!$B$6:$C$9,2,FALSE()))</f>
        <v>4</v>
      </c>
      <c r="AK229" s="7" t="n">
        <f aca="false">IFERROR(ROUND(AVERAGE(AF229:AJ229),3),"")</f>
        <v>3.2</v>
      </c>
      <c r="AL229" s="7" t="n">
        <f aca="false">IF(OR(AF229="",AJ229=""),"",AJ229-AF229)</f>
        <v>1</v>
      </c>
      <c r="AM229" s="7" t="n">
        <f aca="false">IF(COUNT(AF229:AJ229)&gt;=2,ROUND(_xlfn.STDEV.S(AF229:AJ229),3),"")</f>
        <v>0.447</v>
      </c>
      <c r="AN229" s="7" t="n">
        <f aca="false">ROUND((IF(AF229="",0,AF229)*Assumptions!$F$15)+(IF(AG229="",0,AG229)*Assumptions!$F$16)+(IF(AH229="",0,AH229)*Assumptions!$F$17)+(IF(AI229="",0,AI229)*Assumptions!$F$18)+(IF(AJ229="",0,AJ229)*Assumptions!$F$19),3)</f>
        <v>3.3</v>
      </c>
      <c r="AO229" s="0" t="str">
        <f aca="false">IF(AC229&lt;=20,"",IF(AC229&lt;=Assumptions!$F$6,"20-30",IF(AC229&lt;=Assumptions!$F$7,"30-40",IF(AC229&lt;=Assumptions!$F$8,"40-50",IF(AC229&lt;=Assumptions!$F$9,"50-60",IF(AC229&lt;=Assumptions!$F$10,"60+",""))))))</f>
        <v>40-50</v>
      </c>
      <c r="AP229" s="0" t="str">
        <f aca="false">IFERROR(VLOOKUP(O229,Assumptions!$B$14:$C$26,2,FALSE()),"Other")</f>
        <v>Manager</v>
      </c>
      <c r="AQ229" s="0" t="n">
        <f aca="false">IF(T229="",0,1)</f>
        <v>0</v>
      </c>
      <c r="AR229" s="0" t="n">
        <f aca="false">IF(U229="",0,1)</f>
        <v>1</v>
      </c>
      <c r="AS229" s="8" t="n">
        <f aca="false">IF(AK229="","",IF(MAX($AK$2:$AK$921)=MIN($AK$2:$AK$921),50,ROUND((AK229-MIN($AK$2:$AK$921))/(MAX($AK$2:$AK$921)-MIN($AK$2:$AK$921))*100,2)))</f>
        <v>65.71</v>
      </c>
      <c r="AT229" s="8" t="n">
        <f aca="false">IF(MAX($BC$2:$BC$921)=MIN($BC$2:$BC$921),50,ROUND((BC229-MIN($BC$2:$BC$921))/(MAX($BC$2:$BC$921)-MIN($BC$2:$BC$921))*100,2))</f>
        <v>75</v>
      </c>
      <c r="AU229" s="8" t="n">
        <f aca="false">IF(MAX($BE$2:$BE$921)=MIN($BE$2:$BE$921),50,ROUND((BE229-MIN($BE$2:$BE$921))/(MAX($BE$2:$BE$921)-MIN($BE$2:$BE$921))*100,2))</f>
        <v>74.19</v>
      </c>
      <c r="AV229" s="8" t="n">
        <f aca="false">IF(MAX($AD$2:$AD$921)=MIN($AD$2:$AD$921),50,ROUND((AD229-MIN($AD$2:$AD$921))/(MAX($AD$2:$AD$921)-MIN($AD$2:$AD$921))*100,2))</f>
        <v>24.44</v>
      </c>
      <c r="AW229" s="8" t="n">
        <f aca="false">IF(MAX($AN$2:$AN$921)=MIN($AN$2:$AN$921),50,ROUND((AN229-MIN($AN$2:$AN$921))/(MAX($AN$2:$AN$921)-MIN($AN$2:$AN$921))*100,2))</f>
        <v>82.5</v>
      </c>
      <c r="AX229" s="8" t="n">
        <f aca="false">AQ229*100</f>
        <v>0</v>
      </c>
      <c r="AY229" s="8" t="n">
        <f aca="false">AR229*100</f>
        <v>100</v>
      </c>
      <c r="AZ229" s="8" t="n">
        <f aca="false">IFERROR(ROUND(AS229*Assumptions!$I$6+AW229*Assumptions!$I$7+AT229*Assumptions!$I$8+AU229*Assumptions!$I$9+AV229*Assumptions!$I$10+AX229*Assumptions!$I$11+AY229*Assumptions!$I$12,2),"")</f>
        <v>66.04</v>
      </c>
      <c r="BA229" s="0" t="str">
        <f aca="false">IF(AZ229="","",IF(AZ229&lt;=Assumptions!$I$18,"Below Expectation",IF(AZ229&lt;=Assumptions!$I$19,"Developing",IF(AZ229&lt;=Assumptions!$I$20,"Meets Expectation",IF(AZ229&lt;=Assumptions!$I$21,"Exceeds","Star Performer")))))</f>
        <v>Meets Expectation</v>
      </c>
      <c r="BB229" s="0" t="n">
        <f aca="false">IF(AZ229="",0,IF(AZ229&gt;=Assumptions!$I$26,1,0))</f>
        <v>0</v>
      </c>
      <c r="BC229" s="9" t="n">
        <f aca="false">IF(AL229="",2,AL229+2)</f>
        <v>3</v>
      </c>
      <c r="BD229" s="10" t="n">
        <f aca="false">IF(AM229="",ROUND(AVERAGE($AM$2:$AM$921),3),AM229)</f>
        <v>0.447</v>
      </c>
      <c r="BE229" s="9" t="n">
        <f aca="false">1-BD229</f>
        <v>0.553</v>
      </c>
    </row>
    <row r="230" customFormat="false" ht="14.25" hidden="true" customHeight="false" outlineLevel="0" collapsed="false">
      <c r="A230" s="4" t="n">
        <v>37</v>
      </c>
      <c r="B230" s="5" t="n">
        <v>10000339</v>
      </c>
      <c r="C230" s="5" t="s">
        <v>526</v>
      </c>
      <c r="D230" s="5" t="s">
        <v>1218</v>
      </c>
      <c r="E230" s="5" t="s">
        <v>1219</v>
      </c>
      <c r="F230" s="5" t="s">
        <v>292</v>
      </c>
      <c r="G230" s="5" t="s">
        <v>293</v>
      </c>
      <c r="H230" s="5" t="s">
        <v>292</v>
      </c>
      <c r="I230" s="5" t="s">
        <v>63</v>
      </c>
      <c r="J230" s="5" t="s">
        <v>100</v>
      </c>
      <c r="K230" s="5" t="s">
        <v>65</v>
      </c>
      <c r="L230" s="6" t="n">
        <v>37551</v>
      </c>
      <c r="M230" s="5" t="s">
        <v>1220</v>
      </c>
      <c r="N230" s="6" t="n">
        <v>29636</v>
      </c>
      <c r="O230" s="5" t="s">
        <v>122</v>
      </c>
      <c r="P230" s="5" t="s">
        <v>123</v>
      </c>
      <c r="Q230" s="5" t="s">
        <v>132</v>
      </c>
      <c r="R230" s="5" t="s">
        <v>115</v>
      </c>
      <c r="S230" s="5" t="s">
        <v>132</v>
      </c>
      <c r="T230" s="6" t="n">
        <v>42552</v>
      </c>
      <c r="U230" s="6"/>
      <c r="V230" s="5" t="s">
        <v>141</v>
      </c>
      <c r="W230" s="5" t="s">
        <v>141</v>
      </c>
      <c r="X230" s="5" t="s">
        <v>141</v>
      </c>
      <c r="Y230" s="5" t="s">
        <v>83</v>
      </c>
      <c r="Z230" s="5" t="s">
        <v>141</v>
      </c>
      <c r="AA230" s="5" t="s">
        <v>1221</v>
      </c>
      <c r="AB230" s="0" t="n">
        <f aca="false">IFERROR(VALUE(R230),0)</f>
        <v>0</v>
      </c>
      <c r="AC230" s="0" t="n">
        <f aca="false">IFERROR(VALUE(M230),"")</f>
        <v>45.3</v>
      </c>
      <c r="AD230" s="0" t="n">
        <f aca="false">IFERROR(VALUE(Q230),"")</f>
        <v>23.7</v>
      </c>
      <c r="AE230" s="0" t="n">
        <f aca="false">IFERROR(VALUE(S230),"")</f>
        <v>23.7</v>
      </c>
      <c r="AF230" s="0" t="n">
        <f aca="false">IF(V230="","",VLOOKUP(V230,Assumptions!$B$6:$C$9,2,FALSE()))</f>
        <v>3</v>
      </c>
      <c r="AG230" s="0" t="n">
        <f aca="false">IF(W230="","",VLOOKUP(W230,Assumptions!$B$6:$C$9,2,FALSE()))</f>
        <v>3</v>
      </c>
      <c r="AH230" s="0" t="n">
        <f aca="false">IF(X230="","",VLOOKUP(X230,Assumptions!$B$6:$C$9,2,FALSE()))</f>
        <v>3</v>
      </c>
      <c r="AI230" s="0" t="n">
        <f aca="false">IF(Y230="","",VLOOKUP(Y230,Assumptions!$B$6:$C$9,2,FALSE()))</f>
        <v>4</v>
      </c>
      <c r="AJ230" s="0" t="n">
        <f aca="false">IF(Z230="","",VLOOKUP(Z230,Assumptions!$B$6:$C$9,2,FALSE()))</f>
        <v>3</v>
      </c>
      <c r="AK230" s="7" t="n">
        <f aca="false">IFERROR(ROUND(AVERAGE(AF230:AJ230),3),"")</f>
        <v>3.2</v>
      </c>
      <c r="AL230" s="7" t="n">
        <f aca="false">IF(OR(AF230="",AJ230=""),"",AJ230-AF230)</f>
        <v>0</v>
      </c>
      <c r="AM230" s="7" t="n">
        <f aca="false">IF(COUNT(AF230:AJ230)&gt;=2,ROUND(_xlfn.STDEV.S(AF230:AJ230),3),"")</f>
        <v>0.447</v>
      </c>
      <c r="AN230" s="7" t="n">
        <f aca="false">ROUND((IF(AF230="",0,AF230)*Assumptions!$F$15)+(IF(AG230="",0,AG230)*Assumptions!$F$16)+(IF(AH230="",0,AH230)*Assumptions!$F$17)+(IF(AI230="",0,AI230)*Assumptions!$F$18)+(IF(AJ230="",0,AJ230)*Assumptions!$F$19),3)</f>
        <v>3.25</v>
      </c>
      <c r="AO230" s="0" t="str">
        <f aca="false">IF(AC230&lt;=20,"",IF(AC230&lt;=Assumptions!$F$6,"20-30",IF(AC230&lt;=Assumptions!$F$7,"30-40",IF(AC230&lt;=Assumptions!$F$8,"40-50",IF(AC230&lt;=Assumptions!$F$9,"50-60",IF(AC230&lt;=Assumptions!$F$10,"60+",""))))))</f>
        <v>40-50</v>
      </c>
      <c r="AP230" s="0" t="str">
        <f aca="false">IFERROR(VLOOKUP(O230,Assumptions!$B$14:$C$26,2,FALSE()),"Other")</f>
        <v>Leadership</v>
      </c>
      <c r="AQ230" s="0" t="n">
        <f aca="false">IF(T230="",0,1)</f>
        <v>1</v>
      </c>
      <c r="AR230" s="0" t="n">
        <f aca="false">IF(U230="",0,1)</f>
        <v>0</v>
      </c>
      <c r="AS230" s="8" t="n">
        <f aca="false">IF(AK230="","",IF(MAX($AK$2:$AK$921)=MIN($AK$2:$AK$921),50,ROUND((AK230-MIN($AK$2:$AK$921))/(MAX($AK$2:$AK$921)-MIN($AK$2:$AK$921))*100,2)))</f>
        <v>65.71</v>
      </c>
      <c r="AT230" s="8" t="n">
        <f aca="false">IF(MAX($BC$2:$BC$921)=MIN($BC$2:$BC$921),50,ROUND((BC230-MIN($BC$2:$BC$921))/(MAX($BC$2:$BC$921)-MIN($BC$2:$BC$921))*100,2))</f>
        <v>50</v>
      </c>
      <c r="AU230" s="8" t="n">
        <f aca="false">IF(MAX($BE$2:$BE$921)=MIN($BE$2:$BE$921),50,ROUND((BE230-MIN($BE$2:$BE$921))/(MAX($BE$2:$BE$921)-MIN($BE$2:$BE$921))*100,2))</f>
        <v>74.19</v>
      </c>
      <c r="AV230" s="8" t="n">
        <f aca="false">IF(MAX($AD$2:$AD$921)=MIN($AD$2:$AD$921),50,ROUND((AD230-MIN($AD$2:$AD$921))/(MAX($AD$2:$AD$921)-MIN($AD$2:$AD$921))*100,2))</f>
        <v>64.12</v>
      </c>
      <c r="AW230" s="8" t="n">
        <f aca="false">IF(MAX($AN$2:$AN$921)=MIN($AN$2:$AN$921),50,ROUND((AN230-MIN($AN$2:$AN$921))/(MAX($AN$2:$AN$921)-MIN($AN$2:$AN$921))*100,2))</f>
        <v>81.25</v>
      </c>
      <c r="AX230" s="8" t="n">
        <f aca="false">AQ230*100</f>
        <v>100</v>
      </c>
      <c r="AY230" s="8" t="n">
        <f aca="false">AR230*100</f>
        <v>0</v>
      </c>
      <c r="AZ230" s="8" t="n">
        <f aca="false">IFERROR(ROUND(AS230*Assumptions!$I$6+AW230*Assumptions!$I$7+AT230*Assumptions!$I$8+AU230*Assumptions!$I$9+AV230*Assumptions!$I$10+AX230*Assumptions!$I$11+AY230*Assumptions!$I$12,2),"")</f>
        <v>66</v>
      </c>
      <c r="BA230" s="0" t="str">
        <f aca="false">IF(AZ230="","",IF(AZ230&lt;=Assumptions!$I$18,"Below Expectation",IF(AZ230&lt;=Assumptions!$I$19,"Developing",IF(AZ230&lt;=Assumptions!$I$20,"Meets Expectation",IF(AZ230&lt;=Assumptions!$I$21,"Exceeds","Star Performer")))))</f>
        <v>Meets Expectation</v>
      </c>
      <c r="BB230" s="0" t="n">
        <f aca="false">IF(AZ230="",0,IF(AZ230&gt;=Assumptions!$I$26,1,0))</f>
        <v>0</v>
      </c>
      <c r="BC230" s="9" t="n">
        <f aca="false">IF(AL230="",2,AL230+2)</f>
        <v>2</v>
      </c>
      <c r="BD230" s="10" t="n">
        <f aca="false">IF(AM230="",ROUND(AVERAGE($AM$2:$AM$921),3),AM230)</f>
        <v>0.447</v>
      </c>
      <c r="BE230" s="9" t="n">
        <f aca="false">1-BD230</f>
        <v>0.553</v>
      </c>
    </row>
    <row r="231" customFormat="false" ht="14.25" hidden="false" customHeight="false" outlineLevel="0" collapsed="false">
      <c r="A231" s="4" t="n">
        <v>505</v>
      </c>
      <c r="B231" s="5" t="n">
        <v>55044747</v>
      </c>
      <c r="C231" s="5" t="s">
        <v>106</v>
      </c>
      <c r="D231" s="5" t="s">
        <v>1222</v>
      </c>
      <c r="E231" s="5" t="s">
        <v>108</v>
      </c>
      <c r="F231" s="5" t="s">
        <v>356</v>
      </c>
      <c r="G231" s="5" t="s">
        <v>963</v>
      </c>
      <c r="H231" s="5" t="s">
        <v>964</v>
      </c>
      <c r="I231" s="5" t="s">
        <v>63</v>
      </c>
      <c r="J231" s="5" t="s">
        <v>112</v>
      </c>
      <c r="K231" s="5" t="s">
        <v>309</v>
      </c>
      <c r="L231" s="6" t="n">
        <v>44524</v>
      </c>
      <c r="M231" s="5" t="s">
        <v>1223</v>
      </c>
      <c r="N231" s="6" t="n">
        <v>36290</v>
      </c>
      <c r="O231" s="5" t="s">
        <v>585</v>
      </c>
      <c r="P231" s="5" t="s">
        <v>586</v>
      </c>
      <c r="Q231" s="5" t="s">
        <v>352</v>
      </c>
      <c r="R231" s="5" t="s">
        <v>115</v>
      </c>
      <c r="S231" s="5" t="s">
        <v>352</v>
      </c>
      <c r="T231" s="6"/>
      <c r="U231" s="6" t="n">
        <v>45992</v>
      </c>
      <c r="V231" s="5" t="s">
        <v>631</v>
      </c>
      <c r="W231" s="5" t="s">
        <v>141</v>
      </c>
      <c r="X231" s="5" t="s">
        <v>141</v>
      </c>
      <c r="Y231" s="5" t="s">
        <v>83</v>
      </c>
      <c r="Z231" s="5" t="s">
        <v>83</v>
      </c>
      <c r="AA231" s="5" t="s">
        <v>1224</v>
      </c>
      <c r="AB231" s="0" t="n">
        <f aca="false">IFERROR(VALUE(R231),0)</f>
        <v>0</v>
      </c>
      <c r="AC231" s="0" t="n">
        <f aca="false">IFERROR(VALUE(M231),"")</f>
        <v>27</v>
      </c>
      <c r="AD231" s="0" t="n">
        <f aca="false">IFERROR(VALUE(Q231),"")</f>
        <v>4.6</v>
      </c>
      <c r="AE231" s="0" t="n">
        <f aca="false">IFERROR(VALUE(S231),"")</f>
        <v>4.6</v>
      </c>
      <c r="AF231" s="0" t="n">
        <f aca="false">IF(V231="","",VLOOKUP(V231,Assumptions!$B$6:$C$9,2,FALSE()))</f>
        <v>2</v>
      </c>
      <c r="AG231" s="0" t="n">
        <f aca="false">IF(W231="","",VLOOKUP(W231,Assumptions!$B$6:$C$9,2,FALSE()))</f>
        <v>3</v>
      </c>
      <c r="AH231" s="0" t="n">
        <f aca="false">IF(X231="","",VLOOKUP(X231,Assumptions!$B$6:$C$9,2,FALSE()))</f>
        <v>3</v>
      </c>
      <c r="AI231" s="0" t="n">
        <f aca="false">IF(Y231="","",VLOOKUP(Y231,Assumptions!$B$6:$C$9,2,FALSE()))</f>
        <v>4</v>
      </c>
      <c r="AJ231" s="0" t="n">
        <f aca="false">IF(Z231="","",VLOOKUP(Z231,Assumptions!$B$6:$C$9,2,FALSE()))</f>
        <v>4</v>
      </c>
      <c r="AK231" s="7" t="n">
        <f aca="false">IFERROR(ROUND(AVERAGE(AF231:AJ231),3),"")</f>
        <v>3.2</v>
      </c>
      <c r="AL231" s="7" t="n">
        <f aca="false">IF(OR(AF231="",AJ231=""),"",AJ231-AF231)</f>
        <v>2</v>
      </c>
      <c r="AM231" s="7" t="n">
        <f aca="false">IF(COUNT(AF231:AJ231)&gt;=2,ROUND(_xlfn.STDEV.S(AF231:AJ231),3),"")</f>
        <v>0.837</v>
      </c>
      <c r="AN231" s="7" t="n">
        <f aca="false">ROUND((IF(AF231="",0,AF231)*Assumptions!$F$15)+(IF(AG231="",0,AG231)*Assumptions!$F$16)+(IF(AH231="",0,AH231)*Assumptions!$F$17)+(IF(AI231="",0,AI231)*Assumptions!$F$18)+(IF(AJ231="",0,AJ231)*Assumptions!$F$19),3)</f>
        <v>3.45</v>
      </c>
      <c r="AO231" s="0" t="str">
        <f aca="false">IF(AC231&lt;=20,"",IF(AC231&lt;=Assumptions!$F$6,"20-30",IF(AC231&lt;=Assumptions!$F$7,"30-40",IF(AC231&lt;=Assumptions!$F$8,"40-50",IF(AC231&lt;=Assumptions!$F$9,"50-60",IF(AC231&lt;=Assumptions!$F$10,"60+",""))))))</f>
        <v>20-30</v>
      </c>
      <c r="AP231" s="0" t="str">
        <f aca="false">IFERROR(VLOOKUP(O231,Assumptions!$B$14:$C$26,2,FALSE()),"Other")</f>
        <v>Manager</v>
      </c>
      <c r="AQ231" s="0" t="n">
        <f aca="false">IF(T231="",0,1)</f>
        <v>0</v>
      </c>
      <c r="AR231" s="0" t="n">
        <f aca="false">IF(U231="",0,1)</f>
        <v>1</v>
      </c>
      <c r="AS231" s="8" t="n">
        <f aca="false">IF(AK231="","",IF(MAX($AK$2:$AK$921)=MIN($AK$2:$AK$921),50,ROUND((AK231-MIN($AK$2:$AK$921))/(MAX($AK$2:$AK$921)-MIN($AK$2:$AK$921))*100,2)))</f>
        <v>65.71</v>
      </c>
      <c r="AT231" s="8" t="n">
        <f aca="false">IF(MAX($BC$2:$BC$921)=MIN($BC$2:$BC$921),50,ROUND((BC231-MIN($BC$2:$BC$921))/(MAX($BC$2:$BC$921)-MIN($BC$2:$BC$921))*100,2))</f>
        <v>100</v>
      </c>
      <c r="AU231" s="8" t="n">
        <f aca="false">IF(MAX($BE$2:$BE$921)=MIN($BE$2:$BE$921),50,ROUND((BE231-MIN($BE$2:$BE$921))/(MAX($BE$2:$BE$921)-MIN($BE$2:$BE$921))*100,2))</f>
        <v>51.67</v>
      </c>
      <c r="AV231" s="8" t="n">
        <f aca="false">IF(MAX($AD$2:$AD$921)=MIN($AD$2:$AD$921),50,ROUND((AD231-MIN($AD$2:$AD$921))/(MAX($AD$2:$AD$921)-MIN($AD$2:$AD$921))*100,2))</f>
        <v>12.2</v>
      </c>
      <c r="AW231" s="8" t="n">
        <f aca="false">IF(MAX($AN$2:$AN$921)=MIN($AN$2:$AN$921),50,ROUND((AN231-MIN($AN$2:$AN$921))/(MAX($AN$2:$AN$921)-MIN($AN$2:$AN$921))*100,2))</f>
        <v>86.25</v>
      </c>
      <c r="AX231" s="8" t="n">
        <f aca="false">AQ231*100</f>
        <v>0</v>
      </c>
      <c r="AY231" s="8" t="n">
        <f aca="false">AR231*100</f>
        <v>100</v>
      </c>
      <c r="AZ231" s="8" t="n">
        <f aca="false">IFERROR(ROUND(AS231*Assumptions!$I$6+AW231*Assumptions!$I$7+AT231*Assumptions!$I$8+AU231*Assumptions!$I$9+AV231*Assumptions!$I$10+AX231*Assumptions!$I$11+AY231*Assumptions!$I$12,2),"")</f>
        <v>65.93</v>
      </c>
      <c r="BA231" s="0" t="str">
        <f aca="false">IF(AZ231="","",IF(AZ231&lt;=Assumptions!$I$18,"Below Expectation",IF(AZ231&lt;=Assumptions!$I$19,"Developing",IF(AZ231&lt;=Assumptions!$I$20,"Meets Expectation",IF(AZ231&lt;=Assumptions!$I$21,"Exceeds","Star Performer")))))</f>
        <v>Meets Expectation</v>
      </c>
      <c r="BB231" s="0" t="n">
        <f aca="false">IF(AZ231="",0,IF(AZ231&gt;=Assumptions!$I$26,1,0))</f>
        <v>0</v>
      </c>
      <c r="BC231" s="9" t="n">
        <f aca="false">IF(AL231="",2,AL231+2)</f>
        <v>4</v>
      </c>
      <c r="BD231" s="10" t="n">
        <f aca="false">IF(AM231="",ROUND(AVERAGE($AM$2:$AM$921),3),AM231)</f>
        <v>0.837</v>
      </c>
      <c r="BE231" s="9" t="n">
        <f aca="false">1-BD231</f>
        <v>0.163</v>
      </c>
    </row>
    <row r="232" customFormat="false" ht="14.25" hidden="true" customHeight="false" outlineLevel="0" collapsed="false">
      <c r="A232" s="4" t="n">
        <v>5</v>
      </c>
      <c r="B232" s="5" t="n">
        <v>15114</v>
      </c>
      <c r="C232" s="5" t="s">
        <v>149</v>
      </c>
      <c r="D232" s="5" t="s">
        <v>1225</v>
      </c>
      <c r="E232" s="5" t="s">
        <v>1226</v>
      </c>
      <c r="F232" s="5" t="s">
        <v>152</v>
      </c>
      <c r="G232" s="5" t="s">
        <v>153</v>
      </c>
      <c r="H232" s="5" t="s">
        <v>152</v>
      </c>
      <c r="I232" s="5" t="s">
        <v>63</v>
      </c>
      <c r="J232" s="5" t="s">
        <v>100</v>
      </c>
      <c r="K232" s="5" t="s">
        <v>65</v>
      </c>
      <c r="L232" s="6" t="n">
        <v>34759</v>
      </c>
      <c r="M232" s="5" t="s">
        <v>1227</v>
      </c>
      <c r="N232" s="6" t="n">
        <v>25970</v>
      </c>
      <c r="O232" s="5" t="s">
        <v>122</v>
      </c>
      <c r="P232" s="5" t="s">
        <v>123</v>
      </c>
      <c r="Q232" s="5" t="s">
        <v>1228</v>
      </c>
      <c r="R232" s="5" t="s">
        <v>156</v>
      </c>
      <c r="S232" s="5" t="s">
        <v>1229</v>
      </c>
      <c r="T232" s="6" t="n">
        <v>39173</v>
      </c>
      <c r="U232" s="6" t="n">
        <v>44440</v>
      </c>
      <c r="V232" s="5" t="s">
        <v>141</v>
      </c>
      <c r="W232" s="5" t="s">
        <v>631</v>
      </c>
      <c r="X232" s="5" t="s">
        <v>141</v>
      </c>
      <c r="Y232" s="5" t="s">
        <v>141</v>
      </c>
      <c r="Z232" s="5" t="s">
        <v>141</v>
      </c>
      <c r="AA232" s="5" t="s">
        <v>1230</v>
      </c>
      <c r="AB232" s="0" t="n">
        <f aca="false">IFERROR(VALUE(R232),0)</f>
        <v>2.11</v>
      </c>
      <c r="AC232" s="0" t="n">
        <f aca="false">IFERROR(VALUE(M232),"")</f>
        <v>55.4</v>
      </c>
      <c r="AD232" s="0" t="n">
        <f aca="false">IFERROR(VALUE(Q232),"")</f>
        <v>31.3</v>
      </c>
      <c r="AE232" s="0" t="n">
        <f aca="false">IFERROR(VALUE(S232),"")</f>
        <v>34.2</v>
      </c>
      <c r="AF232" s="0" t="n">
        <f aca="false">IF(V232="","",VLOOKUP(V232,Assumptions!$B$6:$C$9,2,FALSE()))</f>
        <v>3</v>
      </c>
      <c r="AG232" s="0" t="n">
        <f aca="false">IF(W232="","",VLOOKUP(W232,Assumptions!$B$6:$C$9,2,FALSE()))</f>
        <v>2</v>
      </c>
      <c r="AH232" s="0" t="n">
        <f aca="false">IF(X232="","",VLOOKUP(X232,Assumptions!$B$6:$C$9,2,FALSE()))</f>
        <v>3</v>
      </c>
      <c r="AI232" s="0" t="n">
        <f aca="false">IF(Y232="","",VLOOKUP(Y232,Assumptions!$B$6:$C$9,2,FALSE()))</f>
        <v>3</v>
      </c>
      <c r="AJ232" s="0" t="n">
        <f aca="false">IF(Z232="","",VLOOKUP(Z232,Assumptions!$B$6:$C$9,2,FALSE()))</f>
        <v>3</v>
      </c>
      <c r="AK232" s="7" t="n">
        <f aca="false">IFERROR(ROUND(AVERAGE(AF232:AJ232),3),"")</f>
        <v>2.8</v>
      </c>
      <c r="AL232" s="7" t="n">
        <f aca="false">IF(OR(AF232="",AJ232=""),"",AJ232-AF232)</f>
        <v>0</v>
      </c>
      <c r="AM232" s="7" t="n">
        <f aca="false">IF(COUNT(AF232:AJ232)&gt;=2,ROUND(_xlfn.STDEV.S(AF232:AJ232),3),"")</f>
        <v>0.447</v>
      </c>
      <c r="AN232" s="7" t="n">
        <f aca="false">ROUND((IF(AF232="",0,AF232)*Assumptions!$F$15)+(IF(AG232="",0,AG232)*Assumptions!$F$16)+(IF(AH232="",0,AH232)*Assumptions!$F$17)+(IF(AI232="",0,AI232)*Assumptions!$F$18)+(IF(AJ232="",0,AJ232)*Assumptions!$F$19),3)</f>
        <v>2.85</v>
      </c>
      <c r="AO232" s="0" t="str">
        <f aca="false">IF(AC232&lt;=20,"",IF(AC232&lt;=Assumptions!$F$6,"20-30",IF(AC232&lt;=Assumptions!$F$7,"30-40",IF(AC232&lt;=Assumptions!$F$8,"40-50",IF(AC232&lt;=Assumptions!$F$9,"50-60",IF(AC232&lt;=Assumptions!$F$10,"60+",""))))))</f>
        <v>50-60</v>
      </c>
      <c r="AP232" s="0" t="str">
        <f aca="false">IFERROR(VLOOKUP(O232,Assumptions!$B$14:$C$26,2,FALSE()),"Other")</f>
        <v>Leadership</v>
      </c>
      <c r="AQ232" s="0" t="n">
        <f aca="false">IF(T232="",0,1)</f>
        <v>1</v>
      </c>
      <c r="AR232" s="0" t="n">
        <f aca="false">IF(U232="",0,1)</f>
        <v>1</v>
      </c>
      <c r="AS232" s="8" t="n">
        <f aca="false">IF(AK232="","",IF(MAX($AK$2:$AK$921)=MIN($AK$2:$AK$921),50,ROUND((AK232-MIN($AK$2:$AK$921))/(MAX($AK$2:$AK$921)-MIN($AK$2:$AK$921))*100,2)))</f>
        <v>48.56</v>
      </c>
      <c r="AT232" s="8" t="n">
        <f aca="false">IF(MAX($BC$2:$BC$921)=MIN($BC$2:$BC$921),50,ROUND((BC232-MIN($BC$2:$BC$921))/(MAX($BC$2:$BC$921)-MIN($BC$2:$BC$921))*100,2))</f>
        <v>50</v>
      </c>
      <c r="AU232" s="8" t="n">
        <f aca="false">IF(MAX($BE$2:$BE$921)=MIN($BE$2:$BE$921),50,ROUND((BE232-MIN($BE$2:$BE$921))/(MAX($BE$2:$BE$921)-MIN($BE$2:$BE$921))*100,2))</f>
        <v>74.19</v>
      </c>
      <c r="AV232" s="8" t="n">
        <f aca="false">IF(MAX($AD$2:$AD$921)=MIN($AD$2:$AD$921),50,ROUND((AD232-MIN($AD$2:$AD$921))/(MAX($AD$2:$AD$921)-MIN($AD$2:$AD$921))*100,2))</f>
        <v>84.78</v>
      </c>
      <c r="AW232" s="8" t="n">
        <f aca="false">IF(MAX($AN$2:$AN$921)=MIN($AN$2:$AN$921),50,ROUND((AN232-MIN($AN$2:$AN$921))/(MAX($AN$2:$AN$921)-MIN($AN$2:$AN$921))*100,2))</f>
        <v>71.25</v>
      </c>
      <c r="AX232" s="8" t="n">
        <f aca="false">AQ232*100</f>
        <v>100</v>
      </c>
      <c r="AY232" s="8" t="n">
        <f aca="false">AR232*100</f>
        <v>100</v>
      </c>
      <c r="AZ232" s="8" t="n">
        <f aca="false">IFERROR(ROUND(AS232*Assumptions!$I$6+AW232*Assumptions!$I$7+AT232*Assumptions!$I$8+AU232*Assumptions!$I$9+AV232*Assumptions!$I$10+AX232*Assumptions!$I$11+AY232*Assumptions!$I$12,2),"")</f>
        <v>65.92</v>
      </c>
      <c r="BA232" s="0" t="str">
        <f aca="false">IF(AZ232="","",IF(AZ232&lt;=Assumptions!$I$18,"Below Expectation",IF(AZ232&lt;=Assumptions!$I$19,"Developing",IF(AZ232&lt;=Assumptions!$I$20,"Meets Expectation",IF(AZ232&lt;=Assumptions!$I$21,"Exceeds","Star Performer")))))</f>
        <v>Meets Expectation</v>
      </c>
      <c r="BB232" s="0" t="n">
        <f aca="false">IF(AZ232="",0,IF(AZ232&gt;=Assumptions!$I$26,1,0))</f>
        <v>0</v>
      </c>
      <c r="BC232" s="9" t="n">
        <f aca="false">IF(AL232="",2,AL232+2)</f>
        <v>2</v>
      </c>
      <c r="BD232" s="10" t="n">
        <f aca="false">IF(AM232="",ROUND(AVERAGE($AM$2:$AM$921),3),AM232)</f>
        <v>0.447</v>
      </c>
      <c r="BE232" s="9" t="n">
        <f aca="false">1-BD232</f>
        <v>0.553</v>
      </c>
    </row>
    <row r="233" customFormat="false" ht="14.25" hidden="true" customHeight="false" outlineLevel="0" collapsed="false">
      <c r="A233" s="4" t="n">
        <v>439</v>
      </c>
      <c r="B233" s="5" t="n">
        <v>50012059</v>
      </c>
      <c r="C233" s="5" t="s">
        <v>57</v>
      </c>
      <c r="D233" s="5" t="s">
        <v>1231</v>
      </c>
      <c r="E233" s="5" t="s">
        <v>1150</v>
      </c>
      <c r="F233" s="5" t="s">
        <v>387</v>
      </c>
      <c r="G233" s="5" t="s">
        <v>388</v>
      </c>
      <c r="H233" s="5" t="s">
        <v>387</v>
      </c>
      <c r="I233" s="5" t="s">
        <v>63</v>
      </c>
      <c r="J233" s="5" t="s">
        <v>100</v>
      </c>
      <c r="K233" s="5" t="s">
        <v>65</v>
      </c>
      <c r="L233" s="6" t="n">
        <v>41428</v>
      </c>
      <c r="M233" s="5" t="s">
        <v>331</v>
      </c>
      <c r="N233" s="6" t="n">
        <v>32746</v>
      </c>
      <c r="O233" s="5" t="s">
        <v>332</v>
      </c>
      <c r="P233" s="5" t="s">
        <v>333</v>
      </c>
      <c r="Q233" s="5" t="s">
        <v>1232</v>
      </c>
      <c r="R233" s="5" t="s">
        <v>115</v>
      </c>
      <c r="S233" s="5" t="s">
        <v>878</v>
      </c>
      <c r="T233" s="6"/>
      <c r="U233" s="6" t="n">
        <v>44652</v>
      </c>
      <c r="V233" s="5" t="s">
        <v>141</v>
      </c>
      <c r="W233" s="5" t="s">
        <v>141</v>
      </c>
      <c r="X233" s="5" t="s">
        <v>83</v>
      </c>
      <c r="Y233" s="5" t="s">
        <v>83</v>
      </c>
      <c r="Z233" s="5" t="s">
        <v>141</v>
      </c>
      <c r="AA233" s="5" t="s">
        <v>1233</v>
      </c>
      <c r="AB233" s="0" t="n">
        <f aca="false">IFERROR(VALUE(R233),0)</f>
        <v>0</v>
      </c>
      <c r="AC233" s="0" t="n">
        <f aca="false">IFERROR(VALUE(M233),"")</f>
        <v>36.9</v>
      </c>
      <c r="AD233" s="0" t="n">
        <f aca="false">IFERROR(VALUE(Q233),"")</f>
        <v>13</v>
      </c>
      <c r="AE233" s="0" t="n">
        <f aca="false">IFERROR(VALUE(S233),"")</f>
        <v>13</v>
      </c>
      <c r="AF233" s="0" t="n">
        <f aca="false">IF(V233="","",VLOOKUP(V233,Assumptions!$B$6:$C$9,2,FALSE()))</f>
        <v>3</v>
      </c>
      <c r="AG233" s="0" t="n">
        <f aca="false">IF(W233="","",VLOOKUP(W233,Assumptions!$B$6:$C$9,2,FALSE()))</f>
        <v>3</v>
      </c>
      <c r="AH233" s="0" t="n">
        <f aca="false">IF(X233="","",VLOOKUP(X233,Assumptions!$B$6:$C$9,2,FALSE()))</f>
        <v>4</v>
      </c>
      <c r="AI233" s="0" t="n">
        <f aca="false">IF(Y233="","",VLOOKUP(Y233,Assumptions!$B$6:$C$9,2,FALSE()))</f>
        <v>4</v>
      </c>
      <c r="AJ233" s="0" t="n">
        <f aca="false">IF(Z233="","",VLOOKUP(Z233,Assumptions!$B$6:$C$9,2,FALSE()))</f>
        <v>3</v>
      </c>
      <c r="AK233" s="7" t="n">
        <f aca="false">IFERROR(ROUND(AVERAGE(AF233:AJ233),3),"")</f>
        <v>3.4</v>
      </c>
      <c r="AL233" s="7" t="n">
        <f aca="false">IF(OR(AF233="",AJ233=""),"",AJ233-AF233)</f>
        <v>0</v>
      </c>
      <c r="AM233" s="7" t="n">
        <f aca="false">IF(COUNT(AF233:AJ233)&gt;=2,ROUND(_xlfn.STDEV.S(AF233:AJ233),3),"")</f>
        <v>0.548</v>
      </c>
      <c r="AN233" s="7" t="n">
        <f aca="false">ROUND((IF(AF233="",0,AF233)*Assumptions!$F$15)+(IF(AG233="",0,AG233)*Assumptions!$F$16)+(IF(AH233="",0,AH233)*Assumptions!$F$17)+(IF(AI233="",0,AI233)*Assumptions!$F$18)+(IF(AJ233="",0,AJ233)*Assumptions!$F$19),3)</f>
        <v>3.45</v>
      </c>
      <c r="AO233" s="0" t="str">
        <f aca="false">IF(AC233&lt;=20,"",IF(AC233&lt;=Assumptions!$F$6,"20-30",IF(AC233&lt;=Assumptions!$F$7,"30-40",IF(AC233&lt;=Assumptions!$F$8,"40-50",IF(AC233&lt;=Assumptions!$F$9,"50-60",IF(AC233&lt;=Assumptions!$F$10,"60+",""))))))</f>
        <v>30-40</v>
      </c>
      <c r="AP233" s="0" t="str">
        <f aca="false">IFERROR(VLOOKUP(O233,Assumptions!$B$14:$C$26,2,FALSE()),"Other")</f>
        <v>Manager</v>
      </c>
      <c r="AQ233" s="0" t="n">
        <f aca="false">IF(T233="",0,1)</f>
        <v>0</v>
      </c>
      <c r="AR233" s="0" t="n">
        <f aca="false">IF(U233="",0,1)</f>
        <v>1</v>
      </c>
      <c r="AS233" s="8" t="n">
        <f aca="false">IF(AK233="","",IF(MAX($AK$2:$AK$921)=MIN($AK$2:$AK$921),50,ROUND((AK233-MIN($AK$2:$AK$921))/(MAX($AK$2:$AK$921)-MIN($AK$2:$AK$921))*100,2)))</f>
        <v>74.28</v>
      </c>
      <c r="AT233" s="8" t="n">
        <f aca="false">IF(MAX($BC$2:$BC$921)=MIN($BC$2:$BC$921),50,ROUND((BC233-MIN($BC$2:$BC$921))/(MAX($BC$2:$BC$921)-MIN($BC$2:$BC$921))*100,2))</f>
        <v>50</v>
      </c>
      <c r="AU233" s="8" t="n">
        <f aca="false">IF(MAX($BE$2:$BE$921)=MIN($BE$2:$BE$921),50,ROUND((BE233-MIN($BE$2:$BE$921))/(MAX($BE$2:$BE$921)-MIN($BE$2:$BE$921))*100,2))</f>
        <v>68.36</v>
      </c>
      <c r="AV233" s="8" t="n">
        <f aca="false">IF(MAX($AD$2:$AD$921)=MIN($AD$2:$AD$921),50,ROUND((AD233-MIN($AD$2:$AD$921))/(MAX($AD$2:$AD$921)-MIN($AD$2:$AD$921))*100,2))</f>
        <v>35.04</v>
      </c>
      <c r="AW233" s="8" t="n">
        <f aca="false">IF(MAX($AN$2:$AN$921)=MIN($AN$2:$AN$921),50,ROUND((AN233-MIN($AN$2:$AN$921))/(MAX($AN$2:$AN$921)-MIN($AN$2:$AN$921))*100,2))</f>
        <v>86.25</v>
      </c>
      <c r="AX233" s="8" t="n">
        <f aca="false">AQ233*100</f>
        <v>0</v>
      </c>
      <c r="AY233" s="8" t="n">
        <f aca="false">AR233*100</f>
        <v>100</v>
      </c>
      <c r="AZ233" s="8" t="n">
        <f aca="false">IFERROR(ROUND(AS233*Assumptions!$I$6+AW233*Assumptions!$I$7+AT233*Assumptions!$I$8+AU233*Assumptions!$I$9+AV233*Assumptions!$I$10+AX233*Assumptions!$I$11+AY233*Assumptions!$I$12,2),"")</f>
        <v>65.79</v>
      </c>
      <c r="BA233" s="0" t="str">
        <f aca="false">IF(AZ233="","",IF(AZ233&lt;=Assumptions!$I$18,"Below Expectation",IF(AZ233&lt;=Assumptions!$I$19,"Developing",IF(AZ233&lt;=Assumptions!$I$20,"Meets Expectation",IF(AZ233&lt;=Assumptions!$I$21,"Exceeds","Star Performer")))))</f>
        <v>Meets Expectation</v>
      </c>
      <c r="BB233" s="0" t="n">
        <f aca="false">IF(AZ233="",0,IF(AZ233&gt;=Assumptions!$I$26,1,0))</f>
        <v>0</v>
      </c>
      <c r="BC233" s="9" t="n">
        <f aca="false">IF(AL233="",2,AL233+2)</f>
        <v>2</v>
      </c>
      <c r="BD233" s="10" t="n">
        <f aca="false">IF(AM233="",ROUND(AVERAGE($AM$2:$AM$921),3),AM233)</f>
        <v>0.548</v>
      </c>
      <c r="BE233" s="9" t="n">
        <f aca="false">1-BD233</f>
        <v>0.452</v>
      </c>
    </row>
    <row r="234" customFormat="false" ht="14.25" hidden="true" customHeight="false" outlineLevel="0" collapsed="false">
      <c r="A234" s="4" t="n">
        <v>178</v>
      </c>
      <c r="B234" s="5" t="n">
        <v>10053775</v>
      </c>
      <c r="C234" s="5" t="s">
        <v>57</v>
      </c>
      <c r="D234" s="5" t="s">
        <v>1234</v>
      </c>
      <c r="E234" s="5" t="s">
        <v>456</v>
      </c>
      <c r="F234" s="5" t="s">
        <v>387</v>
      </c>
      <c r="G234" s="5" t="s">
        <v>388</v>
      </c>
      <c r="H234" s="5" t="s">
        <v>387</v>
      </c>
      <c r="I234" s="5" t="s">
        <v>63</v>
      </c>
      <c r="J234" s="5" t="s">
        <v>100</v>
      </c>
      <c r="K234" s="5" t="s">
        <v>65</v>
      </c>
      <c r="L234" s="6" t="n">
        <v>42492</v>
      </c>
      <c r="M234" s="5" t="s">
        <v>1235</v>
      </c>
      <c r="N234" s="6" t="n">
        <v>29932</v>
      </c>
      <c r="O234" s="5" t="s">
        <v>332</v>
      </c>
      <c r="P234" s="5" t="s">
        <v>333</v>
      </c>
      <c r="Q234" s="5" t="s">
        <v>399</v>
      </c>
      <c r="R234" s="5" t="s">
        <v>172</v>
      </c>
      <c r="S234" s="5" t="s">
        <v>155</v>
      </c>
      <c r="T234" s="6"/>
      <c r="U234" s="6"/>
      <c r="V234" s="5" t="s">
        <v>631</v>
      </c>
      <c r="W234" s="5" t="s">
        <v>141</v>
      </c>
      <c r="X234" s="5" t="s">
        <v>83</v>
      </c>
      <c r="Y234" s="5" t="s">
        <v>83</v>
      </c>
      <c r="Z234" s="5" t="s">
        <v>83</v>
      </c>
      <c r="AA234" s="5" t="s">
        <v>1236</v>
      </c>
      <c r="AB234" s="0" t="n">
        <f aca="false">IFERROR(VALUE(R234),0)</f>
        <v>11.7</v>
      </c>
      <c r="AC234" s="0" t="n">
        <f aca="false">IFERROR(VALUE(M234),"")</f>
        <v>44.5</v>
      </c>
      <c r="AD234" s="0" t="n">
        <f aca="false">IFERROR(VALUE(Q234),"")</f>
        <v>10.1</v>
      </c>
      <c r="AE234" s="0" t="n">
        <f aca="false">IFERROR(VALUE(S234),"")</f>
        <v>21.8</v>
      </c>
      <c r="AF234" s="0" t="n">
        <f aca="false">IF(V234="","",VLOOKUP(V234,Assumptions!$B$6:$C$9,2,FALSE()))</f>
        <v>2</v>
      </c>
      <c r="AG234" s="0" t="n">
        <f aca="false">IF(W234="","",VLOOKUP(W234,Assumptions!$B$6:$C$9,2,FALSE()))</f>
        <v>3</v>
      </c>
      <c r="AH234" s="0" t="n">
        <f aca="false">IF(X234="","",VLOOKUP(X234,Assumptions!$B$6:$C$9,2,FALSE()))</f>
        <v>4</v>
      </c>
      <c r="AI234" s="0" t="n">
        <f aca="false">IF(Y234="","",VLOOKUP(Y234,Assumptions!$B$6:$C$9,2,FALSE()))</f>
        <v>4</v>
      </c>
      <c r="AJ234" s="0" t="n">
        <f aca="false">IF(Z234="","",VLOOKUP(Z234,Assumptions!$B$6:$C$9,2,FALSE()))</f>
        <v>4</v>
      </c>
      <c r="AK234" s="7" t="n">
        <f aca="false">IFERROR(ROUND(AVERAGE(AF234:AJ234),3),"")</f>
        <v>3.4</v>
      </c>
      <c r="AL234" s="7" t="n">
        <f aca="false">IF(OR(AF234="",AJ234=""),"",AJ234-AF234)</f>
        <v>2</v>
      </c>
      <c r="AM234" s="7" t="n">
        <f aca="false">IF(COUNT(AF234:AJ234)&gt;=2,ROUND(_xlfn.STDEV.S(AF234:AJ234),3),"")</f>
        <v>0.894</v>
      </c>
      <c r="AN234" s="7" t="n">
        <f aca="false">ROUND((IF(AF234="",0,AF234)*Assumptions!$F$15)+(IF(AG234="",0,AG234)*Assumptions!$F$16)+(IF(AH234="",0,AH234)*Assumptions!$F$17)+(IF(AI234="",0,AI234)*Assumptions!$F$18)+(IF(AJ234="",0,AJ234)*Assumptions!$F$19),3)</f>
        <v>3.65</v>
      </c>
      <c r="AO234" s="0" t="str">
        <f aca="false">IF(AC234&lt;=20,"",IF(AC234&lt;=Assumptions!$F$6,"20-30",IF(AC234&lt;=Assumptions!$F$7,"30-40",IF(AC234&lt;=Assumptions!$F$8,"40-50",IF(AC234&lt;=Assumptions!$F$9,"50-60",IF(AC234&lt;=Assumptions!$F$10,"60+",""))))))</f>
        <v>40-50</v>
      </c>
      <c r="AP234" s="0" t="str">
        <f aca="false">IFERROR(VLOOKUP(O234,Assumptions!$B$14:$C$26,2,FALSE()),"Other")</f>
        <v>Manager</v>
      </c>
      <c r="AQ234" s="0" t="n">
        <f aca="false">IF(T234="",0,1)</f>
        <v>0</v>
      </c>
      <c r="AR234" s="0" t="n">
        <f aca="false">IF(U234="",0,1)</f>
        <v>0</v>
      </c>
      <c r="AS234" s="8" t="n">
        <f aca="false">IF(AK234="","",IF(MAX($AK$2:$AK$921)=MIN($AK$2:$AK$921),50,ROUND((AK234-MIN($AK$2:$AK$921))/(MAX($AK$2:$AK$921)-MIN($AK$2:$AK$921))*100,2)))</f>
        <v>74.28</v>
      </c>
      <c r="AT234" s="8" t="n">
        <f aca="false">IF(MAX($BC$2:$BC$921)=MIN($BC$2:$BC$921),50,ROUND((BC234-MIN($BC$2:$BC$921))/(MAX($BC$2:$BC$921)-MIN($BC$2:$BC$921))*100,2))</f>
        <v>100</v>
      </c>
      <c r="AU234" s="8" t="n">
        <f aca="false">IF(MAX($BE$2:$BE$921)=MIN($BE$2:$BE$921),50,ROUND((BE234-MIN($BE$2:$BE$921))/(MAX($BE$2:$BE$921)-MIN($BE$2:$BE$921))*100,2))</f>
        <v>48.38</v>
      </c>
      <c r="AV234" s="8" t="n">
        <f aca="false">IF(MAX($AD$2:$AD$921)=MIN($AD$2:$AD$921),50,ROUND((AD234-MIN($AD$2:$AD$921))/(MAX($AD$2:$AD$921)-MIN($AD$2:$AD$921))*100,2))</f>
        <v>27.15</v>
      </c>
      <c r="AW234" s="8" t="n">
        <f aca="false">IF(MAX($AN$2:$AN$921)=MIN($AN$2:$AN$921),50,ROUND((AN234-MIN($AN$2:$AN$921))/(MAX($AN$2:$AN$921)-MIN($AN$2:$AN$921))*100,2))</f>
        <v>91.25</v>
      </c>
      <c r="AX234" s="8" t="n">
        <f aca="false">AQ234*100</f>
        <v>0</v>
      </c>
      <c r="AY234" s="8" t="n">
        <f aca="false">AR234*100</f>
        <v>0</v>
      </c>
      <c r="AZ234" s="8" t="n">
        <f aca="false">IFERROR(ROUND(AS234*Assumptions!$I$6+AW234*Assumptions!$I$7+AT234*Assumptions!$I$8+AU234*Assumptions!$I$9+AV234*Assumptions!$I$10+AX234*Assumptions!$I$11+AY234*Assumptions!$I$12,2),"")</f>
        <v>65.51</v>
      </c>
      <c r="BA234" s="0" t="str">
        <f aca="false">IF(AZ234="","",IF(AZ234&lt;=Assumptions!$I$18,"Below Expectation",IF(AZ234&lt;=Assumptions!$I$19,"Developing",IF(AZ234&lt;=Assumptions!$I$20,"Meets Expectation",IF(AZ234&lt;=Assumptions!$I$21,"Exceeds","Star Performer")))))</f>
        <v>Meets Expectation</v>
      </c>
      <c r="BB234" s="0" t="n">
        <f aca="false">IF(AZ234="",0,IF(AZ234&gt;=Assumptions!$I$26,1,0))</f>
        <v>0</v>
      </c>
      <c r="BC234" s="9" t="n">
        <f aca="false">IF(AL234="",2,AL234+2)</f>
        <v>4</v>
      </c>
      <c r="BD234" s="10" t="n">
        <f aca="false">IF(AM234="",ROUND(AVERAGE($AM$2:$AM$921),3),AM234)</f>
        <v>0.894</v>
      </c>
      <c r="BE234" s="9" t="n">
        <f aca="false">1-BD234</f>
        <v>0.106</v>
      </c>
    </row>
    <row r="235" customFormat="false" ht="14.25" hidden="true" customHeight="false" outlineLevel="0" collapsed="false">
      <c r="A235" s="4" t="n">
        <v>382</v>
      </c>
      <c r="B235" s="5" t="n">
        <v>50007706</v>
      </c>
      <c r="C235" s="5" t="s">
        <v>85</v>
      </c>
      <c r="D235" s="5" t="s">
        <v>1237</v>
      </c>
      <c r="E235" s="5" t="s">
        <v>1238</v>
      </c>
      <c r="F235" s="5" t="s">
        <v>267</v>
      </c>
      <c r="G235" s="5" t="s">
        <v>268</v>
      </c>
      <c r="H235" s="5" t="s">
        <v>267</v>
      </c>
      <c r="I235" s="5" t="s">
        <v>63</v>
      </c>
      <c r="J235" s="5" t="s">
        <v>76</v>
      </c>
      <c r="K235" s="5" t="s">
        <v>65</v>
      </c>
      <c r="L235" s="6" t="n">
        <v>40406</v>
      </c>
      <c r="M235" s="5" t="s">
        <v>450</v>
      </c>
      <c r="N235" s="6" t="n">
        <v>31182</v>
      </c>
      <c r="O235" s="5" t="s">
        <v>162</v>
      </c>
      <c r="P235" s="5" t="s">
        <v>162</v>
      </c>
      <c r="Q235" s="5" t="s">
        <v>286</v>
      </c>
      <c r="R235" s="5" t="s">
        <v>1002</v>
      </c>
      <c r="S235" s="5" t="s">
        <v>655</v>
      </c>
      <c r="T235" s="6"/>
      <c r="U235" s="6" t="n">
        <v>46113</v>
      </c>
      <c r="V235" s="5" t="s">
        <v>83</v>
      </c>
      <c r="W235" s="5" t="s">
        <v>83</v>
      </c>
      <c r="X235" s="5" t="s">
        <v>83</v>
      </c>
      <c r="Y235" s="5" t="s">
        <v>141</v>
      </c>
      <c r="Z235" s="5" t="s">
        <v>141</v>
      </c>
      <c r="AA235" s="5" t="s">
        <v>1239</v>
      </c>
      <c r="AB235" s="0" t="n">
        <f aca="false">IFERROR(VALUE(R235),0)</f>
        <v>3.1</v>
      </c>
      <c r="AC235" s="0" t="n">
        <f aca="false">IFERROR(VALUE(M235),"")</f>
        <v>41</v>
      </c>
      <c r="AD235" s="0" t="n">
        <f aca="false">IFERROR(VALUE(Q235),"")</f>
        <v>15.9</v>
      </c>
      <c r="AE235" s="0" t="n">
        <f aca="false">IFERROR(VALUE(S235),"")</f>
        <v>18.1</v>
      </c>
      <c r="AF235" s="0" t="n">
        <f aca="false">IF(V235="","",VLOOKUP(V235,Assumptions!$B$6:$C$9,2,FALSE()))</f>
        <v>4</v>
      </c>
      <c r="AG235" s="0" t="n">
        <f aca="false">IF(W235="","",VLOOKUP(W235,Assumptions!$B$6:$C$9,2,FALSE()))</f>
        <v>4</v>
      </c>
      <c r="AH235" s="0" t="n">
        <f aca="false">IF(X235="","",VLOOKUP(X235,Assumptions!$B$6:$C$9,2,FALSE()))</f>
        <v>4</v>
      </c>
      <c r="AI235" s="0" t="n">
        <f aca="false">IF(Y235="","",VLOOKUP(Y235,Assumptions!$B$6:$C$9,2,FALSE()))</f>
        <v>3</v>
      </c>
      <c r="AJ235" s="0" t="n">
        <f aca="false">IF(Z235="","",VLOOKUP(Z235,Assumptions!$B$6:$C$9,2,FALSE()))</f>
        <v>3</v>
      </c>
      <c r="AK235" s="7" t="n">
        <f aca="false">IFERROR(ROUND(AVERAGE(AF235:AJ235),3),"")</f>
        <v>3.6</v>
      </c>
      <c r="AL235" s="7" t="n">
        <f aca="false">IF(OR(AF235="",AJ235=""),"",AJ235-AF235)</f>
        <v>-1</v>
      </c>
      <c r="AM235" s="7" t="n">
        <f aca="false">IF(COUNT(AF235:AJ235)&gt;=2,ROUND(_xlfn.STDEV.S(AF235:AJ235),3),"")</f>
        <v>0.548</v>
      </c>
      <c r="AN235" s="7" t="n">
        <f aca="false">ROUND((IF(AF235="",0,AF235)*Assumptions!$F$15)+(IF(AG235="",0,AG235)*Assumptions!$F$16)+(IF(AH235="",0,AH235)*Assumptions!$F$17)+(IF(AI235="",0,AI235)*Assumptions!$F$18)+(IF(AJ235="",0,AJ235)*Assumptions!$F$19),3)</f>
        <v>3.45</v>
      </c>
      <c r="AO235" s="0" t="str">
        <f aca="false">IF(AC235&lt;=20,"",IF(AC235&lt;=Assumptions!$F$6,"20-30",IF(AC235&lt;=Assumptions!$F$7,"30-40",IF(AC235&lt;=Assumptions!$F$8,"40-50",IF(AC235&lt;=Assumptions!$F$9,"50-60",IF(AC235&lt;=Assumptions!$F$10,"60+",""))))))</f>
        <v>40-50</v>
      </c>
      <c r="AP235" s="0" t="str">
        <f aca="false">IFERROR(VLOOKUP(O235,Assumptions!$B$14:$C$26,2,FALSE()),"Other")</f>
        <v>Manager</v>
      </c>
      <c r="AQ235" s="0" t="n">
        <f aca="false">IF(T235="",0,1)</f>
        <v>0</v>
      </c>
      <c r="AR235" s="0" t="n">
        <f aca="false">IF(U235="",0,1)</f>
        <v>1</v>
      </c>
      <c r="AS235" s="8" t="n">
        <f aca="false">IF(AK235="","",IF(MAX($AK$2:$AK$921)=MIN($AK$2:$AK$921),50,ROUND((AK235-MIN($AK$2:$AK$921))/(MAX($AK$2:$AK$921)-MIN($AK$2:$AK$921))*100,2)))</f>
        <v>82.85</v>
      </c>
      <c r="AT235" s="8" t="n">
        <f aca="false">IF(MAX($BC$2:$BC$921)=MIN($BC$2:$BC$921),50,ROUND((BC235-MIN($BC$2:$BC$921))/(MAX($BC$2:$BC$921)-MIN($BC$2:$BC$921))*100,2))</f>
        <v>25</v>
      </c>
      <c r="AU235" s="8" t="n">
        <f aca="false">IF(MAX($BE$2:$BE$921)=MIN($BE$2:$BE$921),50,ROUND((BE235-MIN($BE$2:$BE$921))/(MAX($BE$2:$BE$921)-MIN($BE$2:$BE$921))*100,2))</f>
        <v>68.36</v>
      </c>
      <c r="AV235" s="8" t="n">
        <f aca="false">IF(MAX($AD$2:$AD$921)=MIN($AD$2:$AD$921),50,ROUND((AD235-MIN($AD$2:$AD$921))/(MAX($AD$2:$AD$921)-MIN($AD$2:$AD$921))*100,2))</f>
        <v>42.92</v>
      </c>
      <c r="AW235" s="8" t="n">
        <f aca="false">IF(MAX($AN$2:$AN$921)=MIN($AN$2:$AN$921),50,ROUND((AN235-MIN($AN$2:$AN$921))/(MAX($AN$2:$AN$921)-MIN($AN$2:$AN$921))*100,2))</f>
        <v>86.25</v>
      </c>
      <c r="AX235" s="8" t="n">
        <f aca="false">AQ235*100</f>
        <v>0</v>
      </c>
      <c r="AY235" s="8" t="n">
        <f aca="false">AR235*100</f>
        <v>100</v>
      </c>
      <c r="AZ235" s="8" t="n">
        <f aca="false">IFERROR(ROUND(AS235*Assumptions!$I$6+AW235*Assumptions!$I$7+AT235*Assumptions!$I$8+AU235*Assumptions!$I$9+AV235*Assumptions!$I$10+AX235*Assumptions!$I$11+AY235*Assumptions!$I$12,2),"")</f>
        <v>65.4</v>
      </c>
      <c r="BA235" s="0" t="str">
        <f aca="false">IF(AZ235="","",IF(AZ235&lt;=Assumptions!$I$18,"Below Expectation",IF(AZ235&lt;=Assumptions!$I$19,"Developing",IF(AZ235&lt;=Assumptions!$I$20,"Meets Expectation",IF(AZ235&lt;=Assumptions!$I$21,"Exceeds","Star Performer")))))</f>
        <v>Meets Expectation</v>
      </c>
      <c r="BB235" s="0" t="n">
        <f aca="false">IF(AZ235="",0,IF(AZ235&gt;=Assumptions!$I$26,1,0))</f>
        <v>0</v>
      </c>
      <c r="BC235" s="9" t="n">
        <f aca="false">IF(AL235="",2,AL235+2)</f>
        <v>1</v>
      </c>
      <c r="BD235" s="10" t="n">
        <f aca="false">IF(AM235="",ROUND(AVERAGE($AM$2:$AM$921),3),AM235)</f>
        <v>0.548</v>
      </c>
      <c r="BE235" s="9" t="n">
        <f aca="false">1-BD235</f>
        <v>0.452</v>
      </c>
    </row>
    <row r="236" customFormat="false" ht="14.25" hidden="true" customHeight="false" outlineLevel="0" collapsed="false">
      <c r="A236" s="4" t="n">
        <v>70</v>
      </c>
      <c r="B236" s="5" t="n">
        <v>10021082</v>
      </c>
      <c r="C236" s="5" t="s">
        <v>57</v>
      </c>
      <c r="D236" s="5" t="s">
        <v>1240</v>
      </c>
      <c r="E236" s="5" t="s">
        <v>607</v>
      </c>
      <c r="F236" s="5" t="s">
        <v>97</v>
      </c>
      <c r="G236" s="5" t="s">
        <v>98</v>
      </c>
      <c r="H236" s="5" t="s">
        <v>99</v>
      </c>
      <c r="I236" s="5" t="s">
        <v>63</v>
      </c>
      <c r="J236" s="5" t="s">
        <v>100</v>
      </c>
      <c r="K236" s="5" t="s">
        <v>65</v>
      </c>
      <c r="L236" s="6" t="n">
        <v>39209</v>
      </c>
      <c r="M236" s="5" t="s">
        <v>1241</v>
      </c>
      <c r="N236" s="6" t="n">
        <v>28779</v>
      </c>
      <c r="O236" s="5" t="s">
        <v>89</v>
      </c>
      <c r="P236" s="5" t="s">
        <v>90</v>
      </c>
      <c r="Q236" s="5" t="s">
        <v>171</v>
      </c>
      <c r="R236" s="5" t="s">
        <v>1140</v>
      </c>
      <c r="S236" s="5" t="s">
        <v>1242</v>
      </c>
      <c r="T236" s="6" t="n">
        <v>42917</v>
      </c>
      <c r="U236" s="6" t="n">
        <v>44652</v>
      </c>
      <c r="V236" s="5" t="s">
        <v>83</v>
      </c>
      <c r="W236" s="5" t="s">
        <v>141</v>
      </c>
      <c r="X236" s="5" t="s">
        <v>141</v>
      </c>
      <c r="Y236" s="5" t="s">
        <v>141</v>
      </c>
      <c r="Z236" s="5" t="s">
        <v>141</v>
      </c>
      <c r="AA236" s="5" t="s">
        <v>1243</v>
      </c>
      <c r="AB236" s="0" t="n">
        <f aca="false">IFERROR(VALUE(R236),0)</f>
        <v>8.3</v>
      </c>
      <c r="AC236" s="0" t="n">
        <f aca="false">IFERROR(VALUE(M236),"")</f>
        <v>47.7</v>
      </c>
      <c r="AD236" s="0" t="n">
        <f aca="false">IFERROR(VALUE(Q236),"")</f>
        <v>19.1</v>
      </c>
      <c r="AE236" s="0" t="n">
        <f aca="false">IFERROR(VALUE(S236),"")</f>
        <v>27.4</v>
      </c>
      <c r="AF236" s="0" t="n">
        <f aca="false">IF(V236="","",VLOOKUP(V236,Assumptions!$B$6:$C$9,2,FALSE()))</f>
        <v>4</v>
      </c>
      <c r="AG236" s="0" t="n">
        <f aca="false">IF(W236="","",VLOOKUP(W236,Assumptions!$B$6:$C$9,2,FALSE()))</f>
        <v>3</v>
      </c>
      <c r="AH236" s="0" t="n">
        <f aca="false">IF(X236="","",VLOOKUP(X236,Assumptions!$B$6:$C$9,2,FALSE()))</f>
        <v>3</v>
      </c>
      <c r="AI236" s="0" t="n">
        <f aca="false">IF(Y236="","",VLOOKUP(Y236,Assumptions!$B$6:$C$9,2,FALSE()))</f>
        <v>3</v>
      </c>
      <c r="AJ236" s="0" t="n">
        <f aca="false">IF(Z236="","",VLOOKUP(Z236,Assumptions!$B$6:$C$9,2,FALSE()))</f>
        <v>3</v>
      </c>
      <c r="AK236" s="7" t="n">
        <f aca="false">IFERROR(ROUND(AVERAGE(AF236:AJ236),3),"")</f>
        <v>3.2</v>
      </c>
      <c r="AL236" s="7" t="n">
        <f aca="false">IF(OR(AF236="",AJ236=""),"",AJ236-AF236)</f>
        <v>-1</v>
      </c>
      <c r="AM236" s="7" t="n">
        <f aca="false">IF(COUNT(AF236:AJ236)&gt;=2,ROUND(_xlfn.STDEV.S(AF236:AJ236),3),"")</f>
        <v>0.447</v>
      </c>
      <c r="AN236" s="7" t="n">
        <f aca="false">ROUND((IF(AF236="",0,AF236)*Assumptions!$F$15)+(IF(AG236="",0,AG236)*Assumptions!$F$16)+(IF(AH236="",0,AH236)*Assumptions!$F$17)+(IF(AI236="",0,AI236)*Assumptions!$F$18)+(IF(AJ236="",0,AJ236)*Assumptions!$F$19),3)</f>
        <v>3.1</v>
      </c>
      <c r="AO236" s="0" t="str">
        <f aca="false">IF(AC236&lt;=20,"",IF(AC236&lt;=Assumptions!$F$6,"20-30",IF(AC236&lt;=Assumptions!$F$7,"30-40",IF(AC236&lt;=Assumptions!$F$8,"40-50",IF(AC236&lt;=Assumptions!$F$9,"50-60",IF(AC236&lt;=Assumptions!$F$10,"60+",""))))))</f>
        <v>40-50</v>
      </c>
      <c r="AP236" s="0" t="str">
        <f aca="false">IFERROR(VLOOKUP(O236,Assumptions!$B$14:$C$26,2,FALSE()),"Other")</f>
        <v>Leadership</v>
      </c>
      <c r="AQ236" s="0" t="n">
        <f aca="false">IF(T236="",0,1)</f>
        <v>1</v>
      </c>
      <c r="AR236" s="0" t="n">
        <f aca="false">IF(U236="",0,1)</f>
        <v>1</v>
      </c>
      <c r="AS236" s="8" t="n">
        <f aca="false">IF(AK236="","",IF(MAX($AK$2:$AK$921)=MIN($AK$2:$AK$921),50,ROUND((AK236-MIN($AK$2:$AK$921))/(MAX($AK$2:$AK$921)-MIN($AK$2:$AK$921))*100,2)))</f>
        <v>65.71</v>
      </c>
      <c r="AT236" s="8" t="n">
        <f aca="false">IF(MAX($BC$2:$BC$921)=MIN($BC$2:$BC$921),50,ROUND((BC236-MIN($BC$2:$BC$921))/(MAX($BC$2:$BC$921)-MIN($BC$2:$BC$921))*100,2))</f>
        <v>25</v>
      </c>
      <c r="AU236" s="8" t="n">
        <f aca="false">IF(MAX($BE$2:$BE$921)=MIN($BE$2:$BE$921),50,ROUND((BE236-MIN($BE$2:$BE$921))/(MAX($BE$2:$BE$921)-MIN($BE$2:$BE$921))*100,2))</f>
        <v>74.19</v>
      </c>
      <c r="AV236" s="8" t="n">
        <f aca="false">IF(MAX($AD$2:$AD$921)=MIN($AD$2:$AD$921),50,ROUND((AD236-MIN($AD$2:$AD$921))/(MAX($AD$2:$AD$921)-MIN($AD$2:$AD$921))*100,2))</f>
        <v>51.62</v>
      </c>
      <c r="AW236" s="8" t="n">
        <f aca="false">IF(MAX($AN$2:$AN$921)=MIN($AN$2:$AN$921),50,ROUND((AN236-MIN($AN$2:$AN$921))/(MAX($AN$2:$AN$921)-MIN($AN$2:$AN$921))*100,2))</f>
        <v>77.5</v>
      </c>
      <c r="AX236" s="8" t="n">
        <f aca="false">AQ236*100</f>
        <v>100</v>
      </c>
      <c r="AY236" s="8" t="n">
        <f aca="false">AR236*100</f>
        <v>100</v>
      </c>
      <c r="AZ236" s="8" t="n">
        <f aca="false">IFERROR(ROUND(AS236*Assumptions!$I$6+AW236*Assumptions!$I$7+AT236*Assumptions!$I$8+AU236*Assumptions!$I$9+AV236*Assumptions!$I$10+AX236*Assumptions!$I$11+AY236*Assumptions!$I$12,2),"")</f>
        <v>65.25</v>
      </c>
      <c r="BA236" s="0" t="str">
        <f aca="false">IF(AZ236="","",IF(AZ236&lt;=Assumptions!$I$18,"Below Expectation",IF(AZ236&lt;=Assumptions!$I$19,"Developing",IF(AZ236&lt;=Assumptions!$I$20,"Meets Expectation",IF(AZ236&lt;=Assumptions!$I$21,"Exceeds","Star Performer")))))</f>
        <v>Meets Expectation</v>
      </c>
      <c r="BB236" s="0" t="n">
        <f aca="false">IF(AZ236="",0,IF(AZ236&gt;=Assumptions!$I$26,1,0))</f>
        <v>0</v>
      </c>
      <c r="BC236" s="9" t="n">
        <f aca="false">IF(AL236="",2,AL236+2)</f>
        <v>1</v>
      </c>
      <c r="BD236" s="10" t="n">
        <f aca="false">IF(AM236="",ROUND(AVERAGE($AM$2:$AM$921),3),AM236)</f>
        <v>0.447</v>
      </c>
      <c r="BE236" s="9" t="n">
        <f aca="false">1-BD236</f>
        <v>0.553</v>
      </c>
    </row>
    <row r="237" customFormat="false" ht="14.25" hidden="false" customHeight="false" outlineLevel="0" collapsed="false">
      <c r="A237" s="4" t="n">
        <v>123</v>
      </c>
      <c r="B237" s="5" t="n">
        <v>10040119</v>
      </c>
      <c r="C237" s="5" t="s">
        <v>106</v>
      </c>
      <c r="D237" s="5" t="s">
        <v>1244</v>
      </c>
      <c r="E237" s="5" t="s">
        <v>108</v>
      </c>
      <c r="F237" s="5" t="s">
        <v>885</v>
      </c>
      <c r="G237" s="5" t="s">
        <v>259</v>
      </c>
      <c r="H237" s="5" t="s">
        <v>260</v>
      </c>
      <c r="I237" s="5" t="s">
        <v>63</v>
      </c>
      <c r="J237" s="5" t="s">
        <v>112</v>
      </c>
      <c r="K237" s="5" t="s">
        <v>65</v>
      </c>
      <c r="L237" s="6" t="n">
        <v>41589</v>
      </c>
      <c r="M237" s="5" t="s">
        <v>131</v>
      </c>
      <c r="N237" s="6" t="n">
        <v>29180</v>
      </c>
      <c r="O237" s="5" t="s">
        <v>162</v>
      </c>
      <c r="P237" s="5" t="s">
        <v>162</v>
      </c>
      <c r="Q237" s="5" t="s">
        <v>1245</v>
      </c>
      <c r="R237" s="5" t="s">
        <v>458</v>
      </c>
      <c r="S237" s="5" t="s">
        <v>996</v>
      </c>
      <c r="T237" s="6"/>
      <c r="U237" s="6" t="n">
        <v>45992</v>
      </c>
      <c r="V237" s="5" t="s">
        <v>141</v>
      </c>
      <c r="W237" s="5" t="s">
        <v>83</v>
      </c>
      <c r="X237" s="5" t="s">
        <v>83</v>
      </c>
      <c r="Y237" s="5" t="s">
        <v>141</v>
      </c>
      <c r="Z237" s="5" t="s">
        <v>141</v>
      </c>
      <c r="AA237" s="5" t="s">
        <v>1246</v>
      </c>
      <c r="AB237" s="0" t="n">
        <f aca="false">IFERROR(VALUE(R237),0)</f>
        <v>8.8</v>
      </c>
      <c r="AC237" s="0" t="n">
        <f aca="false">IFERROR(VALUE(M237),"")</f>
        <v>46.6</v>
      </c>
      <c r="AD237" s="0" t="n">
        <f aca="false">IFERROR(VALUE(Q237),"")</f>
        <v>12.6</v>
      </c>
      <c r="AE237" s="0" t="n">
        <f aca="false">IFERROR(VALUE(S237),"")</f>
        <v>21.2</v>
      </c>
      <c r="AF237" s="0" t="n">
        <f aca="false">IF(V237="","",VLOOKUP(V237,Assumptions!$B$6:$C$9,2,FALSE()))</f>
        <v>3</v>
      </c>
      <c r="AG237" s="0" t="n">
        <f aca="false">IF(W237="","",VLOOKUP(W237,Assumptions!$B$6:$C$9,2,FALSE()))</f>
        <v>4</v>
      </c>
      <c r="AH237" s="0" t="n">
        <f aca="false">IF(X237="","",VLOOKUP(X237,Assumptions!$B$6:$C$9,2,FALSE()))</f>
        <v>4</v>
      </c>
      <c r="AI237" s="0" t="n">
        <f aca="false">IF(Y237="","",VLOOKUP(Y237,Assumptions!$B$6:$C$9,2,FALSE()))</f>
        <v>3</v>
      </c>
      <c r="AJ237" s="0" t="n">
        <f aca="false">IF(Z237="","",VLOOKUP(Z237,Assumptions!$B$6:$C$9,2,FALSE()))</f>
        <v>3</v>
      </c>
      <c r="AK237" s="7" t="n">
        <f aca="false">IFERROR(ROUND(AVERAGE(AF237:AJ237),3),"")</f>
        <v>3.4</v>
      </c>
      <c r="AL237" s="7" t="n">
        <f aca="false">IF(OR(AF237="",AJ237=""),"",AJ237-AF237)</f>
        <v>0</v>
      </c>
      <c r="AM237" s="7" t="n">
        <f aca="false">IF(COUNT(AF237:AJ237)&gt;=2,ROUND(_xlfn.STDEV.S(AF237:AJ237),3),"")</f>
        <v>0.548</v>
      </c>
      <c r="AN237" s="7" t="n">
        <f aca="false">ROUND((IF(AF237="",0,AF237)*Assumptions!$F$15)+(IF(AG237="",0,AG237)*Assumptions!$F$16)+(IF(AH237="",0,AH237)*Assumptions!$F$17)+(IF(AI237="",0,AI237)*Assumptions!$F$18)+(IF(AJ237="",0,AJ237)*Assumptions!$F$19),3)</f>
        <v>3.35</v>
      </c>
      <c r="AO237" s="0" t="str">
        <f aca="false">IF(AC237&lt;=20,"",IF(AC237&lt;=Assumptions!$F$6,"20-30",IF(AC237&lt;=Assumptions!$F$7,"30-40",IF(AC237&lt;=Assumptions!$F$8,"40-50",IF(AC237&lt;=Assumptions!$F$9,"50-60",IF(AC237&lt;=Assumptions!$F$10,"60+",""))))))</f>
        <v>40-50</v>
      </c>
      <c r="AP237" s="0" t="str">
        <f aca="false">IFERROR(VLOOKUP(O237,Assumptions!$B$14:$C$26,2,FALSE()),"Other")</f>
        <v>Manager</v>
      </c>
      <c r="AQ237" s="0" t="n">
        <f aca="false">IF(T237="",0,1)</f>
        <v>0</v>
      </c>
      <c r="AR237" s="0" t="n">
        <f aca="false">IF(U237="",0,1)</f>
        <v>1</v>
      </c>
      <c r="AS237" s="8" t="n">
        <f aca="false">IF(AK237="","",IF(MAX($AK$2:$AK$921)=MIN($AK$2:$AK$921),50,ROUND((AK237-MIN($AK$2:$AK$921))/(MAX($AK$2:$AK$921)-MIN($AK$2:$AK$921))*100,2)))</f>
        <v>74.28</v>
      </c>
      <c r="AT237" s="8" t="n">
        <f aca="false">IF(MAX($BC$2:$BC$921)=MIN($BC$2:$BC$921),50,ROUND((BC237-MIN($BC$2:$BC$921))/(MAX($BC$2:$BC$921)-MIN($BC$2:$BC$921))*100,2))</f>
        <v>50</v>
      </c>
      <c r="AU237" s="8" t="n">
        <f aca="false">IF(MAX($BE$2:$BE$921)=MIN($BE$2:$BE$921),50,ROUND((BE237-MIN($BE$2:$BE$921))/(MAX($BE$2:$BE$921)-MIN($BE$2:$BE$921))*100,2))</f>
        <v>68.36</v>
      </c>
      <c r="AV237" s="8" t="n">
        <f aca="false">IF(MAX($AD$2:$AD$921)=MIN($AD$2:$AD$921),50,ROUND((AD237-MIN($AD$2:$AD$921))/(MAX($AD$2:$AD$921)-MIN($AD$2:$AD$921))*100,2))</f>
        <v>33.95</v>
      </c>
      <c r="AW237" s="8" t="n">
        <f aca="false">IF(MAX($AN$2:$AN$921)=MIN($AN$2:$AN$921),50,ROUND((AN237-MIN($AN$2:$AN$921))/(MAX($AN$2:$AN$921)-MIN($AN$2:$AN$921))*100,2))</f>
        <v>83.75</v>
      </c>
      <c r="AX237" s="8" t="n">
        <f aca="false">AQ237*100</f>
        <v>0</v>
      </c>
      <c r="AY237" s="8" t="n">
        <f aca="false">AR237*100</f>
        <v>100</v>
      </c>
      <c r="AZ237" s="8" t="n">
        <f aca="false">IFERROR(ROUND(AS237*Assumptions!$I$6+AW237*Assumptions!$I$7+AT237*Assumptions!$I$8+AU237*Assumptions!$I$9+AV237*Assumptions!$I$10+AX237*Assumptions!$I$11+AY237*Assumptions!$I$12,2),"")</f>
        <v>65.18</v>
      </c>
      <c r="BA237" s="0" t="str">
        <f aca="false">IF(AZ237="","",IF(AZ237&lt;=Assumptions!$I$18,"Below Expectation",IF(AZ237&lt;=Assumptions!$I$19,"Developing",IF(AZ237&lt;=Assumptions!$I$20,"Meets Expectation",IF(AZ237&lt;=Assumptions!$I$21,"Exceeds","Star Performer")))))</f>
        <v>Meets Expectation</v>
      </c>
      <c r="BB237" s="0" t="n">
        <f aca="false">IF(AZ237="",0,IF(AZ237&gt;=Assumptions!$I$26,1,0))</f>
        <v>0</v>
      </c>
      <c r="BC237" s="9" t="n">
        <f aca="false">IF(AL237="",2,AL237+2)</f>
        <v>2</v>
      </c>
      <c r="BD237" s="10" t="n">
        <f aca="false">IF(AM237="",ROUND(AVERAGE($AM$2:$AM$921),3),AM237)</f>
        <v>0.548</v>
      </c>
      <c r="BE237" s="9" t="n">
        <f aca="false">1-BD237</f>
        <v>0.452</v>
      </c>
    </row>
    <row r="238" customFormat="false" ht="14.25" hidden="true" customHeight="false" outlineLevel="0" collapsed="false">
      <c r="A238" s="4" t="n">
        <v>105</v>
      </c>
      <c r="B238" s="5" t="n">
        <v>10031269</v>
      </c>
      <c r="C238" s="5" t="s">
        <v>85</v>
      </c>
      <c r="D238" s="5" t="s">
        <v>1105</v>
      </c>
      <c r="E238" s="5" t="s">
        <v>339</v>
      </c>
      <c r="F238" s="5" t="s">
        <v>258</v>
      </c>
      <c r="G238" s="5" t="s">
        <v>259</v>
      </c>
      <c r="H238" s="5" t="s">
        <v>260</v>
      </c>
      <c r="I238" s="5" t="s">
        <v>63</v>
      </c>
      <c r="J238" s="5" t="s">
        <v>76</v>
      </c>
      <c r="K238" s="5" t="s">
        <v>65</v>
      </c>
      <c r="L238" s="6" t="n">
        <v>40695</v>
      </c>
      <c r="M238" s="5" t="s">
        <v>1112</v>
      </c>
      <c r="N238" s="6" t="n">
        <v>30676</v>
      </c>
      <c r="O238" s="5" t="s">
        <v>162</v>
      </c>
      <c r="P238" s="5" t="s">
        <v>162</v>
      </c>
      <c r="Q238" s="5" t="s">
        <v>241</v>
      </c>
      <c r="R238" s="5" t="s">
        <v>345</v>
      </c>
      <c r="S238" s="5" t="s">
        <v>642</v>
      </c>
      <c r="T238" s="6"/>
      <c r="U238" s="6" t="n">
        <v>46113</v>
      </c>
      <c r="V238" s="5" t="s">
        <v>83</v>
      </c>
      <c r="W238" s="5" t="s">
        <v>83</v>
      </c>
      <c r="X238" s="5" t="s">
        <v>83</v>
      </c>
      <c r="Y238" s="5" t="s">
        <v>141</v>
      </c>
      <c r="Z238" s="5" t="s">
        <v>141</v>
      </c>
      <c r="AA238" s="5" t="s">
        <v>1247</v>
      </c>
      <c r="AB238" s="0" t="n">
        <f aca="false">IFERROR(VALUE(R238),0)</f>
        <v>3.11</v>
      </c>
      <c r="AC238" s="0" t="n">
        <f aca="false">IFERROR(VALUE(M238),"")</f>
        <v>42.5</v>
      </c>
      <c r="AD238" s="0" t="n">
        <f aca="false">IFERROR(VALUE(Q238),"")</f>
        <v>15</v>
      </c>
      <c r="AE238" s="0" t="n">
        <f aca="false">IFERROR(VALUE(S238),"")</f>
        <v>18.11</v>
      </c>
      <c r="AF238" s="0" t="n">
        <f aca="false">IF(V238="","",VLOOKUP(V238,Assumptions!$B$6:$C$9,2,FALSE()))</f>
        <v>4</v>
      </c>
      <c r="AG238" s="0" t="n">
        <f aca="false">IF(W238="","",VLOOKUP(W238,Assumptions!$B$6:$C$9,2,FALSE()))</f>
        <v>4</v>
      </c>
      <c r="AH238" s="0" t="n">
        <f aca="false">IF(X238="","",VLOOKUP(X238,Assumptions!$B$6:$C$9,2,FALSE()))</f>
        <v>4</v>
      </c>
      <c r="AI238" s="0" t="n">
        <f aca="false">IF(Y238="","",VLOOKUP(Y238,Assumptions!$B$6:$C$9,2,FALSE()))</f>
        <v>3</v>
      </c>
      <c r="AJ238" s="0" t="n">
        <f aca="false">IF(Z238="","",VLOOKUP(Z238,Assumptions!$B$6:$C$9,2,FALSE()))</f>
        <v>3</v>
      </c>
      <c r="AK238" s="7" t="n">
        <f aca="false">IFERROR(ROUND(AVERAGE(AF238:AJ238),3),"")</f>
        <v>3.6</v>
      </c>
      <c r="AL238" s="7" t="n">
        <f aca="false">IF(OR(AF238="",AJ238=""),"",AJ238-AF238)</f>
        <v>-1</v>
      </c>
      <c r="AM238" s="7" t="n">
        <f aca="false">IF(COUNT(AF238:AJ238)&gt;=2,ROUND(_xlfn.STDEV.S(AF238:AJ238),3),"")</f>
        <v>0.548</v>
      </c>
      <c r="AN238" s="7" t="n">
        <f aca="false">ROUND((IF(AF238="",0,AF238)*Assumptions!$F$15)+(IF(AG238="",0,AG238)*Assumptions!$F$16)+(IF(AH238="",0,AH238)*Assumptions!$F$17)+(IF(AI238="",0,AI238)*Assumptions!$F$18)+(IF(AJ238="",0,AJ238)*Assumptions!$F$19),3)</f>
        <v>3.45</v>
      </c>
      <c r="AO238" s="0" t="str">
        <f aca="false">IF(AC238&lt;=20,"",IF(AC238&lt;=Assumptions!$F$6,"20-30",IF(AC238&lt;=Assumptions!$F$7,"30-40",IF(AC238&lt;=Assumptions!$F$8,"40-50",IF(AC238&lt;=Assumptions!$F$9,"50-60",IF(AC238&lt;=Assumptions!$F$10,"60+",""))))))</f>
        <v>40-50</v>
      </c>
      <c r="AP238" s="0" t="str">
        <f aca="false">IFERROR(VLOOKUP(O238,Assumptions!$B$14:$C$26,2,FALSE()),"Other")</f>
        <v>Manager</v>
      </c>
      <c r="AQ238" s="0" t="n">
        <f aca="false">IF(T238="",0,1)</f>
        <v>0</v>
      </c>
      <c r="AR238" s="0" t="n">
        <f aca="false">IF(U238="",0,1)</f>
        <v>1</v>
      </c>
      <c r="AS238" s="8" t="n">
        <f aca="false">IF(AK238="","",IF(MAX($AK$2:$AK$921)=MIN($AK$2:$AK$921),50,ROUND((AK238-MIN($AK$2:$AK$921))/(MAX($AK$2:$AK$921)-MIN($AK$2:$AK$921))*100,2)))</f>
        <v>82.85</v>
      </c>
      <c r="AT238" s="8" t="n">
        <f aca="false">IF(MAX($BC$2:$BC$921)=MIN($BC$2:$BC$921),50,ROUND((BC238-MIN($BC$2:$BC$921))/(MAX($BC$2:$BC$921)-MIN($BC$2:$BC$921))*100,2))</f>
        <v>25</v>
      </c>
      <c r="AU238" s="8" t="n">
        <f aca="false">IF(MAX($BE$2:$BE$921)=MIN($BE$2:$BE$921),50,ROUND((BE238-MIN($BE$2:$BE$921))/(MAX($BE$2:$BE$921)-MIN($BE$2:$BE$921))*100,2))</f>
        <v>68.36</v>
      </c>
      <c r="AV238" s="8" t="n">
        <f aca="false">IF(MAX($AD$2:$AD$921)=MIN($AD$2:$AD$921),50,ROUND((AD238-MIN($AD$2:$AD$921))/(MAX($AD$2:$AD$921)-MIN($AD$2:$AD$921))*100,2))</f>
        <v>40.47</v>
      </c>
      <c r="AW238" s="8" t="n">
        <f aca="false">IF(MAX($AN$2:$AN$921)=MIN($AN$2:$AN$921),50,ROUND((AN238-MIN($AN$2:$AN$921))/(MAX($AN$2:$AN$921)-MIN($AN$2:$AN$921))*100,2))</f>
        <v>86.25</v>
      </c>
      <c r="AX238" s="8" t="n">
        <f aca="false">AQ238*100</f>
        <v>0</v>
      </c>
      <c r="AY238" s="8" t="n">
        <f aca="false">AR238*100</f>
        <v>100</v>
      </c>
      <c r="AZ238" s="8" t="n">
        <f aca="false">IFERROR(ROUND(AS238*Assumptions!$I$6+AW238*Assumptions!$I$7+AT238*Assumptions!$I$8+AU238*Assumptions!$I$9+AV238*Assumptions!$I$10+AX238*Assumptions!$I$11+AY238*Assumptions!$I$12,2),"")</f>
        <v>65.16</v>
      </c>
      <c r="BA238" s="0" t="str">
        <f aca="false">IF(AZ238="","",IF(AZ238&lt;=Assumptions!$I$18,"Below Expectation",IF(AZ238&lt;=Assumptions!$I$19,"Developing",IF(AZ238&lt;=Assumptions!$I$20,"Meets Expectation",IF(AZ238&lt;=Assumptions!$I$21,"Exceeds","Star Performer")))))</f>
        <v>Meets Expectation</v>
      </c>
      <c r="BB238" s="0" t="n">
        <f aca="false">IF(AZ238="",0,IF(AZ238&gt;=Assumptions!$I$26,1,0))</f>
        <v>0</v>
      </c>
      <c r="BC238" s="9" t="n">
        <f aca="false">IF(AL238="",2,AL238+2)</f>
        <v>1</v>
      </c>
      <c r="BD238" s="10" t="n">
        <f aca="false">IF(AM238="",ROUND(AVERAGE($AM$2:$AM$921),3),AM238)</f>
        <v>0.548</v>
      </c>
      <c r="BE238" s="9" t="n">
        <f aca="false">1-BD238</f>
        <v>0.452</v>
      </c>
    </row>
    <row r="239" customFormat="false" ht="14.25" hidden="true" customHeight="false" outlineLevel="0" collapsed="false">
      <c r="A239" s="4" t="n">
        <v>106</v>
      </c>
      <c r="B239" s="5" t="n">
        <v>10031610</v>
      </c>
      <c r="C239" s="5" t="s">
        <v>526</v>
      </c>
      <c r="D239" s="5" t="s">
        <v>1248</v>
      </c>
      <c r="E239" s="5" t="s">
        <v>558</v>
      </c>
      <c r="F239" s="5" t="s">
        <v>258</v>
      </c>
      <c r="G239" s="5" t="s">
        <v>259</v>
      </c>
      <c r="H239" s="5" t="s">
        <v>260</v>
      </c>
      <c r="I239" s="5" t="s">
        <v>63</v>
      </c>
      <c r="J239" s="5" t="s">
        <v>100</v>
      </c>
      <c r="K239" s="5" t="s">
        <v>65</v>
      </c>
      <c r="L239" s="6" t="n">
        <v>40739</v>
      </c>
      <c r="M239" s="5" t="s">
        <v>1249</v>
      </c>
      <c r="N239" s="6" t="n">
        <v>31240</v>
      </c>
      <c r="O239" s="5" t="s">
        <v>162</v>
      </c>
      <c r="P239" s="5" t="s">
        <v>162</v>
      </c>
      <c r="Q239" s="5" t="s">
        <v>336</v>
      </c>
      <c r="R239" s="5" t="s">
        <v>335</v>
      </c>
      <c r="S239" s="5" t="s">
        <v>745</v>
      </c>
      <c r="T239" s="6"/>
      <c r="U239" s="6" t="n">
        <v>45901</v>
      </c>
      <c r="V239" s="5" t="s">
        <v>83</v>
      </c>
      <c r="W239" s="5" t="s">
        <v>83</v>
      </c>
      <c r="X239" s="5" t="s">
        <v>141</v>
      </c>
      <c r="Y239" s="5" t="s">
        <v>83</v>
      </c>
      <c r="Z239" s="5" t="s">
        <v>141</v>
      </c>
      <c r="AA239" s="5" t="s">
        <v>1250</v>
      </c>
      <c r="AB239" s="0" t="n">
        <f aca="false">IFERROR(VALUE(R239),0)</f>
        <v>3.7</v>
      </c>
      <c r="AC239" s="0" t="n">
        <f aca="false">IFERROR(VALUE(M239),"")</f>
        <v>40.1</v>
      </c>
      <c r="AD239" s="0" t="n">
        <f aca="false">IFERROR(VALUE(Q239),"")</f>
        <v>14.1</v>
      </c>
      <c r="AE239" s="0" t="n">
        <f aca="false">IFERROR(VALUE(S239),"")</f>
        <v>18.5</v>
      </c>
      <c r="AF239" s="0" t="n">
        <f aca="false">IF(V239="","",VLOOKUP(V239,Assumptions!$B$6:$C$9,2,FALSE()))</f>
        <v>4</v>
      </c>
      <c r="AG239" s="0" t="n">
        <f aca="false">IF(W239="","",VLOOKUP(W239,Assumptions!$B$6:$C$9,2,FALSE()))</f>
        <v>4</v>
      </c>
      <c r="AH239" s="0" t="n">
        <f aca="false">IF(X239="","",VLOOKUP(X239,Assumptions!$B$6:$C$9,2,FALSE()))</f>
        <v>3</v>
      </c>
      <c r="AI239" s="0" t="n">
        <f aca="false">IF(Y239="","",VLOOKUP(Y239,Assumptions!$B$6:$C$9,2,FALSE()))</f>
        <v>4</v>
      </c>
      <c r="AJ239" s="0" t="n">
        <f aca="false">IF(Z239="","",VLOOKUP(Z239,Assumptions!$B$6:$C$9,2,FALSE()))</f>
        <v>3</v>
      </c>
      <c r="AK239" s="7" t="n">
        <f aca="false">IFERROR(ROUND(AVERAGE(AF239:AJ239),3),"")</f>
        <v>3.6</v>
      </c>
      <c r="AL239" s="7" t="n">
        <f aca="false">IF(OR(AF239="",AJ239=""),"",AJ239-AF239)</f>
        <v>-1</v>
      </c>
      <c r="AM239" s="7" t="n">
        <f aca="false">IF(COUNT(AF239:AJ239)&gt;=2,ROUND(_xlfn.STDEV.S(AF239:AJ239),3),"")</f>
        <v>0.548</v>
      </c>
      <c r="AN239" s="7" t="n">
        <f aca="false">ROUND((IF(AF239="",0,AF239)*Assumptions!$F$15)+(IF(AG239="",0,AG239)*Assumptions!$F$16)+(IF(AH239="",0,AH239)*Assumptions!$F$17)+(IF(AI239="",0,AI239)*Assumptions!$F$18)+(IF(AJ239="",0,AJ239)*Assumptions!$F$19),3)</f>
        <v>3.5</v>
      </c>
      <c r="AO239" s="0" t="str">
        <f aca="false">IF(AC239&lt;=20,"",IF(AC239&lt;=Assumptions!$F$6,"20-30",IF(AC239&lt;=Assumptions!$F$7,"30-40",IF(AC239&lt;=Assumptions!$F$8,"40-50",IF(AC239&lt;=Assumptions!$F$9,"50-60",IF(AC239&lt;=Assumptions!$F$10,"60+",""))))))</f>
        <v>40-50</v>
      </c>
      <c r="AP239" s="0" t="str">
        <f aca="false">IFERROR(VLOOKUP(O239,Assumptions!$B$14:$C$26,2,FALSE()),"Other")</f>
        <v>Manager</v>
      </c>
      <c r="AQ239" s="0" t="n">
        <f aca="false">IF(T239="",0,1)</f>
        <v>0</v>
      </c>
      <c r="AR239" s="0" t="n">
        <f aca="false">IF(U239="",0,1)</f>
        <v>1</v>
      </c>
      <c r="AS239" s="8" t="n">
        <f aca="false">IF(AK239="","",IF(MAX($AK$2:$AK$921)=MIN($AK$2:$AK$921),50,ROUND((AK239-MIN($AK$2:$AK$921))/(MAX($AK$2:$AK$921)-MIN($AK$2:$AK$921))*100,2)))</f>
        <v>82.85</v>
      </c>
      <c r="AT239" s="8" t="n">
        <f aca="false">IF(MAX($BC$2:$BC$921)=MIN($BC$2:$BC$921),50,ROUND((BC239-MIN($BC$2:$BC$921))/(MAX($BC$2:$BC$921)-MIN($BC$2:$BC$921))*100,2))</f>
        <v>25</v>
      </c>
      <c r="AU239" s="8" t="n">
        <f aca="false">IF(MAX($BE$2:$BE$921)=MIN($BE$2:$BE$921),50,ROUND((BE239-MIN($BE$2:$BE$921))/(MAX($BE$2:$BE$921)-MIN($BE$2:$BE$921))*100,2))</f>
        <v>68.36</v>
      </c>
      <c r="AV239" s="8" t="n">
        <f aca="false">IF(MAX($AD$2:$AD$921)=MIN($AD$2:$AD$921),50,ROUND((AD239-MIN($AD$2:$AD$921))/(MAX($AD$2:$AD$921)-MIN($AD$2:$AD$921))*100,2))</f>
        <v>38.03</v>
      </c>
      <c r="AW239" s="8" t="n">
        <f aca="false">IF(MAX($AN$2:$AN$921)=MIN($AN$2:$AN$921),50,ROUND((AN239-MIN($AN$2:$AN$921))/(MAX($AN$2:$AN$921)-MIN($AN$2:$AN$921))*100,2))</f>
        <v>87.5</v>
      </c>
      <c r="AX239" s="8" t="n">
        <f aca="false">AQ239*100</f>
        <v>0</v>
      </c>
      <c r="AY239" s="8" t="n">
        <f aca="false">AR239*100</f>
        <v>100</v>
      </c>
      <c r="AZ239" s="8" t="n">
        <f aca="false">IFERROR(ROUND(AS239*Assumptions!$I$6+AW239*Assumptions!$I$7+AT239*Assumptions!$I$8+AU239*Assumptions!$I$9+AV239*Assumptions!$I$10+AX239*Assumptions!$I$11+AY239*Assumptions!$I$12,2),"")</f>
        <v>65.16</v>
      </c>
      <c r="BA239" s="0" t="str">
        <f aca="false">IF(AZ239="","",IF(AZ239&lt;=Assumptions!$I$18,"Below Expectation",IF(AZ239&lt;=Assumptions!$I$19,"Developing",IF(AZ239&lt;=Assumptions!$I$20,"Meets Expectation",IF(AZ239&lt;=Assumptions!$I$21,"Exceeds","Star Performer")))))</f>
        <v>Meets Expectation</v>
      </c>
      <c r="BB239" s="0" t="n">
        <f aca="false">IF(AZ239="",0,IF(AZ239&gt;=Assumptions!$I$26,1,0))</f>
        <v>0</v>
      </c>
      <c r="BC239" s="9" t="n">
        <f aca="false">IF(AL239="",2,AL239+2)</f>
        <v>1</v>
      </c>
      <c r="BD239" s="10" t="n">
        <f aca="false">IF(AM239="",ROUND(AVERAGE($AM$2:$AM$921),3),AM239)</f>
        <v>0.548</v>
      </c>
      <c r="BE239" s="9" t="n">
        <f aca="false">1-BD239</f>
        <v>0.452</v>
      </c>
    </row>
    <row r="240" customFormat="false" ht="14.25" hidden="true" customHeight="false" outlineLevel="0" collapsed="false">
      <c r="A240" s="4" t="n">
        <v>81</v>
      </c>
      <c r="B240" s="5" t="n">
        <v>10024859</v>
      </c>
      <c r="C240" s="5" t="s">
        <v>85</v>
      </c>
      <c r="D240" s="5" t="s">
        <v>1251</v>
      </c>
      <c r="E240" s="5" t="s">
        <v>1238</v>
      </c>
      <c r="F240" s="5" t="s">
        <v>267</v>
      </c>
      <c r="G240" s="5" t="s">
        <v>268</v>
      </c>
      <c r="H240" s="5" t="s">
        <v>267</v>
      </c>
      <c r="I240" s="5" t="s">
        <v>63</v>
      </c>
      <c r="J240" s="5" t="s">
        <v>76</v>
      </c>
      <c r="K240" s="5" t="s">
        <v>65</v>
      </c>
      <c r="L240" s="6" t="n">
        <v>39366</v>
      </c>
      <c r="M240" s="5" t="s">
        <v>1252</v>
      </c>
      <c r="N240" s="6" t="n">
        <v>31786</v>
      </c>
      <c r="O240" s="5" t="s">
        <v>262</v>
      </c>
      <c r="P240" s="5" t="s">
        <v>263</v>
      </c>
      <c r="Q240" s="5" t="s">
        <v>411</v>
      </c>
      <c r="R240" s="5" t="s">
        <v>115</v>
      </c>
      <c r="S240" s="5" t="s">
        <v>411</v>
      </c>
      <c r="T240" s="6" t="n">
        <v>43435</v>
      </c>
      <c r="U240" s="6" t="n">
        <v>44652</v>
      </c>
      <c r="V240" s="5" t="s">
        <v>83</v>
      </c>
      <c r="W240" s="5" t="s">
        <v>141</v>
      </c>
      <c r="X240" s="5" t="s">
        <v>141</v>
      </c>
      <c r="Y240" s="5" t="s">
        <v>141</v>
      </c>
      <c r="Z240" s="5" t="s">
        <v>141</v>
      </c>
      <c r="AA240" s="5" t="s">
        <v>1253</v>
      </c>
      <c r="AB240" s="0" t="n">
        <f aca="false">IFERROR(VALUE(R240),0)</f>
        <v>0</v>
      </c>
      <c r="AC240" s="0" t="n">
        <f aca="false">IFERROR(VALUE(M240),"")</f>
        <v>39.4</v>
      </c>
      <c r="AD240" s="0" t="n">
        <f aca="false">IFERROR(VALUE(Q240),"")</f>
        <v>18.7</v>
      </c>
      <c r="AE240" s="0" t="n">
        <f aca="false">IFERROR(VALUE(S240),"")</f>
        <v>18.7</v>
      </c>
      <c r="AF240" s="0" t="n">
        <f aca="false">IF(V240="","",VLOOKUP(V240,Assumptions!$B$6:$C$9,2,FALSE()))</f>
        <v>4</v>
      </c>
      <c r="AG240" s="0" t="n">
        <f aca="false">IF(W240="","",VLOOKUP(W240,Assumptions!$B$6:$C$9,2,FALSE()))</f>
        <v>3</v>
      </c>
      <c r="AH240" s="0" t="n">
        <f aca="false">IF(X240="","",VLOOKUP(X240,Assumptions!$B$6:$C$9,2,FALSE()))</f>
        <v>3</v>
      </c>
      <c r="AI240" s="0" t="n">
        <f aca="false">IF(Y240="","",VLOOKUP(Y240,Assumptions!$B$6:$C$9,2,FALSE()))</f>
        <v>3</v>
      </c>
      <c r="AJ240" s="0" t="n">
        <f aca="false">IF(Z240="","",VLOOKUP(Z240,Assumptions!$B$6:$C$9,2,FALSE()))</f>
        <v>3</v>
      </c>
      <c r="AK240" s="7" t="n">
        <f aca="false">IFERROR(ROUND(AVERAGE(AF240:AJ240),3),"")</f>
        <v>3.2</v>
      </c>
      <c r="AL240" s="7" t="n">
        <f aca="false">IF(OR(AF240="",AJ240=""),"",AJ240-AF240)</f>
        <v>-1</v>
      </c>
      <c r="AM240" s="7" t="n">
        <f aca="false">IF(COUNT(AF240:AJ240)&gt;=2,ROUND(_xlfn.STDEV.S(AF240:AJ240),3),"")</f>
        <v>0.447</v>
      </c>
      <c r="AN240" s="7" t="n">
        <f aca="false">ROUND((IF(AF240="",0,AF240)*Assumptions!$F$15)+(IF(AG240="",0,AG240)*Assumptions!$F$16)+(IF(AH240="",0,AH240)*Assumptions!$F$17)+(IF(AI240="",0,AI240)*Assumptions!$F$18)+(IF(AJ240="",0,AJ240)*Assumptions!$F$19),3)</f>
        <v>3.1</v>
      </c>
      <c r="AO240" s="0" t="str">
        <f aca="false">IF(AC240&lt;=20,"",IF(AC240&lt;=Assumptions!$F$6,"20-30",IF(AC240&lt;=Assumptions!$F$7,"30-40",IF(AC240&lt;=Assumptions!$F$8,"40-50",IF(AC240&lt;=Assumptions!$F$9,"50-60",IF(AC240&lt;=Assumptions!$F$10,"60+",""))))))</f>
        <v>30-40</v>
      </c>
      <c r="AP240" s="0" t="str">
        <f aca="false">IFERROR(VLOOKUP(O240,Assumptions!$B$14:$C$26,2,FALSE()),"Other")</f>
        <v>Manager</v>
      </c>
      <c r="AQ240" s="0" t="n">
        <f aca="false">IF(T240="",0,1)</f>
        <v>1</v>
      </c>
      <c r="AR240" s="0" t="n">
        <f aca="false">IF(U240="",0,1)</f>
        <v>1</v>
      </c>
      <c r="AS240" s="8" t="n">
        <f aca="false">IF(AK240="","",IF(MAX($AK$2:$AK$921)=MIN($AK$2:$AK$921),50,ROUND((AK240-MIN($AK$2:$AK$921))/(MAX($AK$2:$AK$921)-MIN($AK$2:$AK$921))*100,2)))</f>
        <v>65.71</v>
      </c>
      <c r="AT240" s="8" t="n">
        <f aca="false">IF(MAX($BC$2:$BC$921)=MIN($BC$2:$BC$921),50,ROUND((BC240-MIN($BC$2:$BC$921))/(MAX($BC$2:$BC$921)-MIN($BC$2:$BC$921))*100,2))</f>
        <v>25</v>
      </c>
      <c r="AU240" s="8" t="n">
        <f aca="false">IF(MAX($BE$2:$BE$921)=MIN($BE$2:$BE$921),50,ROUND((BE240-MIN($BE$2:$BE$921))/(MAX($BE$2:$BE$921)-MIN($BE$2:$BE$921))*100,2))</f>
        <v>74.19</v>
      </c>
      <c r="AV240" s="8" t="n">
        <f aca="false">IF(MAX($AD$2:$AD$921)=MIN($AD$2:$AD$921),50,ROUND((AD240-MIN($AD$2:$AD$921))/(MAX($AD$2:$AD$921)-MIN($AD$2:$AD$921))*100,2))</f>
        <v>50.53</v>
      </c>
      <c r="AW240" s="8" t="n">
        <f aca="false">IF(MAX($AN$2:$AN$921)=MIN($AN$2:$AN$921),50,ROUND((AN240-MIN($AN$2:$AN$921))/(MAX($AN$2:$AN$921)-MIN($AN$2:$AN$921))*100,2))</f>
        <v>77.5</v>
      </c>
      <c r="AX240" s="8" t="n">
        <f aca="false">AQ240*100</f>
        <v>100</v>
      </c>
      <c r="AY240" s="8" t="n">
        <f aca="false">AR240*100</f>
        <v>100</v>
      </c>
      <c r="AZ240" s="8" t="n">
        <f aca="false">IFERROR(ROUND(AS240*Assumptions!$I$6+AW240*Assumptions!$I$7+AT240*Assumptions!$I$8+AU240*Assumptions!$I$9+AV240*Assumptions!$I$10+AX240*Assumptions!$I$11+AY240*Assumptions!$I$12,2),"")</f>
        <v>65.14</v>
      </c>
      <c r="BA240" s="0" t="str">
        <f aca="false">IF(AZ240="","",IF(AZ240&lt;=Assumptions!$I$18,"Below Expectation",IF(AZ240&lt;=Assumptions!$I$19,"Developing",IF(AZ240&lt;=Assumptions!$I$20,"Meets Expectation",IF(AZ240&lt;=Assumptions!$I$21,"Exceeds","Star Performer")))))</f>
        <v>Meets Expectation</v>
      </c>
      <c r="BB240" s="0" t="n">
        <f aca="false">IF(AZ240="",0,IF(AZ240&gt;=Assumptions!$I$26,1,0))</f>
        <v>0</v>
      </c>
      <c r="BC240" s="9" t="n">
        <f aca="false">IF(AL240="",2,AL240+2)</f>
        <v>1</v>
      </c>
      <c r="BD240" s="10" t="n">
        <f aca="false">IF(AM240="",ROUND(AVERAGE($AM$2:$AM$921),3),AM240)</f>
        <v>0.447</v>
      </c>
      <c r="BE240" s="9" t="n">
        <f aca="false">1-BD240</f>
        <v>0.553</v>
      </c>
    </row>
    <row r="241" customFormat="false" ht="14.25" hidden="true" customHeight="false" outlineLevel="0" collapsed="false">
      <c r="A241" s="4" t="n">
        <v>62</v>
      </c>
      <c r="B241" s="5" t="n">
        <v>10019713</v>
      </c>
      <c r="C241" s="5" t="s">
        <v>57</v>
      </c>
      <c r="D241" s="5" t="s">
        <v>1254</v>
      </c>
      <c r="E241" s="5" t="s">
        <v>1255</v>
      </c>
      <c r="F241" s="5" t="s">
        <v>387</v>
      </c>
      <c r="G241" s="5" t="s">
        <v>388</v>
      </c>
      <c r="H241" s="5" t="s">
        <v>387</v>
      </c>
      <c r="I241" s="5" t="s">
        <v>63</v>
      </c>
      <c r="J241" s="5" t="s">
        <v>100</v>
      </c>
      <c r="K241" s="5" t="s">
        <v>65</v>
      </c>
      <c r="L241" s="6" t="n">
        <v>38369</v>
      </c>
      <c r="M241" s="5" t="s">
        <v>757</v>
      </c>
      <c r="N241" s="6" t="n">
        <v>27682</v>
      </c>
      <c r="O241" s="5" t="s">
        <v>332</v>
      </c>
      <c r="P241" s="5" t="s">
        <v>333</v>
      </c>
      <c r="Q241" s="5" t="s">
        <v>1256</v>
      </c>
      <c r="R241" s="5" t="s">
        <v>807</v>
      </c>
      <c r="S241" s="5" t="s">
        <v>1257</v>
      </c>
      <c r="T241" s="6" t="n">
        <v>39133</v>
      </c>
      <c r="U241" s="6"/>
      <c r="V241" s="5" t="s">
        <v>141</v>
      </c>
      <c r="W241" s="5" t="s">
        <v>141</v>
      </c>
      <c r="X241" s="5" t="s">
        <v>83</v>
      </c>
      <c r="Y241" s="5" t="s">
        <v>141</v>
      </c>
      <c r="Z241" s="5" t="s">
        <v>141</v>
      </c>
      <c r="AA241" s="5" t="s">
        <v>1258</v>
      </c>
      <c r="AB241" s="0" t="n">
        <f aca="false">IFERROR(VALUE(R241),0)</f>
        <v>7.6</v>
      </c>
      <c r="AC241" s="0" t="n">
        <f aca="false">IFERROR(VALUE(M241),"")</f>
        <v>50.7</v>
      </c>
      <c r="AD241" s="0" t="n">
        <f aca="false">IFERROR(VALUE(Q241),"")</f>
        <v>21.4</v>
      </c>
      <c r="AE241" s="0" t="n">
        <f aca="false">IFERROR(VALUE(S241),"")</f>
        <v>28.1</v>
      </c>
      <c r="AF241" s="0" t="n">
        <f aca="false">IF(V241="","",VLOOKUP(V241,Assumptions!$B$6:$C$9,2,FALSE()))</f>
        <v>3</v>
      </c>
      <c r="AG241" s="0" t="n">
        <f aca="false">IF(W241="","",VLOOKUP(W241,Assumptions!$B$6:$C$9,2,FALSE()))</f>
        <v>3</v>
      </c>
      <c r="AH241" s="0" t="n">
        <f aca="false">IF(X241="","",VLOOKUP(X241,Assumptions!$B$6:$C$9,2,FALSE()))</f>
        <v>4</v>
      </c>
      <c r="AI241" s="0" t="n">
        <f aca="false">IF(Y241="","",VLOOKUP(Y241,Assumptions!$B$6:$C$9,2,FALSE()))</f>
        <v>3</v>
      </c>
      <c r="AJ241" s="0" t="n">
        <f aca="false">IF(Z241="","",VLOOKUP(Z241,Assumptions!$B$6:$C$9,2,FALSE()))</f>
        <v>3</v>
      </c>
      <c r="AK241" s="7" t="n">
        <f aca="false">IFERROR(ROUND(AVERAGE(AF241:AJ241),3),"")</f>
        <v>3.2</v>
      </c>
      <c r="AL241" s="7" t="n">
        <f aca="false">IF(OR(AF241="",AJ241=""),"",AJ241-AF241)</f>
        <v>0</v>
      </c>
      <c r="AM241" s="7" t="n">
        <f aca="false">IF(COUNT(AF241:AJ241)&gt;=2,ROUND(_xlfn.STDEV.S(AF241:AJ241),3),"")</f>
        <v>0.447</v>
      </c>
      <c r="AN241" s="7" t="n">
        <f aca="false">ROUND((IF(AF241="",0,AF241)*Assumptions!$F$15)+(IF(AG241="",0,AG241)*Assumptions!$F$16)+(IF(AH241="",0,AH241)*Assumptions!$F$17)+(IF(AI241="",0,AI241)*Assumptions!$F$18)+(IF(AJ241="",0,AJ241)*Assumptions!$F$19),3)</f>
        <v>3.2</v>
      </c>
      <c r="AO241" s="0" t="str">
        <f aca="false">IF(AC241&lt;=20,"",IF(AC241&lt;=Assumptions!$F$6,"20-30",IF(AC241&lt;=Assumptions!$F$7,"30-40",IF(AC241&lt;=Assumptions!$F$8,"40-50",IF(AC241&lt;=Assumptions!$F$9,"50-60",IF(AC241&lt;=Assumptions!$F$10,"60+",""))))))</f>
        <v>50-60</v>
      </c>
      <c r="AP241" s="0" t="str">
        <f aca="false">IFERROR(VLOOKUP(O241,Assumptions!$B$14:$C$26,2,FALSE()),"Other")</f>
        <v>Manager</v>
      </c>
      <c r="AQ241" s="0" t="n">
        <f aca="false">IF(T241="",0,1)</f>
        <v>1</v>
      </c>
      <c r="AR241" s="0" t="n">
        <f aca="false">IF(U241="",0,1)</f>
        <v>0</v>
      </c>
      <c r="AS241" s="8" t="n">
        <f aca="false">IF(AK241="","",IF(MAX($AK$2:$AK$921)=MIN($AK$2:$AK$921),50,ROUND((AK241-MIN($AK$2:$AK$921))/(MAX($AK$2:$AK$921)-MIN($AK$2:$AK$921))*100,2)))</f>
        <v>65.71</v>
      </c>
      <c r="AT241" s="8" t="n">
        <f aca="false">IF(MAX($BC$2:$BC$921)=MIN($BC$2:$BC$921),50,ROUND((BC241-MIN($BC$2:$BC$921))/(MAX($BC$2:$BC$921)-MIN($BC$2:$BC$921))*100,2))</f>
        <v>50</v>
      </c>
      <c r="AU241" s="8" t="n">
        <f aca="false">IF(MAX($BE$2:$BE$921)=MIN($BE$2:$BE$921),50,ROUND((BE241-MIN($BE$2:$BE$921))/(MAX($BE$2:$BE$921)-MIN($BE$2:$BE$921))*100,2))</f>
        <v>74.19</v>
      </c>
      <c r="AV241" s="8" t="n">
        <f aca="false">IF(MAX($AD$2:$AD$921)=MIN($AD$2:$AD$921),50,ROUND((AD241-MIN($AD$2:$AD$921))/(MAX($AD$2:$AD$921)-MIN($AD$2:$AD$921))*100,2))</f>
        <v>57.87</v>
      </c>
      <c r="AW241" s="8" t="n">
        <f aca="false">IF(MAX($AN$2:$AN$921)=MIN($AN$2:$AN$921),50,ROUND((AN241-MIN($AN$2:$AN$921))/(MAX($AN$2:$AN$921)-MIN($AN$2:$AN$921))*100,2))</f>
        <v>80</v>
      </c>
      <c r="AX241" s="8" t="n">
        <f aca="false">AQ241*100</f>
        <v>100</v>
      </c>
      <c r="AY241" s="8" t="n">
        <f aca="false">AR241*100</f>
        <v>0</v>
      </c>
      <c r="AZ241" s="8" t="n">
        <f aca="false">IFERROR(ROUND(AS241*Assumptions!$I$6+AW241*Assumptions!$I$7+AT241*Assumptions!$I$8+AU241*Assumptions!$I$9+AV241*Assumptions!$I$10+AX241*Assumptions!$I$11+AY241*Assumptions!$I$12,2),"")</f>
        <v>65.13</v>
      </c>
      <c r="BA241" s="0" t="str">
        <f aca="false">IF(AZ241="","",IF(AZ241&lt;=Assumptions!$I$18,"Below Expectation",IF(AZ241&lt;=Assumptions!$I$19,"Developing",IF(AZ241&lt;=Assumptions!$I$20,"Meets Expectation",IF(AZ241&lt;=Assumptions!$I$21,"Exceeds","Star Performer")))))</f>
        <v>Meets Expectation</v>
      </c>
      <c r="BB241" s="0" t="n">
        <f aca="false">IF(AZ241="",0,IF(AZ241&gt;=Assumptions!$I$26,1,0))</f>
        <v>0</v>
      </c>
      <c r="BC241" s="9" t="n">
        <f aca="false">IF(AL241="",2,AL241+2)</f>
        <v>2</v>
      </c>
      <c r="BD241" s="10" t="n">
        <f aca="false">IF(AM241="",ROUND(AVERAGE($AM$2:$AM$921),3),AM241)</f>
        <v>0.447</v>
      </c>
      <c r="BE241" s="9" t="n">
        <f aca="false">1-BD241</f>
        <v>0.553</v>
      </c>
    </row>
    <row r="242" customFormat="false" ht="14.25" hidden="false" customHeight="false" outlineLevel="0" collapsed="false">
      <c r="A242" s="4" t="n">
        <v>916</v>
      </c>
      <c r="B242" s="5" t="n">
        <v>67546446</v>
      </c>
      <c r="C242" s="5" t="s">
        <v>106</v>
      </c>
      <c r="D242" s="5" t="s">
        <v>1259</v>
      </c>
      <c r="E242" s="5" t="s">
        <v>305</v>
      </c>
      <c r="F242" s="5" t="s">
        <v>925</v>
      </c>
      <c r="G242" s="5" t="s">
        <v>1260</v>
      </c>
      <c r="H242" s="5" t="s">
        <v>1261</v>
      </c>
      <c r="I242" s="5" t="s">
        <v>63</v>
      </c>
      <c r="J242" s="5" t="s">
        <v>112</v>
      </c>
      <c r="K242" s="5" t="s">
        <v>1262</v>
      </c>
      <c r="L242" s="6" t="n">
        <v>43083</v>
      </c>
      <c r="M242" s="5" t="s">
        <v>1263</v>
      </c>
      <c r="N242" s="6" t="n">
        <v>32234</v>
      </c>
      <c r="O242" s="5" t="s">
        <v>1264</v>
      </c>
      <c r="P242" s="5" t="s">
        <v>1264</v>
      </c>
      <c r="Q242" s="5" t="s">
        <v>791</v>
      </c>
      <c r="R242" s="5" t="s">
        <v>133</v>
      </c>
      <c r="S242" s="5" t="s">
        <v>425</v>
      </c>
      <c r="T242" s="6"/>
      <c r="U242" s="6"/>
      <c r="V242" s="5" t="s">
        <v>631</v>
      </c>
      <c r="W242" s="5" t="s">
        <v>141</v>
      </c>
      <c r="X242" s="5" t="s">
        <v>83</v>
      </c>
      <c r="Y242" s="5" t="s">
        <v>83</v>
      </c>
      <c r="Z242" s="5" t="s">
        <v>83</v>
      </c>
      <c r="AA242" s="5" t="s">
        <v>1265</v>
      </c>
      <c r="AB242" s="0" t="n">
        <f aca="false">IFERROR(VALUE(R242),0)</f>
        <v>1</v>
      </c>
      <c r="AC242" s="0" t="n">
        <f aca="false">IFERROR(VALUE(M242),"")</f>
        <v>38.2</v>
      </c>
      <c r="AD242" s="0" t="n">
        <f aca="false">IFERROR(VALUE(Q242),"")</f>
        <v>8.5</v>
      </c>
      <c r="AE242" s="0" t="n">
        <f aca="false">IFERROR(VALUE(S242),"")</f>
        <v>9.5</v>
      </c>
      <c r="AF242" s="0" t="n">
        <f aca="false">IF(V242="","",VLOOKUP(V242,Assumptions!$B$6:$C$9,2,FALSE()))</f>
        <v>2</v>
      </c>
      <c r="AG242" s="0" t="n">
        <f aca="false">IF(W242="","",VLOOKUP(W242,Assumptions!$B$6:$C$9,2,FALSE()))</f>
        <v>3</v>
      </c>
      <c r="AH242" s="0" t="n">
        <f aca="false">IF(X242="","",VLOOKUP(X242,Assumptions!$B$6:$C$9,2,FALSE()))</f>
        <v>4</v>
      </c>
      <c r="AI242" s="0" t="n">
        <f aca="false">IF(Y242="","",VLOOKUP(Y242,Assumptions!$B$6:$C$9,2,FALSE()))</f>
        <v>4</v>
      </c>
      <c r="AJ242" s="0" t="n">
        <f aca="false">IF(Z242="","",VLOOKUP(Z242,Assumptions!$B$6:$C$9,2,FALSE()))</f>
        <v>4</v>
      </c>
      <c r="AK242" s="7" t="n">
        <f aca="false">IFERROR(ROUND(AVERAGE(AF242:AJ242),3),"")</f>
        <v>3.4</v>
      </c>
      <c r="AL242" s="7" t="n">
        <f aca="false">IF(OR(AF242="",AJ242=""),"",AJ242-AF242)</f>
        <v>2</v>
      </c>
      <c r="AM242" s="7" t="n">
        <f aca="false">IF(COUNT(AF242:AJ242)&gt;=2,ROUND(_xlfn.STDEV.S(AF242:AJ242),3),"")</f>
        <v>0.894</v>
      </c>
      <c r="AN242" s="7" t="n">
        <f aca="false">ROUND((IF(AF242="",0,AF242)*Assumptions!$F$15)+(IF(AG242="",0,AG242)*Assumptions!$F$16)+(IF(AH242="",0,AH242)*Assumptions!$F$17)+(IF(AI242="",0,AI242)*Assumptions!$F$18)+(IF(AJ242="",0,AJ242)*Assumptions!$F$19),3)</f>
        <v>3.65</v>
      </c>
      <c r="AO242" s="0" t="str">
        <f aca="false">IF(AC242&lt;=20,"",IF(AC242&lt;=Assumptions!$F$6,"20-30",IF(AC242&lt;=Assumptions!$F$7,"30-40",IF(AC242&lt;=Assumptions!$F$8,"40-50",IF(AC242&lt;=Assumptions!$F$9,"50-60",IF(AC242&lt;=Assumptions!$F$10,"60+",""))))))</f>
        <v>30-40</v>
      </c>
      <c r="AP242" s="0" t="str">
        <f aca="false">IFERROR(VLOOKUP(O242,Assumptions!$B$14:$C$26,2,FALSE()),"Other")</f>
        <v>Manager</v>
      </c>
      <c r="AQ242" s="0" t="n">
        <f aca="false">IF(T242="",0,1)</f>
        <v>0</v>
      </c>
      <c r="AR242" s="0" t="n">
        <f aca="false">IF(U242="",0,1)</f>
        <v>0</v>
      </c>
      <c r="AS242" s="8" t="n">
        <f aca="false">IF(AK242="","",IF(MAX($AK$2:$AK$921)=MIN($AK$2:$AK$921),50,ROUND((AK242-MIN($AK$2:$AK$921))/(MAX($AK$2:$AK$921)-MIN($AK$2:$AK$921))*100,2)))</f>
        <v>74.28</v>
      </c>
      <c r="AT242" s="8" t="n">
        <f aca="false">IF(MAX($BC$2:$BC$921)=MIN($BC$2:$BC$921),50,ROUND((BC242-MIN($BC$2:$BC$921))/(MAX($BC$2:$BC$921)-MIN($BC$2:$BC$921))*100,2))</f>
        <v>100</v>
      </c>
      <c r="AU242" s="8" t="n">
        <f aca="false">IF(MAX($BE$2:$BE$921)=MIN($BE$2:$BE$921),50,ROUND((BE242-MIN($BE$2:$BE$921))/(MAX($BE$2:$BE$921)-MIN($BE$2:$BE$921))*100,2))</f>
        <v>48.38</v>
      </c>
      <c r="AV242" s="8" t="n">
        <f aca="false">IF(MAX($AD$2:$AD$921)=MIN($AD$2:$AD$921),50,ROUND((AD242-MIN($AD$2:$AD$921))/(MAX($AD$2:$AD$921)-MIN($AD$2:$AD$921))*100,2))</f>
        <v>22.81</v>
      </c>
      <c r="AW242" s="8" t="n">
        <f aca="false">IF(MAX($AN$2:$AN$921)=MIN($AN$2:$AN$921),50,ROUND((AN242-MIN($AN$2:$AN$921))/(MAX($AN$2:$AN$921)-MIN($AN$2:$AN$921))*100,2))</f>
        <v>91.25</v>
      </c>
      <c r="AX242" s="8" t="n">
        <f aca="false">AQ242*100</f>
        <v>0</v>
      </c>
      <c r="AY242" s="8" t="n">
        <f aca="false">AR242*100</f>
        <v>0</v>
      </c>
      <c r="AZ242" s="8" t="n">
        <f aca="false">IFERROR(ROUND(AS242*Assumptions!$I$6+AW242*Assumptions!$I$7+AT242*Assumptions!$I$8+AU242*Assumptions!$I$9+AV242*Assumptions!$I$10+AX242*Assumptions!$I$11+AY242*Assumptions!$I$12,2),"")</f>
        <v>65.07</v>
      </c>
      <c r="BA242" s="0" t="str">
        <f aca="false">IF(AZ242="","",IF(AZ242&lt;=Assumptions!$I$18,"Below Expectation",IF(AZ242&lt;=Assumptions!$I$19,"Developing",IF(AZ242&lt;=Assumptions!$I$20,"Meets Expectation",IF(AZ242&lt;=Assumptions!$I$21,"Exceeds","Star Performer")))))</f>
        <v>Meets Expectation</v>
      </c>
      <c r="BB242" s="0" t="n">
        <f aca="false">IF(AZ242="",0,IF(AZ242&gt;=Assumptions!$I$26,1,0))</f>
        <v>0</v>
      </c>
      <c r="BC242" s="9" t="n">
        <f aca="false">IF(AL242="",2,AL242+2)</f>
        <v>4</v>
      </c>
      <c r="BD242" s="10" t="n">
        <f aca="false">IF(AM242="",ROUND(AVERAGE($AM$2:$AM$921),3),AM242)</f>
        <v>0.894</v>
      </c>
      <c r="BE242" s="9" t="n">
        <f aca="false">1-BD242</f>
        <v>0.106</v>
      </c>
    </row>
    <row r="243" customFormat="false" ht="14.25" hidden="true" customHeight="false" outlineLevel="0" collapsed="false">
      <c r="A243" s="4" t="n">
        <v>336</v>
      </c>
      <c r="B243" s="5" t="n">
        <v>30502978</v>
      </c>
      <c r="C243" s="5"/>
      <c r="D243" s="5" t="s">
        <v>1266</v>
      </c>
      <c r="E243" s="5" t="s">
        <v>257</v>
      </c>
      <c r="F243" s="5" t="s">
        <v>267</v>
      </c>
      <c r="G243" s="5" t="s">
        <v>268</v>
      </c>
      <c r="H243" s="5" t="s">
        <v>267</v>
      </c>
      <c r="I243" s="5" t="s">
        <v>63</v>
      </c>
      <c r="J243" s="5" t="s">
        <v>76</v>
      </c>
      <c r="K243" s="5" t="s">
        <v>65</v>
      </c>
      <c r="L243" s="6" t="n">
        <v>39463</v>
      </c>
      <c r="M243" s="5" t="s">
        <v>1267</v>
      </c>
      <c r="N243" s="6" t="n">
        <v>25643</v>
      </c>
      <c r="O243" s="5" t="s">
        <v>262</v>
      </c>
      <c r="P243" s="5" t="s">
        <v>263</v>
      </c>
      <c r="Q243" s="5" t="s">
        <v>670</v>
      </c>
      <c r="R243" s="5" t="s">
        <v>652</v>
      </c>
      <c r="S243" s="5" t="s">
        <v>1143</v>
      </c>
      <c r="T243" s="6" t="n">
        <v>42430</v>
      </c>
      <c r="U243" s="6" t="n">
        <v>44440</v>
      </c>
      <c r="V243" s="5" t="s">
        <v>83</v>
      </c>
      <c r="W243" s="5" t="s">
        <v>141</v>
      </c>
      <c r="X243" s="5" t="s">
        <v>141</v>
      </c>
      <c r="Y243" s="5" t="s">
        <v>141</v>
      </c>
      <c r="Z243" s="5" t="s">
        <v>141</v>
      </c>
      <c r="AA243" s="5" t="s">
        <v>1268</v>
      </c>
      <c r="AB243" s="0" t="n">
        <f aca="false">IFERROR(VALUE(R243),0)</f>
        <v>16.4</v>
      </c>
      <c r="AC243" s="0" t="n">
        <f aca="false">IFERROR(VALUE(M243),"")</f>
        <v>56.2</v>
      </c>
      <c r="AD243" s="0" t="n">
        <f aca="false">IFERROR(VALUE(Q243),"")</f>
        <v>18.4</v>
      </c>
      <c r="AE243" s="0" t="n">
        <f aca="false">IFERROR(VALUE(S243),"")</f>
        <v>34.8</v>
      </c>
      <c r="AF243" s="0" t="n">
        <f aca="false">IF(V243="","",VLOOKUP(V243,Assumptions!$B$6:$C$9,2,FALSE()))</f>
        <v>4</v>
      </c>
      <c r="AG243" s="0" t="n">
        <f aca="false">IF(W243="","",VLOOKUP(W243,Assumptions!$B$6:$C$9,2,FALSE()))</f>
        <v>3</v>
      </c>
      <c r="AH243" s="0" t="n">
        <f aca="false">IF(X243="","",VLOOKUP(X243,Assumptions!$B$6:$C$9,2,FALSE()))</f>
        <v>3</v>
      </c>
      <c r="AI243" s="0" t="n">
        <f aca="false">IF(Y243="","",VLOOKUP(Y243,Assumptions!$B$6:$C$9,2,FALSE()))</f>
        <v>3</v>
      </c>
      <c r="AJ243" s="0" t="n">
        <f aca="false">IF(Z243="","",VLOOKUP(Z243,Assumptions!$B$6:$C$9,2,FALSE()))</f>
        <v>3</v>
      </c>
      <c r="AK243" s="7" t="n">
        <f aca="false">IFERROR(ROUND(AVERAGE(AF243:AJ243),3),"")</f>
        <v>3.2</v>
      </c>
      <c r="AL243" s="7" t="n">
        <f aca="false">IF(OR(AF243="",AJ243=""),"",AJ243-AF243)</f>
        <v>-1</v>
      </c>
      <c r="AM243" s="7" t="n">
        <f aca="false">IF(COUNT(AF243:AJ243)&gt;=2,ROUND(_xlfn.STDEV.S(AF243:AJ243),3),"")</f>
        <v>0.447</v>
      </c>
      <c r="AN243" s="7" t="n">
        <f aca="false">ROUND((IF(AF243="",0,AF243)*Assumptions!$F$15)+(IF(AG243="",0,AG243)*Assumptions!$F$16)+(IF(AH243="",0,AH243)*Assumptions!$F$17)+(IF(AI243="",0,AI243)*Assumptions!$F$18)+(IF(AJ243="",0,AJ243)*Assumptions!$F$19),3)</f>
        <v>3.1</v>
      </c>
      <c r="AO243" s="0" t="str">
        <f aca="false">IF(AC243&lt;=20,"",IF(AC243&lt;=Assumptions!$F$6,"20-30",IF(AC243&lt;=Assumptions!$F$7,"30-40",IF(AC243&lt;=Assumptions!$F$8,"40-50",IF(AC243&lt;=Assumptions!$F$9,"50-60",IF(AC243&lt;=Assumptions!$F$10,"60+",""))))))</f>
        <v>50-60</v>
      </c>
      <c r="AP243" s="0" t="str">
        <f aca="false">IFERROR(VLOOKUP(O243,Assumptions!$B$14:$C$26,2,FALSE()),"Other")</f>
        <v>Manager</v>
      </c>
      <c r="AQ243" s="0" t="n">
        <f aca="false">IF(T243="",0,1)</f>
        <v>1</v>
      </c>
      <c r="AR243" s="0" t="n">
        <f aca="false">IF(U243="",0,1)</f>
        <v>1</v>
      </c>
      <c r="AS243" s="8" t="n">
        <f aca="false">IF(AK243="","",IF(MAX($AK$2:$AK$921)=MIN($AK$2:$AK$921),50,ROUND((AK243-MIN($AK$2:$AK$921))/(MAX($AK$2:$AK$921)-MIN($AK$2:$AK$921))*100,2)))</f>
        <v>65.71</v>
      </c>
      <c r="AT243" s="8" t="n">
        <f aca="false">IF(MAX($BC$2:$BC$921)=MIN($BC$2:$BC$921),50,ROUND((BC243-MIN($BC$2:$BC$921))/(MAX($BC$2:$BC$921)-MIN($BC$2:$BC$921))*100,2))</f>
        <v>25</v>
      </c>
      <c r="AU243" s="8" t="n">
        <f aca="false">IF(MAX($BE$2:$BE$921)=MIN($BE$2:$BE$921),50,ROUND((BE243-MIN($BE$2:$BE$921))/(MAX($BE$2:$BE$921)-MIN($BE$2:$BE$921))*100,2))</f>
        <v>74.19</v>
      </c>
      <c r="AV243" s="8" t="n">
        <f aca="false">IF(MAX($AD$2:$AD$921)=MIN($AD$2:$AD$921),50,ROUND((AD243-MIN($AD$2:$AD$921))/(MAX($AD$2:$AD$921)-MIN($AD$2:$AD$921))*100,2))</f>
        <v>49.71</v>
      </c>
      <c r="AW243" s="8" t="n">
        <f aca="false">IF(MAX($AN$2:$AN$921)=MIN($AN$2:$AN$921),50,ROUND((AN243-MIN($AN$2:$AN$921))/(MAX($AN$2:$AN$921)-MIN($AN$2:$AN$921))*100,2))</f>
        <v>77.5</v>
      </c>
      <c r="AX243" s="8" t="n">
        <f aca="false">AQ243*100</f>
        <v>100</v>
      </c>
      <c r="AY243" s="8" t="n">
        <f aca="false">AR243*100</f>
        <v>100</v>
      </c>
      <c r="AZ243" s="8" t="n">
        <f aca="false">IFERROR(ROUND(AS243*Assumptions!$I$6+AW243*Assumptions!$I$7+AT243*Assumptions!$I$8+AU243*Assumptions!$I$9+AV243*Assumptions!$I$10+AX243*Assumptions!$I$11+AY243*Assumptions!$I$12,2),"")</f>
        <v>65.06</v>
      </c>
      <c r="BA243" s="0" t="str">
        <f aca="false">IF(AZ243="","",IF(AZ243&lt;=Assumptions!$I$18,"Below Expectation",IF(AZ243&lt;=Assumptions!$I$19,"Developing",IF(AZ243&lt;=Assumptions!$I$20,"Meets Expectation",IF(AZ243&lt;=Assumptions!$I$21,"Exceeds","Star Performer")))))</f>
        <v>Meets Expectation</v>
      </c>
      <c r="BB243" s="0" t="n">
        <f aca="false">IF(AZ243="",0,IF(AZ243&gt;=Assumptions!$I$26,1,0))</f>
        <v>0</v>
      </c>
      <c r="BC243" s="9" t="n">
        <f aca="false">IF(AL243="",2,AL243+2)</f>
        <v>1</v>
      </c>
      <c r="BD243" s="10" t="n">
        <f aca="false">IF(AM243="",ROUND(AVERAGE($AM$2:$AM$921),3),AM243)</f>
        <v>0.447</v>
      </c>
      <c r="BE243" s="9" t="n">
        <f aca="false">1-BD243</f>
        <v>0.553</v>
      </c>
    </row>
    <row r="244" customFormat="false" ht="14.25" hidden="true" customHeight="false" outlineLevel="0" collapsed="false">
      <c r="A244" s="4" t="n">
        <v>53</v>
      </c>
      <c r="B244" s="5" t="n">
        <v>10013487</v>
      </c>
      <c r="C244" s="5"/>
      <c r="D244" s="5" t="s">
        <v>1269</v>
      </c>
      <c r="E244" s="5" t="s">
        <v>257</v>
      </c>
      <c r="F244" s="5" t="s">
        <v>1270</v>
      </c>
      <c r="G244" s="5" t="s">
        <v>177</v>
      </c>
      <c r="H244" s="5" t="s">
        <v>178</v>
      </c>
      <c r="I244" s="5" t="s">
        <v>63</v>
      </c>
      <c r="J244" s="5" t="s">
        <v>76</v>
      </c>
      <c r="K244" s="5" t="s">
        <v>65</v>
      </c>
      <c r="L244" s="6" t="n">
        <v>38859</v>
      </c>
      <c r="M244" s="5" t="s">
        <v>1271</v>
      </c>
      <c r="N244" s="6" t="n">
        <v>26985</v>
      </c>
      <c r="O244" s="5" t="s">
        <v>122</v>
      </c>
      <c r="P244" s="5" t="s">
        <v>123</v>
      </c>
      <c r="Q244" s="5" t="s">
        <v>671</v>
      </c>
      <c r="R244" s="5" t="s">
        <v>452</v>
      </c>
      <c r="S244" s="5" t="s">
        <v>838</v>
      </c>
      <c r="T244" s="6" t="n">
        <v>40269</v>
      </c>
      <c r="U244" s="6"/>
      <c r="V244" s="5" t="s">
        <v>141</v>
      </c>
      <c r="W244" s="5" t="s">
        <v>141</v>
      </c>
      <c r="X244" s="5" t="s">
        <v>141</v>
      </c>
      <c r="Y244" s="5" t="s">
        <v>83</v>
      </c>
      <c r="Z244" s="5" t="s">
        <v>141</v>
      </c>
      <c r="AA244" s="5" t="s">
        <v>1272</v>
      </c>
      <c r="AB244" s="0" t="n">
        <f aca="false">IFERROR(VALUE(R244),0)</f>
        <v>8.6</v>
      </c>
      <c r="AC244" s="0" t="n">
        <f aca="false">IFERROR(VALUE(M244),"")</f>
        <v>52.6</v>
      </c>
      <c r="AD244" s="0" t="n">
        <f aca="false">IFERROR(VALUE(Q244),"")</f>
        <v>20</v>
      </c>
      <c r="AE244" s="0" t="n">
        <f aca="false">IFERROR(VALUE(S244),"")</f>
        <v>28.6</v>
      </c>
      <c r="AF244" s="0" t="n">
        <f aca="false">IF(V244="","",VLOOKUP(V244,Assumptions!$B$6:$C$9,2,FALSE()))</f>
        <v>3</v>
      </c>
      <c r="AG244" s="0" t="n">
        <f aca="false">IF(W244="","",VLOOKUP(W244,Assumptions!$B$6:$C$9,2,FALSE()))</f>
        <v>3</v>
      </c>
      <c r="AH244" s="0" t="n">
        <f aca="false">IF(X244="","",VLOOKUP(X244,Assumptions!$B$6:$C$9,2,FALSE()))</f>
        <v>3</v>
      </c>
      <c r="AI244" s="0" t="n">
        <f aca="false">IF(Y244="","",VLOOKUP(Y244,Assumptions!$B$6:$C$9,2,FALSE()))</f>
        <v>4</v>
      </c>
      <c r="AJ244" s="0" t="n">
        <f aca="false">IF(Z244="","",VLOOKUP(Z244,Assumptions!$B$6:$C$9,2,FALSE()))</f>
        <v>3</v>
      </c>
      <c r="AK244" s="7" t="n">
        <f aca="false">IFERROR(ROUND(AVERAGE(AF244:AJ244),3),"")</f>
        <v>3.2</v>
      </c>
      <c r="AL244" s="7" t="n">
        <f aca="false">IF(OR(AF244="",AJ244=""),"",AJ244-AF244)</f>
        <v>0</v>
      </c>
      <c r="AM244" s="7" t="n">
        <f aca="false">IF(COUNT(AF244:AJ244)&gt;=2,ROUND(_xlfn.STDEV.S(AF244:AJ244),3),"")</f>
        <v>0.447</v>
      </c>
      <c r="AN244" s="7" t="n">
        <f aca="false">ROUND((IF(AF244="",0,AF244)*Assumptions!$F$15)+(IF(AG244="",0,AG244)*Assumptions!$F$16)+(IF(AH244="",0,AH244)*Assumptions!$F$17)+(IF(AI244="",0,AI244)*Assumptions!$F$18)+(IF(AJ244="",0,AJ244)*Assumptions!$F$19),3)</f>
        <v>3.25</v>
      </c>
      <c r="AO244" s="0" t="str">
        <f aca="false">IF(AC244&lt;=20,"",IF(AC244&lt;=Assumptions!$F$6,"20-30",IF(AC244&lt;=Assumptions!$F$7,"30-40",IF(AC244&lt;=Assumptions!$F$8,"40-50",IF(AC244&lt;=Assumptions!$F$9,"50-60",IF(AC244&lt;=Assumptions!$F$10,"60+",""))))))</f>
        <v>50-60</v>
      </c>
      <c r="AP244" s="0" t="str">
        <f aca="false">IFERROR(VLOOKUP(O244,Assumptions!$B$14:$C$26,2,FALSE()),"Other")</f>
        <v>Leadership</v>
      </c>
      <c r="AQ244" s="0" t="n">
        <f aca="false">IF(T244="",0,1)</f>
        <v>1</v>
      </c>
      <c r="AR244" s="0" t="n">
        <f aca="false">IF(U244="",0,1)</f>
        <v>0</v>
      </c>
      <c r="AS244" s="8" t="n">
        <f aca="false">IF(AK244="","",IF(MAX($AK$2:$AK$921)=MIN($AK$2:$AK$921),50,ROUND((AK244-MIN($AK$2:$AK$921))/(MAX($AK$2:$AK$921)-MIN($AK$2:$AK$921))*100,2)))</f>
        <v>65.71</v>
      </c>
      <c r="AT244" s="8" t="n">
        <f aca="false">IF(MAX($BC$2:$BC$921)=MIN($BC$2:$BC$921),50,ROUND((BC244-MIN($BC$2:$BC$921))/(MAX($BC$2:$BC$921)-MIN($BC$2:$BC$921))*100,2))</f>
        <v>50</v>
      </c>
      <c r="AU244" s="8" t="n">
        <f aca="false">IF(MAX($BE$2:$BE$921)=MIN($BE$2:$BE$921),50,ROUND((BE244-MIN($BE$2:$BE$921))/(MAX($BE$2:$BE$921)-MIN($BE$2:$BE$921))*100,2))</f>
        <v>74.19</v>
      </c>
      <c r="AV244" s="8" t="n">
        <f aca="false">IF(MAX($AD$2:$AD$921)=MIN($AD$2:$AD$921),50,ROUND((AD244-MIN($AD$2:$AD$921))/(MAX($AD$2:$AD$921)-MIN($AD$2:$AD$921))*100,2))</f>
        <v>54.06</v>
      </c>
      <c r="AW244" s="8" t="n">
        <f aca="false">IF(MAX($AN$2:$AN$921)=MIN($AN$2:$AN$921),50,ROUND((AN244-MIN($AN$2:$AN$921))/(MAX($AN$2:$AN$921)-MIN($AN$2:$AN$921))*100,2))</f>
        <v>81.25</v>
      </c>
      <c r="AX244" s="8" t="n">
        <f aca="false">AQ244*100</f>
        <v>100</v>
      </c>
      <c r="AY244" s="8" t="n">
        <f aca="false">AR244*100</f>
        <v>0</v>
      </c>
      <c r="AZ244" s="8" t="n">
        <f aca="false">IFERROR(ROUND(AS244*Assumptions!$I$6+AW244*Assumptions!$I$7+AT244*Assumptions!$I$8+AU244*Assumptions!$I$9+AV244*Assumptions!$I$10+AX244*Assumptions!$I$11+AY244*Assumptions!$I$12,2),"")</f>
        <v>65</v>
      </c>
      <c r="BA244" s="0" t="str">
        <f aca="false">IF(AZ244="","",IF(AZ244&lt;=Assumptions!$I$18,"Below Expectation",IF(AZ244&lt;=Assumptions!$I$19,"Developing",IF(AZ244&lt;=Assumptions!$I$20,"Meets Expectation",IF(AZ244&lt;=Assumptions!$I$21,"Exceeds","Star Performer")))))</f>
        <v>Meets Expectation</v>
      </c>
      <c r="BB244" s="0" t="n">
        <f aca="false">IF(AZ244="",0,IF(AZ244&gt;=Assumptions!$I$26,1,0))</f>
        <v>0</v>
      </c>
      <c r="BC244" s="9" t="n">
        <f aca="false">IF(AL244="",2,AL244+2)</f>
        <v>2</v>
      </c>
      <c r="BD244" s="10" t="n">
        <f aca="false">IF(AM244="",ROUND(AVERAGE($AM$2:$AM$921),3),AM244)</f>
        <v>0.447</v>
      </c>
      <c r="BE244" s="9" t="n">
        <f aca="false">1-BD244</f>
        <v>0.553</v>
      </c>
    </row>
    <row r="245" customFormat="false" ht="14.25" hidden="true" customHeight="false" outlineLevel="0" collapsed="false">
      <c r="A245" s="4" t="n">
        <v>363</v>
      </c>
      <c r="B245" s="5" t="n">
        <v>37101701</v>
      </c>
      <c r="C245" s="5" t="s">
        <v>85</v>
      </c>
      <c r="D245" s="5" t="s">
        <v>1273</v>
      </c>
      <c r="E245" s="5" t="s">
        <v>137</v>
      </c>
      <c r="F245" s="5" t="s">
        <v>267</v>
      </c>
      <c r="G245" s="5" t="s">
        <v>268</v>
      </c>
      <c r="H245" s="5" t="s">
        <v>267</v>
      </c>
      <c r="I245" s="5" t="s">
        <v>63</v>
      </c>
      <c r="J245" s="5" t="s">
        <v>76</v>
      </c>
      <c r="K245" s="5" t="s">
        <v>1262</v>
      </c>
      <c r="L245" s="6" t="n">
        <v>39272</v>
      </c>
      <c r="M245" s="5" t="s">
        <v>1274</v>
      </c>
      <c r="N245" s="6" t="n">
        <v>31174</v>
      </c>
      <c r="O245" s="5" t="s">
        <v>162</v>
      </c>
      <c r="P245" s="5" t="s">
        <v>162</v>
      </c>
      <c r="Q245" s="5" t="s">
        <v>655</v>
      </c>
      <c r="R245" s="5" t="s">
        <v>115</v>
      </c>
      <c r="S245" s="5" t="s">
        <v>655</v>
      </c>
      <c r="T245" s="6" t="n">
        <v>40634</v>
      </c>
      <c r="U245" s="6" t="n">
        <v>46113</v>
      </c>
      <c r="V245" s="5" t="s">
        <v>83</v>
      </c>
      <c r="W245" s="5" t="s">
        <v>141</v>
      </c>
      <c r="X245" s="5" t="s">
        <v>141</v>
      </c>
      <c r="Y245" s="5" t="s">
        <v>141</v>
      </c>
      <c r="Z245" s="5" t="s">
        <v>141</v>
      </c>
      <c r="AA245" s="5" t="s">
        <v>1275</v>
      </c>
      <c r="AB245" s="0" t="n">
        <f aca="false">IFERROR(VALUE(R245),0)</f>
        <v>0</v>
      </c>
      <c r="AC245" s="0" t="n">
        <f aca="false">IFERROR(VALUE(M245),"")</f>
        <v>41.1</v>
      </c>
      <c r="AD245" s="0" t="n">
        <f aca="false">IFERROR(VALUE(Q245),"")</f>
        <v>18.1</v>
      </c>
      <c r="AE245" s="0" t="n">
        <f aca="false">IFERROR(VALUE(S245),"")</f>
        <v>18.1</v>
      </c>
      <c r="AF245" s="0" t="n">
        <f aca="false">IF(V245="","",VLOOKUP(V245,Assumptions!$B$6:$C$9,2,FALSE()))</f>
        <v>4</v>
      </c>
      <c r="AG245" s="0" t="n">
        <f aca="false">IF(W245="","",VLOOKUP(W245,Assumptions!$B$6:$C$9,2,FALSE()))</f>
        <v>3</v>
      </c>
      <c r="AH245" s="0" t="n">
        <f aca="false">IF(X245="","",VLOOKUP(X245,Assumptions!$B$6:$C$9,2,FALSE()))</f>
        <v>3</v>
      </c>
      <c r="AI245" s="0" t="n">
        <f aca="false">IF(Y245="","",VLOOKUP(Y245,Assumptions!$B$6:$C$9,2,FALSE()))</f>
        <v>3</v>
      </c>
      <c r="AJ245" s="0" t="n">
        <f aca="false">IF(Z245="","",VLOOKUP(Z245,Assumptions!$B$6:$C$9,2,FALSE()))</f>
        <v>3</v>
      </c>
      <c r="AK245" s="7" t="n">
        <f aca="false">IFERROR(ROUND(AVERAGE(AF245:AJ245),3),"")</f>
        <v>3.2</v>
      </c>
      <c r="AL245" s="7" t="n">
        <f aca="false">IF(OR(AF245="",AJ245=""),"",AJ245-AF245)</f>
        <v>-1</v>
      </c>
      <c r="AM245" s="7" t="n">
        <f aca="false">IF(COUNT(AF245:AJ245)&gt;=2,ROUND(_xlfn.STDEV.S(AF245:AJ245),3),"")</f>
        <v>0.447</v>
      </c>
      <c r="AN245" s="7" t="n">
        <f aca="false">ROUND((IF(AF245="",0,AF245)*Assumptions!$F$15)+(IF(AG245="",0,AG245)*Assumptions!$F$16)+(IF(AH245="",0,AH245)*Assumptions!$F$17)+(IF(AI245="",0,AI245)*Assumptions!$F$18)+(IF(AJ245="",0,AJ245)*Assumptions!$F$19),3)</f>
        <v>3.1</v>
      </c>
      <c r="AO245" s="0" t="str">
        <f aca="false">IF(AC245&lt;=20,"",IF(AC245&lt;=Assumptions!$F$6,"20-30",IF(AC245&lt;=Assumptions!$F$7,"30-40",IF(AC245&lt;=Assumptions!$F$8,"40-50",IF(AC245&lt;=Assumptions!$F$9,"50-60",IF(AC245&lt;=Assumptions!$F$10,"60+",""))))))</f>
        <v>40-50</v>
      </c>
      <c r="AP245" s="0" t="str">
        <f aca="false">IFERROR(VLOOKUP(O245,Assumptions!$B$14:$C$26,2,FALSE()),"Other")</f>
        <v>Manager</v>
      </c>
      <c r="AQ245" s="0" t="n">
        <f aca="false">IF(T245="",0,1)</f>
        <v>1</v>
      </c>
      <c r="AR245" s="0" t="n">
        <f aca="false">IF(U245="",0,1)</f>
        <v>1</v>
      </c>
      <c r="AS245" s="8" t="n">
        <f aca="false">IF(AK245="","",IF(MAX($AK$2:$AK$921)=MIN($AK$2:$AK$921),50,ROUND((AK245-MIN($AK$2:$AK$921))/(MAX($AK$2:$AK$921)-MIN($AK$2:$AK$921))*100,2)))</f>
        <v>65.71</v>
      </c>
      <c r="AT245" s="8" t="n">
        <f aca="false">IF(MAX($BC$2:$BC$921)=MIN($BC$2:$BC$921),50,ROUND((BC245-MIN($BC$2:$BC$921))/(MAX($BC$2:$BC$921)-MIN($BC$2:$BC$921))*100,2))</f>
        <v>25</v>
      </c>
      <c r="AU245" s="8" t="n">
        <f aca="false">IF(MAX($BE$2:$BE$921)=MIN($BE$2:$BE$921),50,ROUND((BE245-MIN($BE$2:$BE$921))/(MAX($BE$2:$BE$921)-MIN($BE$2:$BE$921))*100,2))</f>
        <v>74.19</v>
      </c>
      <c r="AV245" s="8" t="n">
        <f aca="false">IF(MAX($AD$2:$AD$921)=MIN($AD$2:$AD$921),50,ROUND((AD245-MIN($AD$2:$AD$921))/(MAX($AD$2:$AD$921)-MIN($AD$2:$AD$921))*100,2))</f>
        <v>48.9</v>
      </c>
      <c r="AW245" s="8" t="n">
        <f aca="false">IF(MAX($AN$2:$AN$921)=MIN($AN$2:$AN$921),50,ROUND((AN245-MIN($AN$2:$AN$921))/(MAX($AN$2:$AN$921)-MIN($AN$2:$AN$921))*100,2))</f>
        <v>77.5</v>
      </c>
      <c r="AX245" s="8" t="n">
        <f aca="false">AQ245*100</f>
        <v>100</v>
      </c>
      <c r="AY245" s="8" t="n">
        <f aca="false">AR245*100</f>
        <v>100</v>
      </c>
      <c r="AZ245" s="8" t="n">
        <f aca="false">IFERROR(ROUND(AS245*Assumptions!$I$6+AW245*Assumptions!$I$7+AT245*Assumptions!$I$8+AU245*Assumptions!$I$9+AV245*Assumptions!$I$10+AX245*Assumptions!$I$11+AY245*Assumptions!$I$12,2),"")</f>
        <v>64.98</v>
      </c>
      <c r="BA245" s="0" t="str">
        <f aca="false">IF(AZ245="","",IF(AZ245&lt;=Assumptions!$I$18,"Below Expectation",IF(AZ245&lt;=Assumptions!$I$19,"Developing",IF(AZ245&lt;=Assumptions!$I$20,"Meets Expectation",IF(AZ245&lt;=Assumptions!$I$21,"Exceeds","Star Performer")))))</f>
        <v>Meets Expectation</v>
      </c>
      <c r="BB245" s="0" t="n">
        <f aca="false">IF(AZ245="",0,IF(AZ245&gt;=Assumptions!$I$26,1,0))</f>
        <v>0</v>
      </c>
      <c r="BC245" s="9" t="n">
        <f aca="false">IF(AL245="",2,AL245+2)</f>
        <v>1</v>
      </c>
      <c r="BD245" s="10" t="n">
        <f aca="false">IF(AM245="",ROUND(AVERAGE($AM$2:$AM$921),3),AM245)</f>
        <v>0.447</v>
      </c>
      <c r="BE245" s="9" t="n">
        <f aca="false">1-BD245</f>
        <v>0.553</v>
      </c>
    </row>
    <row r="246" customFormat="false" ht="14.25" hidden="true" customHeight="false" outlineLevel="0" collapsed="false">
      <c r="A246" s="4" t="n">
        <v>445</v>
      </c>
      <c r="B246" s="5" t="n">
        <v>55002668</v>
      </c>
      <c r="C246" s="5"/>
      <c r="D246" s="5" t="s">
        <v>1276</v>
      </c>
      <c r="E246" s="5" t="s">
        <v>257</v>
      </c>
      <c r="F246" s="5" t="s">
        <v>380</v>
      </c>
      <c r="G246" s="5" t="s">
        <v>379</v>
      </c>
      <c r="H246" s="5" t="s">
        <v>380</v>
      </c>
      <c r="I246" s="5" t="s">
        <v>63</v>
      </c>
      <c r="J246" s="5" t="s">
        <v>76</v>
      </c>
      <c r="K246" s="5" t="s">
        <v>309</v>
      </c>
      <c r="L246" s="6" t="n">
        <v>41680</v>
      </c>
      <c r="M246" s="5" t="s">
        <v>1277</v>
      </c>
      <c r="N246" s="6" t="n">
        <v>28663</v>
      </c>
      <c r="O246" s="5" t="s">
        <v>332</v>
      </c>
      <c r="P246" s="5" t="s">
        <v>333</v>
      </c>
      <c r="Q246" s="5" t="s">
        <v>1033</v>
      </c>
      <c r="R246" s="5" t="s">
        <v>1232</v>
      </c>
      <c r="S246" s="5" t="s">
        <v>916</v>
      </c>
      <c r="T246" s="6"/>
      <c r="U246" s="6" t="n">
        <v>43556</v>
      </c>
      <c r="V246" s="5" t="s">
        <v>83</v>
      </c>
      <c r="W246" s="5" t="s">
        <v>141</v>
      </c>
      <c r="X246" s="5" t="s">
        <v>83</v>
      </c>
      <c r="Y246" s="5" t="s">
        <v>83</v>
      </c>
      <c r="Z246" s="5" t="s">
        <v>141</v>
      </c>
      <c r="AA246" s="5" t="s">
        <v>1278</v>
      </c>
      <c r="AB246" s="0" t="n">
        <f aca="false">IFERROR(VALUE(R246),0)</f>
        <v>13</v>
      </c>
      <c r="AC246" s="0" t="n">
        <f aca="false">IFERROR(VALUE(M246),"")</f>
        <v>47.11</v>
      </c>
      <c r="AD246" s="0" t="n">
        <f aca="false">IFERROR(VALUE(Q246),"")</f>
        <v>12.3</v>
      </c>
      <c r="AE246" s="0" t="n">
        <f aca="false">IFERROR(VALUE(S246),"")</f>
        <v>25.3</v>
      </c>
      <c r="AF246" s="0" t="n">
        <f aca="false">IF(V246="","",VLOOKUP(V246,Assumptions!$B$6:$C$9,2,FALSE()))</f>
        <v>4</v>
      </c>
      <c r="AG246" s="0" t="n">
        <f aca="false">IF(W246="","",VLOOKUP(W246,Assumptions!$B$6:$C$9,2,FALSE()))</f>
        <v>3</v>
      </c>
      <c r="AH246" s="0" t="n">
        <f aca="false">IF(X246="","",VLOOKUP(X246,Assumptions!$B$6:$C$9,2,FALSE()))</f>
        <v>4</v>
      </c>
      <c r="AI246" s="0" t="n">
        <f aca="false">IF(Y246="","",VLOOKUP(Y246,Assumptions!$B$6:$C$9,2,FALSE()))</f>
        <v>4</v>
      </c>
      <c r="AJ246" s="0" t="n">
        <f aca="false">IF(Z246="","",VLOOKUP(Z246,Assumptions!$B$6:$C$9,2,FALSE()))</f>
        <v>3</v>
      </c>
      <c r="AK246" s="7" t="n">
        <f aca="false">IFERROR(ROUND(AVERAGE(AF246:AJ246),3),"")</f>
        <v>3.6</v>
      </c>
      <c r="AL246" s="7" t="n">
        <f aca="false">IF(OR(AF246="",AJ246=""),"",AJ246-AF246)</f>
        <v>-1</v>
      </c>
      <c r="AM246" s="7" t="n">
        <f aca="false">IF(COUNT(AF246:AJ246)&gt;=2,ROUND(_xlfn.STDEV.S(AF246:AJ246),3),"")</f>
        <v>0.548</v>
      </c>
      <c r="AN246" s="7" t="n">
        <f aca="false">ROUND((IF(AF246="",0,AF246)*Assumptions!$F$15)+(IF(AG246="",0,AG246)*Assumptions!$F$16)+(IF(AH246="",0,AH246)*Assumptions!$F$17)+(IF(AI246="",0,AI246)*Assumptions!$F$18)+(IF(AJ246="",0,AJ246)*Assumptions!$F$19),3)</f>
        <v>3.55</v>
      </c>
      <c r="AO246" s="0" t="str">
        <f aca="false">IF(AC246&lt;=20,"",IF(AC246&lt;=Assumptions!$F$6,"20-30",IF(AC246&lt;=Assumptions!$F$7,"30-40",IF(AC246&lt;=Assumptions!$F$8,"40-50",IF(AC246&lt;=Assumptions!$F$9,"50-60",IF(AC246&lt;=Assumptions!$F$10,"60+",""))))))</f>
        <v>40-50</v>
      </c>
      <c r="AP246" s="0" t="str">
        <f aca="false">IFERROR(VLOOKUP(O246,Assumptions!$B$14:$C$26,2,FALSE()),"Other")</f>
        <v>Manager</v>
      </c>
      <c r="AQ246" s="0" t="n">
        <f aca="false">IF(T246="",0,1)</f>
        <v>0</v>
      </c>
      <c r="AR246" s="0" t="n">
        <f aca="false">IF(U246="",0,1)</f>
        <v>1</v>
      </c>
      <c r="AS246" s="8" t="n">
        <f aca="false">IF(AK246="","",IF(MAX($AK$2:$AK$921)=MIN($AK$2:$AK$921),50,ROUND((AK246-MIN($AK$2:$AK$921))/(MAX($AK$2:$AK$921)-MIN($AK$2:$AK$921))*100,2)))</f>
        <v>82.85</v>
      </c>
      <c r="AT246" s="8" t="n">
        <f aca="false">IF(MAX($BC$2:$BC$921)=MIN($BC$2:$BC$921),50,ROUND((BC246-MIN($BC$2:$BC$921))/(MAX($BC$2:$BC$921)-MIN($BC$2:$BC$921))*100,2))</f>
        <v>25</v>
      </c>
      <c r="AU246" s="8" t="n">
        <f aca="false">IF(MAX($BE$2:$BE$921)=MIN($BE$2:$BE$921),50,ROUND((BE246-MIN($BE$2:$BE$921))/(MAX($BE$2:$BE$921)-MIN($BE$2:$BE$921))*100,2))</f>
        <v>68.36</v>
      </c>
      <c r="AV246" s="8" t="n">
        <f aca="false">IF(MAX($AD$2:$AD$921)=MIN($AD$2:$AD$921),50,ROUND((AD246-MIN($AD$2:$AD$921))/(MAX($AD$2:$AD$921)-MIN($AD$2:$AD$921))*100,2))</f>
        <v>33.13</v>
      </c>
      <c r="AW246" s="8" t="n">
        <f aca="false">IF(MAX($AN$2:$AN$921)=MIN($AN$2:$AN$921),50,ROUND((AN246-MIN($AN$2:$AN$921))/(MAX($AN$2:$AN$921)-MIN($AN$2:$AN$921))*100,2))</f>
        <v>88.75</v>
      </c>
      <c r="AX246" s="8" t="n">
        <f aca="false">AQ246*100</f>
        <v>0</v>
      </c>
      <c r="AY246" s="8" t="n">
        <f aca="false">AR246*100</f>
        <v>100</v>
      </c>
      <c r="AZ246" s="8" t="n">
        <f aca="false">IFERROR(ROUND(AS246*Assumptions!$I$6+AW246*Assumptions!$I$7+AT246*Assumptions!$I$8+AU246*Assumptions!$I$9+AV246*Assumptions!$I$10+AX246*Assumptions!$I$11+AY246*Assumptions!$I$12,2),"")</f>
        <v>64.92</v>
      </c>
      <c r="BA246" s="0" t="str">
        <f aca="false">IF(AZ246="","",IF(AZ246&lt;=Assumptions!$I$18,"Below Expectation",IF(AZ246&lt;=Assumptions!$I$19,"Developing",IF(AZ246&lt;=Assumptions!$I$20,"Meets Expectation",IF(AZ246&lt;=Assumptions!$I$21,"Exceeds","Star Performer")))))</f>
        <v>Meets Expectation</v>
      </c>
      <c r="BB246" s="0" t="n">
        <f aca="false">IF(AZ246="",0,IF(AZ246&gt;=Assumptions!$I$26,1,0))</f>
        <v>0</v>
      </c>
      <c r="BC246" s="9" t="n">
        <f aca="false">IF(AL246="",2,AL246+2)</f>
        <v>1</v>
      </c>
      <c r="BD246" s="10" t="n">
        <f aca="false">IF(AM246="",ROUND(AVERAGE($AM$2:$AM$921),3),AM246)</f>
        <v>0.548</v>
      </c>
      <c r="BE246" s="9" t="n">
        <f aca="false">1-BD246</f>
        <v>0.452</v>
      </c>
    </row>
    <row r="247" customFormat="false" ht="14.25" hidden="true" customHeight="false" outlineLevel="0" collapsed="false">
      <c r="A247" s="4" t="n">
        <v>46</v>
      </c>
      <c r="B247" s="5" t="n">
        <v>10010049</v>
      </c>
      <c r="C247" s="5" t="s">
        <v>85</v>
      </c>
      <c r="D247" s="5" t="s">
        <v>1279</v>
      </c>
      <c r="E247" s="5" t="s">
        <v>315</v>
      </c>
      <c r="F247" s="5" t="s">
        <v>199</v>
      </c>
      <c r="G247" s="5" t="s">
        <v>200</v>
      </c>
      <c r="H247" s="5" t="s">
        <v>201</v>
      </c>
      <c r="I247" s="5" t="s">
        <v>63</v>
      </c>
      <c r="J247" s="5" t="s">
        <v>76</v>
      </c>
      <c r="K247" s="5" t="s">
        <v>65</v>
      </c>
      <c r="L247" s="6" t="n">
        <v>38671</v>
      </c>
      <c r="M247" s="5" t="s">
        <v>1280</v>
      </c>
      <c r="N247" s="6" t="n">
        <v>27157</v>
      </c>
      <c r="O247" s="5" t="s">
        <v>262</v>
      </c>
      <c r="P247" s="5" t="s">
        <v>263</v>
      </c>
      <c r="Q247" s="5" t="s">
        <v>1281</v>
      </c>
      <c r="R247" s="5" t="s">
        <v>723</v>
      </c>
      <c r="S247" s="5" t="s">
        <v>758</v>
      </c>
      <c r="T247" s="6"/>
      <c r="U247" s="6" t="n">
        <v>44652</v>
      </c>
      <c r="V247" s="5" t="s">
        <v>141</v>
      </c>
      <c r="W247" s="5" t="s">
        <v>141</v>
      </c>
      <c r="X247" s="5" t="s">
        <v>83</v>
      </c>
      <c r="Y247" s="5" t="s">
        <v>141</v>
      </c>
      <c r="Z247" s="5" t="s">
        <v>141</v>
      </c>
      <c r="AA247" s="5" t="s">
        <v>1282</v>
      </c>
      <c r="AB247" s="0" t="n">
        <f aca="false">IFERROR(VALUE(R247),0)</f>
        <v>7.3</v>
      </c>
      <c r="AC247" s="0" t="n">
        <f aca="false">IFERROR(VALUE(M247),"")</f>
        <v>52.1</v>
      </c>
      <c r="AD247" s="0" t="n">
        <f aca="false">IFERROR(VALUE(Q247),"")</f>
        <v>20.6</v>
      </c>
      <c r="AE247" s="0" t="n">
        <f aca="false">IFERROR(VALUE(S247),"")</f>
        <v>27.9</v>
      </c>
      <c r="AF247" s="0" t="n">
        <f aca="false">IF(V247="","",VLOOKUP(V247,Assumptions!$B$6:$C$9,2,FALSE()))</f>
        <v>3</v>
      </c>
      <c r="AG247" s="0" t="n">
        <f aca="false">IF(W247="","",VLOOKUP(W247,Assumptions!$B$6:$C$9,2,FALSE()))</f>
        <v>3</v>
      </c>
      <c r="AH247" s="0" t="n">
        <f aca="false">IF(X247="","",VLOOKUP(X247,Assumptions!$B$6:$C$9,2,FALSE()))</f>
        <v>4</v>
      </c>
      <c r="AI247" s="0" t="n">
        <f aca="false">IF(Y247="","",VLOOKUP(Y247,Assumptions!$B$6:$C$9,2,FALSE()))</f>
        <v>3</v>
      </c>
      <c r="AJ247" s="0" t="n">
        <f aca="false">IF(Z247="","",VLOOKUP(Z247,Assumptions!$B$6:$C$9,2,FALSE()))</f>
        <v>3</v>
      </c>
      <c r="AK247" s="7" t="n">
        <f aca="false">IFERROR(ROUND(AVERAGE(AF247:AJ247),3),"")</f>
        <v>3.2</v>
      </c>
      <c r="AL247" s="7" t="n">
        <f aca="false">IF(OR(AF247="",AJ247=""),"",AJ247-AF247)</f>
        <v>0</v>
      </c>
      <c r="AM247" s="7" t="n">
        <f aca="false">IF(COUNT(AF247:AJ247)&gt;=2,ROUND(_xlfn.STDEV.S(AF247:AJ247),3),"")</f>
        <v>0.447</v>
      </c>
      <c r="AN247" s="7" t="n">
        <f aca="false">ROUND((IF(AF247="",0,AF247)*Assumptions!$F$15)+(IF(AG247="",0,AG247)*Assumptions!$F$16)+(IF(AH247="",0,AH247)*Assumptions!$F$17)+(IF(AI247="",0,AI247)*Assumptions!$F$18)+(IF(AJ247="",0,AJ247)*Assumptions!$F$19),3)</f>
        <v>3.2</v>
      </c>
      <c r="AO247" s="0" t="str">
        <f aca="false">IF(AC247&lt;=20,"",IF(AC247&lt;=Assumptions!$F$6,"20-30",IF(AC247&lt;=Assumptions!$F$7,"30-40",IF(AC247&lt;=Assumptions!$F$8,"40-50",IF(AC247&lt;=Assumptions!$F$9,"50-60",IF(AC247&lt;=Assumptions!$F$10,"60+",""))))))</f>
        <v>50-60</v>
      </c>
      <c r="AP247" s="0" t="str">
        <f aca="false">IFERROR(VLOOKUP(O247,Assumptions!$B$14:$C$26,2,FALSE()),"Other")</f>
        <v>Manager</v>
      </c>
      <c r="AQ247" s="0" t="n">
        <f aca="false">IF(T247="",0,1)</f>
        <v>0</v>
      </c>
      <c r="AR247" s="0" t="n">
        <f aca="false">IF(U247="",0,1)</f>
        <v>1</v>
      </c>
      <c r="AS247" s="8" t="n">
        <f aca="false">IF(AK247="","",IF(MAX($AK$2:$AK$921)=MIN($AK$2:$AK$921),50,ROUND((AK247-MIN($AK$2:$AK$921))/(MAX($AK$2:$AK$921)-MIN($AK$2:$AK$921))*100,2)))</f>
        <v>65.71</v>
      </c>
      <c r="AT247" s="8" t="n">
        <f aca="false">IF(MAX($BC$2:$BC$921)=MIN($BC$2:$BC$921),50,ROUND((BC247-MIN($BC$2:$BC$921))/(MAX($BC$2:$BC$921)-MIN($BC$2:$BC$921))*100,2))</f>
        <v>50</v>
      </c>
      <c r="AU247" s="8" t="n">
        <f aca="false">IF(MAX($BE$2:$BE$921)=MIN($BE$2:$BE$921),50,ROUND((BE247-MIN($BE$2:$BE$921))/(MAX($BE$2:$BE$921)-MIN($BE$2:$BE$921))*100,2))</f>
        <v>74.19</v>
      </c>
      <c r="AV247" s="8" t="n">
        <f aca="false">IF(MAX($AD$2:$AD$921)=MIN($AD$2:$AD$921),50,ROUND((AD247-MIN($AD$2:$AD$921))/(MAX($AD$2:$AD$921)-MIN($AD$2:$AD$921))*100,2))</f>
        <v>55.69</v>
      </c>
      <c r="AW247" s="8" t="n">
        <f aca="false">IF(MAX($AN$2:$AN$921)=MIN($AN$2:$AN$921),50,ROUND((AN247-MIN($AN$2:$AN$921))/(MAX($AN$2:$AN$921)-MIN($AN$2:$AN$921))*100,2))</f>
        <v>80</v>
      </c>
      <c r="AX247" s="8" t="n">
        <f aca="false">AQ247*100</f>
        <v>0</v>
      </c>
      <c r="AY247" s="8" t="n">
        <f aca="false">AR247*100</f>
        <v>100</v>
      </c>
      <c r="AZ247" s="8" t="n">
        <f aca="false">IFERROR(ROUND(AS247*Assumptions!$I$6+AW247*Assumptions!$I$7+AT247*Assumptions!$I$8+AU247*Assumptions!$I$9+AV247*Assumptions!$I$10+AX247*Assumptions!$I$11+AY247*Assumptions!$I$12,2),"")</f>
        <v>64.91</v>
      </c>
      <c r="BA247" s="0" t="str">
        <f aca="false">IF(AZ247="","",IF(AZ247&lt;=Assumptions!$I$18,"Below Expectation",IF(AZ247&lt;=Assumptions!$I$19,"Developing",IF(AZ247&lt;=Assumptions!$I$20,"Meets Expectation",IF(AZ247&lt;=Assumptions!$I$21,"Exceeds","Star Performer")))))</f>
        <v>Meets Expectation</v>
      </c>
      <c r="BB247" s="0" t="n">
        <f aca="false">IF(AZ247="",0,IF(AZ247&gt;=Assumptions!$I$26,1,0))</f>
        <v>0</v>
      </c>
      <c r="BC247" s="9" t="n">
        <f aca="false">IF(AL247="",2,AL247+2)</f>
        <v>2</v>
      </c>
      <c r="BD247" s="10" t="n">
        <f aca="false">IF(AM247="",ROUND(AVERAGE($AM$2:$AM$921),3),AM247)</f>
        <v>0.447</v>
      </c>
      <c r="BE247" s="9" t="n">
        <f aca="false">1-BD247</f>
        <v>0.553</v>
      </c>
    </row>
    <row r="248" customFormat="false" ht="14.25" hidden="true" customHeight="false" outlineLevel="0" collapsed="false">
      <c r="A248" s="4" t="n">
        <v>199</v>
      </c>
      <c r="B248" s="5" t="n">
        <v>10055949</v>
      </c>
      <c r="C248" s="5" t="s">
        <v>85</v>
      </c>
      <c r="D248" s="5" t="s">
        <v>1283</v>
      </c>
      <c r="E248" s="5" t="s">
        <v>865</v>
      </c>
      <c r="F248" s="5" t="s">
        <v>370</v>
      </c>
      <c r="G248" s="5" t="s">
        <v>371</v>
      </c>
      <c r="H248" s="5" t="s">
        <v>370</v>
      </c>
      <c r="I248" s="5" t="s">
        <v>63</v>
      </c>
      <c r="J248" s="5" t="s">
        <v>76</v>
      </c>
      <c r="K248" s="5" t="s">
        <v>65</v>
      </c>
      <c r="L248" s="6" t="n">
        <v>42681</v>
      </c>
      <c r="M248" s="5" t="s">
        <v>1018</v>
      </c>
      <c r="N248" s="6" t="n">
        <v>29782</v>
      </c>
      <c r="O248" s="5" t="s">
        <v>162</v>
      </c>
      <c r="P248" s="5" t="s">
        <v>162</v>
      </c>
      <c r="Q248" s="5" t="s">
        <v>71</v>
      </c>
      <c r="R248" s="5" t="s">
        <v>1094</v>
      </c>
      <c r="S248" s="5" t="s">
        <v>171</v>
      </c>
      <c r="T248" s="6"/>
      <c r="U248" s="6" t="n">
        <v>46113</v>
      </c>
      <c r="V248" s="5" t="s">
        <v>141</v>
      </c>
      <c r="W248" s="5" t="s">
        <v>141</v>
      </c>
      <c r="X248" s="5" t="s">
        <v>83</v>
      </c>
      <c r="Y248" s="5" t="s">
        <v>83</v>
      </c>
      <c r="Z248" s="5" t="s">
        <v>141</v>
      </c>
      <c r="AA248" s="5" t="s">
        <v>1284</v>
      </c>
      <c r="AB248" s="0" t="n">
        <f aca="false">IFERROR(VALUE(R248),0)</f>
        <v>9.6</v>
      </c>
      <c r="AC248" s="0" t="n">
        <f aca="false">IFERROR(VALUE(M248),"")</f>
        <v>44.1</v>
      </c>
      <c r="AD248" s="0" t="n">
        <f aca="false">IFERROR(VALUE(Q248),"")</f>
        <v>9.7</v>
      </c>
      <c r="AE248" s="0" t="n">
        <f aca="false">IFERROR(VALUE(S248),"")</f>
        <v>19.1</v>
      </c>
      <c r="AF248" s="0" t="n">
        <f aca="false">IF(V248="","",VLOOKUP(V248,Assumptions!$B$6:$C$9,2,FALSE()))</f>
        <v>3</v>
      </c>
      <c r="AG248" s="0" t="n">
        <f aca="false">IF(W248="","",VLOOKUP(W248,Assumptions!$B$6:$C$9,2,FALSE()))</f>
        <v>3</v>
      </c>
      <c r="AH248" s="0" t="n">
        <f aca="false">IF(X248="","",VLOOKUP(X248,Assumptions!$B$6:$C$9,2,FALSE()))</f>
        <v>4</v>
      </c>
      <c r="AI248" s="0" t="n">
        <f aca="false">IF(Y248="","",VLOOKUP(Y248,Assumptions!$B$6:$C$9,2,FALSE()))</f>
        <v>4</v>
      </c>
      <c r="AJ248" s="0" t="n">
        <f aca="false">IF(Z248="","",VLOOKUP(Z248,Assumptions!$B$6:$C$9,2,FALSE()))</f>
        <v>3</v>
      </c>
      <c r="AK248" s="7" t="n">
        <f aca="false">IFERROR(ROUND(AVERAGE(AF248:AJ248),3),"")</f>
        <v>3.4</v>
      </c>
      <c r="AL248" s="7" t="n">
        <f aca="false">IF(OR(AF248="",AJ248=""),"",AJ248-AF248)</f>
        <v>0</v>
      </c>
      <c r="AM248" s="7" t="n">
        <f aca="false">IF(COUNT(AF248:AJ248)&gt;=2,ROUND(_xlfn.STDEV.S(AF248:AJ248),3),"")</f>
        <v>0.548</v>
      </c>
      <c r="AN248" s="7" t="n">
        <f aca="false">ROUND((IF(AF248="",0,AF248)*Assumptions!$F$15)+(IF(AG248="",0,AG248)*Assumptions!$F$16)+(IF(AH248="",0,AH248)*Assumptions!$F$17)+(IF(AI248="",0,AI248)*Assumptions!$F$18)+(IF(AJ248="",0,AJ248)*Assumptions!$F$19),3)</f>
        <v>3.45</v>
      </c>
      <c r="AO248" s="0" t="str">
        <f aca="false">IF(AC248&lt;=20,"",IF(AC248&lt;=Assumptions!$F$6,"20-30",IF(AC248&lt;=Assumptions!$F$7,"30-40",IF(AC248&lt;=Assumptions!$F$8,"40-50",IF(AC248&lt;=Assumptions!$F$9,"50-60",IF(AC248&lt;=Assumptions!$F$10,"60+",""))))))</f>
        <v>40-50</v>
      </c>
      <c r="AP248" s="0" t="str">
        <f aca="false">IFERROR(VLOOKUP(O248,Assumptions!$B$14:$C$26,2,FALSE()),"Other")</f>
        <v>Manager</v>
      </c>
      <c r="AQ248" s="0" t="n">
        <f aca="false">IF(T248="",0,1)</f>
        <v>0</v>
      </c>
      <c r="AR248" s="0" t="n">
        <f aca="false">IF(U248="",0,1)</f>
        <v>1</v>
      </c>
      <c r="AS248" s="8" t="n">
        <f aca="false">IF(AK248="","",IF(MAX($AK$2:$AK$921)=MIN($AK$2:$AK$921),50,ROUND((AK248-MIN($AK$2:$AK$921))/(MAX($AK$2:$AK$921)-MIN($AK$2:$AK$921))*100,2)))</f>
        <v>74.28</v>
      </c>
      <c r="AT248" s="8" t="n">
        <f aca="false">IF(MAX($BC$2:$BC$921)=MIN($BC$2:$BC$921),50,ROUND((BC248-MIN($BC$2:$BC$921))/(MAX($BC$2:$BC$921)-MIN($BC$2:$BC$921))*100,2))</f>
        <v>50</v>
      </c>
      <c r="AU248" s="8" t="n">
        <f aca="false">IF(MAX($BE$2:$BE$921)=MIN($BE$2:$BE$921),50,ROUND((BE248-MIN($BE$2:$BE$921))/(MAX($BE$2:$BE$921)-MIN($BE$2:$BE$921))*100,2))</f>
        <v>68.36</v>
      </c>
      <c r="AV248" s="8" t="n">
        <f aca="false">IF(MAX($AD$2:$AD$921)=MIN($AD$2:$AD$921),50,ROUND((AD248-MIN($AD$2:$AD$921))/(MAX($AD$2:$AD$921)-MIN($AD$2:$AD$921))*100,2))</f>
        <v>26.07</v>
      </c>
      <c r="AW248" s="8" t="n">
        <f aca="false">IF(MAX($AN$2:$AN$921)=MIN($AN$2:$AN$921),50,ROUND((AN248-MIN($AN$2:$AN$921))/(MAX($AN$2:$AN$921)-MIN($AN$2:$AN$921))*100,2))</f>
        <v>86.25</v>
      </c>
      <c r="AX248" s="8" t="n">
        <f aca="false">AQ248*100</f>
        <v>0</v>
      </c>
      <c r="AY248" s="8" t="n">
        <f aca="false">AR248*100</f>
        <v>100</v>
      </c>
      <c r="AZ248" s="8" t="n">
        <f aca="false">IFERROR(ROUND(AS248*Assumptions!$I$6+AW248*Assumptions!$I$7+AT248*Assumptions!$I$8+AU248*Assumptions!$I$9+AV248*Assumptions!$I$10+AX248*Assumptions!$I$11+AY248*Assumptions!$I$12,2),"")</f>
        <v>64.9</v>
      </c>
      <c r="BA248" s="0" t="str">
        <f aca="false">IF(AZ248="","",IF(AZ248&lt;=Assumptions!$I$18,"Below Expectation",IF(AZ248&lt;=Assumptions!$I$19,"Developing",IF(AZ248&lt;=Assumptions!$I$20,"Meets Expectation",IF(AZ248&lt;=Assumptions!$I$21,"Exceeds","Star Performer")))))</f>
        <v>Meets Expectation</v>
      </c>
      <c r="BB248" s="0" t="n">
        <f aca="false">IF(AZ248="",0,IF(AZ248&gt;=Assumptions!$I$26,1,0))</f>
        <v>0</v>
      </c>
      <c r="BC248" s="9" t="n">
        <f aca="false">IF(AL248="",2,AL248+2)</f>
        <v>2</v>
      </c>
      <c r="BD248" s="10" t="n">
        <f aca="false">IF(AM248="",ROUND(AVERAGE($AM$2:$AM$921),3),AM248)</f>
        <v>0.548</v>
      </c>
      <c r="BE248" s="9" t="n">
        <f aca="false">1-BD248</f>
        <v>0.452</v>
      </c>
    </row>
    <row r="249" customFormat="false" ht="14.25" hidden="true" customHeight="false" outlineLevel="0" collapsed="false">
      <c r="A249" s="4" t="n">
        <v>211</v>
      </c>
      <c r="B249" s="5" t="n">
        <v>10056439</v>
      </c>
      <c r="C249" s="5" t="s">
        <v>85</v>
      </c>
      <c r="D249" s="5" t="s">
        <v>1285</v>
      </c>
      <c r="E249" s="5" t="s">
        <v>339</v>
      </c>
      <c r="F249" s="5" t="s">
        <v>1187</v>
      </c>
      <c r="G249" s="5" t="s">
        <v>619</v>
      </c>
      <c r="H249" s="5" t="s">
        <v>618</v>
      </c>
      <c r="I249" s="5" t="s">
        <v>63</v>
      </c>
      <c r="J249" s="5" t="s">
        <v>76</v>
      </c>
      <c r="K249" s="5" t="s">
        <v>65</v>
      </c>
      <c r="L249" s="6" t="n">
        <v>42730</v>
      </c>
      <c r="M249" s="5" t="s">
        <v>432</v>
      </c>
      <c r="N249" s="6" t="n">
        <v>32524</v>
      </c>
      <c r="O249" s="5" t="s">
        <v>262</v>
      </c>
      <c r="P249" s="5" t="s">
        <v>263</v>
      </c>
      <c r="Q249" s="5" t="s">
        <v>425</v>
      </c>
      <c r="R249" s="5" t="s">
        <v>1286</v>
      </c>
      <c r="S249" s="5" t="s">
        <v>212</v>
      </c>
      <c r="T249" s="6"/>
      <c r="U249" s="6" t="n">
        <v>44440</v>
      </c>
      <c r="V249" s="5" t="s">
        <v>141</v>
      </c>
      <c r="W249" s="5" t="s">
        <v>141</v>
      </c>
      <c r="X249" s="5" t="s">
        <v>83</v>
      </c>
      <c r="Y249" s="5" t="s">
        <v>83</v>
      </c>
      <c r="Z249" s="5" t="s">
        <v>141</v>
      </c>
      <c r="AA249" s="5" t="s">
        <v>1287</v>
      </c>
      <c r="AB249" s="0" t="n">
        <f aca="false">IFERROR(VALUE(R249),0)</f>
        <v>6.2</v>
      </c>
      <c r="AC249" s="0" t="n">
        <f aca="false">IFERROR(VALUE(M249),"")</f>
        <v>37.4</v>
      </c>
      <c r="AD249" s="0" t="n">
        <f aca="false">IFERROR(VALUE(Q249),"")</f>
        <v>9.5</v>
      </c>
      <c r="AE249" s="0" t="n">
        <f aca="false">IFERROR(VALUE(S249),"")</f>
        <v>15.7</v>
      </c>
      <c r="AF249" s="0" t="n">
        <f aca="false">IF(V249="","",VLOOKUP(V249,Assumptions!$B$6:$C$9,2,FALSE()))</f>
        <v>3</v>
      </c>
      <c r="AG249" s="0" t="n">
        <f aca="false">IF(W249="","",VLOOKUP(W249,Assumptions!$B$6:$C$9,2,FALSE()))</f>
        <v>3</v>
      </c>
      <c r="AH249" s="0" t="n">
        <f aca="false">IF(X249="","",VLOOKUP(X249,Assumptions!$B$6:$C$9,2,FALSE()))</f>
        <v>4</v>
      </c>
      <c r="AI249" s="0" t="n">
        <f aca="false">IF(Y249="","",VLOOKUP(Y249,Assumptions!$B$6:$C$9,2,FALSE()))</f>
        <v>4</v>
      </c>
      <c r="AJ249" s="0" t="n">
        <f aca="false">IF(Z249="","",VLOOKUP(Z249,Assumptions!$B$6:$C$9,2,FALSE()))</f>
        <v>3</v>
      </c>
      <c r="AK249" s="7" t="n">
        <f aca="false">IFERROR(ROUND(AVERAGE(AF249:AJ249),3),"")</f>
        <v>3.4</v>
      </c>
      <c r="AL249" s="7" t="n">
        <f aca="false">IF(OR(AF249="",AJ249=""),"",AJ249-AF249)</f>
        <v>0</v>
      </c>
      <c r="AM249" s="7" t="n">
        <f aca="false">IF(COUNT(AF249:AJ249)&gt;=2,ROUND(_xlfn.STDEV.S(AF249:AJ249),3),"")</f>
        <v>0.548</v>
      </c>
      <c r="AN249" s="7" t="n">
        <f aca="false">ROUND((IF(AF249="",0,AF249)*Assumptions!$F$15)+(IF(AG249="",0,AG249)*Assumptions!$F$16)+(IF(AH249="",0,AH249)*Assumptions!$F$17)+(IF(AI249="",0,AI249)*Assumptions!$F$18)+(IF(AJ249="",0,AJ249)*Assumptions!$F$19),3)</f>
        <v>3.45</v>
      </c>
      <c r="AO249" s="0" t="str">
        <f aca="false">IF(AC249&lt;=20,"",IF(AC249&lt;=Assumptions!$F$6,"20-30",IF(AC249&lt;=Assumptions!$F$7,"30-40",IF(AC249&lt;=Assumptions!$F$8,"40-50",IF(AC249&lt;=Assumptions!$F$9,"50-60",IF(AC249&lt;=Assumptions!$F$10,"60+",""))))))</f>
        <v>30-40</v>
      </c>
      <c r="AP249" s="0" t="str">
        <f aca="false">IFERROR(VLOOKUP(O249,Assumptions!$B$14:$C$26,2,FALSE()),"Other")</f>
        <v>Manager</v>
      </c>
      <c r="AQ249" s="0" t="n">
        <f aca="false">IF(T249="",0,1)</f>
        <v>0</v>
      </c>
      <c r="AR249" s="0" t="n">
        <f aca="false">IF(U249="",0,1)</f>
        <v>1</v>
      </c>
      <c r="AS249" s="8" t="n">
        <f aca="false">IF(AK249="","",IF(MAX($AK$2:$AK$921)=MIN($AK$2:$AK$921),50,ROUND((AK249-MIN($AK$2:$AK$921))/(MAX($AK$2:$AK$921)-MIN($AK$2:$AK$921))*100,2)))</f>
        <v>74.28</v>
      </c>
      <c r="AT249" s="8" t="n">
        <f aca="false">IF(MAX($BC$2:$BC$921)=MIN($BC$2:$BC$921),50,ROUND((BC249-MIN($BC$2:$BC$921))/(MAX($BC$2:$BC$921)-MIN($BC$2:$BC$921))*100,2))</f>
        <v>50</v>
      </c>
      <c r="AU249" s="8" t="n">
        <f aca="false">IF(MAX($BE$2:$BE$921)=MIN($BE$2:$BE$921),50,ROUND((BE249-MIN($BE$2:$BE$921))/(MAX($BE$2:$BE$921)-MIN($BE$2:$BE$921))*100,2))</f>
        <v>68.36</v>
      </c>
      <c r="AV249" s="8" t="n">
        <f aca="false">IF(MAX($AD$2:$AD$921)=MIN($AD$2:$AD$921),50,ROUND((AD249-MIN($AD$2:$AD$921))/(MAX($AD$2:$AD$921)-MIN($AD$2:$AD$921))*100,2))</f>
        <v>25.52</v>
      </c>
      <c r="AW249" s="8" t="n">
        <f aca="false">IF(MAX($AN$2:$AN$921)=MIN($AN$2:$AN$921),50,ROUND((AN249-MIN($AN$2:$AN$921))/(MAX($AN$2:$AN$921)-MIN($AN$2:$AN$921))*100,2))</f>
        <v>86.25</v>
      </c>
      <c r="AX249" s="8" t="n">
        <f aca="false">AQ249*100</f>
        <v>0</v>
      </c>
      <c r="AY249" s="8" t="n">
        <f aca="false">AR249*100</f>
        <v>100</v>
      </c>
      <c r="AZ249" s="8" t="n">
        <f aca="false">IFERROR(ROUND(AS249*Assumptions!$I$6+AW249*Assumptions!$I$7+AT249*Assumptions!$I$8+AU249*Assumptions!$I$9+AV249*Assumptions!$I$10+AX249*Assumptions!$I$11+AY249*Assumptions!$I$12,2),"")</f>
        <v>64.84</v>
      </c>
      <c r="BA249" s="0" t="str">
        <f aca="false">IF(AZ249="","",IF(AZ249&lt;=Assumptions!$I$18,"Below Expectation",IF(AZ249&lt;=Assumptions!$I$19,"Developing",IF(AZ249&lt;=Assumptions!$I$20,"Meets Expectation",IF(AZ249&lt;=Assumptions!$I$21,"Exceeds","Star Performer")))))</f>
        <v>Meets Expectation</v>
      </c>
      <c r="BB249" s="0" t="n">
        <f aca="false">IF(AZ249="",0,IF(AZ249&gt;=Assumptions!$I$26,1,0))</f>
        <v>0</v>
      </c>
      <c r="BC249" s="9" t="n">
        <f aca="false">IF(AL249="",2,AL249+2)</f>
        <v>2</v>
      </c>
      <c r="BD249" s="10" t="n">
        <f aca="false">IF(AM249="",ROUND(AVERAGE($AM$2:$AM$921),3),AM249)</f>
        <v>0.548</v>
      </c>
      <c r="BE249" s="9" t="n">
        <f aca="false">1-BD249</f>
        <v>0.452</v>
      </c>
    </row>
    <row r="250" customFormat="false" ht="14.25" hidden="true" customHeight="false" outlineLevel="0" collapsed="false">
      <c r="A250" s="4" t="n">
        <v>366</v>
      </c>
      <c r="B250" s="5" t="n">
        <v>37102073</v>
      </c>
      <c r="C250" s="5" t="s">
        <v>85</v>
      </c>
      <c r="D250" s="5" t="s">
        <v>1288</v>
      </c>
      <c r="E250" s="5" t="s">
        <v>1289</v>
      </c>
      <c r="F250" s="5" t="s">
        <v>1028</v>
      </c>
      <c r="G250" s="5" t="s">
        <v>1029</v>
      </c>
      <c r="H250" s="5" t="s">
        <v>1028</v>
      </c>
      <c r="I250" s="5" t="s">
        <v>63</v>
      </c>
      <c r="J250" s="5" t="s">
        <v>76</v>
      </c>
      <c r="K250" s="5" t="s">
        <v>65</v>
      </c>
      <c r="L250" s="6" t="n">
        <v>39405</v>
      </c>
      <c r="M250" s="5" t="s">
        <v>539</v>
      </c>
      <c r="N250" s="6" t="n">
        <v>27336</v>
      </c>
      <c r="O250" s="5" t="s">
        <v>262</v>
      </c>
      <c r="P250" s="5" t="s">
        <v>263</v>
      </c>
      <c r="Q250" s="5" t="s">
        <v>393</v>
      </c>
      <c r="R250" s="5" t="s">
        <v>875</v>
      </c>
      <c r="S250" s="5" t="s">
        <v>988</v>
      </c>
      <c r="T250" s="6"/>
      <c r="U250" s="6" t="n">
        <v>44652</v>
      </c>
      <c r="V250" s="5" t="s">
        <v>141</v>
      </c>
      <c r="W250" s="5" t="s">
        <v>141</v>
      </c>
      <c r="X250" s="5" t="s">
        <v>141</v>
      </c>
      <c r="Y250" s="5" t="s">
        <v>141</v>
      </c>
      <c r="Z250" s="5" t="s">
        <v>141</v>
      </c>
      <c r="AA250" s="5" t="s">
        <v>1290</v>
      </c>
      <c r="AB250" s="0" t="n">
        <f aca="false">IFERROR(VALUE(R250),0)</f>
        <v>8.11</v>
      </c>
      <c r="AC250" s="0" t="n">
        <f aca="false">IFERROR(VALUE(M250),"")</f>
        <v>51.7</v>
      </c>
      <c r="AD250" s="0" t="n">
        <f aca="false">IFERROR(VALUE(Q250),"")</f>
        <v>18.6</v>
      </c>
      <c r="AE250" s="0" t="n">
        <f aca="false">IFERROR(VALUE(S250),"")</f>
        <v>27.5</v>
      </c>
      <c r="AF250" s="0" t="n">
        <f aca="false">IF(V250="","",VLOOKUP(V250,Assumptions!$B$6:$C$9,2,FALSE()))</f>
        <v>3</v>
      </c>
      <c r="AG250" s="0" t="n">
        <f aca="false">IF(W250="","",VLOOKUP(W250,Assumptions!$B$6:$C$9,2,FALSE()))</f>
        <v>3</v>
      </c>
      <c r="AH250" s="0" t="n">
        <f aca="false">IF(X250="","",VLOOKUP(X250,Assumptions!$B$6:$C$9,2,FALSE()))</f>
        <v>3</v>
      </c>
      <c r="AI250" s="0" t="n">
        <f aca="false">IF(Y250="","",VLOOKUP(Y250,Assumptions!$B$6:$C$9,2,FALSE()))</f>
        <v>3</v>
      </c>
      <c r="AJ250" s="0" t="n">
        <f aca="false">IF(Z250="","",VLOOKUP(Z250,Assumptions!$B$6:$C$9,2,FALSE()))</f>
        <v>3</v>
      </c>
      <c r="AK250" s="7" t="n">
        <f aca="false">IFERROR(ROUND(AVERAGE(AF250:AJ250),3),"")</f>
        <v>3</v>
      </c>
      <c r="AL250" s="7" t="n">
        <f aca="false">IF(OR(AF250="",AJ250=""),"",AJ250-AF250)</f>
        <v>0</v>
      </c>
      <c r="AM250" s="7" t="n">
        <f aca="false">IF(COUNT(AF250:AJ250)&gt;=2,ROUND(_xlfn.STDEV.S(AF250:AJ250),3),"")</f>
        <v>0</v>
      </c>
      <c r="AN250" s="7" t="n">
        <f aca="false">ROUND((IF(AF250="",0,AF250)*Assumptions!$F$15)+(IF(AG250="",0,AG250)*Assumptions!$F$16)+(IF(AH250="",0,AH250)*Assumptions!$F$17)+(IF(AI250="",0,AI250)*Assumptions!$F$18)+(IF(AJ250="",0,AJ250)*Assumptions!$F$19),3)</f>
        <v>3</v>
      </c>
      <c r="AO250" s="0" t="str">
        <f aca="false">IF(AC250&lt;=20,"",IF(AC250&lt;=Assumptions!$F$6,"20-30",IF(AC250&lt;=Assumptions!$F$7,"30-40",IF(AC250&lt;=Assumptions!$F$8,"40-50",IF(AC250&lt;=Assumptions!$F$9,"50-60",IF(AC250&lt;=Assumptions!$F$10,"60+",""))))))</f>
        <v>50-60</v>
      </c>
      <c r="AP250" s="0" t="str">
        <f aca="false">IFERROR(VLOOKUP(O250,Assumptions!$B$14:$C$26,2,FALSE()),"Other")</f>
        <v>Manager</v>
      </c>
      <c r="AQ250" s="0" t="n">
        <f aca="false">IF(T250="",0,1)</f>
        <v>0</v>
      </c>
      <c r="AR250" s="0" t="n">
        <f aca="false">IF(U250="",0,1)</f>
        <v>1</v>
      </c>
      <c r="AS250" s="8" t="n">
        <f aca="false">IF(AK250="","",IF(MAX($AK$2:$AK$921)=MIN($AK$2:$AK$921),50,ROUND((AK250-MIN($AK$2:$AK$921))/(MAX($AK$2:$AK$921)-MIN($AK$2:$AK$921))*100,2)))</f>
        <v>57.14</v>
      </c>
      <c r="AT250" s="8" t="n">
        <f aca="false">IF(MAX($BC$2:$BC$921)=MIN($BC$2:$BC$921),50,ROUND((BC250-MIN($BC$2:$BC$921))/(MAX($BC$2:$BC$921)-MIN($BC$2:$BC$921))*100,2))</f>
        <v>50</v>
      </c>
      <c r="AU250" s="8" t="n">
        <f aca="false">IF(MAX($BE$2:$BE$921)=MIN($BE$2:$BE$921),50,ROUND((BE250-MIN($BE$2:$BE$921))/(MAX($BE$2:$BE$921)-MIN($BE$2:$BE$921))*100,2))</f>
        <v>100</v>
      </c>
      <c r="AV250" s="8" t="n">
        <f aca="false">IF(MAX($AD$2:$AD$921)=MIN($AD$2:$AD$921),50,ROUND((AD250-MIN($AD$2:$AD$921))/(MAX($AD$2:$AD$921)-MIN($AD$2:$AD$921))*100,2))</f>
        <v>50.26</v>
      </c>
      <c r="AW250" s="8" t="n">
        <f aca="false">IF(MAX($AN$2:$AN$921)=MIN($AN$2:$AN$921),50,ROUND((AN250-MIN($AN$2:$AN$921))/(MAX($AN$2:$AN$921)-MIN($AN$2:$AN$921))*100,2))</f>
        <v>75</v>
      </c>
      <c r="AX250" s="8" t="n">
        <f aca="false">AQ250*100</f>
        <v>0</v>
      </c>
      <c r="AY250" s="8" t="n">
        <f aca="false">AR250*100</f>
        <v>100</v>
      </c>
      <c r="AZ250" s="8" t="n">
        <f aca="false">IFERROR(ROUND(AS250*Assumptions!$I$6+AW250*Assumptions!$I$7+AT250*Assumptions!$I$8+AU250*Assumptions!$I$9+AV250*Assumptions!$I$10+AX250*Assumptions!$I$11+AY250*Assumptions!$I$12,2),"")</f>
        <v>64.67</v>
      </c>
      <c r="BA250" s="0" t="str">
        <f aca="false">IF(AZ250="","",IF(AZ250&lt;=Assumptions!$I$18,"Below Expectation",IF(AZ250&lt;=Assumptions!$I$19,"Developing",IF(AZ250&lt;=Assumptions!$I$20,"Meets Expectation",IF(AZ250&lt;=Assumptions!$I$21,"Exceeds","Star Performer")))))</f>
        <v>Meets Expectation</v>
      </c>
      <c r="BB250" s="0" t="n">
        <f aca="false">IF(AZ250="",0,IF(AZ250&gt;=Assumptions!$I$26,1,0))</f>
        <v>0</v>
      </c>
      <c r="BC250" s="9" t="n">
        <f aca="false">IF(AL250="",2,AL250+2)</f>
        <v>2</v>
      </c>
      <c r="BD250" s="10" t="n">
        <f aca="false">IF(AM250="",ROUND(AVERAGE($AM$2:$AM$921),3),AM250)</f>
        <v>0</v>
      </c>
      <c r="BE250" s="9" t="n">
        <f aca="false">1-BD250</f>
        <v>1</v>
      </c>
    </row>
    <row r="251" customFormat="false" ht="14.25" hidden="true" customHeight="false" outlineLevel="0" collapsed="false">
      <c r="A251" s="4" t="n">
        <v>438</v>
      </c>
      <c r="B251" s="5" t="n">
        <v>50011832</v>
      </c>
      <c r="C251" s="5" t="s">
        <v>85</v>
      </c>
      <c r="D251" s="5" t="s">
        <v>1291</v>
      </c>
      <c r="E251" s="5" t="s">
        <v>1292</v>
      </c>
      <c r="F251" s="5" t="s">
        <v>380</v>
      </c>
      <c r="G251" s="5" t="s">
        <v>379</v>
      </c>
      <c r="H251" s="5" t="s">
        <v>380</v>
      </c>
      <c r="I251" s="5" t="s">
        <v>63</v>
      </c>
      <c r="J251" s="5" t="s">
        <v>76</v>
      </c>
      <c r="K251" s="5" t="s">
        <v>65</v>
      </c>
      <c r="L251" s="6" t="n">
        <v>41379</v>
      </c>
      <c r="M251" s="5" t="s">
        <v>1293</v>
      </c>
      <c r="N251" s="6" t="n">
        <v>33851</v>
      </c>
      <c r="O251" s="5" t="s">
        <v>332</v>
      </c>
      <c r="P251" s="5" t="s">
        <v>333</v>
      </c>
      <c r="Q251" s="5" t="s">
        <v>762</v>
      </c>
      <c r="R251" s="5" t="s">
        <v>115</v>
      </c>
      <c r="S251" s="5" t="s">
        <v>762</v>
      </c>
      <c r="T251" s="6"/>
      <c r="U251" s="6" t="n">
        <v>44440</v>
      </c>
      <c r="V251" s="5" t="s">
        <v>83</v>
      </c>
      <c r="W251" s="5" t="s">
        <v>83</v>
      </c>
      <c r="X251" s="5" t="s">
        <v>83</v>
      </c>
      <c r="Y251" s="5" t="s">
        <v>141</v>
      </c>
      <c r="Z251" s="5" t="s">
        <v>141</v>
      </c>
      <c r="AA251" s="5" t="s">
        <v>1294</v>
      </c>
      <c r="AB251" s="0" t="n">
        <f aca="false">IFERROR(VALUE(R251),0)</f>
        <v>0</v>
      </c>
      <c r="AC251" s="0" t="n">
        <f aca="false">IFERROR(VALUE(M251),"")</f>
        <v>33.9</v>
      </c>
      <c r="AD251" s="0" t="n">
        <f aca="false">IFERROR(VALUE(Q251),"")</f>
        <v>13.1</v>
      </c>
      <c r="AE251" s="0" t="n">
        <f aca="false">IFERROR(VALUE(S251),"")</f>
        <v>13.1</v>
      </c>
      <c r="AF251" s="0" t="n">
        <f aca="false">IF(V251="","",VLOOKUP(V251,Assumptions!$B$6:$C$9,2,FALSE()))</f>
        <v>4</v>
      </c>
      <c r="AG251" s="0" t="n">
        <f aca="false">IF(W251="","",VLOOKUP(W251,Assumptions!$B$6:$C$9,2,FALSE()))</f>
        <v>4</v>
      </c>
      <c r="AH251" s="0" t="n">
        <f aca="false">IF(X251="","",VLOOKUP(X251,Assumptions!$B$6:$C$9,2,FALSE()))</f>
        <v>4</v>
      </c>
      <c r="AI251" s="0" t="n">
        <f aca="false">IF(Y251="","",VLOOKUP(Y251,Assumptions!$B$6:$C$9,2,FALSE()))</f>
        <v>3</v>
      </c>
      <c r="AJ251" s="0" t="n">
        <f aca="false">IF(Z251="","",VLOOKUP(Z251,Assumptions!$B$6:$C$9,2,FALSE()))</f>
        <v>3</v>
      </c>
      <c r="AK251" s="7" t="n">
        <f aca="false">IFERROR(ROUND(AVERAGE(AF251:AJ251),3),"")</f>
        <v>3.6</v>
      </c>
      <c r="AL251" s="7" t="n">
        <f aca="false">IF(OR(AF251="",AJ251=""),"",AJ251-AF251)</f>
        <v>-1</v>
      </c>
      <c r="AM251" s="7" t="n">
        <f aca="false">IF(COUNT(AF251:AJ251)&gt;=2,ROUND(_xlfn.STDEV.S(AF251:AJ251),3),"")</f>
        <v>0.548</v>
      </c>
      <c r="AN251" s="7" t="n">
        <f aca="false">ROUND((IF(AF251="",0,AF251)*Assumptions!$F$15)+(IF(AG251="",0,AG251)*Assumptions!$F$16)+(IF(AH251="",0,AH251)*Assumptions!$F$17)+(IF(AI251="",0,AI251)*Assumptions!$F$18)+(IF(AJ251="",0,AJ251)*Assumptions!$F$19),3)</f>
        <v>3.45</v>
      </c>
      <c r="AO251" s="0" t="str">
        <f aca="false">IF(AC251&lt;=20,"",IF(AC251&lt;=Assumptions!$F$6,"20-30",IF(AC251&lt;=Assumptions!$F$7,"30-40",IF(AC251&lt;=Assumptions!$F$8,"40-50",IF(AC251&lt;=Assumptions!$F$9,"50-60",IF(AC251&lt;=Assumptions!$F$10,"60+",""))))))</f>
        <v>30-40</v>
      </c>
      <c r="AP251" s="0" t="str">
        <f aca="false">IFERROR(VLOOKUP(O251,Assumptions!$B$14:$C$26,2,FALSE()),"Other")</f>
        <v>Manager</v>
      </c>
      <c r="AQ251" s="0" t="n">
        <f aca="false">IF(T251="",0,1)</f>
        <v>0</v>
      </c>
      <c r="AR251" s="0" t="n">
        <f aca="false">IF(U251="",0,1)</f>
        <v>1</v>
      </c>
      <c r="AS251" s="8" t="n">
        <f aca="false">IF(AK251="","",IF(MAX($AK$2:$AK$921)=MIN($AK$2:$AK$921),50,ROUND((AK251-MIN($AK$2:$AK$921))/(MAX($AK$2:$AK$921)-MIN($AK$2:$AK$921))*100,2)))</f>
        <v>82.85</v>
      </c>
      <c r="AT251" s="8" t="n">
        <f aca="false">IF(MAX($BC$2:$BC$921)=MIN($BC$2:$BC$921),50,ROUND((BC251-MIN($BC$2:$BC$921))/(MAX($BC$2:$BC$921)-MIN($BC$2:$BC$921))*100,2))</f>
        <v>25</v>
      </c>
      <c r="AU251" s="8" t="n">
        <f aca="false">IF(MAX($BE$2:$BE$921)=MIN($BE$2:$BE$921),50,ROUND((BE251-MIN($BE$2:$BE$921))/(MAX($BE$2:$BE$921)-MIN($BE$2:$BE$921))*100,2))</f>
        <v>68.36</v>
      </c>
      <c r="AV251" s="8" t="n">
        <f aca="false">IF(MAX($AD$2:$AD$921)=MIN($AD$2:$AD$921),50,ROUND((AD251-MIN($AD$2:$AD$921))/(MAX($AD$2:$AD$921)-MIN($AD$2:$AD$921))*100,2))</f>
        <v>35.31</v>
      </c>
      <c r="AW251" s="8" t="n">
        <f aca="false">IF(MAX($AN$2:$AN$921)=MIN($AN$2:$AN$921),50,ROUND((AN251-MIN($AN$2:$AN$921))/(MAX($AN$2:$AN$921)-MIN($AN$2:$AN$921))*100,2))</f>
        <v>86.25</v>
      </c>
      <c r="AX251" s="8" t="n">
        <f aca="false">AQ251*100</f>
        <v>0</v>
      </c>
      <c r="AY251" s="8" t="n">
        <f aca="false">AR251*100</f>
        <v>100</v>
      </c>
      <c r="AZ251" s="8" t="n">
        <f aca="false">IFERROR(ROUND(AS251*Assumptions!$I$6+AW251*Assumptions!$I$7+AT251*Assumptions!$I$8+AU251*Assumptions!$I$9+AV251*Assumptions!$I$10+AX251*Assumptions!$I$11+AY251*Assumptions!$I$12,2),"")</f>
        <v>64.64</v>
      </c>
      <c r="BA251" s="0" t="str">
        <f aca="false">IF(AZ251="","",IF(AZ251&lt;=Assumptions!$I$18,"Below Expectation",IF(AZ251&lt;=Assumptions!$I$19,"Developing",IF(AZ251&lt;=Assumptions!$I$20,"Meets Expectation",IF(AZ251&lt;=Assumptions!$I$21,"Exceeds","Star Performer")))))</f>
        <v>Meets Expectation</v>
      </c>
      <c r="BB251" s="0" t="n">
        <f aca="false">IF(AZ251="",0,IF(AZ251&gt;=Assumptions!$I$26,1,0))</f>
        <v>0</v>
      </c>
      <c r="BC251" s="9" t="n">
        <f aca="false">IF(AL251="",2,AL251+2)</f>
        <v>1</v>
      </c>
      <c r="BD251" s="10" t="n">
        <f aca="false">IF(AM251="",ROUND(AVERAGE($AM$2:$AM$921),3),AM251)</f>
        <v>0.548</v>
      </c>
      <c r="BE251" s="9" t="n">
        <f aca="false">1-BD251</f>
        <v>0.452</v>
      </c>
    </row>
    <row r="252" customFormat="false" ht="14.25" hidden="true" customHeight="false" outlineLevel="0" collapsed="false">
      <c r="A252" s="4" t="n">
        <v>92</v>
      </c>
      <c r="B252" s="5" t="n">
        <v>10026869</v>
      </c>
      <c r="C252" s="5" t="s">
        <v>57</v>
      </c>
      <c r="D252" s="5" t="s">
        <v>1295</v>
      </c>
      <c r="E252" s="5" t="s">
        <v>500</v>
      </c>
      <c r="F252" s="5" t="s">
        <v>223</v>
      </c>
      <c r="G252" s="5" t="s">
        <v>224</v>
      </c>
      <c r="H252" s="5" t="s">
        <v>223</v>
      </c>
      <c r="I252" s="5" t="s">
        <v>63</v>
      </c>
      <c r="J252" s="5" t="s">
        <v>100</v>
      </c>
      <c r="K252" s="5" t="s">
        <v>65</v>
      </c>
      <c r="L252" s="6" t="n">
        <v>39528</v>
      </c>
      <c r="M252" s="5" t="s">
        <v>1296</v>
      </c>
      <c r="N252" s="6" t="n">
        <v>29691</v>
      </c>
      <c r="O252" s="5" t="s">
        <v>162</v>
      </c>
      <c r="P252" s="5" t="s">
        <v>162</v>
      </c>
      <c r="Q252" s="5" t="s">
        <v>930</v>
      </c>
      <c r="R252" s="5" t="s">
        <v>1297</v>
      </c>
      <c r="S252" s="5" t="s">
        <v>555</v>
      </c>
      <c r="T252" s="6" t="n">
        <v>42309</v>
      </c>
      <c r="U252" s="6"/>
      <c r="V252" s="5" t="s">
        <v>141</v>
      </c>
      <c r="W252" s="5" t="s">
        <v>141</v>
      </c>
      <c r="X252" s="5" t="s">
        <v>141</v>
      </c>
      <c r="Y252" s="5" t="s">
        <v>141</v>
      </c>
      <c r="Z252" s="5" t="s">
        <v>141</v>
      </c>
      <c r="AA252" s="5" t="s">
        <v>1298</v>
      </c>
      <c r="AB252" s="0" t="n">
        <f aca="false">IFERROR(VALUE(R252),0)</f>
        <v>4.9</v>
      </c>
      <c r="AC252" s="0" t="n">
        <f aca="false">IFERROR(VALUE(M252),"")</f>
        <v>45.1</v>
      </c>
      <c r="AD252" s="0" t="n">
        <f aca="false">IFERROR(VALUE(Q252),"")</f>
        <v>18.2</v>
      </c>
      <c r="AE252" s="0" t="n">
        <f aca="false">IFERROR(VALUE(S252),"")</f>
        <v>22.11</v>
      </c>
      <c r="AF252" s="0" t="n">
        <f aca="false">IF(V252="","",VLOOKUP(V252,Assumptions!$B$6:$C$9,2,FALSE()))</f>
        <v>3</v>
      </c>
      <c r="AG252" s="0" t="n">
        <f aca="false">IF(W252="","",VLOOKUP(W252,Assumptions!$B$6:$C$9,2,FALSE()))</f>
        <v>3</v>
      </c>
      <c r="AH252" s="0" t="n">
        <f aca="false">IF(X252="","",VLOOKUP(X252,Assumptions!$B$6:$C$9,2,FALSE()))</f>
        <v>3</v>
      </c>
      <c r="AI252" s="0" t="n">
        <f aca="false">IF(Y252="","",VLOOKUP(Y252,Assumptions!$B$6:$C$9,2,FALSE()))</f>
        <v>3</v>
      </c>
      <c r="AJ252" s="0" t="n">
        <f aca="false">IF(Z252="","",VLOOKUP(Z252,Assumptions!$B$6:$C$9,2,FALSE()))</f>
        <v>3</v>
      </c>
      <c r="AK252" s="7" t="n">
        <f aca="false">IFERROR(ROUND(AVERAGE(AF252:AJ252),3),"")</f>
        <v>3</v>
      </c>
      <c r="AL252" s="7" t="n">
        <f aca="false">IF(OR(AF252="",AJ252=""),"",AJ252-AF252)</f>
        <v>0</v>
      </c>
      <c r="AM252" s="7" t="n">
        <f aca="false">IF(COUNT(AF252:AJ252)&gt;=2,ROUND(_xlfn.STDEV.S(AF252:AJ252),3),"")</f>
        <v>0</v>
      </c>
      <c r="AN252" s="7" t="n">
        <f aca="false">ROUND((IF(AF252="",0,AF252)*Assumptions!$F$15)+(IF(AG252="",0,AG252)*Assumptions!$F$16)+(IF(AH252="",0,AH252)*Assumptions!$F$17)+(IF(AI252="",0,AI252)*Assumptions!$F$18)+(IF(AJ252="",0,AJ252)*Assumptions!$F$19),3)</f>
        <v>3</v>
      </c>
      <c r="AO252" s="0" t="str">
        <f aca="false">IF(AC252&lt;=20,"",IF(AC252&lt;=Assumptions!$F$6,"20-30",IF(AC252&lt;=Assumptions!$F$7,"30-40",IF(AC252&lt;=Assumptions!$F$8,"40-50",IF(AC252&lt;=Assumptions!$F$9,"50-60",IF(AC252&lt;=Assumptions!$F$10,"60+",""))))))</f>
        <v>40-50</v>
      </c>
      <c r="AP252" s="0" t="str">
        <f aca="false">IFERROR(VLOOKUP(O252,Assumptions!$B$14:$C$26,2,FALSE()),"Other")</f>
        <v>Manager</v>
      </c>
      <c r="AQ252" s="0" t="n">
        <f aca="false">IF(T252="",0,1)</f>
        <v>1</v>
      </c>
      <c r="AR252" s="0" t="n">
        <f aca="false">IF(U252="",0,1)</f>
        <v>0</v>
      </c>
      <c r="AS252" s="8" t="n">
        <f aca="false">IF(AK252="","",IF(MAX($AK$2:$AK$921)=MIN($AK$2:$AK$921),50,ROUND((AK252-MIN($AK$2:$AK$921))/(MAX($AK$2:$AK$921)-MIN($AK$2:$AK$921))*100,2)))</f>
        <v>57.14</v>
      </c>
      <c r="AT252" s="8" t="n">
        <f aca="false">IF(MAX($BC$2:$BC$921)=MIN($BC$2:$BC$921),50,ROUND((BC252-MIN($BC$2:$BC$921))/(MAX($BC$2:$BC$921)-MIN($BC$2:$BC$921))*100,2))</f>
        <v>50</v>
      </c>
      <c r="AU252" s="8" t="n">
        <f aca="false">IF(MAX($BE$2:$BE$921)=MIN($BE$2:$BE$921),50,ROUND((BE252-MIN($BE$2:$BE$921))/(MAX($BE$2:$BE$921)-MIN($BE$2:$BE$921))*100,2))</f>
        <v>100</v>
      </c>
      <c r="AV252" s="8" t="n">
        <f aca="false">IF(MAX($AD$2:$AD$921)=MIN($AD$2:$AD$921),50,ROUND((AD252-MIN($AD$2:$AD$921))/(MAX($AD$2:$AD$921)-MIN($AD$2:$AD$921))*100,2))</f>
        <v>49.17</v>
      </c>
      <c r="AW252" s="8" t="n">
        <f aca="false">IF(MAX($AN$2:$AN$921)=MIN($AN$2:$AN$921),50,ROUND((AN252-MIN($AN$2:$AN$921))/(MAX($AN$2:$AN$921)-MIN($AN$2:$AN$921))*100,2))</f>
        <v>75</v>
      </c>
      <c r="AX252" s="8" t="n">
        <f aca="false">AQ252*100</f>
        <v>100</v>
      </c>
      <c r="AY252" s="8" t="n">
        <f aca="false">AR252*100</f>
        <v>0</v>
      </c>
      <c r="AZ252" s="8" t="n">
        <f aca="false">IFERROR(ROUND(AS252*Assumptions!$I$6+AW252*Assumptions!$I$7+AT252*Assumptions!$I$8+AU252*Assumptions!$I$9+AV252*Assumptions!$I$10+AX252*Assumptions!$I$11+AY252*Assumptions!$I$12,2),"")</f>
        <v>64.56</v>
      </c>
      <c r="BA252" s="0" t="str">
        <f aca="false">IF(AZ252="","",IF(AZ252&lt;=Assumptions!$I$18,"Below Expectation",IF(AZ252&lt;=Assumptions!$I$19,"Developing",IF(AZ252&lt;=Assumptions!$I$20,"Meets Expectation",IF(AZ252&lt;=Assumptions!$I$21,"Exceeds","Star Performer")))))</f>
        <v>Meets Expectation</v>
      </c>
      <c r="BB252" s="0" t="n">
        <f aca="false">IF(AZ252="",0,IF(AZ252&gt;=Assumptions!$I$26,1,0))</f>
        <v>0</v>
      </c>
      <c r="BC252" s="9" t="n">
        <f aca="false">IF(AL252="",2,AL252+2)</f>
        <v>2</v>
      </c>
      <c r="BD252" s="10" t="n">
        <f aca="false">IF(AM252="",ROUND(AVERAGE($AM$2:$AM$921),3),AM252)</f>
        <v>0</v>
      </c>
      <c r="BE252" s="9" t="n">
        <f aca="false">1-BD252</f>
        <v>1</v>
      </c>
    </row>
    <row r="253" customFormat="false" ht="14.25" hidden="true" customHeight="false" outlineLevel="0" collapsed="false">
      <c r="A253" s="4" t="n">
        <v>99</v>
      </c>
      <c r="B253" s="5" t="n">
        <v>10027169</v>
      </c>
      <c r="C253" s="5" t="s">
        <v>57</v>
      </c>
      <c r="D253" s="5" t="s">
        <v>1299</v>
      </c>
      <c r="E253" s="5" t="s">
        <v>607</v>
      </c>
      <c r="F253" s="5" t="s">
        <v>209</v>
      </c>
      <c r="G253" s="5" t="s">
        <v>210</v>
      </c>
      <c r="H253" s="5" t="s">
        <v>209</v>
      </c>
      <c r="I253" s="5" t="s">
        <v>63</v>
      </c>
      <c r="J253" s="5" t="s">
        <v>100</v>
      </c>
      <c r="K253" s="5" t="s">
        <v>65</v>
      </c>
      <c r="L253" s="6" t="n">
        <v>39573</v>
      </c>
      <c r="M253" s="5" t="s">
        <v>868</v>
      </c>
      <c r="N253" s="6" t="n">
        <v>28372</v>
      </c>
      <c r="O253" s="5" t="s">
        <v>262</v>
      </c>
      <c r="P253" s="5" t="s">
        <v>263</v>
      </c>
      <c r="Q253" s="5" t="s">
        <v>471</v>
      </c>
      <c r="R253" s="5" t="s">
        <v>335</v>
      </c>
      <c r="S253" s="5" t="s">
        <v>155</v>
      </c>
      <c r="T253" s="6"/>
      <c r="U253" s="6" t="n">
        <v>44652</v>
      </c>
      <c r="V253" s="5" t="s">
        <v>141</v>
      </c>
      <c r="W253" s="5" t="s">
        <v>141</v>
      </c>
      <c r="X253" s="5" t="s">
        <v>141</v>
      </c>
      <c r="Y253" s="5" t="s">
        <v>141</v>
      </c>
      <c r="Z253" s="5" t="s">
        <v>141</v>
      </c>
      <c r="AA253" s="5" t="s">
        <v>1300</v>
      </c>
      <c r="AB253" s="0" t="n">
        <f aca="false">IFERROR(VALUE(R253),0)</f>
        <v>3.7</v>
      </c>
      <c r="AC253" s="0" t="n">
        <f aca="false">IFERROR(VALUE(M253),"")</f>
        <v>48.9</v>
      </c>
      <c r="AD253" s="0" t="n">
        <f aca="false">IFERROR(VALUE(Q253),"")</f>
        <v>18.1</v>
      </c>
      <c r="AE253" s="0" t="n">
        <f aca="false">IFERROR(VALUE(S253),"")</f>
        <v>21.8</v>
      </c>
      <c r="AF253" s="0" t="n">
        <f aca="false">IF(V253="","",VLOOKUP(V253,Assumptions!$B$6:$C$9,2,FALSE()))</f>
        <v>3</v>
      </c>
      <c r="AG253" s="0" t="n">
        <f aca="false">IF(W253="","",VLOOKUP(W253,Assumptions!$B$6:$C$9,2,FALSE()))</f>
        <v>3</v>
      </c>
      <c r="AH253" s="0" t="n">
        <f aca="false">IF(X253="","",VLOOKUP(X253,Assumptions!$B$6:$C$9,2,FALSE()))</f>
        <v>3</v>
      </c>
      <c r="AI253" s="0" t="n">
        <f aca="false">IF(Y253="","",VLOOKUP(Y253,Assumptions!$B$6:$C$9,2,FALSE()))</f>
        <v>3</v>
      </c>
      <c r="AJ253" s="0" t="n">
        <f aca="false">IF(Z253="","",VLOOKUP(Z253,Assumptions!$B$6:$C$9,2,FALSE()))</f>
        <v>3</v>
      </c>
      <c r="AK253" s="7" t="n">
        <f aca="false">IFERROR(ROUND(AVERAGE(AF253:AJ253),3),"")</f>
        <v>3</v>
      </c>
      <c r="AL253" s="7" t="n">
        <f aca="false">IF(OR(AF253="",AJ253=""),"",AJ253-AF253)</f>
        <v>0</v>
      </c>
      <c r="AM253" s="7" t="n">
        <f aca="false">IF(COUNT(AF253:AJ253)&gt;=2,ROUND(_xlfn.STDEV.S(AF253:AJ253),3),"")</f>
        <v>0</v>
      </c>
      <c r="AN253" s="7" t="n">
        <f aca="false">ROUND((IF(AF253="",0,AF253)*Assumptions!$F$15)+(IF(AG253="",0,AG253)*Assumptions!$F$16)+(IF(AH253="",0,AH253)*Assumptions!$F$17)+(IF(AI253="",0,AI253)*Assumptions!$F$18)+(IF(AJ253="",0,AJ253)*Assumptions!$F$19),3)</f>
        <v>3</v>
      </c>
      <c r="AO253" s="0" t="str">
        <f aca="false">IF(AC253&lt;=20,"",IF(AC253&lt;=Assumptions!$F$6,"20-30",IF(AC253&lt;=Assumptions!$F$7,"30-40",IF(AC253&lt;=Assumptions!$F$8,"40-50",IF(AC253&lt;=Assumptions!$F$9,"50-60",IF(AC253&lt;=Assumptions!$F$10,"60+",""))))))</f>
        <v>40-50</v>
      </c>
      <c r="AP253" s="0" t="str">
        <f aca="false">IFERROR(VLOOKUP(O253,Assumptions!$B$14:$C$26,2,FALSE()),"Other")</f>
        <v>Manager</v>
      </c>
      <c r="AQ253" s="0" t="n">
        <f aca="false">IF(T253="",0,1)</f>
        <v>0</v>
      </c>
      <c r="AR253" s="0" t="n">
        <f aca="false">IF(U253="",0,1)</f>
        <v>1</v>
      </c>
      <c r="AS253" s="8" t="n">
        <f aca="false">IF(AK253="","",IF(MAX($AK$2:$AK$921)=MIN($AK$2:$AK$921),50,ROUND((AK253-MIN($AK$2:$AK$921))/(MAX($AK$2:$AK$921)-MIN($AK$2:$AK$921))*100,2)))</f>
        <v>57.14</v>
      </c>
      <c r="AT253" s="8" t="n">
        <f aca="false">IF(MAX($BC$2:$BC$921)=MIN($BC$2:$BC$921),50,ROUND((BC253-MIN($BC$2:$BC$921))/(MAX($BC$2:$BC$921)-MIN($BC$2:$BC$921))*100,2))</f>
        <v>50</v>
      </c>
      <c r="AU253" s="8" t="n">
        <f aca="false">IF(MAX($BE$2:$BE$921)=MIN($BE$2:$BE$921),50,ROUND((BE253-MIN($BE$2:$BE$921))/(MAX($BE$2:$BE$921)-MIN($BE$2:$BE$921))*100,2))</f>
        <v>100</v>
      </c>
      <c r="AV253" s="8" t="n">
        <f aca="false">IF(MAX($AD$2:$AD$921)=MIN($AD$2:$AD$921),50,ROUND((AD253-MIN($AD$2:$AD$921))/(MAX($AD$2:$AD$921)-MIN($AD$2:$AD$921))*100,2))</f>
        <v>48.9</v>
      </c>
      <c r="AW253" s="8" t="n">
        <f aca="false">IF(MAX($AN$2:$AN$921)=MIN($AN$2:$AN$921),50,ROUND((AN253-MIN($AN$2:$AN$921))/(MAX($AN$2:$AN$921)-MIN($AN$2:$AN$921))*100,2))</f>
        <v>75</v>
      </c>
      <c r="AX253" s="8" t="n">
        <f aca="false">AQ253*100</f>
        <v>0</v>
      </c>
      <c r="AY253" s="8" t="n">
        <f aca="false">AR253*100</f>
        <v>100</v>
      </c>
      <c r="AZ253" s="8" t="n">
        <f aca="false">IFERROR(ROUND(AS253*Assumptions!$I$6+AW253*Assumptions!$I$7+AT253*Assumptions!$I$8+AU253*Assumptions!$I$9+AV253*Assumptions!$I$10+AX253*Assumptions!$I$11+AY253*Assumptions!$I$12,2),"")</f>
        <v>64.53</v>
      </c>
      <c r="BA253" s="0" t="str">
        <f aca="false">IF(AZ253="","",IF(AZ253&lt;=Assumptions!$I$18,"Below Expectation",IF(AZ253&lt;=Assumptions!$I$19,"Developing",IF(AZ253&lt;=Assumptions!$I$20,"Meets Expectation",IF(AZ253&lt;=Assumptions!$I$21,"Exceeds","Star Performer")))))</f>
        <v>Meets Expectation</v>
      </c>
      <c r="BB253" s="0" t="n">
        <f aca="false">IF(AZ253="",0,IF(AZ253&gt;=Assumptions!$I$26,1,0))</f>
        <v>0</v>
      </c>
      <c r="BC253" s="9" t="n">
        <f aca="false">IF(AL253="",2,AL253+2)</f>
        <v>2</v>
      </c>
      <c r="BD253" s="10" t="n">
        <f aca="false">IF(AM253="",ROUND(AVERAGE($AM$2:$AM$921),3),AM253)</f>
        <v>0</v>
      </c>
      <c r="BE253" s="9" t="n">
        <f aca="false">1-BD253</f>
        <v>1</v>
      </c>
    </row>
    <row r="254" customFormat="false" ht="14.25" hidden="true" customHeight="false" outlineLevel="0" collapsed="false">
      <c r="A254" s="4" t="n">
        <v>23</v>
      </c>
      <c r="B254" s="5" t="n">
        <v>747504</v>
      </c>
      <c r="C254" s="5"/>
      <c r="D254" s="5" t="s">
        <v>1301</v>
      </c>
      <c r="E254" s="5" t="s">
        <v>257</v>
      </c>
      <c r="F254" s="5" t="s">
        <v>159</v>
      </c>
      <c r="G254" s="5" t="s">
        <v>160</v>
      </c>
      <c r="H254" s="5" t="s">
        <v>159</v>
      </c>
      <c r="I254" s="5" t="s">
        <v>63</v>
      </c>
      <c r="J254" s="5" t="s">
        <v>76</v>
      </c>
      <c r="K254" s="5" t="s">
        <v>65</v>
      </c>
      <c r="L254" s="6" t="n">
        <v>34652</v>
      </c>
      <c r="M254" s="5" t="s">
        <v>669</v>
      </c>
      <c r="N254" s="6" t="n">
        <v>24646</v>
      </c>
      <c r="O254" s="5" t="s">
        <v>162</v>
      </c>
      <c r="P254" s="5" t="s">
        <v>162</v>
      </c>
      <c r="Q254" s="5" t="s">
        <v>505</v>
      </c>
      <c r="R254" s="5" t="s">
        <v>615</v>
      </c>
      <c r="S254" s="5" t="s">
        <v>944</v>
      </c>
      <c r="T254" s="6" t="n">
        <v>40269</v>
      </c>
      <c r="U254" s="6" t="n">
        <v>41365</v>
      </c>
      <c r="V254" s="5" t="s">
        <v>83</v>
      </c>
      <c r="W254" s="5" t="s">
        <v>141</v>
      </c>
      <c r="X254" s="5" t="s">
        <v>83</v>
      </c>
      <c r="Y254" s="5" t="s">
        <v>83</v>
      </c>
      <c r="Z254" s="5" t="s">
        <v>631</v>
      </c>
      <c r="AA254" s="5" t="s">
        <v>1302</v>
      </c>
      <c r="AB254" s="0" t="n">
        <f aca="false">IFERROR(VALUE(R254),0)</f>
        <v>5.7</v>
      </c>
      <c r="AC254" s="0" t="n">
        <f aca="false">IFERROR(VALUE(M254),"")</f>
        <v>58.11</v>
      </c>
      <c r="AD254" s="0" t="n">
        <f aca="false">IFERROR(VALUE(Q254),"")</f>
        <v>31.6</v>
      </c>
      <c r="AE254" s="0" t="n">
        <f aca="false">IFERROR(VALUE(S254),"")</f>
        <v>37.1</v>
      </c>
      <c r="AF254" s="0" t="n">
        <f aca="false">IF(V254="","",VLOOKUP(V254,Assumptions!$B$6:$C$9,2,FALSE()))</f>
        <v>4</v>
      </c>
      <c r="AG254" s="0" t="n">
        <f aca="false">IF(W254="","",VLOOKUP(W254,Assumptions!$B$6:$C$9,2,FALSE()))</f>
        <v>3</v>
      </c>
      <c r="AH254" s="0" t="n">
        <f aca="false">IF(X254="","",VLOOKUP(X254,Assumptions!$B$6:$C$9,2,FALSE()))</f>
        <v>4</v>
      </c>
      <c r="AI254" s="0" t="n">
        <f aca="false">IF(Y254="","",VLOOKUP(Y254,Assumptions!$B$6:$C$9,2,FALSE()))</f>
        <v>4</v>
      </c>
      <c r="AJ254" s="0" t="n">
        <f aca="false">IF(Z254="","",VLOOKUP(Z254,Assumptions!$B$6:$C$9,2,FALSE()))</f>
        <v>2</v>
      </c>
      <c r="AK254" s="7" t="n">
        <f aca="false">IFERROR(ROUND(AVERAGE(AF254:AJ254),3),"")</f>
        <v>3.4</v>
      </c>
      <c r="AL254" s="7" t="n">
        <f aca="false">IF(OR(AF254="",AJ254=""),"",AJ254-AF254)</f>
        <v>-2</v>
      </c>
      <c r="AM254" s="7" t="n">
        <f aca="false">IF(COUNT(AF254:AJ254)&gt;=2,ROUND(_xlfn.STDEV.S(AF254:AJ254),3),"")</f>
        <v>0.894</v>
      </c>
      <c r="AN254" s="7" t="n">
        <f aca="false">ROUND((IF(AF254="",0,AF254)*Assumptions!$F$15)+(IF(AG254="",0,AG254)*Assumptions!$F$16)+(IF(AH254="",0,AH254)*Assumptions!$F$17)+(IF(AI254="",0,AI254)*Assumptions!$F$18)+(IF(AJ254="",0,AJ254)*Assumptions!$F$19),3)</f>
        <v>3.25</v>
      </c>
      <c r="AO254" s="0" t="str">
        <f aca="false">IF(AC254&lt;=20,"",IF(AC254&lt;=Assumptions!$F$6,"20-30",IF(AC254&lt;=Assumptions!$F$7,"30-40",IF(AC254&lt;=Assumptions!$F$8,"40-50",IF(AC254&lt;=Assumptions!$F$9,"50-60",IF(AC254&lt;=Assumptions!$F$10,"60+",""))))))</f>
        <v>50-60</v>
      </c>
      <c r="AP254" s="0" t="str">
        <f aca="false">IFERROR(VLOOKUP(O254,Assumptions!$B$14:$C$26,2,FALSE()),"Other")</f>
        <v>Manager</v>
      </c>
      <c r="AQ254" s="0" t="n">
        <f aca="false">IF(T254="",0,1)</f>
        <v>1</v>
      </c>
      <c r="AR254" s="0" t="n">
        <f aca="false">IF(U254="",0,1)</f>
        <v>1</v>
      </c>
      <c r="AS254" s="8" t="n">
        <f aca="false">IF(AK254="","",IF(MAX($AK$2:$AK$921)=MIN($AK$2:$AK$921),50,ROUND((AK254-MIN($AK$2:$AK$921))/(MAX($AK$2:$AK$921)-MIN($AK$2:$AK$921))*100,2)))</f>
        <v>74.28</v>
      </c>
      <c r="AT254" s="8" t="n">
        <f aca="false">IF(MAX($BC$2:$BC$921)=MIN($BC$2:$BC$921),50,ROUND((BC254-MIN($BC$2:$BC$921))/(MAX($BC$2:$BC$921)-MIN($BC$2:$BC$921))*100,2))</f>
        <v>0</v>
      </c>
      <c r="AU254" s="8" t="n">
        <f aca="false">IF(MAX($BE$2:$BE$921)=MIN($BE$2:$BE$921),50,ROUND((BE254-MIN($BE$2:$BE$921))/(MAX($BE$2:$BE$921)-MIN($BE$2:$BE$921))*100,2))</f>
        <v>48.38</v>
      </c>
      <c r="AV254" s="8" t="n">
        <f aca="false">IF(MAX($AD$2:$AD$921)=MIN($AD$2:$AD$921),50,ROUND((AD254-MIN($AD$2:$AD$921))/(MAX($AD$2:$AD$921)-MIN($AD$2:$AD$921))*100,2))</f>
        <v>85.59</v>
      </c>
      <c r="AW254" s="8" t="n">
        <f aca="false">IF(MAX($AN$2:$AN$921)=MIN($AN$2:$AN$921),50,ROUND((AN254-MIN($AN$2:$AN$921))/(MAX($AN$2:$AN$921)-MIN($AN$2:$AN$921))*100,2))</f>
        <v>81.25</v>
      </c>
      <c r="AX254" s="8" t="n">
        <f aca="false">AQ254*100</f>
        <v>100</v>
      </c>
      <c r="AY254" s="8" t="n">
        <f aca="false">AR254*100</f>
        <v>100</v>
      </c>
      <c r="AZ254" s="8" t="n">
        <f aca="false">IFERROR(ROUND(AS254*Assumptions!$I$6+AW254*Assumptions!$I$7+AT254*Assumptions!$I$8+AU254*Assumptions!$I$9+AV254*Assumptions!$I$10+AX254*Assumptions!$I$11+AY254*Assumptions!$I$12,2),"")</f>
        <v>64.35</v>
      </c>
      <c r="BA254" s="0" t="str">
        <f aca="false">IF(AZ254="","",IF(AZ254&lt;=Assumptions!$I$18,"Below Expectation",IF(AZ254&lt;=Assumptions!$I$19,"Developing",IF(AZ254&lt;=Assumptions!$I$20,"Meets Expectation",IF(AZ254&lt;=Assumptions!$I$21,"Exceeds","Star Performer")))))</f>
        <v>Meets Expectation</v>
      </c>
      <c r="BB254" s="0" t="n">
        <f aca="false">IF(AZ254="",0,IF(AZ254&gt;=Assumptions!$I$26,1,0))</f>
        <v>0</v>
      </c>
      <c r="BC254" s="9" t="n">
        <f aca="false">IF(AL254="",2,AL254+2)</f>
        <v>0</v>
      </c>
      <c r="BD254" s="10" t="n">
        <f aca="false">IF(AM254="",ROUND(AVERAGE($AM$2:$AM$921),3),AM254)</f>
        <v>0.894</v>
      </c>
      <c r="BE254" s="9" t="n">
        <f aca="false">1-BD254</f>
        <v>0.106</v>
      </c>
    </row>
    <row r="255" customFormat="false" ht="14.25" hidden="true" customHeight="false" outlineLevel="0" collapsed="false">
      <c r="A255" s="4" t="n">
        <v>469</v>
      </c>
      <c r="B255" s="5" t="n">
        <v>55040779</v>
      </c>
      <c r="C255" s="5" t="s">
        <v>85</v>
      </c>
      <c r="D255" s="5" t="s">
        <v>1303</v>
      </c>
      <c r="E255" s="5" t="s">
        <v>339</v>
      </c>
      <c r="F255" s="5" t="s">
        <v>465</v>
      </c>
      <c r="G255" s="5" t="s">
        <v>464</v>
      </c>
      <c r="H255" s="5" t="s">
        <v>465</v>
      </c>
      <c r="I255" s="5" t="s">
        <v>63</v>
      </c>
      <c r="J255" s="5" t="s">
        <v>76</v>
      </c>
      <c r="K255" s="5" t="s">
        <v>309</v>
      </c>
      <c r="L255" s="6" t="n">
        <v>44348</v>
      </c>
      <c r="M255" s="5" t="s">
        <v>182</v>
      </c>
      <c r="N255" s="6" t="n">
        <v>36375</v>
      </c>
      <c r="O255" s="5" t="s">
        <v>585</v>
      </c>
      <c r="P255" s="5" t="s">
        <v>586</v>
      </c>
      <c r="Q255" s="5" t="s">
        <v>248</v>
      </c>
      <c r="R255" s="5" t="s">
        <v>115</v>
      </c>
      <c r="S255" s="5" t="s">
        <v>1304</v>
      </c>
      <c r="T255" s="6"/>
      <c r="U255" s="6"/>
      <c r="V255" s="5" t="s">
        <v>631</v>
      </c>
      <c r="W255" s="5" t="s">
        <v>141</v>
      </c>
      <c r="X255" s="5" t="s">
        <v>83</v>
      </c>
      <c r="Y255" s="5" t="s">
        <v>83</v>
      </c>
      <c r="Z255" s="5" t="s">
        <v>83</v>
      </c>
      <c r="AA255" s="5" t="s">
        <v>1305</v>
      </c>
      <c r="AB255" s="0" t="n">
        <f aca="false">IFERROR(VALUE(R255),0)</f>
        <v>0</v>
      </c>
      <c r="AC255" s="0" t="n">
        <f aca="false">IFERROR(VALUE(M255),"")</f>
        <v>26.1</v>
      </c>
      <c r="AD255" s="0" t="n">
        <f aca="false">IFERROR(VALUE(Q255),"")</f>
        <v>5</v>
      </c>
      <c r="AE255" s="0" t="n">
        <f aca="false">IFERROR(VALUE(S255),"")</f>
        <v>5</v>
      </c>
      <c r="AF255" s="0" t="n">
        <f aca="false">IF(V255="","",VLOOKUP(V255,Assumptions!$B$6:$C$9,2,FALSE()))</f>
        <v>2</v>
      </c>
      <c r="AG255" s="0" t="n">
        <f aca="false">IF(W255="","",VLOOKUP(W255,Assumptions!$B$6:$C$9,2,FALSE()))</f>
        <v>3</v>
      </c>
      <c r="AH255" s="0" t="n">
        <f aca="false">IF(X255="","",VLOOKUP(X255,Assumptions!$B$6:$C$9,2,FALSE()))</f>
        <v>4</v>
      </c>
      <c r="AI255" s="0" t="n">
        <f aca="false">IF(Y255="","",VLOOKUP(Y255,Assumptions!$B$6:$C$9,2,FALSE()))</f>
        <v>4</v>
      </c>
      <c r="AJ255" s="0" t="n">
        <f aca="false">IF(Z255="","",VLOOKUP(Z255,Assumptions!$B$6:$C$9,2,FALSE()))</f>
        <v>4</v>
      </c>
      <c r="AK255" s="7" t="n">
        <f aca="false">IFERROR(ROUND(AVERAGE(AF255:AJ255),3),"")</f>
        <v>3.4</v>
      </c>
      <c r="AL255" s="7" t="n">
        <f aca="false">IF(OR(AF255="",AJ255=""),"",AJ255-AF255)</f>
        <v>2</v>
      </c>
      <c r="AM255" s="7" t="n">
        <f aca="false">IF(COUNT(AF255:AJ255)&gt;=2,ROUND(_xlfn.STDEV.S(AF255:AJ255),3),"")</f>
        <v>0.894</v>
      </c>
      <c r="AN255" s="7" t="n">
        <f aca="false">ROUND((IF(AF255="",0,AF255)*Assumptions!$F$15)+(IF(AG255="",0,AG255)*Assumptions!$F$16)+(IF(AH255="",0,AH255)*Assumptions!$F$17)+(IF(AI255="",0,AI255)*Assumptions!$F$18)+(IF(AJ255="",0,AJ255)*Assumptions!$F$19),3)</f>
        <v>3.65</v>
      </c>
      <c r="AO255" s="0" t="str">
        <f aca="false">IF(AC255&lt;=20,"",IF(AC255&lt;=Assumptions!$F$6,"20-30",IF(AC255&lt;=Assumptions!$F$7,"30-40",IF(AC255&lt;=Assumptions!$F$8,"40-50",IF(AC255&lt;=Assumptions!$F$9,"50-60",IF(AC255&lt;=Assumptions!$F$10,"60+",""))))))</f>
        <v>20-30</v>
      </c>
      <c r="AP255" s="0" t="str">
        <f aca="false">IFERROR(VLOOKUP(O255,Assumptions!$B$14:$C$26,2,FALSE()),"Other")</f>
        <v>Manager</v>
      </c>
      <c r="AQ255" s="0" t="n">
        <f aca="false">IF(T255="",0,1)</f>
        <v>0</v>
      </c>
      <c r="AR255" s="0" t="n">
        <f aca="false">IF(U255="",0,1)</f>
        <v>0</v>
      </c>
      <c r="AS255" s="8" t="n">
        <f aca="false">IF(AK255="","",IF(MAX($AK$2:$AK$921)=MIN($AK$2:$AK$921),50,ROUND((AK255-MIN($AK$2:$AK$921))/(MAX($AK$2:$AK$921)-MIN($AK$2:$AK$921))*100,2)))</f>
        <v>74.28</v>
      </c>
      <c r="AT255" s="8" t="n">
        <f aca="false">IF(MAX($BC$2:$BC$921)=MIN($BC$2:$BC$921),50,ROUND((BC255-MIN($BC$2:$BC$921))/(MAX($BC$2:$BC$921)-MIN($BC$2:$BC$921))*100,2))</f>
        <v>100</v>
      </c>
      <c r="AU255" s="8" t="n">
        <f aca="false">IF(MAX($BE$2:$BE$921)=MIN($BE$2:$BE$921),50,ROUND((BE255-MIN($BE$2:$BE$921))/(MAX($BE$2:$BE$921)-MIN($BE$2:$BE$921))*100,2))</f>
        <v>48.38</v>
      </c>
      <c r="AV255" s="8" t="n">
        <f aca="false">IF(MAX($AD$2:$AD$921)=MIN($AD$2:$AD$921),50,ROUND((AD255-MIN($AD$2:$AD$921))/(MAX($AD$2:$AD$921)-MIN($AD$2:$AD$921))*100,2))</f>
        <v>13.29</v>
      </c>
      <c r="AW255" s="8" t="n">
        <f aca="false">IF(MAX($AN$2:$AN$921)=MIN($AN$2:$AN$921),50,ROUND((AN255-MIN($AN$2:$AN$921))/(MAX($AN$2:$AN$921)-MIN($AN$2:$AN$921))*100,2))</f>
        <v>91.25</v>
      </c>
      <c r="AX255" s="8" t="n">
        <f aca="false">AQ255*100</f>
        <v>0</v>
      </c>
      <c r="AY255" s="8" t="n">
        <f aca="false">AR255*100</f>
        <v>0</v>
      </c>
      <c r="AZ255" s="8" t="n">
        <f aca="false">IFERROR(ROUND(AS255*Assumptions!$I$6+AW255*Assumptions!$I$7+AT255*Assumptions!$I$8+AU255*Assumptions!$I$9+AV255*Assumptions!$I$10+AX255*Assumptions!$I$11+AY255*Assumptions!$I$12,2),"")</f>
        <v>64.12</v>
      </c>
      <c r="BA255" s="0" t="str">
        <f aca="false">IF(AZ255="","",IF(AZ255&lt;=Assumptions!$I$18,"Below Expectation",IF(AZ255&lt;=Assumptions!$I$19,"Developing",IF(AZ255&lt;=Assumptions!$I$20,"Meets Expectation",IF(AZ255&lt;=Assumptions!$I$21,"Exceeds","Star Performer")))))</f>
        <v>Meets Expectation</v>
      </c>
      <c r="BB255" s="0" t="n">
        <f aca="false">IF(AZ255="",0,IF(AZ255&gt;=Assumptions!$I$26,1,0))</f>
        <v>0</v>
      </c>
      <c r="BC255" s="9" t="n">
        <f aca="false">IF(AL255="",2,AL255+2)</f>
        <v>4</v>
      </c>
      <c r="BD255" s="10" t="n">
        <f aca="false">IF(AM255="",ROUND(AVERAGE($AM$2:$AM$921),3),AM255)</f>
        <v>0.894</v>
      </c>
      <c r="BE255" s="9" t="n">
        <f aca="false">1-BD255</f>
        <v>0.106</v>
      </c>
    </row>
    <row r="256" customFormat="false" ht="14.25" hidden="true" customHeight="false" outlineLevel="0" collapsed="false">
      <c r="A256" s="4" t="n">
        <v>176</v>
      </c>
      <c r="B256" s="5" t="n">
        <v>10053603</v>
      </c>
      <c r="C256" s="5" t="s">
        <v>57</v>
      </c>
      <c r="D256" s="5" t="s">
        <v>1306</v>
      </c>
      <c r="E256" s="5" t="s">
        <v>208</v>
      </c>
      <c r="F256" s="5" t="s">
        <v>387</v>
      </c>
      <c r="G256" s="5" t="s">
        <v>388</v>
      </c>
      <c r="H256" s="5" t="s">
        <v>387</v>
      </c>
      <c r="I256" s="5" t="s">
        <v>63</v>
      </c>
      <c r="J256" s="5" t="s">
        <v>100</v>
      </c>
      <c r="K256" s="5" t="s">
        <v>65</v>
      </c>
      <c r="L256" s="6" t="n">
        <v>42471</v>
      </c>
      <c r="M256" s="5" t="s">
        <v>813</v>
      </c>
      <c r="N256" s="6" t="n">
        <v>34260</v>
      </c>
      <c r="O256" s="5" t="s">
        <v>332</v>
      </c>
      <c r="P256" s="5" t="s">
        <v>333</v>
      </c>
      <c r="Q256" s="5" t="s">
        <v>399</v>
      </c>
      <c r="R256" s="5" t="s">
        <v>740</v>
      </c>
      <c r="S256" s="5" t="s">
        <v>790</v>
      </c>
      <c r="T256" s="6"/>
      <c r="U256" s="6" t="n">
        <v>44470</v>
      </c>
      <c r="V256" s="5" t="s">
        <v>83</v>
      </c>
      <c r="W256" s="5" t="s">
        <v>83</v>
      </c>
      <c r="X256" s="5" t="s">
        <v>141</v>
      </c>
      <c r="Y256" s="5" t="s">
        <v>83</v>
      </c>
      <c r="Z256" s="5" t="s">
        <v>141</v>
      </c>
      <c r="AA256" s="5" t="s">
        <v>1307</v>
      </c>
      <c r="AB256" s="0" t="n">
        <f aca="false">IFERROR(VALUE(R256),0)</f>
        <v>0.8</v>
      </c>
      <c r="AC256" s="0" t="n">
        <f aca="false">IFERROR(VALUE(M256),"")</f>
        <v>32.7</v>
      </c>
      <c r="AD256" s="0" t="n">
        <f aca="false">IFERROR(VALUE(Q256),"")</f>
        <v>10.1</v>
      </c>
      <c r="AE256" s="0" t="n">
        <f aca="false">IFERROR(VALUE(S256),"")</f>
        <v>10.9</v>
      </c>
      <c r="AF256" s="0" t="n">
        <f aca="false">IF(V256="","",VLOOKUP(V256,Assumptions!$B$6:$C$9,2,FALSE()))</f>
        <v>4</v>
      </c>
      <c r="AG256" s="0" t="n">
        <f aca="false">IF(W256="","",VLOOKUP(W256,Assumptions!$B$6:$C$9,2,FALSE()))</f>
        <v>4</v>
      </c>
      <c r="AH256" s="0" t="n">
        <f aca="false">IF(X256="","",VLOOKUP(X256,Assumptions!$B$6:$C$9,2,FALSE()))</f>
        <v>3</v>
      </c>
      <c r="AI256" s="0" t="n">
        <f aca="false">IF(Y256="","",VLOOKUP(Y256,Assumptions!$B$6:$C$9,2,FALSE()))</f>
        <v>4</v>
      </c>
      <c r="AJ256" s="0" t="n">
        <f aca="false">IF(Z256="","",VLOOKUP(Z256,Assumptions!$B$6:$C$9,2,FALSE()))</f>
        <v>3</v>
      </c>
      <c r="AK256" s="7" t="n">
        <f aca="false">IFERROR(ROUND(AVERAGE(AF256:AJ256),3),"")</f>
        <v>3.6</v>
      </c>
      <c r="AL256" s="7" t="n">
        <f aca="false">IF(OR(AF256="",AJ256=""),"",AJ256-AF256)</f>
        <v>-1</v>
      </c>
      <c r="AM256" s="7" t="n">
        <f aca="false">IF(COUNT(AF256:AJ256)&gt;=2,ROUND(_xlfn.STDEV.S(AF256:AJ256),3),"")</f>
        <v>0.548</v>
      </c>
      <c r="AN256" s="7" t="n">
        <f aca="false">ROUND((IF(AF256="",0,AF256)*Assumptions!$F$15)+(IF(AG256="",0,AG256)*Assumptions!$F$16)+(IF(AH256="",0,AH256)*Assumptions!$F$17)+(IF(AI256="",0,AI256)*Assumptions!$F$18)+(IF(AJ256="",0,AJ256)*Assumptions!$F$19),3)</f>
        <v>3.5</v>
      </c>
      <c r="AO256" s="0" t="str">
        <f aca="false">IF(AC256&lt;=20,"",IF(AC256&lt;=Assumptions!$F$6,"20-30",IF(AC256&lt;=Assumptions!$F$7,"30-40",IF(AC256&lt;=Assumptions!$F$8,"40-50",IF(AC256&lt;=Assumptions!$F$9,"50-60",IF(AC256&lt;=Assumptions!$F$10,"60+",""))))))</f>
        <v>30-40</v>
      </c>
      <c r="AP256" s="0" t="str">
        <f aca="false">IFERROR(VLOOKUP(O256,Assumptions!$B$14:$C$26,2,FALSE()),"Other")</f>
        <v>Manager</v>
      </c>
      <c r="AQ256" s="0" t="n">
        <f aca="false">IF(T256="",0,1)</f>
        <v>0</v>
      </c>
      <c r="AR256" s="0" t="n">
        <f aca="false">IF(U256="",0,1)</f>
        <v>1</v>
      </c>
      <c r="AS256" s="8" t="n">
        <f aca="false">IF(AK256="","",IF(MAX($AK$2:$AK$921)=MIN($AK$2:$AK$921),50,ROUND((AK256-MIN($AK$2:$AK$921))/(MAX($AK$2:$AK$921)-MIN($AK$2:$AK$921))*100,2)))</f>
        <v>82.85</v>
      </c>
      <c r="AT256" s="8" t="n">
        <f aca="false">IF(MAX($BC$2:$BC$921)=MIN($BC$2:$BC$921),50,ROUND((BC256-MIN($BC$2:$BC$921))/(MAX($BC$2:$BC$921)-MIN($BC$2:$BC$921))*100,2))</f>
        <v>25</v>
      </c>
      <c r="AU256" s="8" t="n">
        <f aca="false">IF(MAX($BE$2:$BE$921)=MIN($BE$2:$BE$921),50,ROUND((BE256-MIN($BE$2:$BE$921))/(MAX($BE$2:$BE$921)-MIN($BE$2:$BE$921))*100,2))</f>
        <v>68.36</v>
      </c>
      <c r="AV256" s="8" t="n">
        <f aca="false">IF(MAX($AD$2:$AD$921)=MIN($AD$2:$AD$921),50,ROUND((AD256-MIN($AD$2:$AD$921))/(MAX($AD$2:$AD$921)-MIN($AD$2:$AD$921))*100,2))</f>
        <v>27.15</v>
      </c>
      <c r="AW256" s="8" t="n">
        <f aca="false">IF(MAX($AN$2:$AN$921)=MIN($AN$2:$AN$921),50,ROUND((AN256-MIN($AN$2:$AN$921))/(MAX($AN$2:$AN$921)-MIN($AN$2:$AN$921))*100,2))</f>
        <v>87.5</v>
      </c>
      <c r="AX256" s="8" t="n">
        <f aca="false">AQ256*100</f>
        <v>0</v>
      </c>
      <c r="AY256" s="8" t="n">
        <f aca="false">AR256*100</f>
        <v>100</v>
      </c>
      <c r="AZ256" s="8" t="n">
        <f aca="false">IFERROR(ROUND(AS256*Assumptions!$I$6+AW256*Assumptions!$I$7+AT256*Assumptions!$I$8+AU256*Assumptions!$I$9+AV256*Assumptions!$I$10+AX256*Assumptions!$I$11+AY256*Assumptions!$I$12,2),"")</f>
        <v>64.07</v>
      </c>
      <c r="BA256" s="0" t="str">
        <f aca="false">IF(AZ256="","",IF(AZ256&lt;=Assumptions!$I$18,"Below Expectation",IF(AZ256&lt;=Assumptions!$I$19,"Developing",IF(AZ256&lt;=Assumptions!$I$20,"Meets Expectation",IF(AZ256&lt;=Assumptions!$I$21,"Exceeds","Star Performer")))))</f>
        <v>Meets Expectation</v>
      </c>
      <c r="BB256" s="0" t="n">
        <f aca="false">IF(AZ256="",0,IF(AZ256&gt;=Assumptions!$I$26,1,0))</f>
        <v>0</v>
      </c>
      <c r="BC256" s="9" t="n">
        <f aca="false">IF(AL256="",2,AL256+2)</f>
        <v>1</v>
      </c>
      <c r="BD256" s="10" t="n">
        <f aca="false">IF(AM256="",ROUND(AVERAGE($AM$2:$AM$921),3),AM256)</f>
        <v>0.548</v>
      </c>
      <c r="BE256" s="9" t="n">
        <f aca="false">1-BD256</f>
        <v>0.452</v>
      </c>
    </row>
    <row r="257" customFormat="false" ht="14.25" hidden="true" customHeight="false" outlineLevel="0" collapsed="false">
      <c r="A257" s="4" t="n">
        <v>186</v>
      </c>
      <c r="B257" s="5" t="n">
        <v>10054525</v>
      </c>
      <c r="C257" s="5" t="s">
        <v>57</v>
      </c>
      <c r="D257" s="5" t="s">
        <v>1308</v>
      </c>
      <c r="E257" s="5" t="s">
        <v>229</v>
      </c>
      <c r="F257" s="5" t="s">
        <v>387</v>
      </c>
      <c r="G257" s="5" t="s">
        <v>388</v>
      </c>
      <c r="H257" s="5" t="s">
        <v>387</v>
      </c>
      <c r="I257" s="5" t="s">
        <v>63</v>
      </c>
      <c r="J257" s="5" t="s">
        <v>100</v>
      </c>
      <c r="K257" s="5" t="s">
        <v>65</v>
      </c>
      <c r="L257" s="6" t="n">
        <v>42555</v>
      </c>
      <c r="M257" s="5" t="s">
        <v>1309</v>
      </c>
      <c r="N257" s="6" t="n">
        <v>30872</v>
      </c>
      <c r="O257" s="5" t="s">
        <v>332</v>
      </c>
      <c r="P257" s="5" t="s">
        <v>333</v>
      </c>
      <c r="Q257" s="5" t="s">
        <v>599</v>
      </c>
      <c r="R257" s="5" t="s">
        <v>425</v>
      </c>
      <c r="S257" s="5" t="s">
        <v>1166</v>
      </c>
      <c r="T257" s="6"/>
      <c r="U257" s="6" t="n">
        <v>44652</v>
      </c>
      <c r="V257" s="5" t="s">
        <v>83</v>
      </c>
      <c r="W257" s="5" t="s">
        <v>141</v>
      </c>
      <c r="X257" s="5" t="s">
        <v>83</v>
      </c>
      <c r="Y257" s="5" t="s">
        <v>83</v>
      </c>
      <c r="Z257" s="5" t="s">
        <v>141</v>
      </c>
      <c r="AA257" s="5" t="s">
        <v>1310</v>
      </c>
      <c r="AB257" s="0" t="n">
        <f aca="false">IFERROR(VALUE(R257),0)</f>
        <v>9.5</v>
      </c>
      <c r="AC257" s="0" t="n">
        <f aca="false">IFERROR(VALUE(M257),"")</f>
        <v>41.1</v>
      </c>
      <c r="AD257" s="0" t="n">
        <f aca="false">IFERROR(VALUE(Q257),"")</f>
        <v>9.11</v>
      </c>
      <c r="AE257" s="0" t="n">
        <f aca="false">IFERROR(VALUE(S257),"")</f>
        <v>19.4</v>
      </c>
      <c r="AF257" s="0" t="n">
        <f aca="false">IF(V257="","",VLOOKUP(V257,Assumptions!$B$6:$C$9,2,FALSE()))</f>
        <v>4</v>
      </c>
      <c r="AG257" s="0" t="n">
        <f aca="false">IF(W257="","",VLOOKUP(W257,Assumptions!$B$6:$C$9,2,FALSE()))</f>
        <v>3</v>
      </c>
      <c r="AH257" s="0" t="n">
        <f aca="false">IF(X257="","",VLOOKUP(X257,Assumptions!$B$6:$C$9,2,FALSE()))</f>
        <v>4</v>
      </c>
      <c r="AI257" s="0" t="n">
        <f aca="false">IF(Y257="","",VLOOKUP(Y257,Assumptions!$B$6:$C$9,2,FALSE()))</f>
        <v>4</v>
      </c>
      <c r="AJ257" s="0" t="n">
        <f aca="false">IF(Z257="","",VLOOKUP(Z257,Assumptions!$B$6:$C$9,2,FALSE()))</f>
        <v>3</v>
      </c>
      <c r="AK257" s="7" t="n">
        <f aca="false">IFERROR(ROUND(AVERAGE(AF257:AJ257),3),"")</f>
        <v>3.6</v>
      </c>
      <c r="AL257" s="7" t="n">
        <f aca="false">IF(OR(AF257="",AJ257=""),"",AJ257-AF257)</f>
        <v>-1</v>
      </c>
      <c r="AM257" s="7" t="n">
        <f aca="false">IF(COUNT(AF257:AJ257)&gt;=2,ROUND(_xlfn.STDEV.S(AF257:AJ257),3),"")</f>
        <v>0.548</v>
      </c>
      <c r="AN257" s="7" t="n">
        <f aca="false">ROUND((IF(AF257="",0,AF257)*Assumptions!$F$15)+(IF(AG257="",0,AG257)*Assumptions!$F$16)+(IF(AH257="",0,AH257)*Assumptions!$F$17)+(IF(AI257="",0,AI257)*Assumptions!$F$18)+(IF(AJ257="",0,AJ257)*Assumptions!$F$19),3)</f>
        <v>3.55</v>
      </c>
      <c r="AO257" s="0" t="str">
        <f aca="false">IF(AC257&lt;=20,"",IF(AC257&lt;=Assumptions!$F$6,"20-30",IF(AC257&lt;=Assumptions!$F$7,"30-40",IF(AC257&lt;=Assumptions!$F$8,"40-50",IF(AC257&lt;=Assumptions!$F$9,"50-60",IF(AC257&lt;=Assumptions!$F$10,"60+",""))))))</f>
        <v>40-50</v>
      </c>
      <c r="AP257" s="0" t="str">
        <f aca="false">IFERROR(VLOOKUP(O257,Assumptions!$B$14:$C$26,2,FALSE()),"Other")</f>
        <v>Manager</v>
      </c>
      <c r="AQ257" s="0" t="n">
        <f aca="false">IF(T257="",0,1)</f>
        <v>0</v>
      </c>
      <c r="AR257" s="0" t="n">
        <f aca="false">IF(U257="",0,1)</f>
        <v>1</v>
      </c>
      <c r="AS257" s="8" t="n">
        <f aca="false">IF(AK257="","",IF(MAX($AK$2:$AK$921)=MIN($AK$2:$AK$921),50,ROUND((AK257-MIN($AK$2:$AK$921))/(MAX($AK$2:$AK$921)-MIN($AK$2:$AK$921))*100,2)))</f>
        <v>82.85</v>
      </c>
      <c r="AT257" s="8" t="n">
        <f aca="false">IF(MAX($BC$2:$BC$921)=MIN($BC$2:$BC$921),50,ROUND((BC257-MIN($BC$2:$BC$921))/(MAX($BC$2:$BC$921)-MIN($BC$2:$BC$921))*100,2))</f>
        <v>25</v>
      </c>
      <c r="AU257" s="8" t="n">
        <f aca="false">IF(MAX($BE$2:$BE$921)=MIN($BE$2:$BE$921),50,ROUND((BE257-MIN($BE$2:$BE$921))/(MAX($BE$2:$BE$921)-MIN($BE$2:$BE$921))*100,2))</f>
        <v>68.36</v>
      </c>
      <c r="AV257" s="8" t="n">
        <f aca="false">IF(MAX($AD$2:$AD$921)=MIN($AD$2:$AD$921),50,ROUND((AD257-MIN($AD$2:$AD$921))/(MAX($AD$2:$AD$921)-MIN($AD$2:$AD$921))*100,2))</f>
        <v>24.46</v>
      </c>
      <c r="AW257" s="8" t="n">
        <f aca="false">IF(MAX($AN$2:$AN$921)=MIN($AN$2:$AN$921),50,ROUND((AN257-MIN($AN$2:$AN$921))/(MAX($AN$2:$AN$921)-MIN($AN$2:$AN$921))*100,2))</f>
        <v>88.75</v>
      </c>
      <c r="AX257" s="8" t="n">
        <f aca="false">AQ257*100</f>
        <v>0</v>
      </c>
      <c r="AY257" s="8" t="n">
        <f aca="false">AR257*100</f>
        <v>100</v>
      </c>
      <c r="AZ257" s="8" t="n">
        <f aca="false">IFERROR(ROUND(AS257*Assumptions!$I$6+AW257*Assumptions!$I$7+AT257*Assumptions!$I$8+AU257*Assumptions!$I$9+AV257*Assumptions!$I$10+AX257*Assumptions!$I$11+AY257*Assumptions!$I$12,2),"")</f>
        <v>64.06</v>
      </c>
      <c r="BA257" s="0" t="str">
        <f aca="false">IF(AZ257="","",IF(AZ257&lt;=Assumptions!$I$18,"Below Expectation",IF(AZ257&lt;=Assumptions!$I$19,"Developing",IF(AZ257&lt;=Assumptions!$I$20,"Meets Expectation",IF(AZ257&lt;=Assumptions!$I$21,"Exceeds","Star Performer")))))</f>
        <v>Meets Expectation</v>
      </c>
      <c r="BB257" s="0" t="n">
        <f aca="false">IF(AZ257="",0,IF(AZ257&gt;=Assumptions!$I$26,1,0))</f>
        <v>0</v>
      </c>
      <c r="BC257" s="9" t="n">
        <f aca="false">IF(AL257="",2,AL257+2)</f>
        <v>1</v>
      </c>
      <c r="BD257" s="10" t="n">
        <f aca="false">IF(AM257="",ROUND(AVERAGE($AM$2:$AM$921),3),AM257)</f>
        <v>0.548</v>
      </c>
      <c r="BE257" s="9" t="n">
        <f aca="false">1-BD257</f>
        <v>0.452</v>
      </c>
    </row>
    <row r="258" customFormat="false" ht="14.25" hidden="true" customHeight="false" outlineLevel="0" collapsed="false">
      <c r="A258" s="4" t="n">
        <v>64</v>
      </c>
      <c r="B258" s="5" t="n">
        <v>10019854</v>
      </c>
      <c r="C258" s="5" t="s">
        <v>57</v>
      </c>
      <c r="D258" s="5" t="s">
        <v>1311</v>
      </c>
      <c r="E258" s="5" t="s">
        <v>1255</v>
      </c>
      <c r="F258" s="5" t="s">
        <v>209</v>
      </c>
      <c r="G258" s="5" t="s">
        <v>210</v>
      </c>
      <c r="H258" s="5" t="s">
        <v>209</v>
      </c>
      <c r="I258" s="5" t="s">
        <v>63</v>
      </c>
      <c r="J258" s="5" t="s">
        <v>100</v>
      </c>
      <c r="K258" s="5" t="s">
        <v>65</v>
      </c>
      <c r="L258" s="6" t="n">
        <v>38243</v>
      </c>
      <c r="M258" s="5" t="s">
        <v>1312</v>
      </c>
      <c r="N258" s="6" t="n">
        <v>27432</v>
      </c>
      <c r="O258" s="5" t="s">
        <v>262</v>
      </c>
      <c r="P258" s="5" t="s">
        <v>263</v>
      </c>
      <c r="Q258" s="5" t="s">
        <v>155</v>
      </c>
      <c r="R258" s="5" t="s">
        <v>502</v>
      </c>
      <c r="S258" s="5" t="s">
        <v>1313</v>
      </c>
      <c r="T258" s="6"/>
      <c r="U258" s="6" t="n">
        <v>44470</v>
      </c>
      <c r="V258" s="5" t="s">
        <v>83</v>
      </c>
      <c r="W258" s="5" t="s">
        <v>141</v>
      </c>
      <c r="X258" s="5" t="s">
        <v>141</v>
      </c>
      <c r="Y258" s="5" t="s">
        <v>83</v>
      </c>
      <c r="Z258" s="5" t="s">
        <v>141</v>
      </c>
      <c r="AA258" s="5" t="s">
        <v>1314</v>
      </c>
      <c r="AB258" s="0" t="n">
        <f aca="false">IFERROR(VALUE(R258),0)</f>
        <v>11.1</v>
      </c>
      <c r="AC258" s="0" t="n">
        <f aca="false">IFERROR(VALUE(M258),"")</f>
        <v>51.4</v>
      </c>
      <c r="AD258" s="0" t="n">
        <f aca="false">IFERROR(VALUE(Q258),"")</f>
        <v>21.8</v>
      </c>
      <c r="AE258" s="0" t="n">
        <f aca="false">IFERROR(VALUE(S258),"")</f>
        <v>32.9</v>
      </c>
      <c r="AF258" s="0" t="n">
        <f aca="false">IF(V258="","",VLOOKUP(V258,Assumptions!$B$6:$C$9,2,FALSE()))</f>
        <v>4</v>
      </c>
      <c r="AG258" s="0" t="n">
        <f aca="false">IF(W258="","",VLOOKUP(W258,Assumptions!$B$6:$C$9,2,FALSE()))</f>
        <v>3</v>
      </c>
      <c r="AH258" s="0" t="n">
        <f aca="false">IF(X258="","",VLOOKUP(X258,Assumptions!$B$6:$C$9,2,FALSE()))</f>
        <v>3</v>
      </c>
      <c r="AI258" s="0" t="n">
        <f aca="false">IF(Y258="","",VLOOKUP(Y258,Assumptions!$B$6:$C$9,2,FALSE()))</f>
        <v>4</v>
      </c>
      <c r="AJ258" s="0" t="n">
        <f aca="false">IF(Z258="","",VLOOKUP(Z258,Assumptions!$B$6:$C$9,2,FALSE()))</f>
        <v>3</v>
      </c>
      <c r="AK258" s="7" t="n">
        <f aca="false">IFERROR(ROUND(AVERAGE(AF258:AJ258),3),"")</f>
        <v>3.4</v>
      </c>
      <c r="AL258" s="7" t="n">
        <f aca="false">IF(OR(AF258="",AJ258=""),"",AJ258-AF258)</f>
        <v>-1</v>
      </c>
      <c r="AM258" s="7" t="n">
        <f aca="false">IF(COUNT(AF258:AJ258)&gt;=2,ROUND(_xlfn.STDEV.S(AF258:AJ258),3),"")</f>
        <v>0.548</v>
      </c>
      <c r="AN258" s="7" t="n">
        <f aca="false">ROUND((IF(AF258="",0,AF258)*Assumptions!$F$15)+(IF(AG258="",0,AG258)*Assumptions!$F$16)+(IF(AH258="",0,AH258)*Assumptions!$F$17)+(IF(AI258="",0,AI258)*Assumptions!$F$18)+(IF(AJ258="",0,AJ258)*Assumptions!$F$19),3)</f>
        <v>3.35</v>
      </c>
      <c r="AO258" s="0" t="str">
        <f aca="false">IF(AC258&lt;=20,"",IF(AC258&lt;=Assumptions!$F$6,"20-30",IF(AC258&lt;=Assumptions!$F$7,"30-40",IF(AC258&lt;=Assumptions!$F$8,"40-50",IF(AC258&lt;=Assumptions!$F$9,"50-60",IF(AC258&lt;=Assumptions!$F$10,"60+",""))))))</f>
        <v>50-60</v>
      </c>
      <c r="AP258" s="0" t="str">
        <f aca="false">IFERROR(VLOOKUP(O258,Assumptions!$B$14:$C$26,2,FALSE()),"Other")</f>
        <v>Manager</v>
      </c>
      <c r="AQ258" s="0" t="n">
        <f aca="false">IF(T258="",0,1)</f>
        <v>0</v>
      </c>
      <c r="AR258" s="0" t="n">
        <f aca="false">IF(U258="",0,1)</f>
        <v>1</v>
      </c>
      <c r="AS258" s="8" t="n">
        <f aca="false">IF(AK258="","",IF(MAX($AK$2:$AK$921)=MIN($AK$2:$AK$921),50,ROUND((AK258-MIN($AK$2:$AK$921))/(MAX($AK$2:$AK$921)-MIN($AK$2:$AK$921))*100,2)))</f>
        <v>74.28</v>
      </c>
      <c r="AT258" s="8" t="n">
        <f aca="false">IF(MAX($BC$2:$BC$921)=MIN($BC$2:$BC$921),50,ROUND((BC258-MIN($BC$2:$BC$921))/(MAX($BC$2:$BC$921)-MIN($BC$2:$BC$921))*100,2))</f>
        <v>25</v>
      </c>
      <c r="AU258" s="8" t="n">
        <f aca="false">IF(MAX($BE$2:$BE$921)=MIN($BE$2:$BE$921),50,ROUND((BE258-MIN($BE$2:$BE$921))/(MAX($BE$2:$BE$921)-MIN($BE$2:$BE$921))*100,2))</f>
        <v>68.36</v>
      </c>
      <c r="AV258" s="8" t="n">
        <f aca="false">IF(MAX($AD$2:$AD$921)=MIN($AD$2:$AD$921),50,ROUND((AD258-MIN($AD$2:$AD$921))/(MAX($AD$2:$AD$921)-MIN($AD$2:$AD$921))*100,2))</f>
        <v>58.96</v>
      </c>
      <c r="AW258" s="8" t="n">
        <f aca="false">IF(MAX($AN$2:$AN$921)=MIN($AN$2:$AN$921),50,ROUND((AN258-MIN($AN$2:$AN$921))/(MAX($AN$2:$AN$921)-MIN($AN$2:$AN$921))*100,2))</f>
        <v>83.75</v>
      </c>
      <c r="AX258" s="8" t="n">
        <f aca="false">AQ258*100</f>
        <v>0</v>
      </c>
      <c r="AY258" s="8" t="n">
        <f aca="false">AR258*100</f>
        <v>100</v>
      </c>
      <c r="AZ258" s="8" t="n">
        <f aca="false">IFERROR(ROUND(AS258*Assumptions!$I$6+AW258*Assumptions!$I$7+AT258*Assumptions!$I$8+AU258*Assumptions!$I$9+AV258*Assumptions!$I$10+AX258*Assumptions!$I$11+AY258*Assumptions!$I$12,2),"")</f>
        <v>63.93</v>
      </c>
      <c r="BA258" s="0" t="str">
        <f aca="false">IF(AZ258="","",IF(AZ258&lt;=Assumptions!$I$18,"Below Expectation",IF(AZ258&lt;=Assumptions!$I$19,"Developing",IF(AZ258&lt;=Assumptions!$I$20,"Meets Expectation",IF(AZ258&lt;=Assumptions!$I$21,"Exceeds","Star Performer")))))</f>
        <v>Meets Expectation</v>
      </c>
      <c r="BB258" s="0" t="n">
        <f aca="false">IF(AZ258="",0,IF(AZ258&gt;=Assumptions!$I$26,1,0))</f>
        <v>0</v>
      </c>
      <c r="BC258" s="9" t="n">
        <f aca="false">IF(AL258="",2,AL258+2)</f>
        <v>1</v>
      </c>
      <c r="BD258" s="10" t="n">
        <f aca="false">IF(AM258="",ROUND(AVERAGE($AM$2:$AM$921),3),AM258)</f>
        <v>0.548</v>
      </c>
      <c r="BE258" s="9" t="n">
        <f aca="false">1-BD258</f>
        <v>0.452</v>
      </c>
    </row>
    <row r="259" customFormat="false" ht="14.25" hidden="true" customHeight="false" outlineLevel="0" collapsed="false">
      <c r="A259" s="4" t="n">
        <v>393</v>
      </c>
      <c r="B259" s="5" t="n">
        <v>50007797</v>
      </c>
      <c r="C259" s="5" t="s">
        <v>149</v>
      </c>
      <c r="D259" s="5" t="s">
        <v>1315</v>
      </c>
      <c r="E259" s="5" t="s">
        <v>718</v>
      </c>
      <c r="F259" s="5" t="s">
        <v>422</v>
      </c>
      <c r="G259" s="5" t="s">
        <v>423</v>
      </c>
      <c r="H259" s="5" t="s">
        <v>424</v>
      </c>
      <c r="I259" s="5" t="s">
        <v>63</v>
      </c>
      <c r="J259" s="5" t="s">
        <v>100</v>
      </c>
      <c r="K259" s="5" t="s">
        <v>309</v>
      </c>
      <c r="L259" s="6" t="n">
        <v>40427</v>
      </c>
      <c r="M259" s="5" t="s">
        <v>829</v>
      </c>
      <c r="N259" s="6" t="n">
        <v>31292</v>
      </c>
      <c r="O259" s="5" t="s">
        <v>332</v>
      </c>
      <c r="P259" s="5" t="s">
        <v>333</v>
      </c>
      <c r="Q259" s="5" t="s">
        <v>286</v>
      </c>
      <c r="R259" s="5" t="s">
        <v>115</v>
      </c>
      <c r="S259" s="5" t="s">
        <v>286</v>
      </c>
      <c r="T259" s="6"/>
      <c r="U259" s="6" t="n">
        <v>45292</v>
      </c>
      <c r="V259" s="5" t="s">
        <v>141</v>
      </c>
      <c r="W259" s="5" t="s">
        <v>141</v>
      </c>
      <c r="X259" s="5" t="s">
        <v>141</v>
      </c>
      <c r="Y259" s="5" t="s">
        <v>141</v>
      </c>
      <c r="Z259" s="5" t="s">
        <v>141</v>
      </c>
      <c r="AA259" s="5" t="s">
        <v>1316</v>
      </c>
      <c r="AB259" s="0" t="n">
        <f aca="false">IFERROR(VALUE(R259),0)</f>
        <v>0</v>
      </c>
      <c r="AC259" s="0" t="n">
        <f aca="false">IFERROR(VALUE(M259),"")</f>
        <v>40.9</v>
      </c>
      <c r="AD259" s="0" t="n">
        <f aca="false">IFERROR(VALUE(Q259),"")</f>
        <v>15.9</v>
      </c>
      <c r="AE259" s="0" t="n">
        <f aca="false">IFERROR(VALUE(S259),"")</f>
        <v>15.9</v>
      </c>
      <c r="AF259" s="0" t="n">
        <f aca="false">IF(V259="","",VLOOKUP(V259,Assumptions!$B$6:$C$9,2,FALSE()))</f>
        <v>3</v>
      </c>
      <c r="AG259" s="0" t="n">
        <f aca="false">IF(W259="","",VLOOKUP(W259,Assumptions!$B$6:$C$9,2,FALSE()))</f>
        <v>3</v>
      </c>
      <c r="AH259" s="0" t="n">
        <f aca="false">IF(X259="","",VLOOKUP(X259,Assumptions!$B$6:$C$9,2,FALSE()))</f>
        <v>3</v>
      </c>
      <c r="AI259" s="0" t="n">
        <f aca="false">IF(Y259="","",VLOOKUP(Y259,Assumptions!$B$6:$C$9,2,FALSE()))</f>
        <v>3</v>
      </c>
      <c r="AJ259" s="0" t="n">
        <f aca="false">IF(Z259="","",VLOOKUP(Z259,Assumptions!$B$6:$C$9,2,FALSE()))</f>
        <v>3</v>
      </c>
      <c r="AK259" s="7" t="n">
        <f aca="false">IFERROR(ROUND(AVERAGE(AF259:AJ259),3),"")</f>
        <v>3</v>
      </c>
      <c r="AL259" s="7" t="n">
        <f aca="false">IF(OR(AF259="",AJ259=""),"",AJ259-AF259)</f>
        <v>0</v>
      </c>
      <c r="AM259" s="7" t="n">
        <f aca="false">IF(COUNT(AF259:AJ259)&gt;=2,ROUND(_xlfn.STDEV.S(AF259:AJ259),3),"")</f>
        <v>0</v>
      </c>
      <c r="AN259" s="7" t="n">
        <f aca="false">ROUND((IF(AF259="",0,AF259)*Assumptions!$F$15)+(IF(AG259="",0,AG259)*Assumptions!$F$16)+(IF(AH259="",0,AH259)*Assumptions!$F$17)+(IF(AI259="",0,AI259)*Assumptions!$F$18)+(IF(AJ259="",0,AJ259)*Assumptions!$F$19),3)</f>
        <v>3</v>
      </c>
      <c r="AO259" s="0" t="str">
        <f aca="false">IF(AC259&lt;=20,"",IF(AC259&lt;=Assumptions!$F$6,"20-30",IF(AC259&lt;=Assumptions!$F$7,"30-40",IF(AC259&lt;=Assumptions!$F$8,"40-50",IF(AC259&lt;=Assumptions!$F$9,"50-60",IF(AC259&lt;=Assumptions!$F$10,"60+",""))))))</f>
        <v>40-50</v>
      </c>
      <c r="AP259" s="0" t="str">
        <f aca="false">IFERROR(VLOOKUP(O259,Assumptions!$B$14:$C$26,2,FALSE()),"Other")</f>
        <v>Manager</v>
      </c>
      <c r="AQ259" s="0" t="n">
        <f aca="false">IF(T259="",0,1)</f>
        <v>0</v>
      </c>
      <c r="AR259" s="0" t="n">
        <f aca="false">IF(U259="",0,1)</f>
        <v>1</v>
      </c>
      <c r="AS259" s="8" t="n">
        <f aca="false">IF(AK259="","",IF(MAX($AK$2:$AK$921)=MIN($AK$2:$AK$921),50,ROUND((AK259-MIN($AK$2:$AK$921))/(MAX($AK$2:$AK$921)-MIN($AK$2:$AK$921))*100,2)))</f>
        <v>57.14</v>
      </c>
      <c r="AT259" s="8" t="n">
        <f aca="false">IF(MAX($BC$2:$BC$921)=MIN($BC$2:$BC$921),50,ROUND((BC259-MIN($BC$2:$BC$921))/(MAX($BC$2:$BC$921)-MIN($BC$2:$BC$921))*100,2))</f>
        <v>50</v>
      </c>
      <c r="AU259" s="8" t="n">
        <f aca="false">IF(MAX($BE$2:$BE$921)=MIN($BE$2:$BE$921),50,ROUND((BE259-MIN($BE$2:$BE$921))/(MAX($BE$2:$BE$921)-MIN($BE$2:$BE$921))*100,2))</f>
        <v>100</v>
      </c>
      <c r="AV259" s="8" t="n">
        <f aca="false">IF(MAX($AD$2:$AD$921)=MIN($AD$2:$AD$921),50,ROUND((AD259-MIN($AD$2:$AD$921))/(MAX($AD$2:$AD$921)-MIN($AD$2:$AD$921))*100,2))</f>
        <v>42.92</v>
      </c>
      <c r="AW259" s="8" t="n">
        <f aca="false">IF(MAX($AN$2:$AN$921)=MIN($AN$2:$AN$921),50,ROUND((AN259-MIN($AN$2:$AN$921))/(MAX($AN$2:$AN$921)-MIN($AN$2:$AN$921))*100,2))</f>
        <v>75</v>
      </c>
      <c r="AX259" s="8" t="n">
        <f aca="false">AQ259*100</f>
        <v>0</v>
      </c>
      <c r="AY259" s="8" t="n">
        <f aca="false">AR259*100</f>
        <v>100</v>
      </c>
      <c r="AZ259" s="8" t="n">
        <f aca="false">IFERROR(ROUND(AS259*Assumptions!$I$6+AW259*Assumptions!$I$7+AT259*Assumptions!$I$8+AU259*Assumptions!$I$9+AV259*Assumptions!$I$10+AX259*Assumptions!$I$11+AY259*Assumptions!$I$12,2),"")</f>
        <v>63.93</v>
      </c>
      <c r="BA259" s="0" t="str">
        <f aca="false">IF(AZ259="","",IF(AZ259&lt;=Assumptions!$I$18,"Below Expectation",IF(AZ259&lt;=Assumptions!$I$19,"Developing",IF(AZ259&lt;=Assumptions!$I$20,"Meets Expectation",IF(AZ259&lt;=Assumptions!$I$21,"Exceeds","Star Performer")))))</f>
        <v>Meets Expectation</v>
      </c>
      <c r="BB259" s="0" t="n">
        <f aca="false">IF(AZ259="",0,IF(AZ259&gt;=Assumptions!$I$26,1,0))</f>
        <v>0</v>
      </c>
      <c r="BC259" s="9" t="n">
        <f aca="false">IF(AL259="",2,AL259+2)</f>
        <v>2</v>
      </c>
      <c r="BD259" s="10" t="n">
        <f aca="false">IF(AM259="",ROUND(AVERAGE($AM$2:$AM$921),3),AM259)</f>
        <v>0</v>
      </c>
      <c r="BE259" s="9" t="n">
        <f aca="false">1-BD259</f>
        <v>1</v>
      </c>
    </row>
    <row r="260" customFormat="false" ht="14.25" hidden="true" customHeight="false" outlineLevel="0" collapsed="false">
      <c r="A260" s="4" t="n">
        <v>471</v>
      </c>
      <c r="B260" s="5" t="n">
        <v>55041199</v>
      </c>
      <c r="C260" s="5" t="s">
        <v>85</v>
      </c>
      <c r="D260" s="5" t="s">
        <v>1317</v>
      </c>
      <c r="E260" s="5" t="s">
        <v>185</v>
      </c>
      <c r="F260" s="5" t="s">
        <v>465</v>
      </c>
      <c r="G260" s="5" t="s">
        <v>464</v>
      </c>
      <c r="H260" s="5" t="s">
        <v>465</v>
      </c>
      <c r="I260" s="5" t="s">
        <v>63</v>
      </c>
      <c r="J260" s="5" t="s">
        <v>76</v>
      </c>
      <c r="K260" s="5" t="s">
        <v>309</v>
      </c>
      <c r="L260" s="6" t="n">
        <v>44375</v>
      </c>
      <c r="M260" s="5" t="s">
        <v>941</v>
      </c>
      <c r="N260" s="6" t="n">
        <v>36700</v>
      </c>
      <c r="O260" s="5" t="s">
        <v>585</v>
      </c>
      <c r="P260" s="5" t="s">
        <v>586</v>
      </c>
      <c r="Q260" s="5" t="s">
        <v>1318</v>
      </c>
      <c r="R260" s="5" t="s">
        <v>115</v>
      </c>
      <c r="S260" s="5" t="s">
        <v>1318</v>
      </c>
      <c r="T260" s="6"/>
      <c r="U260" s="6"/>
      <c r="V260" s="5" t="s">
        <v>631</v>
      </c>
      <c r="W260" s="5" t="s">
        <v>141</v>
      </c>
      <c r="X260" s="5" t="s">
        <v>83</v>
      </c>
      <c r="Y260" s="5" t="s">
        <v>83</v>
      </c>
      <c r="Z260" s="5" t="s">
        <v>83</v>
      </c>
      <c r="AA260" s="5" t="s">
        <v>1319</v>
      </c>
      <c r="AB260" s="0" t="n">
        <f aca="false">IFERROR(VALUE(R260),0)</f>
        <v>0</v>
      </c>
      <c r="AC260" s="0" t="n">
        <f aca="false">IFERROR(VALUE(M260),"")</f>
        <v>25.11</v>
      </c>
      <c r="AD260" s="0" t="n">
        <f aca="false">IFERROR(VALUE(Q260),"")</f>
        <v>4.11</v>
      </c>
      <c r="AE260" s="0" t="n">
        <f aca="false">IFERROR(VALUE(S260),"")</f>
        <v>4.11</v>
      </c>
      <c r="AF260" s="0" t="n">
        <f aca="false">IF(V260="","",VLOOKUP(V260,Assumptions!$B$6:$C$9,2,FALSE()))</f>
        <v>2</v>
      </c>
      <c r="AG260" s="0" t="n">
        <f aca="false">IF(W260="","",VLOOKUP(W260,Assumptions!$B$6:$C$9,2,FALSE()))</f>
        <v>3</v>
      </c>
      <c r="AH260" s="0" t="n">
        <f aca="false">IF(X260="","",VLOOKUP(X260,Assumptions!$B$6:$C$9,2,FALSE()))</f>
        <v>4</v>
      </c>
      <c r="AI260" s="0" t="n">
        <f aca="false">IF(Y260="","",VLOOKUP(Y260,Assumptions!$B$6:$C$9,2,FALSE()))</f>
        <v>4</v>
      </c>
      <c r="AJ260" s="0" t="n">
        <f aca="false">IF(Z260="","",VLOOKUP(Z260,Assumptions!$B$6:$C$9,2,FALSE()))</f>
        <v>4</v>
      </c>
      <c r="AK260" s="7" t="n">
        <f aca="false">IFERROR(ROUND(AVERAGE(AF260:AJ260),3),"")</f>
        <v>3.4</v>
      </c>
      <c r="AL260" s="7" t="n">
        <f aca="false">IF(OR(AF260="",AJ260=""),"",AJ260-AF260)</f>
        <v>2</v>
      </c>
      <c r="AM260" s="7" t="n">
        <f aca="false">IF(COUNT(AF260:AJ260)&gt;=2,ROUND(_xlfn.STDEV.S(AF260:AJ260),3),"")</f>
        <v>0.894</v>
      </c>
      <c r="AN260" s="7" t="n">
        <f aca="false">ROUND((IF(AF260="",0,AF260)*Assumptions!$F$15)+(IF(AG260="",0,AG260)*Assumptions!$F$16)+(IF(AH260="",0,AH260)*Assumptions!$F$17)+(IF(AI260="",0,AI260)*Assumptions!$F$18)+(IF(AJ260="",0,AJ260)*Assumptions!$F$19),3)</f>
        <v>3.65</v>
      </c>
      <c r="AO260" s="0" t="str">
        <f aca="false">IF(AC260&lt;=20,"",IF(AC260&lt;=Assumptions!$F$6,"20-30",IF(AC260&lt;=Assumptions!$F$7,"30-40",IF(AC260&lt;=Assumptions!$F$8,"40-50",IF(AC260&lt;=Assumptions!$F$9,"50-60",IF(AC260&lt;=Assumptions!$F$10,"60+",""))))))</f>
        <v>20-30</v>
      </c>
      <c r="AP260" s="0" t="str">
        <f aca="false">IFERROR(VLOOKUP(O260,Assumptions!$B$14:$C$26,2,FALSE()),"Other")</f>
        <v>Manager</v>
      </c>
      <c r="AQ260" s="0" t="n">
        <f aca="false">IF(T260="",0,1)</f>
        <v>0</v>
      </c>
      <c r="AR260" s="0" t="n">
        <f aca="false">IF(U260="",0,1)</f>
        <v>0</v>
      </c>
      <c r="AS260" s="8" t="n">
        <f aca="false">IF(AK260="","",IF(MAX($AK$2:$AK$921)=MIN($AK$2:$AK$921),50,ROUND((AK260-MIN($AK$2:$AK$921))/(MAX($AK$2:$AK$921)-MIN($AK$2:$AK$921))*100,2)))</f>
        <v>74.28</v>
      </c>
      <c r="AT260" s="8" t="n">
        <f aca="false">IF(MAX($BC$2:$BC$921)=MIN($BC$2:$BC$921),50,ROUND((BC260-MIN($BC$2:$BC$921))/(MAX($BC$2:$BC$921)-MIN($BC$2:$BC$921))*100,2))</f>
        <v>100</v>
      </c>
      <c r="AU260" s="8" t="n">
        <f aca="false">IF(MAX($BE$2:$BE$921)=MIN($BE$2:$BE$921),50,ROUND((BE260-MIN($BE$2:$BE$921))/(MAX($BE$2:$BE$921)-MIN($BE$2:$BE$921))*100,2))</f>
        <v>48.38</v>
      </c>
      <c r="AV260" s="8" t="n">
        <f aca="false">IF(MAX($AD$2:$AD$921)=MIN($AD$2:$AD$921),50,ROUND((AD260-MIN($AD$2:$AD$921))/(MAX($AD$2:$AD$921)-MIN($AD$2:$AD$921))*100,2))</f>
        <v>10.87</v>
      </c>
      <c r="AW260" s="8" t="n">
        <f aca="false">IF(MAX($AN$2:$AN$921)=MIN($AN$2:$AN$921),50,ROUND((AN260-MIN($AN$2:$AN$921))/(MAX($AN$2:$AN$921)-MIN($AN$2:$AN$921))*100,2))</f>
        <v>91.25</v>
      </c>
      <c r="AX260" s="8" t="n">
        <f aca="false">AQ260*100</f>
        <v>0</v>
      </c>
      <c r="AY260" s="8" t="n">
        <f aca="false">AR260*100</f>
        <v>0</v>
      </c>
      <c r="AZ260" s="8" t="n">
        <f aca="false">IFERROR(ROUND(AS260*Assumptions!$I$6+AW260*Assumptions!$I$7+AT260*Assumptions!$I$8+AU260*Assumptions!$I$9+AV260*Assumptions!$I$10+AX260*Assumptions!$I$11+AY260*Assumptions!$I$12,2),"")</f>
        <v>63.88</v>
      </c>
      <c r="BA260" s="0" t="str">
        <f aca="false">IF(AZ260="","",IF(AZ260&lt;=Assumptions!$I$18,"Below Expectation",IF(AZ260&lt;=Assumptions!$I$19,"Developing",IF(AZ260&lt;=Assumptions!$I$20,"Meets Expectation",IF(AZ260&lt;=Assumptions!$I$21,"Exceeds","Star Performer")))))</f>
        <v>Meets Expectation</v>
      </c>
      <c r="BB260" s="0" t="n">
        <f aca="false">IF(AZ260="",0,IF(AZ260&gt;=Assumptions!$I$26,1,0))</f>
        <v>0</v>
      </c>
      <c r="BC260" s="9" t="n">
        <f aca="false">IF(AL260="",2,AL260+2)</f>
        <v>4</v>
      </c>
      <c r="BD260" s="10" t="n">
        <f aca="false">IF(AM260="",ROUND(AVERAGE($AM$2:$AM$921),3),AM260)</f>
        <v>0.894</v>
      </c>
      <c r="BE260" s="9" t="n">
        <f aca="false">1-BD260</f>
        <v>0.106</v>
      </c>
    </row>
    <row r="261" customFormat="false" ht="14.25" hidden="true" customHeight="false" outlineLevel="0" collapsed="false">
      <c r="A261" s="4" t="n">
        <v>442</v>
      </c>
      <c r="B261" s="5" t="n">
        <v>55000138</v>
      </c>
      <c r="C261" s="5" t="s">
        <v>106</v>
      </c>
      <c r="D261" s="5" t="s">
        <v>1320</v>
      </c>
      <c r="E261" s="5" t="s">
        <v>127</v>
      </c>
      <c r="F261" s="5" t="s">
        <v>1321</v>
      </c>
      <c r="G261" s="5" t="s">
        <v>1322</v>
      </c>
      <c r="H261" s="5" t="s">
        <v>1323</v>
      </c>
      <c r="I261" s="5" t="s">
        <v>63</v>
      </c>
      <c r="J261" s="5" t="s">
        <v>112</v>
      </c>
      <c r="K261" s="5" t="s">
        <v>65</v>
      </c>
      <c r="L261" s="6" t="n">
        <v>40975</v>
      </c>
      <c r="M261" s="5" t="s">
        <v>1324</v>
      </c>
      <c r="N261" s="6" t="n">
        <v>25464</v>
      </c>
      <c r="O261" s="5" t="s">
        <v>122</v>
      </c>
      <c r="P261" s="5" t="s">
        <v>123</v>
      </c>
      <c r="Q261" s="5" t="s">
        <v>696</v>
      </c>
      <c r="R261" s="5" t="s">
        <v>642</v>
      </c>
      <c r="S261" s="5" t="s">
        <v>1325</v>
      </c>
      <c r="T261" s="6"/>
      <c r="U261" s="6" t="n">
        <v>45261</v>
      </c>
      <c r="V261" s="5" t="s">
        <v>631</v>
      </c>
      <c r="W261" s="5" t="s">
        <v>631</v>
      </c>
      <c r="X261" s="5" t="s">
        <v>141</v>
      </c>
      <c r="Y261" s="5" t="s">
        <v>83</v>
      </c>
      <c r="Z261" s="5" t="s">
        <v>83</v>
      </c>
      <c r="AA261" s="5" t="s">
        <v>1326</v>
      </c>
      <c r="AB261" s="0" t="n">
        <f aca="false">IFERROR(VALUE(R261),0)</f>
        <v>18.11</v>
      </c>
      <c r="AC261" s="0" t="n">
        <f aca="false">IFERROR(VALUE(M261),"")</f>
        <v>56.8</v>
      </c>
      <c r="AD261" s="0" t="n">
        <f aca="false">IFERROR(VALUE(Q261),"")</f>
        <v>14.3</v>
      </c>
      <c r="AE261" s="0" t="n">
        <f aca="false">IFERROR(VALUE(S261),"")</f>
        <v>33.2</v>
      </c>
      <c r="AF261" s="0" t="n">
        <f aca="false">IF(V261="","",VLOOKUP(V261,Assumptions!$B$6:$C$9,2,FALSE()))</f>
        <v>2</v>
      </c>
      <c r="AG261" s="0" t="n">
        <f aca="false">IF(W261="","",VLOOKUP(W261,Assumptions!$B$6:$C$9,2,FALSE()))</f>
        <v>2</v>
      </c>
      <c r="AH261" s="0" t="n">
        <f aca="false">IF(X261="","",VLOOKUP(X261,Assumptions!$B$6:$C$9,2,FALSE()))</f>
        <v>3</v>
      </c>
      <c r="AI261" s="0" t="n">
        <f aca="false">IF(Y261="","",VLOOKUP(Y261,Assumptions!$B$6:$C$9,2,FALSE()))</f>
        <v>4</v>
      </c>
      <c r="AJ261" s="0" t="n">
        <f aca="false">IF(Z261="","",VLOOKUP(Z261,Assumptions!$B$6:$C$9,2,FALSE()))</f>
        <v>4</v>
      </c>
      <c r="AK261" s="7" t="n">
        <f aca="false">IFERROR(ROUND(AVERAGE(AF261:AJ261),3),"")</f>
        <v>3</v>
      </c>
      <c r="AL261" s="7" t="n">
        <f aca="false">IF(OR(AF261="",AJ261=""),"",AJ261-AF261)</f>
        <v>2</v>
      </c>
      <c r="AM261" s="7" t="n">
        <f aca="false">IF(COUNT(AF261:AJ261)&gt;=2,ROUND(_xlfn.STDEV.S(AF261:AJ261),3),"")</f>
        <v>1</v>
      </c>
      <c r="AN261" s="7" t="n">
        <f aca="false">ROUND((IF(AF261="",0,AF261)*Assumptions!$F$15)+(IF(AG261="",0,AG261)*Assumptions!$F$16)+(IF(AH261="",0,AH261)*Assumptions!$F$17)+(IF(AI261="",0,AI261)*Assumptions!$F$18)+(IF(AJ261="",0,AJ261)*Assumptions!$F$19),3)</f>
        <v>3.3</v>
      </c>
      <c r="AO261" s="0" t="str">
        <f aca="false">IF(AC261&lt;=20,"",IF(AC261&lt;=Assumptions!$F$6,"20-30",IF(AC261&lt;=Assumptions!$F$7,"30-40",IF(AC261&lt;=Assumptions!$F$8,"40-50",IF(AC261&lt;=Assumptions!$F$9,"50-60",IF(AC261&lt;=Assumptions!$F$10,"60+",""))))))</f>
        <v>50-60</v>
      </c>
      <c r="AP261" s="0" t="str">
        <f aca="false">IFERROR(VLOOKUP(O261,Assumptions!$B$14:$C$26,2,FALSE()),"Other")</f>
        <v>Leadership</v>
      </c>
      <c r="AQ261" s="0" t="n">
        <f aca="false">IF(T261="",0,1)</f>
        <v>0</v>
      </c>
      <c r="AR261" s="0" t="n">
        <f aca="false">IF(U261="",0,1)</f>
        <v>1</v>
      </c>
      <c r="AS261" s="8" t="n">
        <f aca="false">IF(AK261="","",IF(MAX($AK$2:$AK$921)=MIN($AK$2:$AK$921),50,ROUND((AK261-MIN($AK$2:$AK$921))/(MAX($AK$2:$AK$921)-MIN($AK$2:$AK$921))*100,2)))</f>
        <v>57.14</v>
      </c>
      <c r="AT261" s="8" t="n">
        <f aca="false">IF(MAX($BC$2:$BC$921)=MIN($BC$2:$BC$921),50,ROUND((BC261-MIN($BC$2:$BC$921))/(MAX($BC$2:$BC$921)-MIN($BC$2:$BC$921))*100,2))</f>
        <v>100</v>
      </c>
      <c r="AU261" s="8" t="n">
        <f aca="false">IF(MAX($BE$2:$BE$921)=MIN($BE$2:$BE$921),50,ROUND((BE261-MIN($BE$2:$BE$921))/(MAX($BE$2:$BE$921)-MIN($BE$2:$BE$921))*100,2))</f>
        <v>42.26</v>
      </c>
      <c r="AV261" s="8" t="n">
        <f aca="false">IF(MAX($AD$2:$AD$921)=MIN($AD$2:$AD$921),50,ROUND((AD261-MIN($AD$2:$AD$921))/(MAX($AD$2:$AD$921)-MIN($AD$2:$AD$921))*100,2))</f>
        <v>38.57</v>
      </c>
      <c r="AW261" s="8" t="n">
        <f aca="false">IF(MAX($AN$2:$AN$921)=MIN($AN$2:$AN$921),50,ROUND((AN261-MIN($AN$2:$AN$921))/(MAX($AN$2:$AN$921)-MIN($AN$2:$AN$921))*100,2))</f>
        <v>82.5</v>
      </c>
      <c r="AX261" s="8" t="n">
        <f aca="false">AQ261*100</f>
        <v>0</v>
      </c>
      <c r="AY261" s="8" t="n">
        <f aca="false">AR261*100</f>
        <v>100</v>
      </c>
      <c r="AZ261" s="8" t="n">
        <f aca="false">IFERROR(ROUND(AS261*Assumptions!$I$6+AW261*Assumptions!$I$7+AT261*Assumptions!$I$8+AU261*Assumptions!$I$9+AV261*Assumptions!$I$10+AX261*Assumptions!$I$11+AY261*Assumptions!$I$12,2),"")</f>
        <v>63.84</v>
      </c>
      <c r="BA261" s="0" t="str">
        <f aca="false">IF(AZ261="","",IF(AZ261&lt;=Assumptions!$I$18,"Below Expectation",IF(AZ261&lt;=Assumptions!$I$19,"Developing",IF(AZ261&lt;=Assumptions!$I$20,"Meets Expectation",IF(AZ261&lt;=Assumptions!$I$21,"Exceeds","Star Performer")))))</f>
        <v>Meets Expectation</v>
      </c>
      <c r="BB261" s="0" t="n">
        <f aca="false">IF(AZ261="",0,IF(AZ261&gt;=Assumptions!$I$26,1,0))</f>
        <v>0</v>
      </c>
      <c r="BC261" s="9" t="n">
        <f aca="false">IF(AL261="",2,AL261+2)</f>
        <v>4</v>
      </c>
      <c r="BD261" s="10" t="n">
        <f aca="false">IF(AM261="",ROUND(AVERAGE($AM$2:$AM$921),3),AM261)</f>
        <v>1</v>
      </c>
      <c r="BE261" s="9" t="n">
        <f aca="false">1-BD261</f>
        <v>0</v>
      </c>
    </row>
    <row r="262" customFormat="false" ht="14.25" hidden="true" customHeight="false" outlineLevel="0" collapsed="false">
      <c r="A262" s="4" t="n">
        <v>406</v>
      </c>
      <c r="B262" s="5" t="n">
        <v>50008603</v>
      </c>
      <c r="C262" s="5" t="s">
        <v>85</v>
      </c>
      <c r="D262" s="5" t="s">
        <v>1327</v>
      </c>
      <c r="E262" s="5" t="s">
        <v>87</v>
      </c>
      <c r="F262" s="5" t="s">
        <v>705</v>
      </c>
      <c r="G262" s="5" t="s">
        <v>706</v>
      </c>
      <c r="H262" s="5" t="s">
        <v>707</v>
      </c>
      <c r="I262" s="5" t="s">
        <v>63</v>
      </c>
      <c r="J262" s="5" t="s">
        <v>76</v>
      </c>
      <c r="K262" s="5" t="s">
        <v>65</v>
      </c>
      <c r="L262" s="6" t="n">
        <v>40637</v>
      </c>
      <c r="M262" s="5" t="s">
        <v>544</v>
      </c>
      <c r="N262" s="6" t="n">
        <v>32441</v>
      </c>
      <c r="O262" s="5" t="s">
        <v>332</v>
      </c>
      <c r="P262" s="5" t="s">
        <v>333</v>
      </c>
      <c r="Q262" s="5" t="s">
        <v>516</v>
      </c>
      <c r="R262" s="5" t="s">
        <v>115</v>
      </c>
      <c r="S262" s="5" t="s">
        <v>516</v>
      </c>
      <c r="T262" s="6"/>
      <c r="U262" s="6" t="n">
        <v>44652</v>
      </c>
      <c r="V262" s="5" t="s">
        <v>141</v>
      </c>
      <c r="W262" s="5" t="s">
        <v>141</v>
      </c>
      <c r="X262" s="5" t="s">
        <v>141</v>
      </c>
      <c r="Y262" s="5" t="s">
        <v>141</v>
      </c>
      <c r="Z262" s="5" t="s">
        <v>141</v>
      </c>
      <c r="AA262" s="5" t="s">
        <v>1328</v>
      </c>
      <c r="AB262" s="0" t="n">
        <f aca="false">IFERROR(VALUE(R262),0)</f>
        <v>0</v>
      </c>
      <c r="AC262" s="0" t="n">
        <f aca="false">IFERROR(VALUE(M262),"")</f>
        <v>37.7</v>
      </c>
      <c r="AD262" s="0" t="n">
        <f aca="false">IFERROR(VALUE(Q262),"")</f>
        <v>15.2</v>
      </c>
      <c r="AE262" s="0" t="n">
        <f aca="false">IFERROR(VALUE(S262),"")</f>
        <v>15.2</v>
      </c>
      <c r="AF262" s="0" t="n">
        <f aca="false">IF(V262="","",VLOOKUP(V262,Assumptions!$B$6:$C$9,2,FALSE()))</f>
        <v>3</v>
      </c>
      <c r="AG262" s="0" t="n">
        <f aca="false">IF(W262="","",VLOOKUP(W262,Assumptions!$B$6:$C$9,2,FALSE()))</f>
        <v>3</v>
      </c>
      <c r="AH262" s="0" t="n">
        <f aca="false">IF(X262="","",VLOOKUP(X262,Assumptions!$B$6:$C$9,2,FALSE()))</f>
        <v>3</v>
      </c>
      <c r="AI262" s="0" t="n">
        <f aca="false">IF(Y262="","",VLOOKUP(Y262,Assumptions!$B$6:$C$9,2,FALSE()))</f>
        <v>3</v>
      </c>
      <c r="AJ262" s="0" t="n">
        <f aca="false">IF(Z262="","",VLOOKUP(Z262,Assumptions!$B$6:$C$9,2,FALSE()))</f>
        <v>3</v>
      </c>
      <c r="AK262" s="7" t="n">
        <f aca="false">IFERROR(ROUND(AVERAGE(AF262:AJ262),3),"")</f>
        <v>3</v>
      </c>
      <c r="AL262" s="7" t="n">
        <f aca="false">IF(OR(AF262="",AJ262=""),"",AJ262-AF262)</f>
        <v>0</v>
      </c>
      <c r="AM262" s="7" t="n">
        <f aca="false">IF(COUNT(AF262:AJ262)&gt;=2,ROUND(_xlfn.STDEV.S(AF262:AJ262),3),"")</f>
        <v>0</v>
      </c>
      <c r="AN262" s="7" t="n">
        <f aca="false">ROUND((IF(AF262="",0,AF262)*Assumptions!$F$15)+(IF(AG262="",0,AG262)*Assumptions!$F$16)+(IF(AH262="",0,AH262)*Assumptions!$F$17)+(IF(AI262="",0,AI262)*Assumptions!$F$18)+(IF(AJ262="",0,AJ262)*Assumptions!$F$19),3)</f>
        <v>3</v>
      </c>
      <c r="AO262" s="0" t="str">
        <f aca="false">IF(AC262&lt;=20,"",IF(AC262&lt;=Assumptions!$F$6,"20-30",IF(AC262&lt;=Assumptions!$F$7,"30-40",IF(AC262&lt;=Assumptions!$F$8,"40-50",IF(AC262&lt;=Assumptions!$F$9,"50-60",IF(AC262&lt;=Assumptions!$F$10,"60+",""))))))</f>
        <v>30-40</v>
      </c>
      <c r="AP262" s="0" t="str">
        <f aca="false">IFERROR(VLOOKUP(O262,Assumptions!$B$14:$C$26,2,FALSE()),"Other")</f>
        <v>Manager</v>
      </c>
      <c r="AQ262" s="0" t="n">
        <f aca="false">IF(T262="",0,1)</f>
        <v>0</v>
      </c>
      <c r="AR262" s="0" t="n">
        <f aca="false">IF(U262="",0,1)</f>
        <v>1</v>
      </c>
      <c r="AS262" s="8" t="n">
        <f aca="false">IF(AK262="","",IF(MAX($AK$2:$AK$921)=MIN($AK$2:$AK$921),50,ROUND((AK262-MIN($AK$2:$AK$921))/(MAX($AK$2:$AK$921)-MIN($AK$2:$AK$921))*100,2)))</f>
        <v>57.14</v>
      </c>
      <c r="AT262" s="8" t="n">
        <f aca="false">IF(MAX($BC$2:$BC$921)=MIN($BC$2:$BC$921),50,ROUND((BC262-MIN($BC$2:$BC$921))/(MAX($BC$2:$BC$921)-MIN($BC$2:$BC$921))*100,2))</f>
        <v>50</v>
      </c>
      <c r="AU262" s="8" t="n">
        <f aca="false">IF(MAX($BE$2:$BE$921)=MIN($BE$2:$BE$921),50,ROUND((BE262-MIN($BE$2:$BE$921))/(MAX($BE$2:$BE$921)-MIN($BE$2:$BE$921))*100,2))</f>
        <v>100</v>
      </c>
      <c r="AV262" s="8" t="n">
        <f aca="false">IF(MAX($AD$2:$AD$921)=MIN($AD$2:$AD$921),50,ROUND((AD262-MIN($AD$2:$AD$921))/(MAX($AD$2:$AD$921)-MIN($AD$2:$AD$921))*100,2))</f>
        <v>41.02</v>
      </c>
      <c r="AW262" s="8" t="n">
        <f aca="false">IF(MAX($AN$2:$AN$921)=MIN($AN$2:$AN$921),50,ROUND((AN262-MIN($AN$2:$AN$921))/(MAX($AN$2:$AN$921)-MIN($AN$2:$AN$921))*100,2))</f>
        <v>75</v>
      </c>
      <c r="AX262" s="8" t="n">
        <f aca="false">AQ262*100</f>
        <v>0</v>
      </c>
      <c r="AY262" s="8" t="n">
        <f aca="false">AR262*100</f>
        <v>100</v>
      </c>
      <c r="AZ262" s="8" t="n">
        <f aca="false">IFERROR(ROUND(AS262*Assumptions!$I$6+AW262*Assumptions!$I$7+AT262*Assumptions!$I$8+AU262*Assumptions!$I$9+AV262*Assumptions!$I$10+AX262*Assumptions!$I$11+AY262*Assumptions!$I$12,2),"")</f>
        <v>63.74</v>
      </c>
      <c r="BA262" s="0" t="str">
        <f aca="false">IF(AZ262="","",IF(AZ262&lt;=Assumptions!$I$18,"Below Expectation",IF(AZ262&lt;=Assumptions!$I$19,"Developing",IF(AZ262&lt;=Assumptions!$I$20,"Meets Expectation",IF(AZ262&lt;=Assumptions!$I$21,"Exceeds","Star Performer")))))</f>
        <v>Meets Expectation</v>
      </c>
      <c r="BB262" s="0" t="n">
        <f aca="false">IF(AZ262="",0,IF(AZ262&gt;=Assumptions!$I$26,1,0))</f>
        <v>0</v>
      </c>
      <c r="BC262" s="9" t="n">
        <f aca="false">IF(AL262="",2,AL262+2)</f>
        <v>2</v>
      </c>
      <c r="BD262" s="10" t="n">
        <f aca="false">IF(AM262="",ROUND(AVERAGE($AM$2:$AM$921),3),AM262)</f>
        <v>0</v>
      </c>
      <c r="BE262" s="9" t="n">
        <f aca="false">1-BD262</f>
        <v>1</v>
      </c>
    </row>
    <row r="263" customFormat="false" ht="14.25" hidden="true" customHeight="false" outlineLevel="0" collapsed="false">
      <c r="A263" s="4" t="n">
        <v>101</v>
      </c>
      <c r="B263" s="5" t="n">
        <v>10030908</v>
      </c>
      <c r="C263" s="5" t="s">
        <v>57</v>
      </c>
      <c r="D263" s="5" t="s">
        <v>1329</v>
      </c>
      <c r="E263" s="5" t="s">
        <v>947</v>
      </c>
      <c r="F263" s="5" t="s">
        <v>387</v>
      </c>
      <c r="G263" s="5" t="s">
        <v>388</v>
      </c>
      <c r="H263" s="5" t="s">
        <v>387</v>
      </c>
      <c r="I263" s="5" t="s">
        <v>63</v>
      </c>
      <c r="J263" s="5" t="s">
        <v>100</v>
      </c>
      <c r="K263" s="5" t="s">
        <v>1262</v>
      </c>
      <c r="L263" s="6" t="n">
        <v>40617</v>
      </c>
      <c r="M263" s="5" t="s">
        <v>1330</v>
      </c>
      <c r="N263" s="6" t="n">
        <v>28295</v>
      </c>
      <c r="O263" s="5" t="s">
        <v>332</v>
      </c>
      <c r="P263" s="5" t="s">
        <v>333</v>
      </c>
      <c r="Q263" s="5" t="s">
        <v>516</v>
      </c>
      <c r="R263" s="5" t="s">
        <v>1086</v>
      </c>
      <c r="S263" s="5" t="s">
        <v>1331</v>
      </c>
      <c r="T263" s="6"/>
      <c r="U263" s="6" t="n">
        <v>44652</v>
      </c>
      <c r="V263" s="5" t="s">
        <v>141</v>
      </c>
      <c r="W263" s="5" t="s">
        <v>141</v>
      </c>
      <c r="X263" s="5" t="s">
        <v>141</v>
      </c>
      <c r="Y263" s="5" t="s">
        <v>83</v>
      </c>
      <c r="Z263" s="5" t="s">
        <v>141</v>
      </c>
      <c r="AA263" s="5" t="s">
        <v>1332</v>
      </c>
      <c r="AB263" s="0" t="n">
        <f aca="false">IFERROR(VALUE(R263),0)</f>
        <v>8.1</v>
      </c>
      <c r="AC263" s="0" t="n">
        <f aca="false">IFERROR(VALUE(M263),"")</f>
        <v>48.11</v>
      </c>
      <c r="AD263" s="0" t="n">
        <f aca="false">IFERROR(VALUE(Q263),"")</f>
        <v>15.2</v>
      </c>
      <c r="AE263" s="0" t="n">
        <f aca="false">IFERROR(VALUE(S263),"")</f>
        <v>23.3</v>
      </c>
      <c r="AF263" s="0" t="n">
        <f aca="false">IF(V263="","",VLOOKUP(V263,Assumptions!$B$6:$C$9,2,FALSE()))</f>
        <v>3</v>
      </c>
      <c r="AG263" s="0" t="n">
        <f aca="false">IF(W263="","",VLOOKUP(W263,Assumptions!$B$6:$C$9,2,FALSE()))</f>
        <v>3</v>
      </c>
      <c r="AH263" s="0" t="n">
        <f aca="false">IF(X263="","",VLOOKUP(X263,Assumptions!$B$6:$C$9,2,FALSE()))</f>
        <v>3</v>
      </c>
      <c r="AI263" s="0" t="n">
        <f aca="false">IF(Y263="","",VLOOKUP(Y263,Assumptions!$B$6:$C$9,2,FALSE()))</f>
        <v>4</v>
      </c>
      <c r="AJ263" s="0" t="n">
        <f aca="false">IF(Z263="","",VLOOKUP(Z263,Assumptions!$B$6:$C$9,2,FALSE()))</f>
        <v>3</v>
      </c>
      <c r="AK263" s="7" t="n">
        <f aca="false">IFERROR(ROUND(AVERAGE(AF263:AJ263),3),"")</f>
        <v>3.2</v>
      </c>
      <c r="AL263" s="7" t="n">
        <f aca="false">IF(OR(AF263="",AJ263=""),"",AJ263-AF263)</f>
        <v>0</v>
      </c>
      <c r="AM263" s="7" t="n">
        <f aca="false">IF(COUNT(AF263:AJ263)&gt;=2,ROUND(_xlfn.STDEV.S(AF263:AJ263),3),"")</f>
        <v>0.447</v>
      </c>
      <c r="AN263" s="7" t="n">
        <f aca="false">ROUND((IF(AF263="",0,AF263)*Assumptions!$F$15)+(IF(AG263="",0,AG263)*Assumptions!$F$16)+(IF(AH263="",0,AH263)*Assumptions!$F$17)+(IF(AI263="",0,AI263)*Assumptions!$F$18)+(IF(AJ263="",0,AJ263)*Assumptions!$F$19),3)</f>
        <v>3.25</v>
      </c>
      <c r="AO263" s="0" t="str">
        <f aca="false">IF(AC263&lt;=20,"",IF(AC263&lt;=Assumptions!$F$6,"20-30",IF(AC263&lt;=Assumptions!$F$7,"30-40",IF(AC263&lt;=Assumptions!$F$8,"40-50",IF(AC263&lt;=Assumptions!$F$9,"50-60",IF(AC263&lt;=Assumptions!$F$10,"60+",""))))))</f>
        <v>40-50</v>
      </c>
      <c r="AP263" s="0" t="str">
        <f aca="false">IFERROR(VLOOKUP(O263,Assumptions!$B$14:$C$26,2,FALSE()),"Other")</f>
        <v>Manager</v>
      </c>
      <c r="AQ263" s="0" t="n">
        <f aca="false">IF(T263="",0,1)</f>
        <v>0</v>
      </c>
      <c r="AR263" s="0" t="n">
        <f aca="false">IF(U263="",0,1)</f>
        <v>1</v>
      </c>
      <c r="AS263" s="8" t="n">
        <f aca="false">IF(AK263="","",IF(MAX($AK$2:$AK$921)=MIN($AK$2:$AK$921),50,ROUND((AK263-MIN($AK$2:$AK$921))/(MAX($AK$2:$AK$921)-MIN($AK$2:$AK$921))*100,2)))</f>
        <v>65.71</v>
      </c>
      <c r="AT263" s="8" t="n">
        <f aca="false">IF(MAX($BC$2:$BC$921)=MIN($BC$2:$BC$921),50,ROUND((BC263-MIN($BC$2:$BC$921))/(MAX($BC$2:$BC$921)-MIN($BC$2:$BC$921))*100,2))</f>
        <v>50</v>
      </c>
      <c r="AU263" s="8" t="n">
        <f aca="false">IF(MAX($BE$2:$BE$921)=MIN($BE$2:$BE$921),50,ROUND((BE263-MIN($BE$2:$BE$921))/(MAX($BE$2:$BE$921)-MIN($BE$2:$BE$921))*100,2))</f>
        <v>74.19</v>
      </c>
      <c r="AV263" s="8" t="n">
        <f aca="false">IF(MAX($AD$2:$AD$921)=MIN($AD$2:$AD$921),50,ROUND((AD263-MIN($AD$2:$AD$921))/(MAX($AD$2:$AD$921)-MIN($AD$2:$AD$921))*100,2))</f>
        <v>41.02</v>
      </c>
      <c r="AW263" s="8" t="n">
        <f aca="false">IF(MAX($AN$2:$AN$921)=MIN($AN$2:$AN$921),50,ROUND((AN263-MIN($AN$2:$AN$921))/(MAX($AN$2:$AN$921)-MIN($AN$2:$AN$921))*100,2))</f>
        <v>81.25</v>
      </c>
      <c r="AX263" s="8" t="n">
        <f aca="false">AQ263*100</f>
        <v>0</v>
      </c>
      <c r="AY263" s="8" t="n">
        <f aca="false">AR263*100</f>
        <v>100</v>
      </c>
      <c r="AZ263" s="8" t="n">
        <f aca="false">IFERROR(ROUND(AS263*Assumptions!$I$6+AW263*Assumptions!$I$7+AT263*Assumptions!$I$8+AU263*Assumptions!$I$9+AV263*Assumptions!$I$10+AX263*Assumptions!$I$11+AY263*Assumptions!$I$12,2),"")</f>
        <v>63.69</v>
      </c>
      <c r="BA263" s="0" t="str">
        <f aca="false">IF(AZ263="","",IF(AZ263&lt;=Assumptions!$I$18,"Below Expectation",IF(AZ263&lt;=Assumptions!$I$19,"Developing",IF(AZ263&lt;=Assumptions!$I$20,"Meets Expectation",IF(AZ263&lt;=Assumptions!$I$21,"Exceeds","Star Performer")))))</f>
        <v>Meets Expectation</v>
      </c>
      <c r="BB263" s="0" t="n">
        <f aca="false">IF(AZ263="",0,IF(AZ263&gt;=Assumptions!$I$26,1,0))</f>
        <v>0</v>
      </c>
      <c r="BC263" s="9" t="n">
        <f aca="false">IF(AL263="",2,AL263+2)</f>
        <v>2</v>
      </c>
      <c r="BD263" s="10" t="n">
        <f aca="false">IF(AM263="",ROUND(AVERAGE($AM$2:$AM$921),3),AM263)</f>
        <v>0.447</v>
      </c>
      <c r="BE263" s="9" t="n">
        <f aca="false">1-BD263</f>
        <v>0.553</v>
      </c>
    </row>
    <row r="264" customFormat="false" ht="14.25" hidden="true" customHeight="false" outlineLevel="0" collapsed="false">
      <c r="A264" s="4" t="n">
        <v>103</v>
      </c>
      <c r="B264" s="5" t="n">
        <v>10031157</v>
      </c>
      <c r="C264" s="5" t="s">
        <v>57</v>
      </c>
      <c r="D264" s="5" t="s">
        <v>1333</v>
      </c>
      <c r="E264" s="5" t="s">
        <v>252</v>
      </c>
      <c r="F264" s="5" t="s">
        <v>209</v>
      </c>
      <c r="G264" s="5" t="s">
        <v>210</v>
      </c>
      <c r="H264" s="5" t="s">
        <v>209</v>
      </c>
      <c r="I264" s="5" t="s">
        <v>63</v>
      </c>
      <c r="J264" s="5" t="s">
        <v>100</v>
      </c>
      <c r="K264" s="5" t="s">
        <v>65</v>
      </c>
      <c r="L264" s="6" t="n">
        <v>40679</v>
      </c>
      <c r="M264" s="5" t="s">
        <v>829</v>
      </c>
      <c r="N264" s="6" t="n">
        <v>31271</v>
      </c>
      <c r="O264" s="5" t="s">
        <v>262</v>
      </c>
      <c r="P264" s="5" t="s">
        <v>263</v>
      </c>
      <c r="Q264" s="5" t="s">
        <v>241</v>
      </c>
      <c r="R264" s="5" t="s">
        <v>981</v>
      </c>
      <c r="S264" s="5" t="s">
        <v>511</v>
      </c>
      <c r="T264" s="6"/>
      <c r="U264" s="6" t="n">
        <v>44470</v>
      </c>
      <c r="V264" s="5" t="s">
        <v>141</v>
      </c>
      <c r="W264" s="5" t="s">
        <v>141</v>
      </c>
      <c r="X264" s="5" t="s">
        <v>141</v>
      </c>
      <c r="Y264" s="5" t="s">
        <v>83</v>
      </c>
      <c r="Z264" s="5" t="s">
        <v>141</v>
      </c>
      <c r="AA264" s="5" t="s">
        <v>1334</v>
      </c>
      <c r="AB264" s="0" t="n">
        <f aca="false">IFERROR(VALUE(R264),0)</f>
        <v>0.11</v>
      </c>
      <c r="AC264" s="0" t="n">
        <f aca="false">IFERROR(VALUE(M264),"")</f>
        <v>40.9</v>
      </c>
      <c r="AD264" s="0" t="n">
        <f aca="false">IFERROR(VALUE(Q264),"")</f>
        <v>15</v>
      </c>
      <c r="AE264" s="0" t="n">
        <f aca="false">IFERROR(VALUE(S264),"")</f>
        <v>15.11</v>
      </c>
      <c r="AF264" s="0" t="n">
        <f aca="false">IF(V264="","",VLOOKUP(V264,Assumptions!$B$6:$C$9,2,FALSE()))</f>
        <v>3</v>
      </c>
      <c r="AG264" s="0" t="n">
        <f aca="false">IF(W264="","",VLOOKUP(W264,Assumptions!$B$6:$C$9,2,FALSE()))</f>
        <v>3</v>
      </c>
      <c r="AH264" s="0" t="n">
        <f aca="false">IF(X264="","",VLOOKUP(X264,Assumptions!$B$6:$C$9,2,FALSE()))</f>
        <v>3</v>
      </c>
      <c r="AI264" s="0" t="n">
        <f aca="false">IF(Y264="","",VLOOKUP(Y264,Assumptions!$B$6:$C$9,2,FALSE()))</f>
        <v>4</v>
      </c>
      <c r="AJ264" s="0" t="n">
        <f aca="false">IF(Z264="","",VLOOKUP(Z264,Assumptions!$B$6:$C$9,2,FALSE()))</f>
        <v>3</v>
      </c>
      <c r="AK264" s="7" t="n">
        <f aca="false">IFERROR(ROUND(AVERAGE(AF264:AJ264),3),"")</f>
        <v>3.2</v>
      </c>
      <c r="AL264" s="7" t="n">
        <f aca="false">IF(OR(AF264="",AJ264=""),"",AJ264-AF264)</f>
        <v>0</v>
      </c>
      <c r="AM264" s="7" t="n">
        <f aca="false">IF(COUNT(AF264:AJ264)&gt;=2,ROUND(_xlfn.STDEV.S(AF264:AJ264),3),"")</f>
        <v>0.447</v>
      </c>
      <c r="AN264" s="7" t="n">
        <f aca="false">ROUND((IF(AF264="",0,AF264)*Assumptions!$F$15)+(IF(AG264="",0,AG264)*Assumptions!$F$16)+(IF(AH264="",0,AH264)*Assumptions!$F$17)+(IF(AI264="",0,AI264)*Assumptions!$F$18)+(IF(AJ264="",0,AJ264)*Assumptions!$F$19),3)</f>
        <v>3.25</v>
      </c>
      <c r="AO264" s="0" t="str">
        <f aca="false">IF(AC264&lt;=20,"",IF(AC264&lt;=Assumptions!$F$6,"20-30",IF(AC264&lt;=Assumptions!$F$7,"30-40",IF(AC264&lt;=Assumptions!$F$8,"40-50",IF(AC264&lt;=Assumptions!$F$9,"50-60",IF(AC264&lt;=Assumptions!$F$10,"60+",""))))))</f>
        <v>40-50</v>
      </c>
      <c r="AP264" s="0" t="str">
        <f aca="false">IFERROR(VLOOKUP(O264,Assumptions!$B$14:$C$26,2,FALSE()),"Other")</f>
        <v>Manager</v>
      </c>
      <c r="AQ264" s="0" t="n">
        <f aca="false">IF(T264="",0,1)</f>
        <v>0</v>
      </c>
      <c r="AR264" s="0" t="n">
        <f aca="false">IF(U264="",0,1)</f>
        <v>1</v>
      </c>
      <c r="AS264" s="8" t="n">
        <f aca="false">IF(AK264="","",IF(MAX($AK$2:$AK$921)=MIN($AK$2:$AK$921),50,ROUND((AK264-MIN($AK$2:$AK$921))/(MAX($AK$2:$AK$921)-MIN($AK$2:$AK$921))*100,2)))</f>
        <v>65.71</v>
      </c>
      <c r="AT264" s="8" t="n">
        <f aca="false">IF(MAX($BC$2:$BC$921)=MIN($BC$2:$BC$921),50,ROUND((BC264-MIN($BC$2:$BC$921))/(MAX($BC$2:$BC$921)-MIN($BC$2:$BC$921))*100,2))</f>
        <v>50</v>
      </c>
      <c r="AU264" s="8" t="n">
        <f aca="false">IF(MAX($BE$2:$BE$921)=MIN($BE$2:$BE$921),50,ROUND((BE264-MIN($BE$2:$BE$921))/(MAX($BE$2:$BE$921)-MIN($BE$2:$BE$921))*100,2))</f>
        <v>74.19</v>
      </c>
      <c r="AV264" s="8" t="n">
        <f aca="false">IF(MAX($AD$2:$AD$921)=MIN($AD$2:$AD$921),50,ROUND((AD264-MIN($AD$2:$AD$921))/(MAX($AD$2:$AD$921)-MIN($AD$2:$AD$921))*100,2))</f>
        <v>40.47</v>
      </c>
      <c r="AW264" s="8" t="n">
        <f aca="false">IF(MAX($AN$2:$AN$921)=MIN($AN$2:$AN$921),50,ROUND((AN264-MIN($AN$2:$AN$921))/(MAX($AN$2:$AN$921)-MIN($AN$2:$AN$921))*100,2))</f>
        <v>81.25</v>
      </c>
      <c r="AX264" s="8" t="n">
        <f aca="false">AQ264*100</f>
        <v>0</v>
      </c>
      <c r="AY264" s="8" t="n">
        <f aca="false">AR264*100</f>
        <v>100</v>
      </c>
      <c r="AZ264" s="8" t="n">
        <f aca="false">IFERROR(ROUND(AS264*Assumptions!$I$6+AW264*Assumptions!$I$7+AT264*Assumptions!$I$8+AU264*Assumptions!$I$9+AV264*Assumptions!$I$10+AX264*Assumptions!$I$11+AY264*Assumptions!$I$12,2),"")</f>
        <v>63.64</v>
      </c>
      <c r="BA264" s="0" t="str">
        <f aca="false">IF(AZ264="","",IF(AZ264&lt;=Assumptions!$I$18,"Below Expectation",IF(AZ264&lt;=Assumptions!$I$19,"Developing",IF(AZ264&lt;=Assumptions!$I$20,"Meets Expectation",IF(AZ264&lt;=Assumptions!$I$21,"Exceeds","Star Performer")))))</f>
        <v>Meets Expectation</v>
      </c>
      <c r="BB264" s="0" t="n">
        <f aca="false">IF(AZ264="",0,IF(AZ264&gt;=Assumptions!$I$26,1,0))</f>
        <v>0</v>
      </c>
      <c r="BC264" s="9" t="n">
        <f aca="false">IF(AL264="",2,AL264+2)</f>
        <v>2</v>
      </c>
      <c r="BD264" s="10" t="n">
        <f aca="false">IF(AM264="",ROUND(AVERAGE($AM$2:$AM$921),3),AM264)</f>
        <v>0.447</v>
      </c>
      <c r="BE264" s="9" t="n">
        <f aca="false">1-BD264</f>
        <v>0.553</v>
      </c>
    </row>
    <row r="265" customFormat="false" ht="14.25" hidden="true" customHeight="false" outlineLevel="0" collapsed="false">
      <c r="A265" s="4" t="n">
        <v>107</v>
      </c>
      <c r="B265" s="5" t="n">
        <v>10033016</v>
      </c>
      <c r="C265" s="5" t="s">
        <v>85</v>
      </c>
      <c r="D265" s="5" t="s">
        <v>1335</v>
      </c>
      <c r="E265" s="5" t="s">
        <v>1070</v>
      </c>
      <c r="F265" s="5" t="s">
        <v>267</v>
      </c>
      <c r="G265" s="5" t="s">
        <v>268</v>
      </c>
      <c r="H265" s="5" t="s">
        <v>267</v>
      </c>
      <c r="I265" s="5" t="s">
        <v>63</v>
      </c>
      <c r="J265" s="5" t="s">
        <v>76</v>
      </c>
      <c r="K265" s="5" t="s">
        <v>65</v>
      </c>
      <c r="L265" s="6" t="n">
        <v>40959</v>
      </c>
      <c r="M265" s="5" t="s">
        <v>1336</v>
      </c>
      <c r="N265" s="6" t="n">
        <v>26823</v>
      </c>
      <c r="O265" s="5" t="s">
        <v>162</v>
      </c>
      <c r="P265" s="5" t="s">
        <v>162</v>
      </c>
      <c r="Q265" s="5" t="s">
        <v>696</v>
      </c>
      <c r="R265" s="5" t="s">
        <v>295</v>
      </c>
      <c r="S265" s="5" t="s">
        <v>758</v>
      </c>
      <c r="T265" s="6"/>
      <c r="U265" s="6" t="n">
        <v>46113</v>
      </c>
      <c r="V265" s="5" t="s">
        <v>141</v>
      </c>
      <c r="W265" s="5" t="s">
        <v>141</v>
      </c>
      <c r="X265" s="5" t="s">
        <v>141</v>
      </c>
      <c r="Y265" s="5" t="s">
        <v>141</v>
      </c>
      <c r="Z265" s="5" t="s">
        <v>141</v>
      </c>
      <c r="AA265" s="5" t="s">
        <v>1337</v>
      </c>
      <c r="AB265" s="0" t="n">
        <f aca="false">IFERROR(VALUE(R265),0)</f>
        <v>13.6</v>
      </c>
      <c r="AC265" s="0" t="n">
        <f aca="false">IFERROR(VALUE(M265),"")</f>
        <v>53</v>
      </c>
      <c r="AD265" s="0" t="n">
        <f aca="false">IFERROR(VALUE(Q265),"")</f>
        <v>14.3</v>
      </c>
      <c r="AE265" s="0" t="n">
        <f aca="false">IFERROR(VALUE(S265),"")</f>
        <v>27.9</v>
      </c>
      <c r="AF265" s="0" t="n">
        <f aca="false">IF(V265="","",VLOOKUP(V265,Assumptions!$B$6:$C$9,2,FALSE()))</f>
        <v>3</v>
      </c>
      <c r="AG265" s="0" t="n">
        <f aca="false">IF(W265="","",VLOOKUP(W265,Assumptions!$B$6:$C$9,2,FALSE()))</f>
        <v>3</v>
      </c>
      <c r="AH265" s="0" t="n">
        <f aca="false">IF(X265="","",VLOOKUP(X265,Assumptions!$B$6:$C$9,2,FALSE()))</f>
        <v>3</v>
      </c>
      <c r="AI265" s="0" t="n">
        <f aca="false">IF(Y265="","",VLOOKUP(Y265,Assumptions!$B$6:$C$9,2,FALSE()))</f>
        <v>3</v>
      </c>
      <c r="AJ265" s="0" t="n">
        <f aca="false">IF(Z265="","",VLOOKUP(Z265,Assumptions!$B$6:$C$9,2,FALSE()))</f>
        <v>3</v>
      </c>
      <c r="AK265" s="7" t="n">
        <f aca="false">IFERROR(ROUND(AVERAGE(AF265:AJ265),3),"")</f>
        <v>3</v>
      </c>
      <c r="AL265" s="7" t="n">
        <f aca="false">IF(OR(AF265="",AJ265=""),"",AJ265-AF265)</f>
        <v>0</v>
      </c>
      <c r="AM265" s="7" t="n">
        <f aca="false">IF(COUNT(AF265:AJ265)&gt;=2,ROUND(_xlfn.STDEV.S(AF265:AJ265),3),"")</f>
        <v>0</v>
      </c>
      <c r="AN265" s="7" t="n">
        <f aca="false">ROUND((IF(AF265="",0,AF265)*Assumptions!$F$15)+(IF(AG265="",0,AG265)*Assumptions!$F$16)+(IF(AH265="",0,AH265)*Assumptions!$F$17)+(IF(AI265="",0,AI265)*Assumptions!$F$18)+(IF(AJ265="",0,AJ265)*Assumptions!$F$19),3)</f>
        <v>3</v>
      </c>
      <c r="AO265" s="0" t="str">
        <f aca="false">IF(AC265&lt;=20,"",IF(AC265&lt;=Assumptions!$F$6,"20-30",IF(AC265&lt;=Assumptions!$F$7,"30-40",IF(AC265&lt;=Assumptions!$F$8,"40-50",IF(AC265&lt;=Assumptions!$F$9,"50-60",IF(AC265&lt;=Assumptions!$F$10,"60+",""))))))</f>
        <v>50-60</v>
      </c>
      <c r="AP265" s="0" t="str">
        <f aca="false">IFERROR(VLOOKUP(O265,Assumptions!$B$14:$C$26,2,FALSE()),"Other")</f>
        <v>Manager</v>
      </c>
      <c r="AQ265" s="0" t="n">
        <f aca="false">IF(T265="",0,1)</f>
        <v>0</v>
      </c>
      <c r="AR265" s="0" t="n">
        <f aca="false">IF(U265="",0,1)</f>
        <v>1</v>
      </c>
      <c r="AS265" s="8" t="n">
        <f aca="false">IF(AK265="","",IF(MAX($AK$2:$AK$921)=MIN($AK$2:$AK$921),50,ROUND((AK265-MIN($AK$2:$AK$921))/(MAX($AK$2:$AK$921)-MIN($AK$2:$AK$921))*100,2)))</f>
        <v>57.14</v>
      </c>
      <c r="AT265" s="8" t="n">
        <f aca="false">IF(MAX($BC$2:$BC$921)=MIN($BC$2:$BC$921),50,ROUND((BC265-MIN($BC$2:$BC$921))/(MAX($BC$2:$BC$921)-MIN($BC$2:$BC$921))*100,2))</f>
        <v>50</v>
      </c>
      <c r="AU265" s="8" t="n">
        <f aca="false">IF(MAX($BE$2:$BE$921)=MIN($BE$2:$BE$921),50,ROUND((BE265-MIN($BE$2:$BE$921))/(MAX($BE$2:$BE$921)-MIN($BE$2:$BE$921))*100,2))</f>
        <v>100</v>
      </c>
      <c r="AV265" s="8" t="n">
        <f aca="false">IF(MAX($AD$2:$AD$921)=MIN($AD$2:$AD$921),50,ROUND((AD265-MIN($AD$2:$AD$921))/(MAX($AD$2:$AD$921)-MIN($AD$2:$AD$921))*100,2))</f>
        <v>38.57</v>
      </c>
      <c r="AW265" s="8" t="n">
        <f aca="false">IF(MAX($AN$2:$AN$921)=MIN($AN$2:$AN$921),50,ROUND((AN265-MIN($AN$2:$AN$921))/(MAX($AN$2:$AN$921)-MIN($AN$2:$AN$921))*100,2))</f>
        <v>75</v>
      </c>
      <c r="AX265" s="8" t="n">
        <f aca="false">AQ265*100</f>
        <v>0</v>
      </c>
      <c r="AY265" s="8" t="n">
        <f aca="false">AR265*100</f>
        <v>100</v>
      </c>
      <c r="AZ265" s="8" t="n">
        <f aca="false">IFERROR(ROUND(AS265*Assumptions!$I$6+AW265*Assumptions!$I$7+AT265*Assumptions!$I$8+AU265*Assumptions!$I$9+AV265*Assumptions!$I$10+AX265*Assumptions!$I$11+AY265*Assumptions!$I$12,2),"")</f>
        <v>63.5</v>
      </c>
      <c r="BA265" s="0" t="str">
        <f aca="false">IF(AZ265="","",IF(AZ265&lt;=Assumptions!$I$18,"Below Expectation",IF(AZ265&lt;=Assumptions!$I$19,"Developing",IF(AZ265&lt;=Assumptions!$I$20,"Meets Expectation",IF(AZ265&lt;=Assumptions!$I$21,"Exceeds","Star Performer")))))</f>
        <v>Meets Expectation</v>
      </c>
      <c r="BB265" s="0" t="n">
        <f aca="false">IF(AZ265="",0,IF(AZ265&gt;=Assumptions!$I$26,1,0))</f>
        <v>0</v>
      </c>
      <c r="BC265" s="9" t="n">
        <f aca="false">IF(AL265="",2,AL265+2)</f>
        <v>2</v>
      </c>
      <c r="BD265" s="10" t="n">
        <f aca="false">IF(AM265="",ROUND(AVERAGE($AM$2:$AM$921),3),AM265)</f>
        <v>0</v>
      </c>
      <c r="BE265" s="9" t="n">
        <f aca="false">1-BD265</f>
        <v>1</v>
      </c>
    </row>
    <row r="266" customFormat="false" ht="14.25" hidden="true" customHeight="false" outlineLevel="0" collapsed="false">
      <c r="A266" s="4" t="n">
        <v>170</v>
      </c>
      <c r="B266" s="5" t="n">
        <v>10052206</v>
      </c>
      <c r="C266" s="5" t="s">
        <v>57</v>
      </c>
      <c r="D266" s="5" t="s">
        <v>1338</v>
      </c>
      <c r="E266" s="5" t="s">
        <v>456</v>
      </c>
      <c r="F266" s="5" t="s">
        <v>608</v>
      </c>
      <c r="G266" s="5" t="s">
        <v>609</v>
      </c>
      <c r="H266" s="5" t="s">
        <v>608</v>
      </c>
      <c r="I266" s="5" t="s">
        <v>63</v>
      </c>
      <c r="J266" s="5" t="s">
        <v>100</v>
      </c>
      <c r="K266" s="5" t="s">
        <v>309</v>
      </c>
      <c r="L266" s="6" t="n">
        <v>42310</v>
      </c>
      <c r="M266" s="5" t="s">
        <v>310</v>
      </c>
      <c r="N266" s="6" t="n">
        <v>32975</v>
      </c>
      <c r="O266" s="5" t="s">
        <v>365</v>
      </c>
      <c r="P266" s="5" t="s">
        <v>365</v>
      </c>
      <c r="Q266" s="5" t="s">
        <v>360</v>
      </c>
      <c r="R266" s="5" t="s">
        <v>115</v>
      </c>
      <c r="S266" s="5" t="s">
        <v>360</v>
      </c>
      <c r="T266" s="6"/>
      <c r="U266" s="6"/>
      <c r="V266" s="5" t="s">
        <v>83</v>
      </c>
      <c r="W266" s="5" t="s">
        <v>141</v>
      </c>
      <c r="X266" s="5" t="s">
        <v>83</v>
      </c>
      <c r="Y266" s="5" t="s">
        <v>141</v>
      </c>
      <c r="Z266" s="5" t="s">
        <v>83</v>
      </c>
      <c r="AA266" s="5" t="s">
        <v>1339</v>
      </c>
      <c r="AB266" s="0" t="n">
        <f aca="false">IFERROR(VALUE(R266),0)</f>
        <v>0</v>
      </c>
      <c r="AC266" s="0" t="n">
        <f aca="false">IFERROR(VALUE(M266),"")</f>
        <v>36.1</v>
      </c>
      <c r="AD266" s="0" t="n">
        <f aca="false">IFERROR(VALUE(Q266),"")</f>
        <v>10.7</v>
      </c>
      <c r="AE266" s="0" t="n">
        <f aca="false">IFERROR(VALUE(S266),"")</f>
        <v>10.7</v>
      </c>
      <c r="AF266" s="0" t="n">
        <f aca="false">IF(V266="","",VLOOKUP(V266,Assumptions!$B$6:$C$9,2,FALSE()))</f>
        <v>4</v>
      </c>
      <c r="AG266" s="0" t="n">
        <f aca="false">IF(W266="","",VLOOKUP(W266,Assumptions!$B$6:$C$9,2,FALSE()))</f>
        <v>3</v>
      </c>
      <c r="AH266" s="0" t="n">
        <f aca="false">IF(X266="","",VLOOKUP(X266,Assumptions!$B$6:$C$9,2,FALSE()))</f>
        <v>4</v>
      </c>
      <c r="AI266" s="0" t="n">
        <f aca="false">IF(Y266="","",VLOOKUP(Y266,Assumptions!$B$6:$C$9,2,FALSE()))</f>
        <v>3</v>
      </c>
      <c r="AJ266" s="0" t="n">
        <f aca="false">IF(Z266="","",VLOOKUP(Z266,Assumptions!$B$6:$C$9,2,FALSE()))</f>
        <v>4</v>
      </c>
      <c r="AK266" s="7" t="n">
        <f aca="false">IFERROR(ROUND(AVERAGE(AF266:AJ266),3),"")</f>
        <v>3.6</v>
      </c>
      <c r="AL266" s="7" t="n">
        <f aca="false">IF(OR(AF266="",AJ266=""),"",AJ266-AF266)</f>
        <v>0</v>
      </c>
      <c r="AM266" s="7" t="n">
        <f aca="false">IF(COUNT(AF266:AJ266)&gt;=2,ROUND(_xlfn.STDEV.S(AF266:AJ266),3),"")</f>
        <v>0.548</v>
      </c>
      <c r="AN266" s="7" t="n">
        <f aca="false">ROUND((IF(AF266="",0,AF266)*Assumptions!$F$15)+(IF(AG266="",0,AG266)*Assumptions!$F$16)+(IF(AH266="",0,AH266)*Assumptions!$F$17)+(IF(AI266="",0,AI266)*Assumptions!$F$18)+(IF(AJ266="",0,AJ266)*Assumptions!$F$19),3)</f>
        <v>3.6</v>
      </c>
      <c r="AO266" s="0" t="str">
        <f aca="false">IF(AC266&lt;=20,"",IF(AC266&lt;=Assumptions!$F$6,"20-30",IF(AC266&lt;=Assumptions!$F$7,"30-40",IF(AC266&lt;=Assumptions!$F$8,"40-50",IF(AC266&lt;=Assumptions!$F$9,"50-60",IF(AC266&lt;=Assumptions!$F$10,"60+",""))))))</f>
        <v>30-40</v>
      </c>
      <c r="AP266" s="0" t="str">
        <f aca="false">IFERROR(VLOOKUP(O266,Assumptions!$B$14:$C$26,2,FALSE()),"Other")</f>
        <v>Manager</v>
      </c>
      <c r="AQ266" s="0" t="n">
        <f aca="false">IF(T266="",0,1)</f>
        <v>0</v>
      </c>
      <c r="AR266" s="0" t="n">
        <f aca="false">IF(U266="",0,1)</f>
        <v>0</v>
      </c>
      <c r="AS266" s="8" t="n">
        <f aca="false">IF(AK266="","",IF(MAX($AK$2:$AK$921)=MIN($AK$2:$AK$921),50,ROUND((AK266-MIN($AK$2:$AK$921))/(MAX($AK$2:$AK$921)-MIN($AK$2:$AK$921))*100,2)))</f>
        <v>82.85</v>
      </c>
      <c r="AT266" s="8" t="n">
        <f aca="false">IF(MAX($BC$2:$BC$921)=MIN($BC$2:$BC$921),50,ROUND((BC266-MIN($BC$2:$BC$921))/(MAX($BC$2:$BC$921)-MIN($BC$2:$BC$921))*100,2))</f>
        <v>50</v>
      </c>
      <c r="AU266" s="8" t="n">
        <f aca="false">IF(MAX($BE$2:$BE$921)=MIN($BE$2:$BE$921),50,ROUND((BE266-MIN($BE$2:$BE$921))/(MAX($BE$2:$BE$921)-MIN($BE$2:$BE$921))*100,2))</f>
        <v>68.36</v>
      </c>
      <c r="AV266" s="8" t="n">
        <f aca="false">IF(MAX($AD$2:$AD$921)=MIN($AD$2:$AD$921),50,ROUND((AD266-MIN($AD$2:$AD$921))/(MAX($AD$2:$AD$921)-MIN($AD$2:$AD$921))*100,2))</f>
        <v>28.78</v>
      </c>
      <c r="AW266" s="8" t="n">
        <f aca="false">IF(MAX($AN$2:$AN$921)=MIN($AN$2:$AN$921),50,ROUND((AN266-MIN($AN$2:$AN$921))/(MAX($AN$2:$AN$921)-MIN($AN$2:$AN$921))*100,2))</f>
        <v>90</v>
      </c>
      <c r="AX266" s="8" t="n">
        <f aca="false">AQ266*100</f>
        <v>0</v>
      </c>
      <c r="AY266" s="8" t="n">
        <f aca="false">AR266*100</f>
        <v>0</v>
      </c>
      <c r="AZ266" s="8" t="n">
        <f aca="false">IFERROR(ROUND(AS266*Assumptions!$I$6+AW266*Assumptions!$I$7+AT266*Assumptions!$I$8+AU266*Assumptions!$I$9+AV266*Assumptions!$I$10+AX266*Assumptions!$I$11+AY266*Assumptions!$I$12,2),"")</f>
        <v>63.49</v>
      </c>
      <c r="BA266" s="0" t="str">
        <f aca="false">IF(AZ266="","",IF(AZ266&lt;=Assumptions!$I$18,"Below Expectation",IF(AZ266&lt;=Assumptions!$I$19,"Developing",IF(AZ266&lt;=Assumptions!$I$20,"Meets Expectation",IF(AZ266&lt;=Assumptions!$I$21,"Exceeds","Star Performer")))))</f>
        <v>Meets Expectation</v>
      </c>
      <c r="BB266" s="0" t="n">
        <f aca="false">IF(AZ266="",0,IF(AZ266&gt;=Assumptions!$I$26,1,0))</f>
        <v>0</v>
      </c>
      <c r="BC266" s="9" t="n">
        <f aca="false">IF(AL266="",2,AL266+2)</f>
        <v>2</v>
      </c>
      <c r="BD266" s="10" t="n">
        <f aca="false">IF(AM266="",ROUND(AVERAGE($AM$2:$AM$921),3),AM266)</f>
        <v>0.548</v>
      </c>
      <c r="BE266" s="9" t="n">
        <f aca="false">1-BD266</f>
        <v>0.452</v>
      </c>
    </row>
    <row r="267" customFormat="false" ht="14.25" hidden="true" customHeight="false" outlineLevel="0" collapsed="false">
      <c r="A267" s="4" t="n">
        <v>338</v>
      </c>
      <c r="B267" s="5" t="n">
        <v>37100012</v>
      </c>
      <c r="C267" s="5" t="s">
        <v>85</v>
      </c>
      <c r="D267" s="5" t="s">
        <v>1340</v>
      </c>
      <c r="E267" s="5" t="s">
        <v>235</v>
      </c>
      <c r="F267" s="5" t="s">
        <v>1341</v>
      </c>
      <c r="G267" s="5" t="s">
        <v>1342</v>
      </c>
      <c r="H267" s="5" t="s">
        <v>1343</v>
      </c>
      <c r="I267" s="5" t="s">
        <v>63</v>
      </c>
      <c r="J267" s="5" t="s">
        <v>76</v>
      </c>
      <c r="K267" s="5" t="s">
        <v>65</v>
      </c>
      <c r="L267" s="6" t="n">
        <v>36661</v>
      </c>
      <c r="M267" s="5" t="s">
        <v>1324</v>
      </c>
      <c r="N267" s="6" t="n">
        <v>25471</v>
      </c>
      <c r="O267" s="5" t="s">
        <v>332</v>
      </c>
      <c r="P267" s="5" t="s">
        <v>333</v>
      </c>
      <c r="Q267" s="5" t="s">
        <v>1344</v>
      </c>
      <c r="R267" s="5" t="s">
        <v>445</v>
      </c>
      <c r="S267" s="5" t="s">
        <v>1345</v>
      </c>
      <c r="T267" s="6" t="n">
        <v>41365</v>
      </c>
      <c r="U267" s="6"/>
      <c r="V267" s="5" t="s">
        <v>631</v>
      </c>
      <c r="W267" s="5" t="s">
        <v>141</v>
      </c>
      <c r="X267" s="5" t="s">
        <v>141</v>
      </c>
      <c r="Y267" s="5" t="s">
        <v>141</v>
      </c>
      <c r="Z267" s="5" t="s">
        <v>141</v>
      </c>
      <c r="AA267" s="5" t="s">
        <v>1346</v>
      </c>
      <c r="AB267" s="0" t="n">
        <f aca="false">IFERROR(VALUE(R267),0)</f>
        <v>3.8</v>
      </c>
      <c r="AC267" s="0" t="n">
        <f aca="false">IFERROR(VALUE(M267),"")</f>
        <v>56.8</v>
      </c>
      <c r="AD267" s="0" t="n">
        <f aca="false">IFERROR(VALUE(Q267),"")</f>
        <v>26</v>
      </c>
      <c r="AE267" s="0" t="n">
        <f aca="false">IFERROR(VALUE(S267),"")</f>
        <v>29.8</v>
      </c>
      <c r="AF267" s="0" t="n">
        <f aca="false">IF(V267="","",VLOOKUP(V267,Assumptions!$B$6:$C$9,2,FALSE()))</f>
        <v>2</v>
      </c>
      <c r="AG267" s="0" t="n">
        <f aca="false">IF(W267="","",VLOOKUP(W267,Assumptions!$B$6:$C$9,2,FALSE()))</f>
        <v>3</v>
      </c>
      <c r="AH267" s="0" t="n">
        <f aca="false">IF(X267="","",VLOOKUP(X267,Assumptions!$B$6:$C$9,2,FALSE()))</f>
        <v>3</v>
      </c>
      <c r="AI267" s="0" t="n">
        <f aca="false">IF(Y267="","",VLOOKUP(Y267,Assumptions!$B$6:$C$9,2,FALSE()))</f>
        <v>3</v>
      </c>
      <c r="AJ267" s="0" t="n">
        <f aca="false">IF(Z267="","",VLOOKUP(Z267,Assumptions!$B$6:$C$9,2,FALSE()))</f>
        <v>3</v>
      </c>
      <c r="AK267" s="7" t="n">
        <f aca="false">IFERROR(ROUND(AVERAGE(AF267:AJ267),3),"")</f>
        <v>2.8</v>
      </c>
      <c r="AL267" s="7" t="n">
        <f aca="false">IF(OR(AF267="",AJ267=""),"",AJ267-AF267)</f>
        <v>1</v>
      </c>
      <c r="AM267" s="7" t="n">
        <f aca="false">IF(COUNT(AF267:AJ267)&gt;=2,ROUND(_xlfn.STDEV.S(AF267:AJ267),3),"")</f>
        <v>0.447</v>
      </c>
      <c r="AN267" s="7" t="n">
        <f aca="false">ROUND((IF(AF267="",0,AF267)*Assumptions!$F$15)+(IF(AG267="",0,AG267)*Assumptions!$F$16)+(IF(AH267="",0,AH267)*Assumptions!$F$17)+(IF(AI267="",0,AI267)*Assumptions!$F$18)+(IF(AJ267="",0,AJ267)*Assumptions!$F$19),3)</f>
        <v>2.9</v>
      </c>
      <c r="AO267" s="0" t="str">
        <f aca="false">IF(AC267&lt;=20,"",IF(AC267&lt;=Assumptions!$F$6,"20-30",IF(AC267&lt;=Assumptions!$F$7,"30-40",IF(AC267&lt;=Assumptions!$F$8,"40-50",IF(AC267&lt;=Assumptions!$F$9,"50-60",IF(AC267&lt;=Assumptions!$F$10,"60+",""))))))</f>
        <v>50-60</v>
      </c>
      <c r="AP267" s="0" t="str">
        <f aca="false">IFERROR(VLOOKUP(O267,Assumptions!$B$14:$C$26,2,FALSE()),"Other")</f>
        <v>Manager</v>
      </c>
      <c r="AQ267" s="0" t="n">
        <f aca="false">IF(T267="",0,1)</f>
        <v>1</v>
      </c>
      <c r="AR267" s="0" t="n">
        <f aca="false">IF(U267="",0,1)</f>
        <v>0</v>
      </c>
      <c r="AS267" s="8" t="n">
        <f aca="false">IF(AK267="","",IF(MAX($AK$2:$AK$921)=MIN($AK$2:$AK$921),50,ROUND((AK267-MIN($AK$2:$AK$921))/(MAX($AK$2:$AK$921)-MIN($AK$2:$AK$921))*100,2)))</f>
        <v>48.56</v>
      </c>
      <c r="AT267" s="8" t="n">
        <f aca="false">IF(MAX($BC$2:$BC$921)=MIN($BC$2:$BC$921),50,ROUND((BC267-MIN($BC$2:$BC$921))/(MAX($BC$2:$BC$921)-MIN($BC$2:$BC$921))*100,2))</f>
        <v>75</v>
      </c>
      <c r="AU267" s="8" t="n">
        <f aca="false">IF(MAX($BE$2:$BE$921)=MIN($BE$2:$BE$921),50,ROUND((BE267-MIN($BE$2:$BE$921))/(MAX($BE$2:$BE$921)-MIN($BE$2:$BE$921))*100,2))</f>
        <v>74.19</v>
      </c>
      <c r="AV267" s="8" t="n">
        <f aca="false">IF(MAX($AD$2:$AD$921)=MIN($AD$2:$AD$921),50,ROUND((AD267-MIN($AD$2:$AD$921))/(MAX($AD$2:$AD$921)-MIN($AD$2:$AD$921))*100,2))</f>
        <v>70.37</v>
      </c>
      <c r="AW267" s="8" t="n">
        <f aca="false">IF(MAX($AN$2:$AN$921)=MIN($AN$2:$AN$921),50,ROUND((AN267-MIN($AN$2:$AN$921))/(MAX($AN$2:$AN$921)-MIN($AN$2:$AN$921))*100,2))</f>
        <v>72.5</v>
      </c>
      <c r="AX267" s="8" t="n">
        <f aca="false">AQ267*100</f>
        <v>100</v>
      </c>
      <c r="AY267" s="8" t="n">
        <f aca="false">AR267*100</f>
        <v>0</v>
      </c>
      <c r="AZ267" s="8" t="n">
        <f aca="false">IFERROR(ROUND(AS267*Assumptions!$I$6+AW267*Assumptions!$I$7+AT267*Assumptions!$I$8+AU267*Assumptions!$I$9+AV267*Assumptions!$I$10+AX267*Assumptions!$I$11+AY267*Assumptions!$I$12,2),"")</f>
        <v>63.48</v>
      </c>
      <c r="BA267" s="0" t="str">
        <f aca="false">IF(AZ267="","",IF(AZ267&lt;=Assumptions!$I$18,"Below Expectation",IF(AZ267&lt;=Assumptions!$I$19,"Developing",IF(AZ267&lt;=Assumptions!$I$20,"Meets Expectation",IF(AZ267&lt;=Assumptions!$I$21,"Exceeds","Star Performer")))))</f>
        <v>Meets Expectation</v>
      </c>
      <c r="BB267" s="0" t="n">
        <f aca="false">IF(AZ267="",0,IF(AZ267&gt;=Assumptions!$I$26,1,0))</f>
        <v>0</v>
      </c>
      <c r="BC267" s="9" t="n">
        <f aca="false">IF(AL267="",2,AL267+2)</f>
        <v>3</v>
      </c>
      <c r="BD267" s="10" t="n">
        <f aca="false">IF(AM267="",ROUND(AVERAGE($AM$2:$AM$921),3),AM267)</f>
        <v>0.447</v>
      </c>
      <c r="BE267" s="9" t="n">
        <f aca="false">1-BD267</f>
        <v>0.553</v>
      </c>
    </row>
    <row r="268" customFormat="false" ht="14.25" hidden="true" customHeight="false" outlineLevel="0" collapsed="false">
      <c r="A268" s="4" t="n">
        <v>271</v>
      </c>
      <c r="B268" s="5" t="n">
        <v>10067905</v>
      </c>
      <c r="C268" s="5" t="s">
        <v>57</v>
      </c>
      <c r="D268" s="5" t="s">
        <v>1347</v>
      </c>
      <c r="E268" s="5" t="s">
        <v>456</v>
      </c>
      <c r="F268" s="5" t="s">
        <v>608</v>
      </c>
      <c r="G268" s="5" t="s">
        <v>609</v>
      </c>
      <c r="H268" s="5" t="s">
        <v>608</v>
      </c>
      <c r="I268" s="5" t="s">
        <v>63</v>
      </c>
      <c r="J268" s="5" t="s">
        <v>100</v>
      </c>
      <c r="K268" s="5" t="s">
        <v>65</v>
      </c>
      <c r="L268" s="6" t="n">
        <v>43579</v>
      </c>
      <c r="M268" s="5" t="s">
        <v>1263</v>
      </c>
      <c r="N268" s="6" t="n">
        <v>32221</v>
      </c>
      <c r="O268" s="5" t="s">
        <v>365</v>
      </c>
      <c r="P268" s="5" t="s">
        <v>365</v>
      </c>
      <c r="Q268" s="5" t="s">
        <v>439</v>
      </c>
      <c r="R268" s="5" t="s">
        <v>487</v>
      </c>
      <c r="S268" s="5" t="s">
        <v>1124</v>
      </c>
      <c r="T268" s="6"/>
      <c r="U268" s="6"/>
      <c r="V268" s="5" t="s">
        <v>141</v>
      </c>
      <c r="W268" s="5" t="s">
        <v>141</v>
      </c>
      <c r="X268" s="5" t="s">
        <v>141</v>
      </c>
      <c r="Y268" s="5" t="s">
        <v>83</v>
      </c>
      <c r="Z268" s="5" t="s">
        <v>83</v>
      </c>
      <c r="AA268" s="5" t="s">
        <v>1010</v>
      </c>
      <c r="AB268" s="0" t="n">
        <f aca="false">IFERROR(VALUE(R268),0)</f>
        <v>6.4</v>
      </c>
      <c r="AC268" s="0" t="n">
        <f aca="false">IFERROR(VALUE(M268),"")</f>
        <v>38.2</v>
      </c>
      <c r="AD268" s="0" t="n">
        <f aca="false">IFERROR(VALUE(Q268),"")</f>
        <v>7.1</v>
      </c>
      <c r="AE268" s="0" t="n">
        <f aca="false">IFERROR(VALUE(S268),"")</f>
        <v>13.5</v>
      </c>
      <c r="AF268" s="0" t="n">
        <f aca="false">IF(V268="","",VLOOKUP(V268,Assumptions!$B$6:$C$9,2,FALSE()))</f>
        <v>3</v>
      </c>
      <c r="AG268" s="0" t="n">
        <f aca="false">IF(W268="","",VLOOKUP(W268,Assumptions!$B$6:$C$9,2,FALSE()))</f>
        <v>3</v>
      </c>
      <c r="AH268" s="0" t="n">
        <f aca="false">IF(X268="","",VLOOKUP(X268,Assumptions!$B$6:$C$9,2,FALSE()))</f>
        <v>3</v>
      </c>
      <c r="AI268" s="0" t="n">
        <f aca="false">IF(Y268="","",VLOOKUP(Y268,Assumptions!$B$6:$C$9,2,FALSE()))</f>
        <v>4</v>
      </c>
      <c r="AJ268" s="0" t="n">
        <f aca="false">IF(Z268="","",VLOOKUP(Z268,Assumptions!$B$6:$C$9,2,FALSE()))</f>
        <v>4</v>
      </c>
      <c r="AK268" s="7" t="n">
        <f aca="false">IFERROR(ROUND(AVERAGE(AF268:AJ268),3),"")</f>
        <v>3.4</v>
      </c>
      <c r="AL268" s="7" t="n">
        <f aca="false">IF(OR(AF268="",AJ268=""),"",AJ268-AF268)</f>
        <v>1</v>
      </c>
      <c r="AM268" s="7" t="n">
        <f aca="false">IF(COUNT(AF268:AJ268)&gt;=2,ROUND(_xlfn.STDEV.S(AF268:AJ268),3),"")</f>
        <v>0.548</v>
      </c>
      <c r="AN268" s="7" t="n">
        <f aca="false">ROUND((IF(AF268="",0,AF268)*Assumptions!$F$15)+(IF(AG268="",0,AG268)*Assumptions!$F$16)+(IF(AH268="",0,AH268)*Assumptions!$F$17)+(IF(AI268="",0,AI268)*Assumptions!$F$18)+(IF(AJ268="",0,AJ268)*Assumptions!$F$19),3)</f>
        <v>3.55</v>
      </c>
      <c r="AO268" s="0" t="str">
        <f aca="false">IF(AC268&lt;=20,"",IF(AC268&lt;=Assumptions!$F$6,"20-30",IF(AC268&lt;=Assumptions!$F$7,"30-40",IF(AC268&lt;=Assumptions!$F$8,"40-50",IF(AC268&lt;=Assumptions!$F$9,"50-60",IF(AC268&lt;=Assumptions!$F$10,"60+",""))))))</f>
        <v>30-40</v>
      </c>
      <c r="AP268" s="0" t="str">
        <f aca="false">IFERROR(VLOOKUP(O268,Assumptions!$B$14:$C$26,2,FALSE()),"Other")</f>
        <v>Manager</v>
      </c>
      <c r="AQ268" s="0" t="n">
        <f aca="false">IF(T268="",0,1)</f>
        <v>0</v>
      </c>
      <c r="AR268" s="0" t="n">
        <f aca="false">IF(U268="",0,1)</f>
        <v>0</v>
      </c>
      <c r="AS268" s="8" t="n">
        <f aca="false">IF(AK268="","",IF(MAX($AK$2:$AK$921)=MIN($AK$2:$AK$921),50,ROUND((AK268-MIN($AK$2:$AK$921))/(MAX($AK$2:$AK$921)-MIN($AK$2:$AK$921))*100,2)))</f>
        <v>74.28</v>
      </c>
      <c r="AT268" s="8" t="n">
        <f aca="false">IF(MAX($BC$2:$BC$921)=MIN($BC$2:$BC$921),50,ROUND((BC268-MIN($BC$2:$BC$921))/(MAX($BC$2:$BC$921)-MIN($BC$2:$BC$921))*100,2))</f>
        <v>75</v>
      </c>
      <c r="AU268" s="8" t="n">
        <f aca="false">IF(MAX($BE$2:$BE$921)=MIN($BE$2:$BE$921),50,ROUND((BE268-MIN($BE$2:$BE$921))/(MAX($BE$2:$BE$921)-MIN($BE$2:$BE$921))*100,2))</f>
        <v>68.36</v>
      </c>
      <c r="AV268" s="8" t="n">
        <f aca="false">IF(MAX($AD$2:$AD$921)=MIN($AD$2:$AD$921),50,ROUND((AD268-MIN($AD$2:$AD$921))/(MAX($AD$2:$AD$921)-MIN($AD$2:$AD$921))*100,2))</f>
        <v>19</v>
      </c>
      <c r="AW268" s="8" t="n">
        <f aca="false">IF(MAX($AN$2:$AN$921)=MIN($AN$2:$AN$921),50,ROUND((AN268-MIN($AN$2:$AN$921))/(MAX($AN$2:$AN$921)-MIN($AN$2:$AN$921))*100,2))</f>
        <v>88.75</v>
      </c>
      <c r="AX268" s="8" t="n">
        <f aca="false">AQ268*100</f>
        <v>0</v>
      </c>
      <c r="AY268" s="8" t="n">
        <f aca="false">AR268*100</f>
        <v>0</v>
      </c>
      <c r="AZ268" s="8" t="n">
        <f aca="false">IFERROR(ROUND(AS268*Assumptions!$I$6+AW268*Assumptions!$I$7+AT268*Assumptions!$I$8+AU268*Assumptions!$I$9+AV268*Assumptions!$I$10+AX268*Assumptions!$I$11+AY268*Assumptions!$I$12,2),"")</f>
        <v>63.44</v>
      </c>
      <c r="BA268" s="0" t="str">
        <f aca="false">IF(AZ268="","",IF(AZ268&lt;=Assumptions!$I$18,"Below Expectation",IF(AZ268&lt;=Assumptions!$I$19,"Developing",IF(AZ268&lt;=Assumptions!$I$20,"Meets Expectation",IF(AZ268&lt;=Assumptions!$I$21,"Exceeds","Star Performer")))))</f>
        <v>Meets Expectation</v>
      </c>
      <c r="BB268" s="0" t="n">
        <f aca="false">IF(AZ268="",0,IF(AZ268&gt;=Assumptions!$I$26,1,0))</f>
        <v>0</v>
      </c>
      <c r="BC268" s="9" t="n">
        <f aca="false">IF(AL268="",2,AL268+2)</f>
        <v>3</v>
      </c>
      <c r="BD268" s="10" t="n">
        <f aca="false">IF(AM268="",ROUND(AVERAGE($AM$2:$AM$921),3),AM268)</f>
        <v>0.548</v>
      </c>
      <c r="BE268" s="9" t="n">
        <f aca="false">1-BD268</f>
        <v>0.452</v>
      </c>
    </row>
    <row r="269" customFormat="false" ht="14.25" hidden="false" customHeight="false" outlineLevel="0" collapsed="false">
      <c r="A269" s="4" t="n">
        <v>642</v>
      </c>
      <c r="B269" s="5" t="n">
        <v>55056611</v>
      </c>
      <c r="C269" s="5" t="s">
        <v>106</v>
      </c>
      <c r="D269" s="5" t="s">
        <v>1348</v>
      </c>
      <c r="E269" s="5" t="s">
        <v>108</v>
      </c>
      <c r="F269" s="5" t="s">
        <v>463</v>
      </c>
      <c r="G269" s="5" t="s">
        <v>589</v>
      </c>
      <c r="H269" s="5" t="s">
        <v>590</v>
      </c>
      <c r="I269" s="5" t="s">
        <v>63</v>
      </c>
      <c r="J269" s="5" t="s">
        <v>112</v>
      </c>
      <c r="K269" s="5" t="s">
        <v>309</v>
      </c>
      <c r="L269" s="6" t="n">
        <v>44802</v>
      </c>
      <c r="M269" s="5" t="s">
        <v>165</v>
      </c>
      <c r="N269" s="6" t="n">
        <v>37033</v>
      </c>
      <c r="O269" s="5" t="s">
        <v>585</v>
      </c>
      <c r="P269" s="5" t="s">
        <v>586</v>
      </c>
      <c r="Q269" s="5" t="s">
        <v>231</v>
      </c>
      <c r="R269" s="5" t="s">
        <v>115</v>
      </c>
      <c r="S269" s="5" t="s">
        <v>231</v>
      </c>
      <c r="T269" s="6"/>
      <c r="U269" s="6" t="n">
        <v>45992</v>
      </c>
      <c r="V269" s="5"/>
      <c r="W269" s="5" t="s">
        <v>141</v>
      </c>
      <c r="X269" s="5" t="s">
        <v>141</v>
      </c>
      <c r="Y269" s="5" t="s">
        <v>83</v>
      </c>
      <c r="Z269" s="5" t="s">
        <v>83</v>
      </c>
      <c r="AA269" s="5" t="s">
        <v>1349</v>
      </c>
      <c r="AB269" s="0" t="n">
        <f aca="false">IFERROR(VALUE(R269),0)</f>
        <v>0</v>
      </c>
      <c r="AC269" s="0" t="n">
        <f aca="false">IFERROR(VALUE(M269),"")</f>
        <v>25</v>
      </c>
      <c r="AD269" s="0" t="n">
        <f aca="false">IFERROR(VALUE(Q269),"")</f>
        <v>3.9</v>
      </c>
      <c r="AE269" s="0" t="n">
        <f aca="false">IFERROR(VALUE(S269),"")</f>
        <v>3.9</v>
      </c>
      <c r="AF269" s="0" t="str">
        <f aca="false">IF(V269="","",VLOOKUP(V269,Assumptions!$B$6:$C$9,2,FALSE()))</f>
        <v/>
      </c>
      <c r="AG269" s="0" t="n">
        <f aca="false">IF(W269="","",VLOOKUP(W269,Assumptions!$B$6:$C$9,2,FALSE()))</f>
        <v>3</v>
      </c>
      <c r="AH269" s="0" t="n">
        <f aca="false">IF(X269="","",VLOOKUP(X269,Assumptions!$B$6:$C$9,2,FALSE()))</f>
        <v>3</v>
      </c>
      <c r="AI269" s="0" t="n">
        <f aca="false">IF(Y269="","",VLOOKUP(Y269,Assumptions!$B$6:$C$9,2,FALSE()))</f>
        <v>4</v>
      </c>
      <c r="AJ269" s="0" t="n">
        <f aca="false">IF(Z269="","",VLOOKUP(Z269,Assumptions!$B$6:$C$9,2,FALSE()))</f>
        <v>4</v>
      </c>
      <c r="AK269" s="7" t="n">
        <f aca="false">IFERROR(ROUND(AVERAGE(AF269:AJ269),3),"")</f>
        <v>3.5</v>
      </c>
      <c r="AL269" s="7" t="str">
        <f aca="false">IF(OR(AF269="",AJ269=""),"",AJ269-AF269)</f>
        <v/>
      </c>
      <c r="AM269" s="7" t="n">
        <f aca="false">IF(COUNT(AF269:AJ269)&gt;=2,ROUND(_xlfn.STDEV.S(AF269:AJ269),3),"")</f>
        <v>0.577</v>
      </c>
      <c r="AN269" s="7" t="n">
        <f aca="false">ROUND((IF(AF269="",0,AF269)*Assumptions!$F$15)+(IF(AG269="",0,AG269)*Assumptions!$F$16)+(IF(AH269="",0,AH269)*Assumptions!$F$17)+(IF(AI269="",0,AI269)*Assumptions!$F$18)+(IF(AJ269="",0,AJ269)*Assumptions!$F$19),3)</f>
        <v>3.25</v>
      </c>
      <c r="AO269" s="0" t="str">
        <f aca="false">IF(AC269&lt;=20,"",IF(AC269&lt;=Assumptions!$F$6,"20-30",IF(AC269&lt;=Assumptions!$F$7,"30-40",IF(AC269&lt;=Assumptions!$F$8,"40-50",IF(AC269&lt;=Assumptions!$F$9,"50-60",IF(AC269&lt;=Assumptions!$F$10,"60+",""))))))</f>
        <v>20-30</v>
      </c>
      <c r="AP269" s="0" t="str">
        <f aca="false">IFERROR(VLOOKUP(O269,Assumptions!$B$14:$C$26,2,FALSE()),"Other")</f>
        <v>Manager</v>
      </c>
      <c r="AQ269" s="0" t="n">
        <f aca="false">IF(T269="",0,1)</f>
        <v>0</v>
      </c>
      <c r="AR269" s="0" t="n">
        <f aca="false">IF(U269="",0,1)</f>
        <v>1</v>
      </c>
      <c r="AS269" s="8" t="n">
        <f aca="false">IF(AK269="","",IF(MAX($AK$2:$AK$921)=MIN($AK$2:$AK$921),50,ROUND((AK269-MIN($AK$2:$AK$921))/(MAX($AK$2:$AK$921)-MIN($AK$2:$AK$921))*100,2)))</f>
        <v>78.57</v>
      </c>
      <c r="AT269" s="8" t="n">
        <f aca="false">IF(MAX($BC$2:$BC$921)=MIN($BC$2:$BC$921),50,ROUND((BC269-MIN($BC$2:$BC$921))/(MAX($BC$2:$BC$921)-MIN($BC$2:$BC$921))*100,2))</f>
        <v>50</v>
      </c>
      <c r="AU269" s="8" t="n">
        <f aca="false">IF(MAX($BE$2:$BE$921)=MIN($BE$2:$BE$921),50,ROUND((BE269-MIN($BE$2:$BE$921))/(MAX($BE$2:$BE$921)-MIN($BE$2:$BE$921))*100,2))</f>
        <v>66.69</v>
      </c>
      <c r="AV269" s="8" t="n">
        <f aca="false">IF(MAX($AD$2:$AD$921)=MIN($AD$2:$AD$921),50,ROUND((AD269-MIN($AD$2:$AD$921))/(MAX($AD$2:$AD$921)-MIN($AD$2:$AD$921))*100,2))</f>
        <v>10.3</v>
      </c>
      <c r="AW269" s="8" t="n">
        <f aca="false">IF(MAX($AN$2:$AN$921)=MIN($AN$2:$AN$921),50,ROUND((AN269-MIN($AN$2:$AN$921))/(MAX($AN$2:$AN$921)-MIN($AN$2:$AN$921))*100,2))</f>
        <v>81.25</v>
      </c>
      <c r="AX269" s="8" t="n">
        <f aca="false">AQ269*100</f>
        <v>0</v>
      </c>
      <c r="AY269" s="8" t="n">
        <f aca="false">AR269*100</f>
        <v>100</v>
      </c>
      <c r="AZ269" s="8" t="n">
        <f aca="false">IFERROR(ROUND(AS269*Assumptions!$I$6+AW269*Assumptions!$I$7+AT269*Assumptions!$I$8+AU269*Assumptions!$I$9+AV269*Assumptions!$I$10+AX269*Assumptions!$I$11+AY269*Assumptions!$I$12,2),"")</f>
        <v>63.35</v>
      </c>
      <c r="BA269" s="0" t="str">
        <f aca="false">IF(AZ269="","",IF(AZ269&lt;=Assumptions!$I$18,"Below Expectation",IF(AZ269&lt;=Assumptions!$I$19,"Developing",IF(AZ269&lt;=Assumptions!$I$20,"Meets Expectation",IF(AZ269&lt;=Assumptions!$I$21,"Exceeds","Star Performer")))))</f>
        <v>Meets Expectation</v>
      </c>
      <c r="BB269" s="0" t="n">
        <f aca="false">IF(AZ269="",0,IF(AZ269&gt;=Assumptions!$I$26,1,0))</f>
        <v>0</v>
      </c>
      <c r="BC269" s="9" t="n">
        <f aca="false">IF(AL269="",2,AL269+2)</f>
        <v>2</v>
      </c>
      <c r="BD269" s="10" t="n">
        <f aca="false">IF(AM269="",ROUND(AVERAGE($AM$2:$AM$921),3),AM269)</f>
        <v>0.577</v>
      </c>
      <c r="BE269" s="9" t="n">
        <f aca="false">1-BD269</f>
        <v>0.423</v>
      </c>
    </row>
    <row r="270" customFormat="false" ht="14.25" hidden="true" customHeight="false" outlineLevel="0" collapsed="false">
      <c r="A270" s="4" t="n">
        <v>397</v>
      </c>
      <c r="B270" s="5" t="n">
        <v>50008008</v>
      </c>
      <c r="C270" s="5" t="s">
        <v>57</v>
      </c>
      <c r="D270" s="5" t="s">
        <v>1350</v>
      </c>
      <c r="E270" s="5" t="s">
        <v>607</v>
      </c>
      <c r="F270" s="5" t="s">
        <v>209</v>
      </c>
      <c r="G270" s="5" t="s">
        <v>210</v>
      </c>
      <c r="H270" s="5" t="s">
        <v>209</v>
      </c>
      <c r="I270" s="5" t="s">
        <v>63</v>
      </c>
      <c r="J270" s="5" t="s">
        <v>100</v>
      </c>
      <c r="K270" s="5" t="s">
        <v>65</v>
      </c>
      <c r="L270" s="6" t="n">
        <v>40483</v>
      </c>
      <c r="M270" s="5" t="s">
        <v>874</v>
      </c>
      <c r="N270" s="6" t="n">
        <v>28153</v>
      </c>
      <c r="O270" s="5" t="s">
        <v>262</v>
      </c>
      <c r="P270" s="5" t="s">
        <v>263</v>
      </c>
      <c r="Q270" s="5" t="s">
        <v>212</v>
      </c>
      <c r="R270" s="5" t="s">
        <v>1318</v>
      </c>
      <c r="S270" s="5" t="s">
        <v>1281</v>
      </c>
      <c r="T270" s="6"/>
      <c r="U270" s="6" t="n">
        <v>44652</v>
      </c>
      <c r="V270" s="5" t="s">
        <v>141</v>
      </c>
      <c r="W270" s="5" t="s">
        <v>83</v>
      </c>
      <c r="X270" s="5" t="s">
        <v>141</v>
      </c>
      <c r="Y270" s="5" t="s">
        <v>141</v>
      </c>
      <c r="Z270" s="5" t="s">
        <v>141</v>
      </c>
      <c r="AA270" s="5" t="s">
        <v>1351</v>
      </c>
      <c r="AB270" s="0" t="n">
        <f aca="false">IFERROR(VALUE(R270),0)</f>
        <v>4.11</v>
      </c>
      <c r="AC270" s="0" t="n">
        <f aca="false">IFERROR(VALUE(M270),"")</f>
        <v>49.4</v>
      </c>
      <c r="AD270" s="0" t="n">
        <f aca="false">IFERROR(VALUE(Q270),"")</f>
        <v>15.7</v>
      </c>
      <c r="AE270" s="0" t="n">
        <f aca="false">IFERROR(VALUE(S270),"")</f>
        <v>20.6</v>
      </c>
      <c r="AF270" s="0" t="n">
        <f aca="false">IF(V270="","",VLOOKUP(V270,Assumptions!$B$6:$C$9,2,FALSE()))</f>
        <v>3</v>
      </c>
      <c r="AG270" s="0" t="n">
        <f aca="false">IF(W270="","",VLOOKUP(W270,Assumptions!$B$6:$C$9,2,FALSE()))</f>
        <v>4</v>
      </c>
      <c r="AH270" s="0" t="n">
        <f aca="false">IF(X270="","",VLOOKUP(X270,Assumptions!$B$6:$C$9,2,FALSE()))</f>
        <v>3</v>
      </c>
      <c r="AI270" s="0" t="n">
        <f aca="false">IF(Y270="","",VLOOKUP(Y270,Assumptions!$B$6:$C$9,2,FALSE()))</f>
        <v>3</v>
      </c>
      <c r="AJ270" s="0" t="n">
        <f aca="false">IF(Z270="","",VLOOKUP(Z270,Assumptions!$B$6:$C$9,2,FALSE()))</f>
        <v>3</v>
      </c>
      <c r="AK270" s="7" t="n">
        <f aca="false">IFERROR(ROUND(AVERAGE(AF270:AJ270),3),"")</f>
        <v>3.2</v>
      </c>
      <c r="AL270" s="7" t="n">
        <f aca="false">IF(OR(AF270="",AJ270=""),"",AJ270-AF270)</f>
        <v>0</v>
      </c>
      <c r="AM270" s="7" t="n">
        <f aca="false">IF(COUNT(AF270:AJ270)&gt;=2,ROUND(_xlfn.STDEV.S(AF270:AJ270),3),"")</f>
        <v>0.447</v>
      </c>
      <c r="AN270" s="7" t="n">
        <f aca="false">ROUND((IF(AF270="",0,AF270)*Assumptions!$F$15)+(IF(AG270="",0,AG270)*Assumptions!$F$16)+(IF(AH270="",0,AH270)*Assumptions!$F$17)+(IF(AI270="",0,AI270)*Assumptions!$F$18)+(IF(AJ270="",0,AJ270)*Assumptions!$F$19),3)</f>
        <v>3.15</v>
      </c>
      <c r="AO270" s="0" t="str">
        <f aca="false">IF(AC270&lt;=20,"",IF(AC270&lt;=Assumptions!$F$6,"20-30",IF(AC270&lt;=Assumptions!$F$7,"30-40",IF(AC270&lt;=Assumptions!$F$8,"40-50",IF(AC270&lt;=Assumptions!$F$9,"50-60",IF(AC270&lt;=Assumptions!$F$10,"60+",""))))))</f>
        <v>40-50</v>
      </c>
      <c r="AP270" s="0" t="str">
        <f aca="false">IFERROR(VLOOKUP(O270,Assumptions!$B$14:$C$26,2,FALSE()),"Other")</f>
        <v>Manager</v>
      </c>
      <c r="AQ270" s="0" t="n">
        <f aca="false">IF(T270="",0,1)</f>
        <v>0</v>
      </c>
      <c r="AR270" s="0" t="n">
        <f aca="false">IF(U270="",0,1)</f>
        <v>1</v>
      </c>
      <c r="AS270" s="8" t="n">
        <f aca="false">IF(AK270="","",IF(MAX($AK$2:$AK$921)=MIN($AK$2:$AK$921),50,ROUND((AK270-MIN($AK$2:$AK$921))/(MAX($AK$2:$AK$921)-MIN($AK$2:$AK$921))*100,2)))</f>
        <v>65.71</v>
      </c>
      <c r="AT270" s="8" t="n">
        <f aca="false">IF(MAX($BC$2:$BC$921)=MIN($BC$2:$BC$921),50,ROUND((BC270-MIN($BC$2:$BC$921))/(MAX($BC$2:$BC$921)-MIN($BC$2:$BC$921))*100,2))</f>
        <v>50</v>
      </c>
      <c r="AU270" s="8" t="n">
        <f aca="false">IF(MAX($BE$2:$BE$921)=MIN($BE$2:$BE$921),50,ROUND((BE270-MIN($BE$2:$BE$921))/(MAX($BE$2:$BE$921)-MIN($BE$2:$BE$921))*100,2))</f>
        <v>74.19</v>
      </c>
      <c r="AV270" s="8" t="n">
        <f aca="false">IF(MAX($AD$2:$AD$921)=MIN($AD$2:$AD$921),50,ROUND((AD270-MIN($AD$2:$AD$921))/(MAX($AD$2:$AD$921)-MIN($AD$2:$AD$921))*100,2))</f>
        <v>42.38</v>
      </c>
      <c r="AW270" s="8" t="n">
        <f aca="false">IF(MAX($AN$2:$AN$921)=MIN($AN$2:$AN$921),50,ROUND((AN270-MIN($AN$2:$AN$921))/(MAX($AN$2:$AN$921)-MIN($AN$2:$AN$921))*100,2))</f>
        <v>78.75</v>
      </c>
      <c r="AX270" s="8" t="n">
        <f aca="false">AQ270*100</f>
        <v>0</v>
      </c>
      <c r="AY270" s="8" t="n">
        <f aca="false">AR270*100</f>
        <v>100</v>
      </c>
      <c r="AZ270" s="8" t="n">
        <f aca="false">IFERROR(ROUND(AS270*Assumptions!$I$6+AW270*Assumptions!$I$7+AT270*Assumptions!$I$8+AU270*Assumptions!$I$9+AV270*Assumptions!$I$10+AX270*Assumptions!$I$11+AY270*Assumptions!$I$12,2),"")</f>
        <v>63.33</v>
      </c>
      <c r="BA270" s="0" t="str">
        <f aca="false">IF(AZ270="","",IF(AZ270&lt;=Assumptions!$I$18,"Below Expectation",IF(AZ270&lt;=Assumptions!$I$19,"Developing",IF(AZ270&lt;=Assumptions!$I$20,"Meets Expectation",IF(AZ270&lt;=Assumptions!$I$21,"Exceeds","Star Performer")))))</f>
        <v>Meets Expectation</v>
      </c>
      <c r="BB270" s="0" t="n">
        <f aca="false">IF(AZ270="",0,IF(AZ270&gt;=Assumptions!$I$26,1,0))</f>
        <v>0</v>
      </c>
      <c r="BC270" s="9" t="n">
        <f aca="false">IF(AL270="",2,AL270+2)</f>
        <v>2</v>
      </c>
      <c r="BD270" s="10" t="n">
        <f aca="false">IF(AM270="",ROUND(AVERAGE($AM$2:$AM$921),3),AM270)</f>
        <v>0.447</v>
      </c>
      <c r="BE270" s="9" t="n">
        <f aca="false">1-BD270</f>
        <v>0.553</v>
      </c>
    </row>
    <row r="271" customFormat="false" ht="14.25" hidden="false" customHeight="false" outlineLevel="0" collapsed="false">
      <c r="A271" s="4" t="n">
        <v>664</v>
      </c>
      <c r="B271" s="5" t="n">
        <v>55058083</v>
      </c>
      <c r="C271" s="5" t="s">
        <v>106</v>
      </c>
      <c r="D271" s="5" t="s">
        <v>1352</v>
      </c>
      <c r="E271" s="5" t="s">
        <v>305</v>
      </c>
      <c r="F271" s="5" t="s">
        <v>1353</v>
      </c>
      <c r="G271" s="5" t="s">
        <v>1354</v>
      </c>
      <c r="H271" s="5" t="s">
        <v>1355</v>
      </c>
      <c r="I271" s="5" t="s">
        <v>63</v>
      </c>
      <c r="J271" s="5" t="s">
        <v>112</v>
      </c>
      <c r="K271" s="5" t="s">
        <v>309</v>
      </c>
      <c r="L271" s="6" t="n">
        <v>44831</v>
      </c>
      <c r="M271" s="5" t="s">
        <v>1356</v>
      </c>
      <c r="N271" s="6" t="n">
        <v>35471</v>
      </c>
      <c r="O271" s="5" t="s">
        <v>365</v>
      </c>
      <c r="P271" s="5" t="s">
        <v>365</v>
      </c>
      <c r="Q271" s="5" t="s">
        <v>445</v>
      </c>
      <c r="R271" s="5" t="s">
        <v>920</v>
      </c>
      <c r="S271" s="5" t="s">
        <v>487</v>
      </c>
      <c r="T271" s="6"/>
      <c r="U271" s="6" t="n">
        <v>45992</v>
      </c>
      <c r="V271" s="5"/>
      <c r="W271" s="5" t="s">
        <v>141</v>
      </c>
      <c r="X271" s="5" t="s">
        <v>141</v>
      </c>
      <c r="Y271" s="5" t="s">
        <v>83</v>
      </c>
      <c r="Z271" s="5" t="s">
        <v>83</v>
      </c>
      <c r="AA271" s="5" t="s">
        <v>1357</v>
      </c>
      <c r="AB271" s="0" t="n">
        <f aca="false">IFERROR(VALUE(R271),0)</f>
        <v>2.8</v>
      </c>
      <c r="AC271" s="0" t="n">
        <f aca="false">IFERROR(VALUE(M271),"")</f>
        <v>29.3</v>
      </c>
      <c r="AD271" s="0" t="n">
        <f aca="false">IFERROR(VALUE(Q271),"")</f>
        <v>3.8</v>
      </c>
      <c r="AE271" s="0" t="n">
        <f aca="false">IFERROR(VALUE(S271),"")</f>
        <v>6.4</v>
      </c>
      <c r="AF271" s="0" t="str">
        <f aca="false">IF(V271="","",VLOOKUP(V271,Assumptions!$B$6:$C$9,2,FALSE()))</f>
        <v/>
      </c>
      <c r="AG271" s="0" t="n">
        <f aca="false">IF(W271="","",VLOOKUP(W271,Assumptions!$B$6:$C$9,2,FALSE()))</f>
        <v>3</v>
      </c>
      <c r="AH271" s="0" t="n">
        <f aca="false">IF(X271="","",VLOOKUP(X271,Assumptions!$B$6:$C$9,2,FALSE()))</f>
        <v>3</v>
      </c>
      <c r="AI271" s="0" t="n">
        <f aca="false">IF(Y271="","",VLOOKUP(Y271,Assumptions!$B$6:$C$9,2,FALSE()))</f>
        <v>4</v>
      </c>
      <c r="AJ271" s="0" t="n">
        <f aca="false">IF(Z271="","",VLOOKUP(Z271,Assumptions!$B$6:$C$9,2,FALSE()))</f>
        <v>4</v>
      </c>
      <c r="AK271" s="7" t="n">
        <f aca="false">IFERROR(ROUND(AVERAGE(AF271:AJ271),3),"")</f>
        <v>3.5</v>
      </c>
      <c r="AL271" s="7" t="str">
        <f aca="false">IF(OR(AF271="",AJ271=""),"",AJ271-AF271)</f>
        <v/>
      </c>
      <c r="AM271" s="7" t="n">
        <f aca="false">IF(COUNT(AF271:AJ271)&gt;=2,ROUND(_xlfn.STDEV.S(AF271:AJ271),3),"")</f>
        <v>0.577</v>
      </c>
      <c r="AN271" s="7" t="n">
        <f aca="false">ROUND((IF(AF271="",0,AF271)*Assumptions!$F$15)+(IF(AG271="",0,AG271)*Assumptions!$F$16)+(IF(AH271="",0,AH271)*Assumptions!$F$17)+(IF(AI271="",0,AI271)*Assumptions!$F$18)+(IF(AJ271="",0,AJ271)*Assumptions!$F$19),3)</f>
        <v>3.25</v>
      </c>
      <c r="AO271" s="0" t="str">
        <f aca="false">IF(AC271&lt;=20,"",IF(AC271&lt;=Assumptions!$F$6,"20-30",IF(AC271&lt;=Assumptions!$F$7,"30-40",IF(AC271&lt;=Assumptions!$F$8,"40-50",IF(AC271&lt;=Assumptions!$F$9,"50-60",IF(AC271&lt;=Assumptions!$F$10,"60+",""))))))</f>
        <v>20-30</v>
      </c>
      <c r="AP271" s="0" t="str">
        <f aca="false">IFERROR(VLOOKUP(O271,Assumptions!$B$14:$C$26,2,FALSE()),"Other")</f>
        <v>Manager</v>
      </c>
      <c r="AQ271" s="0" t="n">
        <f aca="false">IF(T271="",0,1)</f>
        <v>0</v>
      </c>
      <c r="AR271" s="0" t="n">
        <f aca="false">IF(U271="",0,1)</f>
        <v>1</v>
      </c>
      <c r="AS271" s="8" t="n">
        <f aca="false">IF(AK271="","",IF(MAX($AK$2:$AK$921)=MIN($AK$2:$AK$921),50,ROUND((AK271-MIN($AK$2:$AK$921))/(MAX($AK$2:$AK$921)-MIN($AK$2:$AK$921))*100,2)))</f>
        <v>78.57</v>
      </c>
      <c r="AT271" s="8" t="n">
        <f aca="false">IF(MAX($BC$2:$BC$921)=MIN($BC$2:$BC$921),50,ROUND((BC271-MIN($BC$2:$BC$921))/(MAX($BC$2:$BC$921)-MIN($BC$2:$BC$921))*100,2))</f>
        <v>50</v>
      </c>
      <c r="AU271" s="8" t="n">
        <f aca="false">IF(MAX($BE$2:$BE$921)=MIN($BE$2:$BE$921),50,ROUND((BE271-MIN($BE$2:$BE$921))/(MAX($BE$2:$BE$921)-MIN($BE$2:$BE$921))*100,2))</f>
        <v>66.69</v>
      </c>
      <c r="AV271" s="8" t="n">
        <f aca="false">IF(MAX($AD$2:$AD$921)=MIN($AD$2:$AD$921),50,ROUND((AD271-MIN($AD$2:$AD$921))/(MAX($AD$2:$AD$921)-MIN($AD$2:$AD$921))*100,2))</f>
        <v>10.03</v>
      </c>
      <c r="AW271" s="8" t="n">
        <f aca="false">IF(MAX($AN$2:$AN$921)=MIN($AN$2:$AN$921),50,ROUND((AN271-MIN($AN$2:$AN$921))/(MAX($AN$2:$AN$921)-MIN($AN$2:$AN$921))*100,2))</f>
        <v>81.25</v>
      </c>
      <c r="AX271" s="8" t="n">
        <f aca="false">AQ271*100</f>
        <v>0</v>
      </c>
      <c r="AY271" s="8" t="n">
        <f aca="false">AR271*100</f>
        <v>100</v>
      </c>
      <c r="AZ271" s="8" t="n">
        <f aca="false">IFERROR(ROUND(AS271*Assumptions!$I$6+AW271*Assumptions!$I$7+AT271*Assumptions!$I$8+AU271*Assumptions!$I$9+AV271*Assumptions!$I$10+AX271*Assumptions!$I$11+AY271*Assumptions!$I$12,2),"")</f>
        <v>63.33</v>
      </c>
      <c r="BA271" s="0" t="str">
        <f aca="false">IF(AZ271="","",IF(AZ271&lt;=Assumptions!$I$18,"Below Expectation",IF(AZ271&lt;=Assumptions!$I$19,"Developing",IF(AZ271&lt;=Assumptions!$I$20,"Meets Expectation",IF(AZ271&lt;=Assumptions!$I$21,"Exceeds","Star Performer")))))</f>
        <v>Meets Expectation</v>
      </c>
      <c r="BB271" s="0" t="n">
        <f aca="false">IF(AZ271="",0,IF(AZ271&gt;=Assumptions!$I$26,1,0))</f>
        <v>0</v>
      </c>
      <c r="BC271" s="9" t="n">
        <f aca="false">IF(AL271="",2,AL271+2)</f>
        <v>2</v>
      </c>
      <c r="BD271" s="10" t="n">
        <f aca="false">IF(AM271="",ROUND(AVERAGE($AM$2:$AM$921),3),AM271)</f>
        <v>0.577</v>
      </c>
      <c r="BE271" s="9" t="n">
        <f aca="false">1-BD271</f>
        <v>0.423</v>
      </c>
    </row>
    <row r="272" customFormat="false" ht="14.25" hidden="true" customHeight="false" outlineLevel="0" collapsed="false">
      <c r="A272" s="4" t="n">
        <v>117</v>
      </c>
      <c r="B272" s="5" t="n">
        <v>10035976</v>
      </c>
      <c r="C272" s="5" t="s">
        <v>85</v>
      </c>
      <c r="D272" s="5" t="s">
        <v>1358</v>
      </c>
      <c r="E272" s="5" t="s">
        <v>235</v>
      </c>
      <c r="F272" s="5" t="s">
        <v>292</v>
      </c>
      <c r="G272" s="5" t="s">
        <v>293</v>
      </c>
      <c r="H272" s="5" t="s">
        <v>292</v>
      </c>
      <c r="I272" s="5" t="s">
        <v>63</v>
      </c>
      <c r="J272" s="5" t="s">
        <v>76</v>
      </c>
      <c r="K272" s="5" t="s">
        <v>65</v>
      </c>
      <c r="L272" s="6" t="n">
        <v>41295</v>
      </c>
      <c r="M272" s="5" t="s">
        <v>529</v>
      </c>
      <c r="N272" s="6" t="n">
        <v>29495</v>
      </c>
      <c r="O272" s="5" t="s">
        <v>122</v>
      </c>
      <c r="P272" s="5" t="s">
        <v>123</v>
      </c>
      <c r="Q272" s="5" t="s">
        <v>1359</v>
      </c>
      <c r="R272" s="5" t="s">
        <v>486</v>
      </c>
      <c r="S272" s="5" t="s">
        <v>288</v>
      </c>
      <c r="T272" s="6" t="n">
        <v>43174</v>
      </c>
      <c r="U272" s="6"/>
      <c r="V272" s="5" t="s">
        <v>141</v>
      </c>
      <c r="W272" s="5" t="s">
        <v>141</v>
      </c>
      <c r="X272" s="5" t="s">
        <v>141</v>
      </c>
      <c r="Y272" s="5" t="s">
        <v>83</v>
      </c>
      <c r="Z272" s="5" t="s">
        <v>141</v>
      </c>
      <c r="AA272" s="5" t="s">
        <v>1360</v>
      </c>
      <c r="AB272" s="0" t="n">
        <f aca="false">IFERROR(VALUE(R272),0)</f>
        <v>6.5</v>
      </c>
      <c r="AC272" s="0" t="n">
        <f aca="false">IFERROR(VALUE(M272),"")</f>
        <v>45.8</v>
      </c>
      <c r="AD272" s="0" t="n">
        <f aca="false">IFERROR(VALUE(Q272),"")</f>
        <v>13.4</v>
      </c>
      <c r="AE272" s="0" t="n">
        <f aca="false">IFERROR(VALUE(S272),"")</f>
        <v>19.9</v>
      </c>
      <c r="AF272" s="0" t="n">
        <f aca="false">IF(V272="","",VLOOKUP(V272,Assumptions!$B$6:$C$9,2,FALSE()))</f>
        <v>3</v>
      </c>
      <c r="AG272" s="0" t="n">
        <f aca="false">IF(W272="","",VLOOKUP(W272,Assumptions!$B$6:$C$9,2,FALSE()))</f>
        <v>3</v>
      </c>
      <c r="AH272" s="0" t="n">
        <f aca="false">IF(X272="","",VLOOKUP(X272,Assumptions!$B$6:$C$9,2,FALSE()))</f>
        <v>3</v>
      </c>
      <c r="AI272" s="0" t="n">
        <f aca="false">IF(Y272="","",VLOOKUP(Y272,Assumptions!$B$6:$C$9,2,FALSE()))</f>
        <v>4</v>
      </c>
      <c r="AJ272" s="0" t="n">
        <f aca="false">IF(Z272="","",VLOOKUP(Z272,Assumptions!$B$6:$C$9,2,FALSE()))</f>
        <v>3</v>
      </c>
      <c r="AK272" s="7" t="n">
        <f aca="false">IFERROR(ROUND(AVERAGE(AF272:AJ272),3),"")</f>
        <v>3.2</v>
      </c>
      <c r="AL272" s="7" t="n">
        <f aca="false">IF(OR(AF272="",AJ272=""),"",AJ272-AF272)</f>
        <v>0</v>
      </c>
      <c r="AM272" s="7" t="n">
        <f aca="false">IF(COUNT(AF272:AJ272)&gt;=2,ROUND(_xlfn.STDEV.S(AF272:AJ272),3),"")</f>
        <v>0.447</v>
      </c>
      <c r="AN272" s="7" t="n">
        <f aca="false">ROUND((IF(AF272="",0,AF272)*Assumptions!$F$15)+(IF(AG272="",0,AG272)*Assumptions!$F$16)+(IF(AH272="",0,AH272)*Assumptions!$F$17)+(IF(AI272="",0,AI272)*Assumptions!$F$18)+(IF(AJ272="",0,AJ272)*Assumptions!$F$19),3)</f>
        <v>3.25</v>
      </c>
      <c r="AO272" s="0" t="str">
        <f aca="false">IF(AC272&lt;=20,"",IF(AC272&lt;=Assumptions!$F$6,"20-30",IF(AC272&lt;=Assumptions!$F$7,"30-40",IF(AC272&lt;=Assumptions!$F$8,"40-50",IF(AC272&lt;=Assumptions!$F$9,"50-60",IF(AC272&lt;=Assumptions!$F$10,"60+",""))))))</f>
        <v>40-50</v>
      </c>
      <c r="AP272" s="0" t="str">
        <f aca="false">IFERROR(VLOOKUP(O272,Assumptions!$B$14:$C$26,2,FALSE()),"Other")</f>
        <v>Leadership</v>
      </c>
      <c r="AQ272" s="0" t="n">
        <f aca="false">IF(T272="",0,1)</f>
        <v>1</v>
      </c>
      <c r="AR272" s="0" t="n">
        <f aca="false">IF(U272="",0,1)</f>
        <v>0</v>
      </c>
      <c r="AS272" s="8" t="n">
        <f aca="false">IF(AK272="","",IF(MAX($AK$2:$AK$921)=MIN($AK$2:$AK$921),50,ROUND((AK272-MIN($AK$2:$AK$921))/(MAX($AK$2:$AK$921)-MIN($AK$2:$AK$921))*100,2)))</f>
        <v>65.71</v>
      </c>
      <c r="AT272" s="8" t="n">
        <f aca="false">IF(MAX($BC$2:$BC$921)=MIN($BC$2:$BC$921),50,ROUND((BC272-MIN($BC$2:$BC$921))/(MAX($BC$2:$BC$921)-MIN($BC$2:$BC$921))*100,2))</f>
        <v>50</v>
      </c>
      <c r="AU272" s="8" t="n">
        <f aca="false">IF(MAX($BE$2:$BE$921)=MIN($BE$2:$BE$921),50,ROUND((BE272-MIN($BE$2:$BE$921))/(MAX($BE$2:$BE$921)-MIN($BE$2:$BE$921))*100,2))</f>
        <v>74.19</v>
      </c>
      <c r="AV272" s="8" t="n">
        <f aca="false">IF(MAX($AD$2:$AD$921)=MIN($AD$2:$AD$921),50,ROUND((AD272-MIN($AD$2:$AD$921))/(MAX($AD$2:$AD$921)-MIN($AD$2:$AD$921))*100,2))</f>
        <v>36.12</v>
      </c>
      <c r="AW272" s="8" t="n">
        <f aca="false">IF(MAX($AN$2:$AN$921)=MIN($AN$2:$AN$921),50,ROUND((AN272-MIN($AN$2:$AN$921))/(MAX($AN$2:$AN$921)-MIN($AN$2:$AN$921))*100,2))</f>
        <v>81.25</v>
      </c>
      <c r="AX272" s="8" t="n">
        <f aca="false">AQ272*100</f>
        <v>100</v>
      </c>
      <c r="AY272" s="8" t="n">
        <f aca="false">AR272*100</f>
        <v>0</v>
      </c>
      <c r="AZ272" s="8" t="n">
        <f aca="false">IFERROR(ROUND(AS272*Assumptions!$I$6+AW272*Assumptions!$I$7+AT272*Assumptions!$I$8+AU272*Assumptions!$I$9+AV272*Assumptions!$I$10+AX272*Assumptions!$I$11+AY272*Assumptions!$I$12,2),"")</f>
        <v>63.2</v>
      </c>
      <c r="BA272" s="0" t="str">
        <f aca="false">IF(AZ272="","",IF(AZ272&lt;=Assumptions!$I$18,"Below Expectation",IF(AZ272&lt;=Assumptions!$I$19,"Developing",IF(AZ272&lt;=Assumptions!$I$20,"Meets Expectation",IF(AZ272&lt;=Assumptions!$I$21,"Exceeds","Star Performer")))))</f>
        <v>Meets Expectation</v>
      </c>
      <c r="BB272" s="0" t="n">
        <f aca="false">IF(AZ272="",0,IF(AZ272&gt;=Assumptions!$I$26,1,0))</f>
        <v>0</v>
      </c>
      <c r="BC272" s="9" t="n">
        <f aca="false">IF(AL272="",2,AL272+2)</f>
        <v>2</v>
      </c>
      <c r="BD272" s="10" t="n">
        <f aca="false">IF(AM272="",ROUND(AVERAGE($AM$2:$AM$921),3),AM272)</f>
        <v>0.447</v>
      </c>
      <c r="BE272" s="9" t="n">
        <f aca="false">1-BD272</f>
        <v>0.553</v>
      </c>
    </row>
    <row r="273" customFormat="false" ht="14.25" hidden="true" customHeight="false" outlineLevel="0" collapsed="false">
      <c r="A273" s="4" t="n">
        <v>436</v>
      </c>
      <c r="B273" s="5" t="n">
        <v>50011683</v>
      </c>
      <c r="C273" s="5" t="s">
        <v>57</v>
      </c>
      <c r="D273" s="5" t="s">
        <v>1361</v>
      </c>
      <c r="E273" s="5" t="s">
        <v>208</v>
      </c>
      <c r="F273" s="5" t="s">
        <v>387</v>
      </c>
      <c r="G273" s="5" t="s">
        <v>388</v>
      </c>
      <c r="H273" s="5" t="s">
        <v>387</v>
      </c>
      <c r="I273" s="5" t="s">
        <v>63</v>
      </c>
      <c r="J273" s="5" t="s">
        <v>100</v>
      </c>
      <c r="K273" s="5" t="s">
        <v>65</v>
      </c>
      <c r="L273" s="6" t="n">
        <v>41344</v>
      </c>
      <c r="M273" s="5" t="s">
        <v>193</v>
      </c>
      <c r="N273" s="6" t="n">
        <v>30509</v>
      </c>
      <c r="O273" s="5" t="s">
        <v>332</v>
      </c>
      <c r="P273" s="5" t="s">
        <v>333</v>
      </c>
      <c r="Q273" s="5" t="s">
        <v>1362</v>
      </c>
      <c r="R273" s="5" t="s">
        <v>213</v>
      </c>
      <c r="S273" s="5" t="s">
        <v>670</v>
      </c>
      <c r="T273" s="6"/>
      <c r="U273" s="6" t="n">
        <v>44470</v>
      </c>
      <c r="V273" s="5" t="s">
        <v>141</v>
      </c>
      <c r="W273" s="5" t="s">
        <v>141</v>
      </c>
      <c r="X273" s="5" t="s">
        <v>141</v>
      </c>
      <c r="Y273" s="5" t="s">
        <v>141</v>
      </c>
      <c r="Z273" s="5" t="s">
        <v>141</v>
      </c>
      <c r="AA273" s="5" t="s">
        <v>1363</v>
      </c>
      <c r="AB273" s="0" t="n">
        <f aca="false">IFERROR(VALUE(R273),0)</f>
        <v>5.2</v>
      </c>
      <c r="AC273" s="0" t="n">
        <f aca="false">IFERROR(VALUE(M273),"")</f>
        <v>42.1</v>
      </c>
      <c r="AD273" s="0" t="n">
        <f aca="false">IFERROR(VALUE(Q273),"")</f>
        <v>13.2</v>
      </c>
      <c r="AE273" s="0" t="n">
        <f aca="false">IFERROR(VALUE(S273),"")</f>
        <v>18.4</v>
      </c>
      <c r="AF273" s="0" t="n">
        <f aca="false">IF(V273="","",VLOOKUP(V273,Assumptions!$B$6:$C$9,2,FALSE()))</f>
        <v>3</v>
      </c>
      <c r="AG273" s="0" t="n">
        <f aca="false">IF(W273="","",VLOOKUP(W273,Assumptions!$B$6:$C$9,2,FALSE()))</f>
        <v>3</v>
      </c>
      <c r="AH273" s="0" t="n">
        <f aca="false">IF(X273="","",VLOOKUP(X273,Assumptions!$B$6:$C$9,2,FALSE()))</f>
        <v>3</v>
      </c>
      <c r="AI273" s="0" t="n">
        <f aca="false">IF(Y273="","",VLOOKUP(Y273,Assumptions!$B$6:$C$9,2,FALSE()))</f>
        <v>3</v>
      </c>
      <c r="AJ273" s="0" t="n">
        <f aca="false">IF(Z273="","",VLOOKUP(Z273,Assumptions!$B$6:$C$9,2,FALSE()))</f>
        <v>3</v>
      </c>
      <c r="AK273" s="7" t="n">
        <f aca="false">IFERROR(ROUND(AVERAGE(AF273:AJ273),3),"")</f>
        <v>3</v>
      </c>
      <c r="AL273" s="7" t="n">
        <f aca="false">IF(OR(AF273="",AJ273=""),"",AJ273-AF273)</f>
        <v>0</v>
      </c>
      <c r="AM273" s="7" t="n">
        <f aca="false">IF(COUNT(AF273:AJ273)&gt;=2,ROUND(_xlfn.STDEV.S(AF273:AJ273),3),"")</f>
        <v>0</v>
      </c>
      <c r="AN273" s="7" t="n">
        <f aca="false">ROUND((IF(AF273="",0,AF273)*Assumptions!$F$15)+(IF(AG273="",0,AG273)*Assumptions!$F$16)+(IF(AH273="",0,AH273)*Assumptions!$F$17)+(IF(AI273="",0,AI273)*Assumptions!$F$18)+(IF(AJ273="",0,AJ273)*Assumptions!$F$19),3)</f>
        <v>3</v>
      </c>
      <c r="AO273" s="0" t="str">
        <f aca="false">IF(AC273&lt;=20,"",IF(AC273&lt;=Assumptions!$F$6,"20-30",IF(AC273&lt;=Assumptions!$F$7,"30-40",IF(AC273&lt;=Assumptions!$F$8,"40-50",IF(AC273&lt;=Assumptions!$F$9,"50-60",IF(AC273&lt;=Assumptions!$F$10,"60+",""))))))</f>
        <v>40-50</v>
      </c>
      <c r="AP273" s="0" t="str">
        <f aca="false">IFERROR(VLOOKUP(O273,Assumptions!$B$14:$C$26,2,FALSE()),"Other")</f>
        <v>Manager</v>
      </c>
      <c r="AQ273" s="0" t="n">
        <f aca="false">IF(T273="",0,1)</f>
        <v>0</v>
      </c>
      <c r="AR273" s="0" t="n">
        <f aca="false">IF(U273="",0,1)</f>
        <v>1</v>
      </c>
      <c r="AS273" s="8" t="n">
        <f aca="false">IF(AK273="","",IF(MAX($AK$2:$AK$921)=MIN($AK$2:$AK$921),50,ROUND((AK273-MIN($AK$2:$AK$921))/(MAX($AK$2:$AK$921)-MIN($AK$2:$AK$921))*100,2)))</f>
        <v>57.14</v>
      </c>
      <c r="AT273" s="8" t="n">
        <f aca="false">IF(MAX($BC$2:$BC$921)=MIN($BC$2:$BC$921),50,ROUND((BC273-MIN($BC$2:$BC$921))/(MAX($BC$2:$BC$921)-MIN($BC$2:$BC$921))*100,2))</f>
        <v>50</v>
      </c>
      <c r="AU273" s="8" t="n">
        <f aca="false">IF(MAX($BE$2:$BE$921)=MIN($BE$2:$BE$921),50,ROUND((BE273-MIN($BE$2:$BE$921))/(MAX($BE$2:$BE$921)-MIN($BE$2:$BE$921))*100,2))</f>
        <v>100</v>
      </c>
      <c r="AV273" s="8" t="n">
        <f aca="false">IF(MAX($AD$2:$AD$921)=MIN($AD$2:$AD$921),50,ROUND((AD273-MIN($AD$2:$AD$921))/(MAX($AD$2:$AD$921)-MIN($AD$2:$AD$921))*100,2))</f>
        <v>35.58</v>
      </c>
      <c r="AW273" s="8" t="n">
        <f aca="false">IF(MAX($AN$2:$AN$921)=MIN($AN$2:$AN$921),50,ROUND((AN273-MIN($AN$2:$AN$921))/(MAX($AN$2:$AN$921)-MIN($AN$2:$AN$921))*100,2))</f>
        <v>75</v>
      </c>
      <c r="AX273" s="8" t="n">
        <f aca="false">AQ273*100</f>
        <v>0</v>
      </c>
      <c r="AY273" s="8" t="n">
        <f aca="false">AR273*100</f>
        <v>100</v>
      </c>
      <c r="AZ273" s="8" t="n">
        <f aca="false">IFERROR(ROUND(AS273*Assumptions!$I$6+AW273*Assumptions!$I$7+AT273*Assumptions!$I$8+AU273*Assumptions!$I$9+AV273*Assumptions!$I$10+AX273*Assumptions!$I$11+AY273*Assumptions!$I$12,2),"")</f>
        <v>63.2</v>
      </c>
      <c r="BA273" s="0" t="str">
        <f aca="false">IF(AZ273="","",IF(AZ273&lt;=Assumptions!$I$18,"Below Expectation",IF(AZ273&lt;=Assumptions!$I$19,"Developing",IF(AZ273&lt;=Assumptions!$I$20,"Meets Expectation",IF(AZ273&lt;=Assumptions!$I$21,"Exceeds","Star Performer")))))</f>
        <v>Meets Expectation</v>
      </c>
      <c r="BB273" s="0" t="n">
        <f aca="false">IF(AZ273="",0,IF(AZ273&gt;=Assumptions!$I$26,1,0))</f>
        <v>0</v>
      </c>
      <c r="BC273" s="9" t="n">
        <f aca="false">IF(AL273="",2,AL273+2)</f>
        <v>2</v>
      </c>
      <c r="BD273" s="10" t="n">
        <f aca="false">IF(AM273="",ROUND(AVERAGE($AM$2:$AM$921),3),AM273)</f>
        <v>0</v>
      </c>
      <c r="BE273" s="9" t="n">
        <f aca="false">1-BD273</f>
        <v>1</v>
      </c>
    </row>
    <row r="274" customFormat="false" ht="14.25" hidden="true" customHeight="false" outlineLevel="0" collapsed="false">
      <c r="A274" s="4" t="n">
        <v>428</v>
      </c>
      <c r="B274" s="5" t="n">
        <v>50010688</v>
      </c>
      <c r="C274" s="5" t="s">
        <v>57</v>
      </c>
      <c r="D274" s="5" t="s">
        <v>1364</v>
      </c>
      <c r="E274" s="5" t="s">
        <v>229</v>
      </c>
      <c r="F274" s="5" t="s">
        <v>387</v>
      </c>
      <c r="G274" s="5" t="s">
        <v>388</v>
      </c>
      <c r="H274" s="5" t="s">
        <v>387</v>
      </c>
      <c r="I274" s="5" t="s">
        <v>63</v>
      </c>
      <c r="J274" s="5" t="s">
        <v>100</v>
      </c>
      <c r="K274" s="5" t="s">
        <v>65</v>
      </c>
      <c r="L274" s="6" t="n">
        <v>41092</v>
      </c>
      <c r="M274" s="5" t="s">
        <v>935</v>
      </c>
      <c r="N274" s="6" t="n">
        <v>30914</v>
      </c>
      <c r="O274" s="5" t="s">
        <v>332</v>
      </c>
      <c r="P274" s="5" t="s">
        <v>333</v>
      </c>
      <c r="Q274" s="5" t="s">
        <v>1012</v>
      </c>
      <c r="R274" s="5" t="s">
        <v>213</v>
      </c>
      <c r="S274" s="5" t="s">
        <v>171</v>
      </c>
      <c r="T274" s="6"/>
      <c r="U274" s="6" t="n">
        <v>44652</v>
      </c>
      <c r="V274" s="5" t="s">
        <v>141</v>
      </c>
      <c r="W274" s="5" t="s">
        <v>141</v>
      </c>
      <c r="X274" s="5" t="s">
        <v>141</v>
      </c>
      <c r="Y274" s="5" t="s">
        <v>141</v>
      </c>
      <c r="Z274" s="5" t="s">
        <v>141</v>
      </c>
      <c r="AA274" s="5" t="s">
        <v>1365</v>
      </c>
      <c r="AB274" s="0" t="n">
        <f aca="false">IFERROR(VALUE(R274),0)</f>
        <v>5.2</v>
      </c>
      <c r="AC274" s="0" t="n">
        <f aca="false">IFERROR(VALUE(M274),"")</f>
        <v>41.9</v>
      </c>
      <c r="AD274" s="0" t="n">
        <f aca="false">IFERROR(VALUE(Q274),"")</f>
        <v>13.11</v>
      </c>
      <c r="AE274" s="0" t="n">
        <f aca="false">IFERROR(VALUE(S274),"")</f>
        <v>19.1</v>
      </c>
      <c r="AF274" s="0" t="n">
        <f aca="false">IF(V274="","",VLOOKUP(V274,Assumptions!$B$6:$C$9,2,FALSE()))</f>
        <v>3</v>
      </c>
      <c r="AG274" s="0" t="n">
        <f aca="false">IF(W274="","",VLOOKUP(W274,Assumptions!$B$6:$C$9,2,FALSE()))</f>
        <v>3</v>
      </c>
      <c r="AH274" s="0" t="n">
        <f aca="false">IF(X274="","",VLOOKUP(X274,Assumptions!$B$6:$C$9,2,FALSE()))</f>
        <v>3</v>
      </c>
      <c r="AI274" s="0" t="n">
        <f aca="false">IF(Y274="","",VLOOKUP(Y274,Assumptions!$B$6:$C$9,2,FALSE()))</f>
        <v>3</v>
      </c>
      <c r="AJ274" s="0" t="n">
        <f aca="false">IF(Z274="","",VLOOKUP(Z274,Assumptions!$B$6:$C$9,2,FALSE()))</f>
        <v>3</v>
      </c>
      <c r="AK274" s="7" t="n">
        <f aca="false">IFERROR(ROUND(AVERAGE(AF274:AJ274),3),"")</f>
        <v>3</v>
      </c>
      <c r="AL274" s="7" t="n">
        <f aca="false">IF(OR(AF274="",AJ274=""),"",AJ274-AF274)</f>
        <v>0</v>
      </c>
      <c r="AM274" s="7" t="n">
        <f aca="false">IF(COUNT(AF274:AJ274)&gt;=2,ROUND(_xlfn.STDEV.S(AF274:AJ274),3),"")</f>
        <v>0</v>
      </c>
      <c r="AN274" s="7" t="n">
        <f aca="false">ROUND((IF(AF274="",0,AF274)*Assumptions!$F$15)+(IF(AG274="",0,AG274)*Assumptions!$F$16)+(IF(AH274="",0,AH274)*Assumptions!$F$17)+(IF(AI274="",0,AI274)*Assumptions!$F$18)+(IF(AJ274="",0,AJ274)*Assumptions!$F$19),3)</f>
        <v>3</v>
      </c>
      <c r="AO274" s="0" t="str">
        <f aca="false">IF(AC274&lt;=20,"",IF(AC274&lt;=Assumptions!$F$6,"20-30",IF(AC274&lt;=Assumptions!$F$7,"30-40",IF(AC274&lt;=Assumptions!$F$8,"40-50",IF(AC274&lt;=Assumptions!$F$9,"50-60",IF(AC274&lt;=Assumptions!$F$10,"60+",""))))))</f>
        <v>40-50</v>
      </c>
      <c r="AP274" s="0" t="str">
        <f aca="false">IFERROR(VLOOKUP(O274,Assumptions!$B$14:$C$26,2,FALSE()),"Other")</f>
        <v>Manager</v>
      </c>
      <c r="AQ274" s="0" t="n">
        <f aca="false">IF(T274="",0,1)</f>
        <v>0</v>
      </c>
      <c r="AR274" s="0" t="n">
        <f aca="false">IF(U274="",0,1)</f>
        <v>1</v>
      </c>
      <c r="AS274" s="8" t="n">
        <f aca="false">IF(AK274="","",IF(MAX($AK$2:$AK$921)=MIN($AK$2:$AK$921),50,ROUND((AK274-MIN($AK$2:$AK$921))/(MAX($AK$2:$AK$921)-MIN($AK$2:$AK$921))*100,2)))</f>
        <v>57.14</v>
      </c>
      <c r="AT274" s="8" t="n">
        <f aca="false">IF(MAX($BC$2:$BC$921)=MIN($BC$2:$BC$921),50,ROUND((BC274-MIN($BC$2:$BC$921))/(MAX($BC$2:$BC$921)-MIN($BC$2:$BC$921))*100,2))</f>
        <v>50</v>
      </c>
      <c r="AU274" s="8" t="n">
        <f aca="false">IF(MAX($BE$2:$BE$921)=MIN($BE$2:$BE$921),50,ROUND((BE274-MIN($BE$2:$BE$921))/(MAX($BE$2:$BE$921)-MIN($BE$2:$BE$921))*100,2))</f>
        <v>100</v>
      </c>
      <c r="AV274" s="8" t="n">
        <f aca="false">IF(MAX($AD$2:$AD$921)=MIN($AD$2:$AD$921),50,ROUND((AD274-MIN($AD$2:$AD$921))/(MAX($AD$2:$AD$921)-MIN($AD$2:$AD$921))*100,2))</f>
        <v>35.34</v>
      </c>
      <c r="AW274" s="8" t="n">
        <f aca="false">IF(MAX($AN$2:$AN$921)=MIN($AN$2:$AN$921),50,ROUND((AN274-MIN($AN$2:$AN$921))/(MAX($AN$2:$AN$921)-MIN($AN$2:$AN$921))*100,2))</f>
        <v>75</v>
      </c>
      <c r="AX274" s="8" t="n">
        <f aca="false">AQ274*100</f>
        <v>0</v>
      </c>
      <c r="AY274" s="8" t="n">
        <f aca="false">AR274*100</f>
        <v>100</v>
      </c>
      <c r="AZ274" s="8" t="n">
        <f aca="false">IFERROR(ROUND(AS274*Assumptions!$I$6+AW274*Assumptions!$I$7+AT274*Assumptions!$I$8+AU274*Assumptions!$I$9+AV274*Assumptions!$I$10+AX274*Assumptions!$I$11+AY274*Assumptions!$I$12,2),"")</f>
        <v>63.18</v>
      </c>
      <c r="BA274" s="0" t="str">
        <f aca="false">IF(AZ274="","",IF(AZ274&lt;=Assumptions!$I$18,"Below Expectation",IF(AZ274&lt;=Assumptions!$I$19,"Developing",IF(AZ274&lt;=Assumptions!$I$20,"Meets Expectation",IF(AZ274&lt;=Assumptions!$I$21,"Exceeds","Star Performer")))))</f>
        <v>Meets Expectation</v>
      </c>
      <c r="BB274" s="0" t="n">
        <f aca="false">IF(AZ274="",0,IF(AZ274&gt;=Assumptions!$I$26,1,0))</f>
        <v>0</v>
      </c>
      <c r="BC274" s="9" t="n">
        <f aca="false">IF(AL274="",2,AL274+2)</f>
        <v>2</v>
      </c>
      <c r="BD274" s="10" t="n">
        <f aca="false">IF(AM274="",ROUND(AVERAGE($AM$2:$AM$921),3),AM274)</f>
        <v>0</v>
      </c>
      <c r="BE274" s="9" t="n">
        <f aca="false">1-BD274</f>
        <v>1</v>
      </c>
    </row>
    <row r="275" customFormat="false" ht="14.25" hidden="true" customHeight="false" outlineLevel="0" collapsed="false">
      <c r="A275" s="4" t="n">
        <v>318</v>
      </c>
      <c r="B275" s="5" t="n">
        <v>10072485</v>
      </c>
      <c r="C275" s="5" t="s">
        <v>57</v>
      </c>
      <c r="D275" s="5" t="s">
        <v>1366</v>
      </c>
      <c r="E275" s="5" t="s">
        <v>208</v>
      </c>
      <c r="F275" s="5" t="s">
        <v>608</v>
      </c>
      <c r="G275" s="5" t="s">
        <v>609</v>
      </c>
      <c r="H275" s="5" t="s">
        <v>608</v>
      </c>
      <c r="I275" s="5" t="s">
        <v>63</v>
      </c>
      <c r="J275" s="5" t="s">
        <v>100</v>
      </c>
      <c r="K275" s="5" t="s">
        <v>65</v>
      </c>
      <c r="L275" s="6" t="n">
        <v>43948</v>
      </c>
      <c r="M275" s="5" t="s">
        <v>769</v>
      </c>
      <c r="N275" s="6" t="n">
        <v>33383</v>
      </c>
      <c r="O275" s="5" t="s">
        <v>365</v>
      </c>
      <c r="P275" s="5" t="s">
        <v>365</v>
      </c>
      <c r="Q275" s="5" t="s">
        <v>506</v>
      </c>
      <c r="R275" s="5" t="s">
        <v>248</v>
      </c>
      <c r="S275" s="5" t="s">
        <v>502</v>
      </c>
      <c r="T275" s="6"/>
      <c r="U275" s="6"/>
      <c r="V275" s="5" t="s">
        <v>141</v>
      </c>
      <c r="W275" s="5" t="s">
        <v>141</v>
      </c>
      <c r="X275" s="5" t="s">
        <v>141</v>
      </c>
      <c r="Y275" s="5" t="s">
        <v>83</v>
      </c>
      <c r="Z275" s="5" t="s">
        <v>83</v>
      </c>
      <c r="AA275" s="5" t="s">
        <v>1367</v>
      </c>
      <c r="AB275" s="0" t="n">
        <f aca="false">IFERROR(VALUE(R275),0)</f>
        <v>5</v>
      </c>
      <c r="AC275" s="0" t="n">
        <f aca="false">IFERROR(VALUE(M275),"")</f>
        <v>35</v>
      </c>
      <c r="AD275" s="0" t="n">
        <f aca="false">IFERROR(VALUE(Q275),"")</f>
        <v>6.1</v>
      </c>
      <c r="AE275" s="0" t="n">
        <f aca="false">IFERROR(VALUE(S275),"")</f>
        <v>11.1</v>
      </c>
      <c r="AF275" s="0" t="n">
        <f aca="false">IF(V275="","",VLOOKUP(V275,Assumptions!$B$6:$C$9,2,FALSE()))</f>
        <v>3</v>
      </c>
      <c r="AG275" s="0" t="n">
        <f aca="false">IF(W275="","",VLOOKUP(W275,Assumptions!$B$6:$C$9,2,FALSE()))</f>
        <v>3</v>
      </c>
      <c r="AH275" s="0" t="n">
        <f aca="false">IF(X275="","",VLOOKUP(X275,Assumptions!$B$6:$C$9,2,FALSE()))</f>
        <v>3</v>
      </c>
      <c r="AI275" s="0" t="n">
        <f aca="false">IF(Y275="","",VLOOKUP(Y275,Assumptions!$B$6:$C$9,2,FALSE()))</f>
        <v>4</v>
      </c>
      <c r="AJ275" s="0" t="n">
        <f aca="false">IF(Z275="","",VLOOKUP(Z275,Assumptions!$B$6:$C$9,2,FALSE()))</f>
        <v>4</v>
      </c>
      <c r="AK275" s="7" t="n">
        <f aca="false">IFERROR(ROUND(AVERAGE(AF275:AJ275),3),"")</f>
        <v>3.4</v>
      </c>
      <c r="AL275" s="7" t="n">
        <f aca="false">IF(OR(AF275="",AJ275=""),"",AJ275-AF275)</f>
        <v>1</v>
      </c>
      <c r="AM275" s="7" t="n">
        <f aca="false">IF(COUNT(AF275:AJ275)&gt;=2,ROUND(_xlfn.STDEV.S(AF275:AJ275),3),"")</f>
        <v>0.548</v>
      </c>
      <c r="AN275" s="7" t="n">
        <f aca="false">ROUND((IF(AF275="",0,AF275)*Assumptions!$F$15)+(IF(AG275="",0,AG275)*Assumptions!$F$16)+(IF(AH275="",0,AH275)*Assumptions!$F$17)+(IF(AI275="",0,AI275)*Assumptions!$F$18)+(IF(AJ275="",0,AJ275)*Assumptions!$F$19),3)</f>
        <v>3.55</v>
      </c>
      <c r="AO275" s="0" t="str">
        <f aca="false">IF(AC275&lt;=20,"",IF(AC275&lt;=Assumptions!$F$6,"20-30",IF(AC275&lt;=Assumptions!$F$7,"30-40",IF(AC275&lt;=Assumptions!$F$8,"40-50",IF(AC275&lt;=Assumptions!$F$9,"50-60",IF(AC275&lt;=Assumptions!$F$10,"60+",""))))))</f>
        <v>30-40</v>
      </c>
      <c r="AP275" s="0" t="str">
        <f aca="false">IFERROR(VLOOKUP(O275,Assumptions!$B$14:$C$26,2,FALSE()),"Other")</f>
        <v>Manager</v>
      </c>
      <c r="AQ275" s="0" t="n">
        <f aca="false">IF(T275="",0,1)</f>
        <v>0</v>
      </c>
      <c r="AR275" s="0" t="n">
        <f aca="false">IF(U275="",0,1)</f>
        <v>0</v>
      </c>
      <c r="AS275" s="8" t="n">
        <f aca="false">IF(AK275="","",IF(MAX($AK$2:$AK$921)=MIN($AK$2:$AK$921),50,ROUND((AK275-MIN($AK$2:$AK$921))/(MAX($AK$2:$AK$921)-MIN($AK$2:$AK$921))*100,2)))</f>
        <v>74.28</v>
      </c>
      <c r="AT275" s="8" t="n">
        <f aca="false">IF(MAX($BC$2:$BC$921)=MIN($BC$2:$BC$921),50,ROUND((BC275-MIN($BC$2:$BC$921))/(MAX($BC$2:$BC$921)-MIN($BC$2:$BC$921))*100,2))</f>
        <v>75</v>
      </c>
      <c r="AU275" s="8" t="n">
        <f aca="false">IF(MAX($BE$2:$BE$921)=MIN($BE$2:$BE$921),50,ROUND((BE275-MIN($BE$2:$BE$921))/(MAX($BE$2:$BE$921)-MIN($BE$2:$BE$921))*100,2))</f>
        <v>68.36</v>
      </c>
      <c r="AV275" s="8" t="n">
        <f aca="false">IF(MAX($AD$2:$AD$921)=MIN($AD$2:$AD$921),50,ROUND((AD275-MIN($AD$2:$AD$921))/(MAX($AD$2:$AD$921)-MIN($AD$2:$AD$921))*100,2))</f>
        <v>16.28</v>
      </c>
      <c r="AW275" s="8" t="n">
        <f aca="false">IF(MAX($AN$2:$AN$921)=MIN($AN$2:$AN$921),50,ROUND((AN275-MIN($AN$2:$AN$921))/(MAX($AN$2:$AN$921)-MIN($AN$2:$AN$921))*100,2))</f>
        <v>88.75</v>
      </c>
      <c r="AX275" s="8" t="n">
        <f aca="false">AQ275*100</f>
        <v>0</v>
      </c>
      <c r="AY275" s="8" t="n">
        <f aca="false">AR275*100</f>
        <v>0</v>
      </c>
      <c r="AZ275" s="8" t="n">
        <f aca="false">IFERROR(ROUND(AS275*Assumptions!$I$6+AW275*Assumptions!$I$7+AT275*Assumptions!$I$8+AU275*Assumptions!$I$9+AV275*Assumptions!$I$10+AX275*Assumptions!$I$11+AY275*Assumptions!$I$12,2),"")</f>
        <v>63.17</v>
      </c>
      <c r="BA275" s="0" t="str">
        <f aca="false">IF(AZ275="","",IF(AZ275&lt;=Assumptions!$I$18,"Below Expectation",IF(AZ275&lt;=Assumptions!$I$19,"Developing",IF(AZ275&lt;=Assumptions!$I$20,"Meets Expectation",IF(AZ275&lt;=Assumptions!$I$21,"Exceeds","Star Performer")))))</f>
        <v>Meets Expectation</v>
      </c>
      <c r="BB275" s="0" t="n">
        <f aca="false">IF(AZ275="",0,IF(AZ275&gt;=Assumptions!$I$26,1,0))</f>
        <v>0</v>
      </c>
      <c r="BC275" s="9" t="n">
        <f aca="false">IF(AL275="",2,AL275+2)</f>
        <v>3</v>
      </c>
      <c r="BD275" s="10" t="n">
        <f aca="false">IF(AM275="",ROUND(AVERAGE($AM$2:$AM$921),3),AM275)</f>
        <v>0.548</v>
      </c>
      <c r="BE275" s="9" t="n">
        <f aca="false">1-BD275</f>
        <v>0.452</v>
      </c>
    </row>
    <row r="276" customFormat="false" ht="14.25" hidden="true" customHeight="false" outlineLevel="0" collapsed="false">
      <c r="A276" s="4" t="n">
        <v>437</v>
      </c>
      <c r="B276" s="5" t="n">
        <v>50011829</v>
      </c>
      <c r="C276" s="5" t="s">
        <v>57</v>
      </c>
      <c r="D276" s="5" t="s">
        <v>1368</v>
      </c>
      <c r="E276" s="5" t="s">
        <v>229</v>
      </c>
      <c r="F276" s="5" t="s">
        <v>608</v>
      </c>
      <c r="G276" s="5" t="s">
        <v>609</v>
      </c>
      <c r="H276" s="5" t="s">
        <v>608</v>
      </c>
      <c r="I276" s="5" t="s">
        <v>63</v>
      </c>
      <c r="J276" s="5" t="s">
        <v>100</v>
      </c>
      <c r="K276" s="5" t="s">
        <v>65</v>
      </c>
      <c r="L276" s="6" t="n">
        <v>41379</v>
      </c>
      <c r="M276" s="5" t="s">
        <v>1369</v>
      </c>
      <c r="N276" s="6" t="n">
        <v>27447</v>
      </c>
      <c r="O276" s="5" t="s">
        <v>332</v>
      </c>
      <c r="P276" s="5" t="s">
        <v>333</v>
      </c>
      <c r="Q276" s="5" t="s">
        <v>762</v>
      </c>
      <c r="R276" s="5" t="s">
        <v>936</v>
      </c>
      <c r="S276" s="5" t="s">
        <v>1370</v>
      </c>
      <c r="T276" s="6"/>
      <c r="U276" s="6" t="n">
        <v>45748</v>
      </c>
      <c r="V276" s="5" t="s">
        <v>141</v>
      </c>
      <c r="W276" s="5" t="s">
        <v>141</v>
      </c>
      <c r="X276" s="5" t="s">
        <v>141</v>
      </c>
      <c r="Y276" s="5" t="s">
        <v>141</v>
      </c>
      <c r="Z276" s="5" t="s">
        <v>141</v>
      </c>
      <c r="AA276" s="5" t="s">
        <v>1371</v>
      </c>
      <c r="AB276" s="0" t="n">
        <f aca="false">IFERROR(VALUE(R276),0)</f>
        <v>15.4</v>
      </c>
      <c r="AC276" s="0" t="n">
        <f aca="false">IFERROR(VALUE(M276),"")</f>
        <v>51.3</v>
      </c>
      <c r="AD276" s="0" t="n">
        <f aca="false">IFERROR(VALUE(Q276),"")</f>
        <v>13.1</v>
      </c>
      <c r="AE276" s="0" t="n">
        <f aca="false">IFERROR(VALUE(S276),"")</f>
        <v>28.5</v>
      </c>
      <c r="AF276" s="0" t="n">
        <f aca="false">IF(V276="","",VLOOKUP(V276,Assumptions!$B$6:$C$9,2,FALSE()))</f>
        <v>3</v>
      </c>
      <c r="AG276" s="0" t="n">
        <f aca="false">IF(W276="","",VLOOKUP(W276,Assumptions!$B$6:$C$9,2,FALSE()))</f>
        <v>3</v>
      </c>
      <c r="AH276" s="0" t="n">
        <f aca="false">IF(X276="","",VLOOKUP(X276,Assumptions!$B$6:$C$9,2,FALSE()))</f>
        <v>3</v>
      </c>
      <c r="AI276" s="0" t="n">
        <f aca="false">IF(Y276="","",VLOOKUP(Y276,Assumptions!$B$6:$C$9,2,FALSE()))</f>
        <v>3</v>
      </c>
      <c r="AJ276" s="0" t="n">
        <f aca="false">IF(Z276="","",VLOOKUP(Z276,Assumptions!$B$6:$C$9,2,FALSE()))</f>
        <v>3</v>
      </c>
      <c r="AK276" s="7" t="n">
        <f aca="false">IFERROR(ROUND(AVERAGE(AF276:AJ276),3),"")</f>
        <v>3</v>
      </c>
      <c r="AL276" s="7" t="n">
        <f aca="false">IF(OR(AF276="",AJ276=""),"",AJ276-AF276)</f>
        <v>0</v>
      </c>
      <c r="AM276" s="7" t="n">
        <f aca="false">IF(COUNT(AF276:AJ276)&gt;=2,ROUND(_xlfn.STDEV.S(AF276:AJ276),3),"")</f>
        <v>0</v>
      </c>
      <c r="AN276" s="7" t="n">
        <f aca="false">ROUND((IF(AF276="",0,AF276)*Assumptions!$F$15)+(IF(AG276="",0,AG276)*Assumptions!$F$16)+(IF(AH276="",0,AH276)*Assumptions!$F$17)+(IF(AI276="",0,AI276)*Assumptions!$F$18)+(IF(AJ276="",0,AJ276)*Assumptions!$F$19),3)</f>
        <v>3</v>
      </c>
      <c r="AO276" s="0" t="str">
        <f aca="false">IF(AC276&lt;=20,"",IF(AC276&lt;=Assumptions!$F$6,"20-30",IF(AC276&lt;=Assumptions!$F$7,"30-40",IF(AC276&lt;=Assumptions!$F$8,"40-50",IF(AC276&lt;=Assumptions!$F$9,"50-60",IF(AC276&lt;=Assumptions!$F$10,"60+",""))))))</f>
        <v>50-60</v>
      </c>
      <c r="AP276" s="0" t="str">
        <f aca="false">IFERROR(VLOOKUP(O276,Assumptions!$B$14:$C$26,2,FALSE()),"Other")</f>
        <v>Manager</v>
      </c>
      <c r="AQ276" s="0" t="n">
        <f aca="false">IF(T276="",0,1)</f>
        <v>0</v>
      </c>
      <c r="AR276" s="0" t="n">
        <f aca="false">IF(U276="",0,1)</f>
        <v>1</v>
      </c>
      <c r="AS276" s="8" t="n">
        <f aca="false">IF(AK276="","",IF(MAX($AK$2:$AK$921)=MIN($AK$2:$AK$921),50,ROUND((AK276-MIN($AK$2:$AK$921))/(MAX($AK$2:$AK$921)-MIN($AK$2:$AK$921))*100,2)))</f>
        <v>57.14</v>
      </c>
      <c r="AT276" s="8" t="n">
        <f aca="false">IF(MAX($BC$2:$BC$921)=MIN($BC$2:$BC$921),50,ROUND((BC276-MIN($BC$2:$BC$921))/(MAX($BC$2:$BC$921)-MIN($BC$2:$BC$921))*100,2))</f>
        <v>50</v>
      </c>
      <c r="AU276" s="8" t="n">
        <f aca="false">IF(MAX($BE$2:$BE$921)=MIN($BE$2:$BE$921),50,ROUND((BE276-MIN($BE$2:$BE$921))/(MAX($BE$2:$BE$921)-MIN($BE$2:$BE$921))*100,2))</f>
        <v>100</v>
      </c>
      <c r="AV276" s="8" t="n">
        <f aca="false">IF(MAX($AD$2:$AD$921)=MIN($AD$2:$AD$921),50,ROUND((AD276-MIN($AD$2:$AD$921))/(MAX($AD$2:$AD$921)-MIN($AD$2:$AD$921))*100,2))</f>
        <v>35.31</v>
      </c>
      <c r="AW276" s="8" t="n">
        <f aca="false">IF(MAX($AN$2:$AN$921)=MIN($AN$2:$AN$921),50,ROUND((AN276-MIN($AN$2:$AN$921))/(MAX($AN$2:$AN$921)-MIN($AN$2:$AN$921))*100,2))</f>
        <v>75</v>
      </c>
      <c r="AX276" s="8" t="n">
        <f aca="false">AQ276*100</f>
        <v>0</v>
      </c>
      <c r="AY276" s="8" t="n">
        <f aca="false">AR276*100</f>
        <v>100</v>
      </c>
      <c r="AZ276" s="8" t="n">
        <f aca="false">IFERROR(ROUND(AS276*Assumptions!$I$6+AW276*Assumptions!$I$7+AT276*Assumptions!$I$8+AU276*Assumptions!$I$9+AV276*Assumptions!$I$10+AX276*Assumptions!$I$11+AY276*Assumptions!$I$12,2),"")</f>
        <v>63.17</v>
      </c>
      <c r="BA276" s="0" t="str">
        <f aca="false">IF(AZ276="","",IF(AZ276&lt;=Assumptions!$I$18,"Below Expectation",IF(AZ276&lt;=Assumptions!$I$19,"Developing",IF(AZ276&lt;=Assumptions!$I$20,"Meets Expectation",IF(AZ276&lt;=Assumptions!$I$21,"Exceeds","Star Performer")))))</f>
        <v>Meets Expectation</v>
      </c>
      <c r="BB276" s="0" t="n">
        <f aca="false">IF(AZ276="",0,IF(AZ276&gt;=Assumptions!$I$26,1,0))</f>
        <v>0</v>
      </c>
      <c r="BC276" s="9" t="n">
        <f aca="false">IF(AL276="",2,AL276+2)</f>
        <v>2</v>
      </c>
      <c r="BD276" s="10" t="n">
        <f aca="false">IF(AM276="",ROUND(AVERAGE($AM$2:$AM$921),3),AM276)</f>
        <v>0</v>
      </c>
      <c r="BE276" s="9" t="n">
        <f aca="false">1-BD276</f>
        <v>1</v>
      </c>
    </row>
    <row r="277" customFormat="false" ht="14.25" hidden="true" customHeight="false" outlineLevel="0" collapsed="false">
      <c r="A277" s="4" t="n">
        <v>125</v>
      </c>
      <c r="B277" s="5" t="n">
        <v>10040559</v>
      </c>
      <c r="C277" s="5" t="s">
        <v>85</v>
      </c>
      <c r="D277" s="5" t="s">
        <v>1372</v>
      </c>
      <c r="E277" s="5" t="s">
        <v>87</v>
      </c>
      <c r="F277" s="5" t="s">
        <v>705</v>
      </c>
      <c r="G277" s="5" t="s">
        <v>706</v>
      </c>
      <c r="H277" s="5" t="s">
        <v>707</v>
      </c>
      <c r="I277" s="5" t="s">
        <v>63</v>
      </c>
      <c r="J277" s="5" t="s">
        <v>76</v>
      </c>
      <c r="K277" s="5" t="s">
        <v>65</v>
      </c>
      <c r="L277" s="6" t="n">
        <v>41610</v>
      </c>
      <c r="M277" s="5" t="s">
        <v>1032</v>
      </c>
      <c r="N277" s="6" t="n">
        <v>32665</v>
      </c>
      <c r="O277" s="5" t="s">
        <v>332</v>
      </c>
      <c r="P277" s="5" t="s">
        <v>333</v>
      </c>
      <c r="Q277" s="5" t="s">
        <v>1245</v>
      </c>
      <c r="R277" s="5" t="s">
        <v>740</v>
      </c>
      <c r="S277" s="5" t="s">
        <v>1362</v>
      </c>
      <c r="T277" s="6"/>
      <c r="U277" s="6" t="n">
        <v>44652</v>
      </c>
      <c r="V277" s="5" t="s">
        <v>141</v>
      </c>
      <c r="W277" s="5" t="s">
        <v>141</v>
      </c>
      <c r="X277" s="5" t="s">
        <v>141</v>
      </c>
      <c r="Y277" s="5" t="s">
        <v>141</v>
      </c>
      <c r="Z277" s="5" t="s">
        <v>141</v>
      </c>
      <c r="AA277" s="5" t="s">
        <v>1010</v>
      </c>
      <c r="AB277" s="0" t="n">
        <f aca="false">IFERROR(VALUE(R277),0)</f>
        <v>0.8</v>
      </c>
      <c r="AC277" s="0" t="n">
        <f aca="false">IFERROR(VALUE(M277),"")</f>
        <v>37</v>
      </c>
      <c r="AD277" s="0" t="n">
        <f aca="false">IFERROR(VALUE(Q277),"")</f>
        <v>12.6</v>
      </c>
      <c r="AE277" s="0" t="n">
        <f aca="false">IFERROR(VALUE(S277),"")</f>
        <v>13.2</v>
      </c>
      <c r="AF277" s="0" t="n">
        <f aca="false">IF(V277="","",VLOOKUP(V277,Assumptions!$B$6:$C$9,2,FALSE()))</f>
        <v>3</v>
      </c>
      <c r="AG277" s="0" t="n">
        <f aca="false">IF(W277="","",VLOOKUP(W277,Assumptions!$B$6:$C$9,2,FALSE()))</f>
        <v>3</v>
      </c>
      <c r="AH277" s="0" t="n">
        <f aca="false">IF(X277="","",VLOOKUP(X277,Assumptions!$B$6:$C$9,2,FALSE()))</f>
        <v>3</v>
      </c>
      <c r="AI277" s="0" t="n">
        <f aca="false">IF(Y277="","",VLOOKUP(Y277,Assumptions!$B$6:$C$9,2,FALSE()))</f>
        <v>3</v>
      </c>
      <c r="AJ277" s="0" t="n">
        <f aca="false">IF(Z277="","",VLOOKUP(Z277,Assumptions!$B$6:$C$9,2,FALSE()))</f>
        <v>3</v>
      </c>
      <c r="AK277" s="7" t="n">
        <f aca="false">IFERROR(ROUND(AVERAGE(AF277:AJ277),3),"")</f>
        <v>3</v>
      </c>
      <c r="AL277" s="7" t="n">
        <f aca="false">IF(OR(AF277="",AJ277=""),"",AJ277-AF277)</f>
        <v>0</v>
      </c>
      <c r="AM277" s="7" t="n">
        <f aca="false">IF(COUNT(AF277:AJ277)&gt;=2,ROUND(_xlfn.STDEV.S(AF277:AJ277),3),"")</f>
        <v>0</v>
      </c>
      <c r="AN277" s="7" t="n">
        <f aca="false">ROUND((IF(AF277="",0,AF277)*Assumptions!$F$15)+(IF(AG277="",0,AG277)*Assumptions!$F$16)+(IF(AH277="",0,AH277)*Assumptions!$F$17)+(IF(AI277="",0,AI277)*Assumptions!$F$18)+(IF(AJ277="",0,AJ277)*Assumptions!$F$19),3)</f>
        <v>3</v>
      </c>
      <c r="AO277" s="0" t="str">
        <f aca="false">IF(AC277&lt;=20,"",IF(AC277&lt;=Assumptions!$F$6,"20-30",IF(AC277&lt;=Assumptions!$F$7,"30-40",IF(AC277&lt;=Assumptions!$F$8,"40-50",IF(AC277&lt;=Assumptions!$F$9,"50-60",IF(AC277&lt;=Assumptions!$F$10,"60+",""))))))</f>
        <v>30-40</v>
      </c>
      <c r="AP277" s="0" t="str">
        <f aca="false">IFERROR(VLOOKUP(O277,Assumptions!$B$14:$C$26,2,FALSE()),"Other")</f>
        <v>Manager</v>
      </c>
      <c r="AQ277" s="0" t="n">
        <f aca="false">IF(T277="",0,1)</f>
        <v>0</v>
      </c>
      <c r="AR277" s="0" t="n">
        <f aca="false">IF(U277="",0,1)</f>
        <v>1</v>
      </c>
      <c r="AS277" s="8" t="n">
        <f aca="false">IF(AK277="","",IF(MAX($AK$2:$AK$921)=MIN($AK$2:$AK$921),50,ROUND((AK277-MIN($AK$2:$AK$921))/(MAX($AK$2:$AK$921)-MIN($AK$2:$AK$921))*100,2)))</f>
        <v>57.14</v>
      </c>
      <c r="AT277" s="8" t="n">
        <f aca="false">IF(MAX($BC$2:$BC$921)=MIN($BC$2:$BC$921),50,ROUND((BC277-MIN($BC$2:$BC$921))/(MAX($BC$2:$BC$921)-MIN($BC$2:$BC$921))*100,2))</f>
        <v>50</v>
      </c>
      <c r="AU277" s="8" t="n">
        <f aca="false">IF(MAX($BE$2:$BE$921)=MIN($BE$2:$BE$921),50,ROUND((BE277-MIN($BE$2:$BE$921))/(MAX($BE$2:$BE$921)-MIN($BE$2:$BE$921))*100,2))</f>
        <v>100</v>
      </c>
      <c r="AV277" s="8" t="n">
        <f aca="false">IF(MAX($AD$2:$AD$921)=MIN($AD$2:$AD$921),50,ROUND((AD277-MIN($AD$2:$AD$921))/(MAX($AD$2:$AD$921)-MIN($AD$2:$AD$921))*100,2))</f>
        <v>33.95</v>
      </c>
      <c r="AW277" s="8" t="n">
        <f aca="false">IF(MAX($AN$2:$AN$921)=MIN($AN$2:$AN$921),50,ROUND((AN277-MIN($AN$2:$AN$921))/(MAX($AN$2:$AN$921)-MIN($AN$2:$AN$921))*100,2))</f>
        <v>75</v>
      </c>
      <c r="AX277" s="8" t="n">
        <f aca="false">AQ277*100</f>
        <v>0</v>
      </c>
      <c r="AY277" s="8" t="n">
        <f aca="false">AR277*100</f>
        <v>100</v>
      </c>
      <c r="AZ277" s="8" t="n">
        <f aca="false">IFERROR(ROUND(AS277*Assumptions!$I$6+AW277*Assumptions!$I$7+AT277*Assumptions!$I$8+AU277*Assumptions!$I$9+AV277*Assumptions!$I$10+AX277*Assumptions!$I$11+AY277*Assumptions!$I$12,2),"")</f>
        <v>63.04</v>
      </c>
      <c r="BA277" s="0" t="str">
        <f aca="false">IF(AZ277="","",IF(AZ277&lt;=Assumptions!$I$18,"Below Expectation",IF(AZ277&lt;=Assumptions!$I$19,"Developing",IF(AZ277&lt;=Assumptions!$I$20,"Meets Expectation",IF(AZ277&lt;=Assumptions!$I$21,"Exceeds","Star Performer")))))</f>
        <v>Meets Expectation</v>
      </c>
      <c r="BB277" s="0" t="n">
        <f aca="false">IF(AZ277="",0,IF(AZ277&gt;=Assumptions!$I$26,1,0))</f>
        <v>0</v>
      </c>
      <c r="BC277" s="9" t="n">
        <f aca="false">IF(AL277="",2,AL277+2)</f>
        <v>2</v>
      </c>
      <c r="BD277" s="10" t="n">
        <f aca="false">IF(AM277="",ROUND(AVERAGE($AM$2:$AM$921),3),AM277)</f>
        <v>0</v>
      </c>
      <c r="BE277" s="9" t="n">
        <f aca="false">1-BD277</f>
        <v>1</v>
      </c>
    </row>
    <row r="278" customFormat="false" ht="14.25" hidden="true" customHeight="false" outlineLevel="0" collapsed="false">
      <c r="A278" s="4" t="n">
        <v>238</v>
      </c>
      <c r="B278" s="5" t="n">
        <v>10060248</v>
      </c>
      <c r="C278" s="5" t="s">
        <v>57</v>
      </c>
      <c r="D278" s="5" t="s">
        <v>1373</v>
      </c>
      <c r="E278" s="5" t="s">
        <v>208</v>
      </c>
      <c r="F278" s="5" t="s">
        <v>608</v>
      </c>
      <c r="G278" s="5" t="s">
        <v>609</v>
      </c>
      <c r="H278" s="5" t="s">
        <v>608</v>
      </c>
      <c r="I278" s="5" t="s">
        <v>63</v>
      </c>
      <c r="J278" s="5" t="s">
        <v>100</v>
      </c>
      <c r="K278" s="5" t="s">
        <v>65</v>
      </c>
      <c r="L278" s="6" t="n">
        <v>42982</v>
      </c>
      <c r="M278" s="5" t="s">
        <v>1374</v>
      </c>
      <c r="N278" s="6" t="n">
        <v>33425</v>
      </c>
      <c r="O278" s="5" t="s">
        <v>365</v>
      </c>
      <c r="P278" s="5" t="s">
        <v>365</v>
      </c>
      <c r="Q278" s="5" t="s">
        <v>921</v>
      </c>
      <c r="R278" s="5" t="s">
        <v>352</v>
      </c>
      <c r="S278" s="5" t="s">
        <v>296</v>
      </c>
      <c r="T278" s="6"/>
      <c r="U278" s="6"/>
      <c r="V278" s="5" t="s">
        <v>83</v>
      </c>
      <c r="W278" s="5" t="s">
        <v>141</v>
      </c>
      <c r="X278" s="5" t="s">
        <v>83</v>
      </c>
      <c r="Y278" s="5" t="s">
        <v>141</v>
      </c>
      <c r="Z278" s="5" t="s">
        <v>83</v>
      </c>
      <c r="AA278" s="5" t="s">
        <v>1375</v>
      </c>
      <c r="AB278" s="0" t="n">
        <f aca="false">IFERROR(VALUE(R278),0)</f>
        <v>4.6</v>
      </c>
      <c r="AC278" s="0" t="n">
        <f aca="false">IFERROR(VALUE(M278),"")</f>
        <v>34.11</v>
      </c>
      <c r="AD278" s="0" t="n">
        <f aca="false">IFERROR(VALUE(Q278),"")</f>
        <v>8.9</v>
      </c>
      <c r="AE278" s="0" t="n">
        <f aca="false">IFERROR(VALUE(S278),"")</f>
        <v>13.3</v>
      </c>
      <c r="AF278" s="0" t="n">
        <f aca="false">IF(V278="","",VLOOKUP(V278,Assumptions!$B$6:$C$9,2,FALSE()))</f>
        <v>4</v>
      </c>
      <c r="AG278" s="0" t="n">
        <f aca="false">IF(W278="","",VLOOKUP(W278,Assumptions!$B$6:$C$9,2,FALSE()))</f>
        <v>3</v>
      </c>
      <c r="AH278" s="0" t="n">
        <f aca="false">IF(X278="","",VLOOKUP(X278,Assumptions!$B$6:$C$9,2,FALSE()))</f>
        <v>4</v>
      </c>
      <c r="AI278" s="0" t="n">
        <f aca="false">IF(Y278="","",VLOOKUP(Y278,Assumptions!$B$6:$C$9,2,FALSE()))</f>
        <v>3</v>
      </c>
      <c r="AJ278" s="0" t="n">
        <f aca="false">IF(Z278="","",VLOOKUP(Z278,Assumptions!$B$6:$C$9,2,FALSE()))</f>
        <v>4</v>
      </c>
      <c r="AK278" s="7" t="n">
        <f aca="false">IFERROR(ROUND(AVERAGE(AF278:AJ278),3),"")</f>
        <v>3.6</v>
      </c>
      <c r="AL278" s="7" t="n">
        <f aca="false">IF(OR(AF278="",AJ278=""),"",AJ278-AF278)</f>
        <v>0</v>
      </c>
      <c r="AM278" s="7" t="n">
        <f aca="false">IF(COUNT(AF278:AJ278)&gt;=2,ROUND(_xlfn.STDEV.S(AF278:AJ278),3),"")</f>
        <v>0.548</v>
      </c>
      <c r="AN278" s="7" t="n">
        <f aca="false">ROUND((IF(AF278="",0,AF278)*Assumptions!$F$15)+(IF(AG278="",0,AG278)*Assumptions!$F$16)+(IF(AH278="",0,AH278)*Assumptions!$F$17)+(IF(AI278="",0,AI278)*Assumptions!$F$18)+(IF(AJ278="",0,AJ278)*Assumptions!$F$19),3)</f>
        <v>3.6</v>
      </c>
      <c r="AO278" s="0" t="str">
        <f aca="false">IF(AC278&lt;=20,"",IF(AC278&lt;=Assumptions!$F$6,"20-30",IF(AC278&lt;=Assumptions!$F$7,"30-40",IF(AC278&lt;=Assumptions!$F$8,"40-50",IF(AC278&lt;=Assumptions!$F$9,"50-60",IF(AC278&lt;=Assumptions!$F$10,"60+",""))))))</f>
        <v>30-40</v>
      </c>
      <c r="AP278" s="0" t="str">
        <f aca="false">IFERROR(VLOOKUP(O278,Assumptions!$B$14:$C$26,2,FALSE()),"Other")</f>
        <v>Manager</v>
      </c>
      <c r="AQ278" s="0" t="n">
        <f aca="false">IF(T278="",0,1)</f>
        <v>0</v>
      </c>
      <c r="AR278" s="0" t="n">
        <f aca="false">IF(U278="",0,1)</f>
        <v>0</v>
      </c>
      <c r="AS278" s="8" t="n">
        <f aca="false">IF(AK278="","",IF(MAX($AK$2:$AK$921)=MIN($AK$2:$AK$921),50,ROUND((AK278-MIN($AK$2:$AK$921))/(MAX($AK$2:$AK$921)-MIN($AK$2:$AK$921))*100,2)))</f>
        <v>82.85</v>
      </c>
      <c r="AT278" s="8" t="n">
        <f aca="false">IF(MAX($BC$2:$BC$921)=MIN($BC$2:$BC$921),50,ROUND((BC278-MIN($BC$2:$BC$921))/(MAX($BC$2:$BC$921)-MIN($BC$2:$BC$921))*100,2))</f>
        <v>50</v>
      </c>
      <c r="AU278" s="8" t="n">
        <f aca="false">IF(MAX($BE$2:$BE$921)=MIN($BE$2:$BE$921),50,ROUND((BE278-MIN($BE$2:$BE$921))/(MAX($BE$2:$BE$921)-MIN($BE$2:$BE$921))*100,2))</f>
        <v>68.36</v>
      </c>
      <c r="AV278" s="8" t="n">
        <f aca="false">IF(MAX($AD$2:$AD$921)=MIN($AD$2:$AD$921),50,ROUND((AD278-MIN($AD$2:$AD$921))/(MAX($AD$2:$AD$921)-MIN($AD$2:$AD$921))*100,2))</f>
        <v>23.89</v>
      </c>
      <c r="AW278" s="8" t="n">
        <f aca="false">IF(MAX($AN$2:$AN$921)=MIN($AN$2:$AN$921),50,ROUND((AN278-MIN($AN$2:$AN$921))/(MAX($AN$2:$AN$921)-MIN($AN$2:$AN$921))*100,2))</f>
        <v>90</v>
      </c>
      <c r="AX278" s="8" t="n">
        <f aca="false">AQ278*100</f>
        <v>0</v>
      </c>
      <c r="AY278" s="8" t="n">
        <f aca="false">AR278*100</f>
        <v>0</v>
      </c>
      <c r="AZ278" s="8" t="n">
        <f aca="false">IFERROR(ROUND(AS278*Assumptions!$I$6+AW278*Assumptions!$I$7+AT278*Assumptions!$I$8+AU278*Assumptions!$I$9+AV278*Assumptions!$I$10+AX278*Assumptions!$I$11+AY278*Assumptions!$I$12,2),"")</f>
        <v>63</v>
      </c>
      <c r="BA278" s="0" t="str">
        <f aca="false">IF(AZ278="","",IF(AZ278&lt;=Assumptions!$I$18,"Below Expectation",IF(AZ278&lt;=Assumptions!$I$19,"Developing",IF(AZ278&lt;=Assumptions!$I$20,"Meets Expectation",IF(AZ278&lt;=Assumptions!$I$21,"Exceeds","Star Performer")))))</f>
        <v>Meets Expectation</v>
      </c>
      <c r="BB278" s="0" t="n">
        <f aca="false">IF(AZ278="",0,IF(AZ278&gt;=Assumptions!$I$26,1,0))</f>
        <v>0</v>
      </c>
      <c r="BC278" s="9" t="n">
        <f aca="false">IF(AL278="",2,AL278+2)</f>
        <v>2</v>
      </c>
      <c r="BD278" s="10" t="n">
        <f aca="false">IF(AM278="",ROUND(AVERAGE($AM$2:$AM$921),3),AM278)</f>
        <v>0.548</v>
      </c>
      <c r="BE278" s="9" t="n">
        <f aca="false">1-BD278</f>
        <v>0.452</v>
      </c>
    </row>
    <row r="279" customFormat="false" ht="14.25" hidden="true" customHeight="false" outlineLevel="0" collapsed="false">
      <c r="A279" s="4" t="n">
        <v>130</v>
      </c>
      <c r="B279" s="5" t="n">
        <v>10042213</v>
      </c>
      <c r="C279" s="5" t="s">
        <v>149</v>
      </c>
      <c r="D279" s="5" t="s">
        <v>1376</v>
      </c>
      <c r="E279" s="5" t="s">
        <v>151</v>
      </c>
      <c r="F279" s="5" t="s">
        <v>422</v>
      </c>
      <c r="G279" s="5" t="s">
        <v>423</v>
      </c>
      <c r="H279" s="5" t="s">
        <v>424</v>
      </c>
      <c r="I279" s="5" t="s">
        <v>63</v>
      </c>
      <c r="J279" s="5" t="s">
        <v>100</v>
      </c>
      <c r="K279" s="5" t="s">
        <v>65</v>
      </c>
      <c r="L279" s="6" t="n">
        <v>41708</v>
      </c>
      <c r="M279" s="5" t="s">
        <v>926</v>
      </c>
      <c r="N279" s="6" t="n">
        <v>32780</v>
      </c>
      <c r="O279" s="5" t="s">
        <v>262</v>
      </c>
      <c r="P279" s="5" t="s">
        <v>263</v>
      </c>
      <c r="Q279" s="5" t="s">
        <v>317</v>
      </c>
      <c r="R279" s="5" t="s">
        <v>311</v>
      </c>
      <c r="S279" s="5" t="s">
        <v>1134</v>
      </c>
      <c r="T279" s="6"/>
      <c r="U279" s="6" t="n">
        <v>45748</v>
      </c>
      <c r="V279" s="5" t="s">
        <v>141</v>
      </c>
      <c r="W279" s="5" t="s">
        <v>141</v>
      </c>
      <c r="X279" s="5" t="s">
        <v>141</v>
      </c>
      <c r="Y279" s="5" t="s">
        <v>83</v>
      </c>
      <c r="Z279" s="5" t="s">
        <v>141</v>
      </c>
      <c r="AA279" s="5" t="s">
        <v>1377</v>
      </c>
      <c r="AB279" s="0" t="n">
        <f aca="false">IFERROR(VALUE(R279),0)</f>
        <v>0.6</v>
      </c>
      <c r="AC279" s="0" t="n">
        <f aca="false">IFERROR(VALUE(M279),"")</f>
        <v>36.8</v>
      </c>
      <c r="AD279" s="0" t="n">
        <f aca="false">IFERROR(VALUE(Q279),"")</f>
        <v>12.2</v>
      </c>
      <c r="AE279" s="0" t="n">
        <f aca="false">IFERROR(VALUE(S279),"")</f>
        <v>12.8</v>
      </c>
      <c r="AF279" s="0" t="n">
        <f aca="false">IF(V279="","",VLOOKUP(V279,Assumptions!$B$6:$C$9,2,FALSE()))</f>
        <v>3</v>
      </c>
      <c r="AG279" s="0" t="n">
        <f aca="false">IF(W279="","",VLOOKUP(W279,Assumptions!$B$6:$C$9,2,FALSE()))</f>
        <v>3</v>
      </c>
      <c r="AH279" s="0" t="n">
        <f aca="false">IF(X279="","",VLOOKUP(X279,Assumptions!$B$6:$C$9,2,FALSE()))</f>
        <v>3</v>
      </c>
      <c r="AI279" s="0" t="n">
        <f aca="false">IF(Y279="","",VLOOKUP(Y279,Assumptions!$B$6:$C$9,2,FALSE()))</f>
        <v>4</v>
      </c>
      <c r="AJ279" s="0" t="n">
        <f aca="false">IF(Z279="","",VLOOKUP(Z279,Assumptions!$B$6:$C$9,2,FALSE()))</f>
        <v>3</v>
      </c>
      <c r="AK279" s="7" t="n">
        <f aca="false">IFERROR(ROUND(AVERAGE(AF279:AJ279),3),"")</f>
        <v>3.2</v>
      </c>
      <c r="AL279" s="7" t="n">
        <f aca="false">IF(OR(AF279="",AJ279=""),"",AJ279-AF279)</f>
        <v>0</v>
      </c>
      <c r="AM279" s="7" t="n">
        <f aca="false">IF(COUNT(AF279:AJ279)&gt;=2,ROUND(_xlfn.STDEV.S(AF279:AJ279),3),"")</f>
        <v>0.447</v>
      </c>
      <c r="AN279" s="7" t="n">
        <f aca="false">ROUND((IF(AF279="",0,AF279)*Assumptions!$F$15)+(IF(AG279="",0,AG279)*Assumptions!$F$16)+(IF(AH279="",0,AH279)*Assumptions!$F$17)+(IF(AI279="",0,AI279)*Assumptions!$F$18)+(IF(AJ279="",0,AJ279)*Assumptions!$F$19),3)</f>
        <v>3.25</v>
      </c>
      <c r="AO279" s="0" t="str">
        <f aca="false">IF(AC279&lt;=20,"",IF(AC279&lt;=Assumptions!$F$6,"20-30",IF(AC279&lt;=Assumptions!$F$7,"30-40",IF(AC279&lt;=Assumptions!$F$8,"40-50",IF(AC279&lt;=Assumptions!$F$9,"50-60",IF(AC279&lt;=Assumptions!$F$10,"60+",""))))))</f>
        <v>30-40</v>
      </c>
      <c r="AP279" s="0" t="str">
        <f aca="false">IFERROR(VLOOKUP(O279,Assumptions!$B$14:$C$26,2,FALSE()),"Other")</f>
        <v>Manager</v>
      </c>
      <c r="AQ279" s="0" t="n">
        <f aca="false">IF(T279="",0,1)</f>
        <v>0</v>
      </c>
      <c r="AR279" s="0" t="n">
        <f aca="false">IF(U279="",0,1)</f>
        <v>1</v>
      </c>
      <c r="AS279" s="8" t="n">
        <f aca="false">IF(AK279="","",IF(MAX($AK$2:$AK$921)=MIN($AK$2:$AK$921),50,ROUND((AK279-MIN($AK$2:$AK$921))/(MAX($AK$2:$AK$921)-MIN($AK$2:$AK$921))*100,2)))</f>
        <v>65.71</v>
      </c>
      <c r="AT279" s="8" t="n">
        <f aca="false">IF(MAX($BC$2:$BC$921)=MIN($BC$2:$BC$921),50,ROUND((BC279-MIN($BC$2:$BC$921))/(MAX($BC$2:$BC$921)-MIN($BC$2:$BC$921))*100,2))</f>
        <v>50</v>
      </c>
      <c r="AU279" s="8" t="n">
        <f aca="false">IF(MAX($BE$2:$BE$921)=MIN($BE$2:$BE$921),50,ROUND((BE279-MIN($BE$2:$BE$921))/(MAX($BE$2:$BE$921)-MIN($BE$2:$BE$921))*100,2))</f>
        <v>74.19</v>
      </c>
      <c r="AV279" s="8" t="n">
        <f aca="false">IF(MAX($AD$2:$AD$921)=MIN($AD$2:$AD$921),50,ROUND((AD279-MIN($AD$2:$AD$921))/(MAX($AD$2:$AD$921)-MIN($AD$2:$AD$921))*100,2))</f>
        <v>32.86</v>
      </c>
      <c r="AW279" s="8" t="n">
        <f aca="false">IF(MAX($AN$2:$AN$921)=MIN($AN$2:$AN$921),50,ROUND((AN279-MIN($AN$2:$AN$921))/(MAX($AN$2:$AN$921)-MIN($AN$2:$AN$921))*100,2))</f>
        <v>81.25</v>
      </c>
      <c r="AX279" s="8" t="n">
        <f aca="false">AQ279*100</f>
        <v>0</v>
      </c>
      <c r="AY279" s="8" t="n">
        <f aca="false">AR279*100</f>
        <v>100</v>
      </c>
      <c r="AZ279" s="8" t="n">
        <f aca="false">IFERROR(ROUND(AS279*Assumptions!$I$6+AW279*Assumptions!$I$7+AT279*Assumptions!$I$8+AU279*Assumptions!$I$9+AV279*Assumptions!$I$10+AX279*Assumptions!$I$11+AY279*Assumptions!$I$12,2),"")</f>
        <v>62.88</v>
      </c>
      <c r="BA279" s="0" t="str">
        <f aca="false">IF(AZ279="","",IF(AZ279&lt;=Assumptions!$I$18,"Below Expectation",IF(AZ279&lt;=Assumptions!$I$19,"Developing",IF(AZ279&lt;=Assumptions!$I$20,"Meets Expectation",IF(AZ279&lt;=Assumptions!$I$21,"Exceeds","Star Performer")))))</f>
        <v>Meets Expectation</v>
      </c>
      <c r="BB279" s="0" t="n">
        <f aca="false">IF(AZ279="",0,IF(AZ279&gt;=Assumptions!$I$26,1,0))</f>
        <v>0</v>
      </c>
      <c r="BC279" s="9" t="n">
        <f aca="false">IF(AL279="",2,AL279+2)</f>
        <v>2</v>
      </c>
      <c r="BD279" s="10" t="n">
        <f aca="false">IF(AM279="",ROUND(AVERAGE($AM$2:$AM$921),3),AM279)</f>
        <v>0.447</v>
      </c>
      <c r="BE279" s="9" t="n">
        <f aca="false">1-BD279</f>
        <v>0.553</v>
      </c>
    </row>
    <row r="280" customFormat="false" ht="14.25" hidden="true" customHeight="false" outlineLevel="0" collapsed="false">
      <c r="A280" s="4" t="n">
        <v>569</v>
      </c>
      <c r="B280" s="5" t="n">
        <v>55050461</v>
      </c>
      <c r="C280" s="5" t="s">
        <v>85</v>
      </c>
      <c r="D280" s="5" t="s">
        <v>1378</v>
      </c>
      <c r="E280" s="5" t="s">
        <v>235</v>
      </c>
      <c r="F280" s="5" t="s">
        <v>581</v>
      </c>
      <c r="G280" s="5" t="s">
        <v>582</v>
      </c>
      <c r="H280" s="5" t="s">
        <v>583</v>
      </c>
      <c r="I280" s="5" t="s">
        <v>63</v>
      </c>
      <c r="J280" s="5" t="s">
        <v>76</v>
      </c>
      <c r="K280" s="5" t="s">
        <v>309</v>
      </c>
      <c r="L280" s="6" t="n">
        <v>44691</v>
      </c>
      <c r="M280" s="5" t="s">
        <v>1379</v>
      </c>
      <c r="N280" s="6" t="n">
        <v>34986</v>
      </c>
      <c r="O280" s="5" t="s">
        <v>585</v>
      </c>
      <c r="P280" s="5" t="s">
        <v>586</v>
      </c>
      <c r="Q280" s="5" t="s">
        <v>287</v>
      </c>
      <c r="R280" s="5" t="s">
        <v>648</v>
      </c>
      <c r="S280" s="5" t="s">
        <v>523</v>
      </c>
      <c r="T280" s="6"/>
      <c r="U280" s="6" t="n">
        <v>45047</v>
      </c>
      <c r="V280" s="5"/>
      <c r="W280" s="5" t="s">
        <v>141</v>
      </c>
      <c r="X280" s="5" t="s">
        <v>83</v>
      </c>
      <c r="Y280" s="5" t="s">
        <v>83</v>
      </c>
      <c r="Z280" s="5" t="s">
        <v>141</v>
      </c>
      <c r="AA280" s="5" t="s">
        <v>1380</v>
      </c>
      <c r="AB280" s="0" t="n">
        <f aca="false">IFERROR(VALUE(R280),0)</f>
        <v>0.1</v>
      </c>
      <c r="AC280" s="0" t="n">
        <f aca="false">IFERROR(VALUE(M280),"")</f>
        <v>30.7</v>
      </c>
      <c r="AD280" s="0" t="n">
        <f aca="false">IFERROR(VALUE(Q280),"")</f>
        <v>4</v>
      </c>
      <c r="AE280" s="0" t="n">
        <f aca="false">IFERROR(VALUE(S280),"")</f>
        <v>4.1</v>
      </c>
      <c r="AF280" s="0" t="str">
        <f aca="false">IF(V280="","",VLOOKUP(V280,Assumptions!$B$6:$C$9,2,FALSE()))</f>
        <v/>
      </c>
      <c r="AG280" s="0" t="n">
        <f aca="false">IF(W280="","",VLOOKUP(W280,Assumptions!$B$6:$C$9,2,FALSE()))</f>
        <v>3</v>
      </c>
      <c r="AH280" s="0" t="n">
        <f aca="false">IF(X280="","",VLOOKUP(X280,Assumptions!$B$6:$C$9,2,FALSE()))</f>
        <v>4</v>
      </c>
      <c r="AI280" s="0" t="n">
        <f aca="false">IF(Y280="","",VLOOKUP(Y280,Assumptions!$B$6:$C$9,2,FALSE()))</f>
        <v>4</v>
      </c>
      <c r="AJ280" s="0" t="n">
        <f aca="false">IF(Z280="","",VLOOKUP(Z280,Assumptions!$B$6:$C$9,2,FALSE()))</f>
        <v>3</v>
      </c>
      <c r="AK280" s="7" t="n">
        <f aca="false">IFERROR(ROUND(AVERAGE(AF280:AJ280),3),"")</f>
        <v>3.5</v>
      </c>
      <c r="AL280" s="7" t="str">
        <f aca="false">IF(OR(AF280="",AJ280=""),"",AJ280-AF280)</f>
        <v/>
      </c>
      <c r="AM280" s="7" t="n">
        <f aca="false">IF(COUNT(AF280:AJ280)&gt;=2,ROUND(_xlfn.STDEV.S(AF280:AJ280),3),"")</f>
        <v>0.577</v>
      </c>
      <c r="AN280" s="7" t="n">
        <f aca="false">ROUND((IF(AF280="",0,AF280)*Assumptions!$F$15)+(IF(AG280="",0,AG280)*Assumptions!$F$16)+(IF(AH280="",0,AH280)*Assumptions!$F$17)+(IF(AI280="",0,AI280)*Assumptions!$F$18)+(IF(AJ280="",0,AJ280)*Assumptions!$F$19),3)</f>
        <v>3.15</v>
      </c>
      <c r="AO280" s="0" t="str">
        <f aca="false">IF(AC280&lt;=20,"",IF(AC280&lt;=Assumptions!$F$6,"20-30",IF(AC280&lt;=Assumptions!$F$7,"30-40",IF(AC280&lt;=Assumptions!$F$8,"40-50",IF(AC280&lt;=Assumptions!$F$9,"50-60",IF(AC280&lt;=Assumptions!$F$10,"60+",""))))))</f>
        <v>30-40</v>
      </c>
      <c r="AP280" s="0" t="str">
        <f aca="false">IFERROR(VLOOKUP(O280,Assumptions!$B$14:$C$26,2,FALSE()),"Other")</f>
        <v>Manager</v>
      </c>
      <c r="AQ280" s="0" t="n">
        <f aca="false">IF(T280="",0,1)</f>
        <v>0</v>
      </c>
      <c r="AR280" s="0" t="n">
        <f aca="false">IF(U280="",0,1)</f>
        <v>1</v>
      </c>
      <c r="AS280" s="8" t="n">
        <f aca="false">IF(AK280="","",IF(MAX($AK$2:$AK$921)=MIN($AK$2:$AK$921),50,ROUND((AK280-MIN($AK$2:$AK$921))/(MAX($AK$2:$AK$921)-MIN($AK$2:$AK$921))*100,2)))</f>
        <v>78.57</v>
      </c>
      <c r="AT280" s="8" t="n">
        <f aca="false">IF(MAX($BC$2:$BC$921)=MIN($BC$2:$BC$921),50,ROUND((BC280-MIN($BC$2:$BC$921))/(MAX($BC$2:$BC$921)-MIN($BC$2:$BC$921))*100,2))</f>
        <v>50</v>
      </c>
      <c r="AU280" s="8" t="n">
        <f aca="false">IF(MAX($BE$2:$BE$921)=MIN($BE$2:$BE$921),50,ROUND((BE280-MIN($BE$2:$BE$921))/(MAX($BE$2:$BE$921)-MIN($BE$2:$BE$921))*100,2))</f>
        <v>66.69</v>
      </c>
      <c r="AV280" s="8" t="n">
        <f aca="false">IF(MAX($AD$2:$AD$921)=MIN($AD$2:$AD$921),50,ROUND((AD280-MIN($AD$2:$AD$921))/(MAX($AD$2:$AD$921)-MIN($AD$2:$AD$921))*100,2))</f>
        <v>10.57</v>
      </c>
      <c r="AW280" s="8" t="n">
        <f aca="false">IF(MAX($AN$2:$AN$921)=MIN($AN$2:$AN$921),50,ROUND((AN280-MIN($AN$2:$AN$921))/(MAX($AN$2:$AN$921)-MIN($AN$2:$AN$921))*100,2))</f>
        <v>78.75</v>
      </c>
      <c r="AX280" s="8" t="n">
        <f aca="false">AQ280*100</f>
        <v>0</v>
      </c>
      <c r="AY280" s="8" t="n">
        <f aca="false">AR280*100</f>
        <v>100</v>
      </c>
      <c r="AZ280" s="8" t="n">
        <f aca="false">IFERROR(ROUND(AS280*Assumptions!$I$6+AW280*Assumptions!$I$7+AT280*Assumptions!$I$8+AU280*Assumptions!$I$9+AV280*Assumptions!$I$10+AX280*Assumptions!$I$11+AY280*Assumptions!$I$12,2),"")</f>
        <v>62.88</v>
      </c>
      <c r="BA280" s="0" t="str">
        <f aca="false">IF(AZ280="","",IF(AZ280&lt;=Assumptions!$I$18,"Below Expectation",IF(AZ280&lt;=Assumptions!$I$19,"Developing",IF(AZ280&lt;=Assumptions!$I$20,"Meets Expectation",IF(AZ280&lt;=Assumptions!$I$21,"Exceeds","Star Performer")))))</f>
        <v>Meets Expectation</v>
      </c>
      <c r="BB280" s="0" t="n">
        <f aca="false">IF(AZ280="",0,IF(AZ280&gt;=Assumptions!$I$26,1,0))</f>
        <v>0</v>
      </c>
      <c r="BC280" s="9" t="n">
        <f aca="false">IF(AL280="",2,AL280+2)</f>
        <v>2</v>
      </c>
      <c r="BD280" s="10" t="n">
        <f aca="false">IF(AM280="",ROUND(AVERAGE($AM$2:$AM$921),3),AM280)</f>
        <v>0.577</v>
      </c>
      <c r="BE280" s="9" t="n">
        <f aca="false">1-BD280</f>
        <v>0.423</v>
      </c>
    </row>
    <row r="281" customFormat="false" ht="14.25" hidden="true" customHeight="false" outlineLevel="0" collapsed="false">
      <c r="A281" s="4" t="n">
        <v>142</v>
      </c>
      <c r="B281" s="5" t="n">
        <v>10045793</v>
      </c>
      <c r="C281" s="5" t="s">
        <v>85</v>
      </c>
      <c r="D281" s="5" t="s">
        <v>1381</v>
      </c>
      <c r="E281" s="5" t="s">
        <v>235</v>
      </c>
      <c r="F281" s="5" t="s">
        <v>1382</v>
      </c>
      <c r="G281" s="5" t="s">
        <v>1383</v>
      </c>
      <c r="H281" s="5" t="s">
        <v>1382</v>
      </c>
      <c r="I281" s="5" t="s">
        <v>63</v>
      </c>
      <c r="J281" s="5" t="s">
        <v>76</v>
      </c>
      <c r="K281" s="5" t="s">
        <v>65</v>
      </c>
      <c r="L281" s="6" t="n">
        <v>41883</v>
      </c>
      <c r="M281" s="5" t="s">
        <v>1123</v>
      </c>
      <c r="N281" s="6" t="n">
        <v>31424</v>
      </c>
      <c r="O281" s="5" t="s">
        <v>585</v>
      </c>
      <c r="P281" s="5" t="s">
        <v>586</v>
      </c>
      <c r="Q281" s="5" t="s">
        <v>240</v>
      </c>
      <c r="R281" s="5" t="s">
        <v>195</v>
      </c>
      <c r="S281" s="5" t="s">
        <v>249</v>
      </c>
      <c r="T281" s="6"/>
      <c r="U281" s="6" t="n">
        <v>46113</v>
      </c>
      <c r="V281" s="5" t="s">
        <v>141</v>
      </c>
      <c r="W281" s="5" t="s">
        <v>141</v>
      </c>
      <c r="X281" s="5" t="s">
        <v>141</v>
      </c>
      <c r="Y281" s="5" t="s">
        <v>83</v>
      </c>
      <c r="Z281" s="5" t="s">
        <v>141</v>
      </c>
      <c r="AA281" s="5" t="s">
        <v>1384</v>
      </c>
      <c r="AB281" s="0" t="n">
        <f aca="false">IFERROR(VALUE(R281),0)</f>
        <v>2.7</v>
      </c>
      <c r="AC281" s="0" t="n">
        <f aca="false">IFERROR(VALUE(M281),"")</f>
        <v>40.4</v>
      </c>
      <c r="AD281" s="0" t="n">
        <f aca="false">IFERROR(VALUE(Q281),"")</f>
        <v>11.9</v>
      </c>
      <c r="AE281" s="0" t="n">
        <f aca="false">IFERROR(VALUE(S281),"")</f>
        <v>14.4</v>
      </c>
      <c r="AF281" s="0" t="n">
        <f aca="false">IF(V281="","",VLOOKUP(V281,Assumptions!$B$6:$C$9,2,FALSE()))</f>
        <v>3</v>
      </c>
      <c r="AG281" s="0" t="n">
        <f aca="false">IF(W281="","",VLOOKUP(W281,Assumptions!$B$6:$C$9,2,FALSE()))</f>
        <v>3</v>
      </c>
      <c r="AH281" s="0" t="n">
        <f aca="false">IF(X281="","",VLOOKUP(X281,Assumptions!$B$6:$C$9,2,FALSE()))</f>
        <v>3</v>
      </c>
      <c r="AI281" s="0" t="n">
        <f aca="false">IF(Y281="","",VLOOKUP(Y281,Assumptions!$B$6:$C$9,2,FALSE()))</f>
        <v>4</v>
      </c>
      <c r="AJ281" s="0" t="n">
        <f aca="false">IF(Z281="","",VLOOKUP(Z281,Assumptions!$B$6:$C$9,2,FALSE()))</f>
        <v>3</v>
      </c>
      <c r="AK281" s="7" t="n">
        <f aca="false">IFERROR(ROUND(AVERAGE(AF281:AJ281),3),"")</f>
        <v>3.2</v>
      </c>
      <c r="AL281" s="7" t="n">
        <f aca="false">IF(OR(AF281="",AJ281=""),"",AJ281-AF281)</f>
        <v>0</v>
      </c>
      <c r="AM281" s="7" t="n">
        <f aca="false">IF(COUNT(AF281:AJ281)&gt;=2,ROUND(_xlfn.STDEV.S(AF281:AJ281),3),"")</f>
        <v>0.447</v>
      </c>
      <c r="AN281" s="7" t="n">
        <f aca="false">ROUND((IF(AF281="",0,AF281)*Assumptions!$F$15)+(IF(AG281="",0,AG281)*Assumptions!$F$16)+(IF(AH281="",0,AH281)*Assumptions!$F$17)+(IF(AI281="",0,AI281)*Assumptions!$F$18)+(IF(AJ281="",0,AJ281)*Assumptions!$F$19),3)</f>
        <v>3.25</v>
      </c>
      <c r="AO281" s="0" t="str">
        <f aca="false">IF(AC281&lt;=20,"",IF(AC281&lt;=Assumptions!$F$6,"20-30",IF(AC281&lt;=Assumptions!$F$7,"30-40",IF(AC281&lt;=Assumptions!$F$8,"40-50",IF(AC281&lt;=Assumptions!$F$9,"50-60",IF(AC281&lt;=Assumptions!$F$10,"60+",""))))))</f>
        <v>40-50</v>
      </c>
      <c r="AP281" s="0" t="str">
        <f aca="false">IFERROR(VLOOKUP(O281,Assumptions!$B$14:$C$26,2,FALSE()),"Other")</f>
        <v>Manager</v>
      </c>
      <c r="AQ281" s="0" t="n">
        <f aca="false">IF(T281="",0,1)</f>
        <v>0</v>
      </c>
      <c r="AR281" s="0" t="n">
        <f aca="false">IF(U281="",0,1)</f>
        <v>1</v>
      </c>
      <c r="AS281" s="8" t="n">
        <f aca="false">IF(AK281="","",IF(MAX($AK$2:$AK$921)=MIN($AK$2:$AK$921),50,ROUND((AK281-MIN($AK$2:$AK$921))/(MAX($AK$2:$AK$921)-MIN($AK$2:$AK$921))*100,2)))</f>
        <v>65.71</v>
      </c>
      <c r="AT281" s="8" t="n">
        <f aca="false">IF(MAX($BC$2:$BC$921)=MIN($BC$2:$BC$921),50,ROUND((BC281-MIN($BC$2:$BC$921))/(MAX($BC$2:$BC$921)-MIN($BC$2:$BC$921))*100,2))</f>
        <v>50</v>
      </c>
      <c r="AU281" s="8" t="n">
        <f aca="false">IF(MAX($BE$2:$BE$921)=MIN($BE$2:$BE$921),50,ROUND((BE281-MIN($BE$2:$BE$921))/(MAX($BE$2:$BE$921)-MIN($BE$2:$BE$921))*100,2))</f>
        <v>74.19</v>
      </c>
      <c r="AV281" s="8" t="n">
        <f aca="false">IF(MAX($AD$2:$AD$921)=MIN($AD$2:$AD$921),50,ROUND((AD281-MIN($AD$2:$AD$921))/(MAX($AD$2:$AD$921)-MIN($AD$2:$AD$921))*100,2))</f>
        <v>32.05</v>
      </c>
      <c r="AW281" s="8" t="n">
        <f aca="false">IF(MAX($AN$2:$AN$921)=MIN($AN$2:$AN$921),50,ROUND((AN281-MIN($AN$2:$AN$921))/(MAX($AN$2:$AN$921)-MIN($AN$2:$AN$921))*100,2))</f>
        <v>81.25</v>
      </c>
      <c r="AX281" s="8" t="n">
        <f aca="false">AQ281*100</f>
        <v>0</v>
      </c>
      <c r="AY281" s="8" t="n">
        <f aca="false">AR281*100</f>
        <v>100</v>
      </c>
      <c r="AZ281" s="8" t="n">
        <f aca="false">IFERROR(ROUND(AS281*Assumptions!$I$6+AW281*Assumptions!$I$7+AT281*Assumptions!$I$8+AU281*Assumptions!$I$9+AV281*Assumptions!$I$10+AX281*Assumptions!$I$11+AY281*Assumptions!$I$12,2),"")</f>
        <v>62.8</v>
      </c>
      <c r="BA281" s="0" t="str">
        <f aca="false">IF(AZ281="","",IF(AZ281&lt;=Assumptions!$I$18,"Below Expectation",IF(AZ281&lt;=Assumptions!$I$19,"Developing",IF(AZ281&lt;=Assumptions!$I$20,"Meets Expectation",IF(AZ281&lt;=Assumptions!$I$21,"Exceeds","Star Performer")))))</f>
        <v>Meets Expectation</v>
      </c>
      <c r="BB281" s="0" t="n">
        <f aca="false">IF(AZ281="",0,IF(AZ281&gt;=Assumptions!$I$26,1,0))</f>
        <v>0</v>
      </c>
      <c r="BC281" s="9" t="n">
        <f aca="false">IF(AL281="",2,AL281+2)</f>
        <v>2</v>
      </c>
      <c r="BD281" s="10" t="n">
        <f aca="false">IF(AM281="",ROUND(AVERAGE($AM$2:$AM$921),3),AM281)</f>
        <v>0.447</v>
      </c>
      <c r="BE281" s="9" t="n">
        <f aca="false">1-BD281</f>
        <v>0.553</v>
      </c>
    </row>
    <row r="282" customFormat="false" ht="14.25" hidden="true" customHeight="false" outlineLevel="0" collapsed="false">
      <c r="A282" s="4" t="n">
        <v>155</v>
      </c>
      <c r="B282" s="5" t="n">
        <v>10047900</v>
      </c>
      <c r="C282" s="5" t="s">
        <v>85</v>
      </c>
      <c r="D282" s="5" t="s">
        <v>1385</v>
      </c>
      <c r="E282" s="5" t="s">
        <v>772</v>
      </c>
      <c r="F282" s="5" t="s">
        <v>258</v>
      </c>
      <c r="G282" s="5" t="s">
        <v>259</v>
      </c>
      <c r="H282" s="5" t="s">
        <v>260</v>
      </c>
      <c r="I282" s="5" t="s">
        <v>63</v>
      </c>
      <c r="J282" s="5" t="s">
        <v>76</v>
      </c>
      <c r="K282" s="5" t="s">
        <v>65</v>
      </c>
      <c r="L282" s="6" t="n">
        <v>42023</v>
      </c>
      <c r="M282" s="5" t="s">
        <v>1386</v>
      </c>
      <c r="N282" s="6" t="n">
        <v>30636</v>
      </c>
      <c r="O282" s="5" t="s">
        <v>262</v>
      </c>
      <c r="P282" s="5" t="s">
        <v>263</v>
      </c>
      <c r="Q282" s="5" t="s">
        <v>1387</v>
      </c>
      <c r="R282" s="5" t="s">
        <v>147</v>
      </c>
      <c r="S282" s="5" t="s">
        <v>1113</v>
      </c>
      <c r="T282" s="6"/>
      <c r="U282" s="6" t="n">
        <v>44652</v>
      </c>
      <c r="V282" s="5" t="s">
        <v>141</v>
      </c>
      <c r="W282" s="5" t="s">
        <v>141</v>
      </c>
      <c r="X282" s="5" t="s">
        <v>141</v>
      </c>
      <c r="Y282" s="5" t="s">
        <v>141</v>
      </c>
      <c r="Z282" s="5" t="s">
        <v>141</v>
      </c>
      <c r="AA282" s="5" t="s">
        <v>1388</v>
      </c>
      <c r="AB282" s="0" t="n">
        <f aca="false">IFERROR(VALUE(R282),0)</f>
        <v>5.6</v>
      </c>
      <c r="AC282" s="0" t="n">
        <f aca="false">IFERROR(VALUE(M282),"")</f>
        <v>42.6</v>
      </c>
      <c r="AD282" s="0" t="n">
        <f aca="false">IFERROR(VALUE(Q282),"")</f>
        <v>11.4</v>
      </c>
      <c r="AE282" s="0" t="n">
        <f aca="false">IFERROR(VALUE(S282),"")</f>
        <v>16.1</v>
      </c>
      <c r="AF282" s="0" t="n">
        <f aca="false">IF(V282="","",VLOOKUP(V282,Assumptions!$B$6:$C$9,2,FALSE()))</f>
        <v>3</v>
      </c>
      <c r="AG282" s="0" t="n">
        <f aca="false">IF(W282="","",VLOOKUP(W282,Assumptions!$B$6:$C$9,2,FALSE()))</f>
        <v>3</v>
      </c>
      <c r="AH282" s="0" t="n">
        <f aca="false">IF(X282="","",VLOOKUP(X282,Assumptions!$B$6:$C$9,2,FALSE()))</f>
        <v>3</v>
      </c>
      <c r="AI282" s="0" t="n">
        <f aca="false">IF(Y282="","",VLOOKUP(Y282,Assumptions!$B$6:$C$9,2,FALSE()))</f>
        <v>3</v>
      </c>
      <c r="AJ282" s="0" t="n">
        <f aca="false">IF(Z282="","",VLOOKUP(Z282,Assumptions!$B$6:$C$9,2,FALSE()))</f>
        <v>3</v>
      </c>
      <c r="AK282" s="7" t="n">
        <f aca="false">IFERROR(ROUND(AVERAGE(AF282:AJ282),3),"")</f>
        <v>3</v>
      </c>
      <c r="AL282" s="7" t="n">
        <f aca="false">IF(OR(AF282="",AJ282=""),"",AJ282-AF282)</f>
        <v>0</v>
      </c>
      <c r="AM282" s="7" t="n">
        <f aca="false">IF(COUNT(AF282:AJ282)&gt;=2,ROUND(_xlfn.STDEV.S(AF282:AJ282),3),"")</f>
        <v>0</v>
      </c>
      <c r="AN282" s="7" t="n">
        <f aca="false">ROUND((IF(AF282="",0,AF282)*Assumptions!$F$15)+(IF(AG282="",0,AG282)*Assumptions!$F$16)+(IF(AH282="",0,AH282)*Assumptions!$F$17)+(IF(AI282="",0,AI282)*Assumptions!$F$18)+(IF(AJ282="",0,AJ282)*Assumptions!$F$19),3)</f>
        <v>3</v>
      </c>
      <c r="AO282" s="0" t="str">
        <f aca="false">IF(AC282&lt;=20,"",IF(AC282&lt;=Assumptions!$F$6,"20-30",IF(AC282&lt;=Assumptions!$F$7,"30-40",IF(AC282&lt;=Assumptions!$F$8,"40-50",IF(AC282&lt;=Assumptions!$F$9,"50-60",IF(AC282&lt;=Assumptions!$F$10,"60+",""))))))</f>
        <v>40-50</v>
      </c>
      <c r="AP282" s="0" t="str">
        <f aca="false">IFERROR(VLOOKUP(O282,Assumptions!$B$14:$C$26,2,FALSE()),"Other")</f>
        <v>Manager</v>
      </c>
      <c r="AQ282" s="0" t="n">
        <f aca="false">IF(T282="",0,1)</f>
        <v>0</v>
      </c>
      <c r="AR282" s="0" t="n">
        <f aca="false">IF(U282="",0,1)</f>
        <v>1</v>
      </c>
      <c r="AS282" s="8" t="n">
        <f aca="false">IF(AK282="","",IF(MAX($AK$2:$AK$921)=MIN($AK$2:$AK$921),50,ROUND((AK282-MIN($AK$2:$AK$921))/(MAX($AK$2:$AK$921)-MIN($AK$2:$AK$921))*100,2)))</f>
        <v>57.14</v>
      </c>
      <c r="AT282" s="8" t="n">
        <f aca="false">IF(MAX($BC$2:$BC$921)=MIN($BC$2:$BC$921),50,ROUND((BC282-MIN($BC$2:$BC$921))/(MAX($BC$2:$BC$921)-MIN($BC$2:$BC$921))*100,2))</f>
        <v>50</v>
      </c>
      <c r="AU282" s="8" t="n">
        <f aca="false">IF(MAX($BE$2:$BE$921)=MIN($BE$2:$BE$921),50,ROUND((BE282-MIN($BE$2:$BE$921))/(MAX($BE$2:$BE$921)-MIN($BE$2:$BE$921))*100,2))</f>
        <v>100</v>
      </c>
      <c r="AV282" s="8" t="n">
        <f aca="false">IF(MAX($AD$2:$AD$921)=MIN($AD$2:$AD$921),50,ROUND((AD282-MIN($AD$2:$AD$921))/(MAX($AD$2:$AD$921)-MIN($AD$2:$AD$921))*100,2))</f>
        <v>30.69</v>
      </c>
      <c r="AW282" s="8" t="n">
        <f aca="false">IF(MAX($AN$2:$AN$921)=MIN($AN$2:$AN$921),50,ROUND((AN282-MIN($AN$2:$AN$921))/(MAX($AN$2:$AN$921)-MIN($AN$2:$AN$921))*100,2))</f>
        <v>75</v>
      </c>
      <c r="AX282" s="8" t="n">
        <f aca="false">AQ282*100</f>
        <v>0</v>
      </c>
      <c r="AY282" s="8" t="n">
        <f aca="false">AR282*100</f>
        <v>100</v>
      </c>
      <c r="AZ282" s="8" t="n">
        <f aca="false">IFERROR(ROUND(AS282*Assumptions!$I$6+AW282*Assumptions!$I$7+AT282*Assumptions!$I$8+AU282*Assumptions!$I$9+AV282*Assumptions!$I$10+AX282*Assumptions!$I$11+AY282*Assumptions!$I$12,2),"")</f>
        <v>62.71</v>
      </c>
      <c r="BA282" s="0" t="str">
        <f aca="false">IF(AZ282="","",IF(AZ282&lt;=Assumptions!$I$18,"Below Expectation",IF(AZ282&lt;=Assumptions!$I$19,"Developing",IF(AZ282&lt;=Assumptions!$I$20,"Meets Expectation",IF(AZ282&lt;=Assumptions!$I$21,"Exceeds","Star Performer")))))</f>
        <v>Meets Expectation</v>
      </c>
      <c r="BB282" s="0" t="n">
        <f aca="false">IF(AZ282="",0,IF(AZ282&gt;=Assumptions!$I$26,1,0))</f>
        <v>0</v>
      </c>
      <c r="BC282" s="9" t="n">
        <f aca="false">IF(AL282="",2,AL282+2)</f>
        <v>2</v>
      </c>
      <c r="BD282" s="10" t="n">
        <f aca="false">IF(AM282="",ROUND(AVERAGE($AM$2:$AM$921),3),AM282)</f>
        <v>0</v>
      </c>
      <c r="BE282" s="9" t="n">
        <f aca="false">1-BD282</f>
        <v>1</v>
      </c>
    </row>
    <row r="283" customFormat="false" ht="14.25" hidden="false" customHeight="false" outlineLevel="0" collapsed="false">
      <c r="A283" s="4" t="n">
        <v>293</v>
      </c>
      <c r="B283" s="5" t="n">
        <v>10070185</v>
      </c>
      <c r="C283" s="5" t="s">
        <v>106</v>
      </c>
      <c r="D283" s="5" t="s">
        <v>1389</v>
      </c>
      <c r="E283" s="5" t="s">
        <v>108</v>
      </c>
      <c r="F283" s="5" t="s">
        <v>378</v>
      </c>
      <c r="G283" s="5" t="s">
        <v>379</v>
      </c>
      <c r="H283" s="5" t="s">
        <v>380</v>
      </c>
      <c r="I283" s="5" t="s">
        <v>63</v>
      </c>
      <c r="J283" s="5" t="s">
        <v>112</v>
      </c>
      <c r="K283" s="5" t="s">
        <v>65</v>
      </c>
      <c r="L283" s="6" t="n">
        <v>43717</v>
      </c>
      <c r="M283" s="5" t="s">
        <v>907</v>
      </c>
      <c r="N283" s="6" t="n">
        <v>29966</v>
      </c>
      <c r="O283" s="5" t="s">
        <v>332</v>
      </c>
      <c r="P283" s="5" t="s">
        <v>333</v>
      </c>
      <c r="Q283" s="5" t="s">
        <v>711</v>
      </c>
      <c r="R283" s="5" t="s">
        <v>1390</v>
      </c>
      <c r="S283" s="5" t="s">
        <v>226</v>
      </c>
      <c r="T283" s="6"/>
      <c r="U283" s="6"/>
      <c r="V283" s="5" t="s">
        <v>83</v>
      </c>
      <c r="W283" s="5" t="s">
        <v>141</v>
      </c>
      <c r="X283" s="5" t="s">
        <v>141</v>
      </c>
      <c r="Y283" s="5" t="s">
        <v>83</v>
      </c>
      <c r="Z283" s="5" t="s">
        <v>83</v>
      </c>
      <c r="AA283" s="5" t="s">
        <v>1391</v>
      </c>
      <c r="AB283" s="0" t="n">
        <f aca="false">IFERROR(VALUE(R283),0)</f>
        <v>19</v>
      </c>
      <c r="AC283" s="0" t="n">
        <f aca="false">IFERROR(VALUE(M283),"")</f>
        <v>44.4</v>
      </c>
      <c r="AD283" s="0" t="n">
        <f aca="false">IFERROR(VALUE(Q283),"")</f>
        <v>6.8</v>
      </c>
      <c r="AE283" s="0" t="n">
        <f aca="false">IFERROR(VALUE(S283),"")</f>
        <v>25.8</v>
      </c>
      <c r="AF283" s="0" t="n">
        <f aca="false">IF(V283="","",VLOOKUP(V283,Assumptions!$B$6:$C$9,2,FALSE()))</f>
        <v>4</v>
      </c>
      <c r="AG283" s="0" t="n">
        <f aca="false">IF(W283="","",VLOOKUP(W283,Assumptions!$B$6:$C$9,2,FALSE()))</f>
        <v>3</v>
      </c>
      <c r="AH283" s="0" t="n">
        <f aca="false">IF(X283="","",VLOOKUP(X283,Assumptions!$B$6:$C$9,2,FALSE()))</f>
        <v>3</v>
      </c>
      <c r="AI283" s="0" t="n">
        <f aca="false">IF(Y283="","",VLOOKUP(Y283,Assumptions!$B$6:$C$9,2,FALSE()))</f>
        <v>4</v>
      </c>
      <c r="AJ283" s="0" t="n">
        <f aca="false">IF(Z283="","",VLOOKUP(Z283,Assumptions!$B$6:$C$9,2,FALSE()))</f>
        <v>4</v>
      </c>
      <c r="AK283" s="7" t="n">
        <f aca="false">IFERROR(ROUND(AVERAGE(AF283:AJ283),3),"")</f>
        <v>3.6</v>
      </c>
      <c r="AL283" s="7" t="n">
        <f aca="false">IF(OR(AF283="",AJ283=""),"",AJ283-AF283)</f>
        <v>0</v>
      </c>
      <c r="AM283" s="7" t="n">
        <f aca="false">IF(COUNT(AF283:AJ283)&gt;=2,ROUND(_xlfn.STDEV.S(AF283:AJ283),3),"")</f>
        <v>0.548</v>
      </c>
      <c r="AN283" s="7" t="n">
        <f aca="false">ROUND((IF(AF283="",0,AF283)*Assumptions!$F$15)+(IF(AG283="",0,AG283)*Assumptions!$F$16)+(IF(AH283="",0,AH283)*Assumptions!$F$17)+(IF(AI283="",0,AI283)*Assumptions!$F$18)+(IF(AJ283="",0,AJ283)*Assumptions!$F$19),3)</f>
        <v>3.65</v>
      </c>
      <c r="AO283" s="0" t="str">
        <f aca="false">IF(AC283&lt;=20,"",IF(AC283&lt;=Assumptions!$F$6,"20-30",IF(AC283&lt;=Assumptions!$F$7,"30-40",IF(AC283&lt;=Assumptions!$F$8,"40-50",IF(AC283&lt;=Assumptions!$F$9,"50-60",IF(AC283&lt;=Assumptions!$F$10,"60+",""))))))</f>
        <v>40-50</v>
      </c>
      <c r="AP283" s="0" t="str">
        <f aca="false">IFERROR(VLOOKUP(O283,Assumptions!$B$14:$C$26,2,FALSE()),"Other")</f>
        <v>Manager</v>
      </c>
      <c r="AQ283" s="0" t="n">
        <f aca="false">IF(T283="",0,1)</f>
        <v>0</v>
      </c>
      <c r="AR283" s="0" t="n">
        <f aca="false">IF(U283="",0,1)</f>
        <v>0</v>
      </c>
      <c r="AS283" s="8" t="n">
        <f aca="false">IF(AK283="","",IF(MAX($AK$2:$AK$921)=MIN($AK$2:$AK$921),50,ROUND((AK283-MIN($AK$2:$AK$921))/(MAX($AK$2:$AK$921)-MIN($AK$2:$AK$921))*100,2)))</f>
        <v>82.85</v>
      </c>
      <c r="AT283" s="8" t="n">
        <f aca="false">IF(MAX($BC$2:$BC$921)=MIN($BC$2:$BC$921),50,ROUND((BC283-MIN($BC$2:$BC$921))/(MAX($BC$2:$BC$921)-MIN($BC$2:$BC$921))*100,2))</f>
        <v>50</v>
      </c>
      <c r="AU283" s="8" t="n">
        <f aca="false">IF(MAX($BE$2:$BE$921)=MIN($BE$2:$BE$921),50,ROUND((BE283-MIN($BE$2:$BE$921))/(MAX($BE$2:$BE$921)-MIN($BE$2:$BE$921))*100,2))</f>
        <v>68.36</v>
      </c>
      <c r="AV283" s="8" t="n">
        <f aca="false">IF(MAX($AD$2:$AD$921)=MIN($AD$2:$AD$921),50,ROUND((AD283-MIN($AD$2:$AD$921))/(MAX($AD$2:$AD$921)-MIN($AD$2:$AD$921))*100,2))</f>
        <v>18.18</v>
      </c>
      <c r="AW283" s="8" t="n">
        <f aca="false">IF(MAX($AN$2:$AN$921)=MIN($AN$2:$AN$921),50,ROUND((AN283-MIN($AN$2:$AN$921))/(MAX($AN$2:$AN$921)-MIN($AN$2:$AN$921))*100,2))</f>
        <v>91.25</v>
      </c>
      <c r="AX283" s="8" t="n">
        <f aca="false">AQ283*100</f>
        <v>0</v>
      </c>
      <c r="AY283" s="8" t="n">
        <f aca="false">AR283*100</f>
        <v>0</v>
      </c>
      <c r="AZ283" s="8" t="n">
        <f aca="false">IFERROR(ROUND(AS283*Assumptions!$I$6+AW283*Assumptions!$I$7+AT283*Assumptions!$I$8+AU283*Assumptions!$I$9+AV283*Assumptions!$I$10+AX283*Assumptions!$I$11+AY283*Assumptions!$I$12,2),"")</f>
        <v>62.68</v>
      </c>
      <c r="BA283" s="0" t="str">
        <f aca="false">IF(AZ283="","",IF(AZ283&lt;=Assumptions!$I$18,"Below Expectation",IF(AZ283&lt;=Assumptions!$I$19,"Developing",IF(AZ283&lt;=Assumptions!$I$20,"Meets Expectation",IF(AZ283&lt;=Assumptions!$I$21,"Exceeds","Star Performer")))))</f>
        <v>Meets Expectation</v>
      </c>
      <c r="BB283" s="0" t="n">
        <f aca="false">IF(AZ283="",0,IF(AZ283&gt;=Assumptions!$I$26,1,0))</f>
        <v>0</v>
      </c>
      <c r="BC283" s="9" t="n">
        <f aca="false">IF(AL283="",2,AL283+2)</f>
        <v>2</v>
      </c>
      <c r="BD283" s="10" t="n">
        <f aca="false">IF(AM283="",ROUND(AVERAGE($AM$2:$AM$921),3),AM283)</f>
        <v>0.548</v>
      </c>
      <c r="BE283" s="9" t="n">
        <f aca="false">1-BD283</f>
        <v>0.452</v>
      </c>
    </row>
    <row r="284" customFormat="false" ht="14.25" hidden="true" customHeight="false" outlineLevel="0" collapsed="false">
      <c r="A284" s="4" t="n">
        <v>157</v>
      </c>
      <c r="B284" s="5" t="n">
        <v>10049382</v>
      </c>
      <c r="C284" s="5" t="s">
        <v>85</v>
      </c>
      <c r="D284" s="5" t="s">
        <v>1392</v>
      </c>
      <c r="E284" s="5" t="s">
        <v>865</v>
      </c>
      <c r="F284" s="5" t="s">
        <v>1393</v>
      </c>
      <c r="G284" s="5" t="s">
        <v>1394</v>
      </c>
      <c r="H284" s="5" t="s">
        <v>1393</v>
      </c>
      <c r="I284" s="5" t="s">
        <v>63</v>
      </c>
      <c r="J284" s="5" t="s">
        <v>76</v>
      </c>
      <c r="K284" s="5" t="s">
        <v>65</v>
      </c>
      <c r="L284" s="6" t="n">
        <v>42145</v>
      </c>
      <c r="M284" s="5" t="s">
        <v>719</v>
      </c>
      <c r="N284" s="6" t="n">
        <v>29915</v>
      </c>
      <c r="O284" s="5" t="s">
        <v>122</v>
      </c>
      <c r="P284" s="5" t="s">
        <v>123</v>
      </c>
      <c r="Q284" s="5" t="s">
        <v>1395</v>
      </c>
      <c r="R284" s="5" t="s">
        <v>1396</v>
      </c>
      <c r="S284" s="5" t="s">
        <v>146</v>
      </c>
      <c r="T284" s="6"/>
      <c r="U284" s="6" t="n">
        <v>44562</v>
      </c>
      <c r="V284" s="5" t="s">
        <v>141</v>
      </c>
      <c r="W284" s="5" t="s">
        <v>141</v>
      </c>
      <c r="X284" s="5" t="s">
        <v>141</v>
      </c>
      <c r="Y284" s="5" t="s">
        <v>141</v>
      </c>
      <c r="Z284" s="5" t="s">
        <v>141</v>
      </c>
      <c r="AA284" s="5" t="s">
        <v>1397</v>
      </c>
      <c r="AB284" s="0" t="n">
        <f aca="false">IFERROR(VALUE(R284),0)</f>
        <v>11.5</v>
      </c>
      <c r="AC284" s="0" t="n">
        <f aca="false">IFERROR(VALUE(M284),"")</f>
        <v>44.6</v>
      </c>
      <c r="AD284" s="0" t="n">
        <f aca="false">IFERROR(VALUE(Q284),"")</f>
        <v>11</v>
      </c>
      <c r="AE284" s="0" t="n">
        <f aca="false">IFERROR(VALUE(S284),"")</f>
        <v>22.5</v>
      </c>
      <c r="AF284" s="0" t="n">
        <f aca="false">IF(V284="","",VLOOKUP(V284,Assumptions!$B$6:$C$9,2,FALSE()))</f>
        <v>3</v>
      </c>
      <c r="AG284" s="0" t="n">
        <f aca="false">IF(W284="","",VLOOKUP(W284,Assumptions!$B$6:$C$9,2,FALSE()))</f>
        <v>3</v>
      </c>
      <c r="AH284" s="0" t="n">
        <f aca="false">IF(X284="","",VLOOKUP(X284,Assumptions!$B$6:$C$9,2,FALSE()))</f>
        <v>3</v>
      </c>
      <c r="AI284" s="0" t="n">
        <f aca="false">IF(Y284="","",VLOOKUP(Y284,Assumptions!$B$6:$C$9,2,FALSE()))</f>
        <v>3</v>
      </c>
      <c r="AJ284" s="0" t="n">
        <f aca="false">IF(Z284="","",VLOOKUP(Z284,Assumptions!$B$6:$C$9,2,FALSE()))</f>
        <v>3</v>
      </c>
      <c r="AK284" s="7" t="n">
        <f aca="false">IFERROR(ROUND(AVERAGE(AF284:AJ284),3),"")</f>
        <v>3</v>
      </c>
      <c r="AL284" s="7" t="n">
        <f aca="false">IF(OR(AF284="",AJ284=""),"",AJ284-AF284)</f>
        <v>0</v>
      </c>
      <c r="AM284" s="7" t="n">
        <f aca="false">IF(COUNT(AF284:AJ284)&gt;=2,ROUND(_xlfn.STDEV.S(AF284:AJ284),3),"")</f>
        <v>0</v>
      </c>
      <c r="AN284" s="7" t="n">
        <f aca="false">ROUND((IF(AF284="",0,AF284)*Assumptions!$F$15)+(IF(AG284="",0,AG284)*Assumptions!$F$16)+(IF(AH284="",0,AH284)*Assumptions!$F$17)+(IF(AI284="",0,AI284)*Assumptions!$F$18)+(IF(AJ284="",0,AJ284)*Assumptions!$F$19),3)</f>
        <v>3</v>
      </c>
      <c r="AO284" s="0" t="str">
        <f aca="false">IF(AC284&lt;=20,"",IF(AC284&lt;=Assumptions!$F$6,"20-30",IF(AC284&lt;=Assumptions!$F$7,"30-40",IF(AC284&lt;=Assumptions!$F$8,"40-50",IF(AC284&lt;=Assumptions!$F$9,"50-60",IF(AC284&lt;=Assumptions!$F$10,"60+",""))))))</f>
        <v>40-50</v>
      </c>
      <c r="AP284" s="0" t="str">
        <f aca="false">IFERROR(VLOOKUP(O284,Assumptions!$B$14:$C$26,2,FALSE()),"Other")</f>
        <v>Leadership</v>
      </c>
      <c r="AQ284" s="0" t="n">
        <f aca="false">IF(T284="",0,1)</f>
        <v>0</v>
      </c>
      <c r="AR284" s="0" t="n">
        <f aca="false">IF(U284="",0,1)</f>
        <v>1</v>
      </c>
      <c r="AS284" s="8" t="n">
        <f aca="false">IF(AK284="","",IF(MAX($AK$2:$AK$921)=MIN($AK$2:$AK$921),50,ROUND((AK284-MIN($AK$2:$AK$921))/(MAX($AK$2:$AK$921)-MIN($AK$2:$AK$921))*100,2)))</f>
        <v>57.14</v>
      </c>
      <c r="AT284" s="8" t="n">
        <f aca="false">IF(MAX($BC$2:$BC$921)=MIN($BC$2:$BC$921),50,ROUND((BC284-MIN($BC$2:$BC$921))/(MAX($BC$2:$BC$921)-MIN($BC$2:$BC$921))*100,2))</f>
        <v>50</v>
      </c>
      <c r="AU284" s="8" t="n">
        <f aca="false">IF(MAX($BE$2:$BE$921)=MIN($BE$2:$BE$921),50,ROUND((BE284-MIN($BE$2:$BE$921))/(MAX($BE$2:$BE$921)-MIN($BE$2:$BE$921))*100,2))</f>
        <v>100</v>
      </c>
      <c r="AV284" s="8" t="n">
        <f aca="false">IF(MAX($AD$2:$AD$921)=MIN($AD$2:$AD$921),50,ROUND((AD284-MIN($AD$2:$AD$921))/(MAX($AD$2:$AD$921)-MIN($AD$2:$AD$921))*100,2))</f>
        <v>29.6</v>
      </c>
      <c r="AW284" s="8" t="n">
        <f aca="false">IF(MAX($AN$2:$AN$921)=MIN($AN$2:$AN$921),50,ROUND((AN284-MIN($AN$2:$AN$921))/(MAX($AN$2:$AN$921)-MIN($AN$2:$AN$921))*100,2))</f>
        <v>75</v>
      </c>
      <c r="AX284" s="8" t="n">
        <f aca="false">AQ284*100</f>
        <v>0</v>
      </c>
      <c r="AY284" s="8" t="n">
        <f aca="false">AR284*100</f>
        <v>100</v>
      </c>
      <c r="AZ284" s="8" t="n">
        <f aca="false">IFERROR(ROUND(AS284*Assumptions!$I$6+AW284*Assumptions!$I$7+AT284*Assumptions!$I$8+AU284*Assumptions!$I$9+AV284*Assumptions!$I$10+AX284*Assumptions!$I$11+AY284*Assumptions!$I$12,2),"")</f>
        <v>62.6</v>
      </c>
      <c r="BA284" s="0" t="str">
        <f aca="false">IF(AZ284="","",IF(AZ284&lt;=Assumptions!$I$18,"Below Expectation",IF(AZ284&lt;=Assumptions!$I$19,"Developing",IF(AZ284&lt;=Assumptions!$I$20,"Meets Expectation",IF(AZ284&lt;=Assumptions!$I$21,"Exceeds","Star Performer")))))</f>
        <v>Meets Expectation</v>
      </c>
      <c r="BB284" s="0" t="n">
        <f aca="false">IF(AZ284="",0,IF(AZ284&gt;=Assumptions!$I$26,1,0))</f>
        <v>0</v>
      </c>
      <c r="BC284" s="9" t="n">
        <f aca="false">IF(AL284="",2,AL284+2)</f>
        <v>2</v>
      </c>
      <c r="BD284" s="10" t="n">
        <f aca="false">IF(AM284="",ROUND(AVERAGE($AM$2:$AM$921),3),AM284)</f>
        <v>0</v>
      </c>
      <c r="BE284" s="9" t="n">
        <f aca="false">1-BD284</f>
        <v>1</v>
      </c>
    </row>
    <row r="285" customFormat="false" ht="14.25" hidden="true" customHeight="false" outlineLevel="0" collapsed="false">
      <c r="A285" s="4" t="n">
        <v>158</v>
      </c>
      <c r="B285" s="5" t="n">
        <v>10049610</v>
      </c>
      <c r="C285" s="5" t="s">
        <v>149</v>
      </c>
      <c r="D285" s="5" t="s">
        <v>1398</v>
      </c>
      <c r="E285" s="5" t="s">
        <v>779</v>
      </c>
      <c r="F285" s="5" t="s">
        <v>1399</v>
      </c>
      <c r="G285" s="5" t="s">
        <v>1400</v>
      </c>
      <c r="H285" s="5" t="s">
        <v>1399</v>
      </c>
      <c r="I285" s="5" t="s">
        <v>63</v>
      </c>
      <c r="J285" s="5" t="s">
        <v>100</v>
      </c>
      <c r="K285" s="5" t="s">
        <v>65</v>
      </c>
      <c r="L285" s="6" t="n">
        <v>42156</v>
      </c>
      <c r="M285" s="5" t="s">
        <v>713</v>
      </c>
      <c r="N285" s="6" t="n">
        <v>32916</v>
      </c>
      <c r="O285" s="5" t="s">
        <v>332</v>
      </c>
      <c r="P285" s="5" t="s">
        <v>333</v>
      </c>
      <c r="Q285" s="5" t="s">
        <v>1395</v>
      </c>
      <c r="R285" s="5" t="s">
        <v>115</v>
      </c>
      <c r="S285" s="5" t="s">
        <v>1401</v>
      </c>
      <c r="T285" s="6"/>
      <c r="U285" s="6" t="n">
        <v>45748</v>
      </c>
      <c r="V285" s="5" t="s">
        <v>141</v>
      </c>
      <c r="W285" s="5" t="s">
        <v>141</v>
      </c>
      <c r="X285" s="5" t="s">
        <v>141</v>
      </c>
      <c r="Y285" s="5" t="s">
        <v>141</v>
      </c>
      <c r="Z285" s="5" t="s">
        <v>141</v>
      </c>
      <c r="AA285" s="5" t="s">
        <v>1402</v>
      </c>
      <c r="AB285" s="0" t="n">
        <f aca="false">IFERROR(VALUE(R285),0)</f>
        <v>0</v>
      </c>
      <c r="AC285" s="0" t="n">
        <f aca="false">IFERROR(VALUE(M285),"")</f>
        <v>36.3</v>
      </c>
      <c r="AD285" s="0" t="n">
        <f aca="false">IFERROR(VALUE(Q285),"")</f>
        <v>11</v>
      </c>
      <c r="AE285" s="0" t="n">
        <f aca="false">IFERROR(VALUE(S285),"")</f>
        <v>11</v>
      </c>
      <c r="AF285" s="0" t="n">
        <f aca="false">IF(V285="","",VLOOKUP(V285,Assumptions!$B$6:$C$9,2,FALSE()))</f>
        <v>3</v>
      </c>
      <c r="AG285" s="0" t="n">
        <f aca="false">IF(W285="","",VLOOKUP(W285,Assumptions!$B$6:$C$9,2,FALSE()))</f>
        <v>3</v>
      </c>
      <c r="AH285" s="0" t="n">
        <f aca="false">IF(X285="","",VLOOKUP(X285,Assumptions!$B$6:$C$9,2,FALSE()))</f>
        <v>3</v>
      </c>
      <c r="AI285" s="0" t="n">
        <f aca="false">IF(Y285="","",VLOOKUP(Y285,Assumptions!$B$6:$C$9,2,FALSE()))</f>
        <v>3</v>
      </c>
      <c r="AJ285" s="0" t="n">
        <f aca="false">IF(Z285="","",VLOOKUP(Z285,Assumptions!$B$6:$C$9,2,FALSE()))</f>
        <v>3</v>
      </c>
      <c r="AK285" s="7" t="n">
        <f aca="false">IFERROR(ROUND(AVERAGE(AF285:AJ285),3),"")</f>
        <v>3</v>
      </c>
      <c r="AL285" s="7" t="n">
        <f aca="false">IF(OR(AF285="",AJ285=""),"",AJ285-AF285)</f>
        <v>0</v>
      </c>
      <c r="AM285" s="7" t="n">
        <f aca="false">IF(COUNT(AF285:AJ285)&gt;=2,ROUND(_xlfn.STDEV.S(AF285:AJ285),3),"")</f>
        <v>0</v>
      </c>
      <c r="AN285" s="7" t="n">
        <f aca="false">ROUND((IF(AF285="",0,AF285)*Assumptions!$F$15)+(IF(AG285="",0,AG285)*Assumptions!$F$16)+(IF(AH285="",0,AH285)*Assumptions!$F$17)+(IF(AI285="",0,AI285)*Assumptions!$F$18)+(IF(AJ285="",0,AJ285)*Assumptions!$F$19),3)</f>
        <v>3</v>
      </c>
      <c r="AO285" s="0" t="str">
        <f aca="false">IF(AC285&lt;=20,"",IF(AC285&lt;=Assumptions!$F$6,"20-30",IF(AC285&lt;=Assumptions!$F$7,"30-40",IF(AC285&lt;=Assumptions!$F$8,"40-50",IF(AC285&lt;=Assumptions!$F$9,"50-60",IF(AC285&lt;=Assumptions!$F$10,"60+",""))))))</f>
        <v>30-40</v>
      </c>
      <c r="AP285" s="0" t="str">
        <f aca="false">IFERROR(VLOOKUP(O285,Assumptions!$B$14:$C$26,2,FALSE()),"Other")</f>
        <v>Manager</v>
      </c>
      <c r="AQ285" s="0" t="n">
        <f aca="false">IF(T285="",0,1)</f>
        <v>0</v>
      </c>
      <c r="AR285" s="0" t="n">
        <f aca="false">IF(U285="",0,1)</f>
        <v>1</v>
      </c>
      <c r="AS285" s="8" t="n">
        <f aca="false">IF(AK285="","",IF(MAX($AK$2:$AK$921)=MIN($AK$2:$AK$921),50,ROUND((AK285-MIN($AK$2:$AK$921))/(MAX($AK$2:$AK$921)-MIN($AK$2:$AK$921))*100,2)))</f>
        <v>57.14</v>
      </c>
      <c r="AT285" s="8" t="n">
        <f aca="false">IF(MAX($BC$2:$BC$921)=MIN($BC$2:$BC$921),50,ROUND((BC285-MIN($BC$2:$BC$921))/(MAX($BC$2:$BC$921)-MIN($BC$2:$BC$921))*100,2))</f>
        <v>50</v>
      </c>
      <c r="AU285" s="8" t="n">
        <f aca="false">IF(MAX($BE$2:$BE$921)=MIN($BE$2:$BE$921),50,ROUND((BE285-MIN($BE$2:$BE$921))/(MAX($BE$2:$BE$921)-MIN($BE$2:$BE$921))*100,2))</f>
        <v>100</v>
      </c>
      <c r="AV285" s="8" t="n">
        <f aca="false">IF(MAX($AD$2:$AD$921)=MIN($AD$2:$AD$921),50,ROUND((AD285-MIN($AD$2:$AD$921))/(MAX($AD$2:$AD$921)-MIN($AD$2:$AD$921))*100,2))</f>
        <v>29.6</v>
      </c>
      <c r="AW285" s="8" t="n">
        <f aca="false">IF(MAX($AN$2:$AN$921)=MIN($AN$2:$AN$921),50,ROUND((AN285-MIN($AN$2:$AN$921))/(MAX($AN$2:$AN$921)-MIN($AN$2:$AN$921))*100,2))</f>
        <v>75</v>
      </c>
      <c r="AX285" s="8" t="n">
        <f aca="false">AQ285*100</f>
        <v>0</v>
      </c>
      <c r="AY285" s="8" t="n">
        <f aca="false">AR285*100</f>
        <v>100</v>
      </c>
      <c r="AZ285" s="8" t="n">
        <f aca="false">IFERROR(ROUND(AS285*Assumptions!$I$6+AW285*Assumptions!$I$7+AT285*Assumptions!$I$8+AU285*Assumptions!$I$9+AV285*Assumptions!$I$10+AX285*Assumptions!$I$11+AY285*Assumptions!$I$12,2),"")</f>
        <v>62.6</v>
      </c>
      <c r="BA285" s="0" t="str">
        <f aca="false">IF(AZ285="","",IF(AZ285&lt;=Assumptions!$I$18,"Below Expectation",IF(AZ285&lt;=Assumptions!$I$19,"Developing",IF(AZ285&lt;=Assumptions!$I$20,"Meets Expectation",IF(AZ285&lt;=Assumptions!$I$21,"Exceeds","Star Performer")))))</f>
        <v>Meets Expectation</v>
      </c>
      <c r="BB285" s="0" t="n">
        <f aca="false">IF(AZ285="",0,IF(AZ285&gt;=Assumptions!$I$26,1,0))</f>
        <v>0</v>
      </c>
      <c r="BC285" s="9" t="n">
        <f aca="false">IF(AL285="",2,AL285+2)</f>
        <v>2</v>
      </c>
      <c r="BD285" s="10" t="n">
        <f aca="false">IF(AM285="",ROUND(AVERAGE($AM$2:$AM$921),3),AM285)</f>
        <v>0</v>
      </c>
      <c r="BE285" s="9" t="n">
        <f aca="false">1-BD285</f>
        <v>1</v>
      </c>
    </row>
    <row r="286" customFormat="false" ht="14.25" hidden="true" customHeight="false" outlineLevel="0" collapsed="false">
      <c r="A286" s="4" t="n">
        <v>538</v>
      </c>
      <c r="B286" s="5" t="n">
        <v>55047684</v>
      </c>
      <c r="C286" s="5" t="s">
        <v>57</v>
      </c>
      <c r="D286" s="5" t="s">
        <v>1403</v>
      </c>
      <c r="E286" s="5" t="s">
        <v>520</v>
      </c>
      <c r="F286" s="5" t="s">
        <v>1404</v>
      </c>
      <c r="G286" s="5" t="s">
        <v>1405</v>
      </c>
      <c r="H286" s="5" t="s">
        <v>1406</v>
      </c>
      <c r="I286" s="5" t="s">
        <v>63</v>
      </c>
      <c r="J286" s="5" t="s">
        <v>100</v>
      </c>
      <c r="K286" s="5" t="s">
        <v>65</v>
      </c>
      <c r="L286" s="6" t="n">
        <v>44621</v>
      </c>
      <c r="M286" s="5" t="s">
        <v>331</v>
      </c>
      <c r="N286" s="6" t="n">
        <v>32749</v>
      </c>
      <c r="O286" s="5" t="s">
        <v>332</v>
      </c>
      <c r="P286" s="5" t="s">
        <v>333</v>
      </c>
      <c r="Q286" s="5" t="s">
        <v>1407</v>
      </c>
      <c r="R286" s="5" t="s">
        <v>1408</v>
      </c>
      <c r="S286" s="5" t="s">
        <v>1113</v>
      </c>
      <c r="T286" s="6"/>
      <c r="U286" s="6"/>
      <c r="V286" s="5"/>
      <c r="W286" s="5" t="s">
        <v>83</v>
      </c>
      <c r="X286" s="5" t="s">
        <v>83</v>
      </c>
      <c r="Y286" s="5" t="s">
        <v>83</v>
      </c>
      <c r="Z286" s="5" t="s">
        <v>141</v>
      </c>
      <c r="AA286" s="5" t="s">
        <v>1409</v>
      </c>
      <c r="AB286" s="0" t="n">
        <f aca="false">IFERROR(VALUE(R286),0)</f>
        <v>12.7</v>
      </c>
      <c r="AC286" s="0" t="n">
        <f aca="false">IFERROR(VALUE(M286),"")</f>
        <v>36.9</v>
      </c>
      <c r="AD286" s="0" t="n">
        <f aca="false">IFERROR(VALUE(Q286),"")</f>
        <v>4.3</v>
      </c>
      <c r="AE286" s="0" t="n">
        <f aca="false">IFERROR(VALUE(S286),"")</f>
        <v>16.1</v>
      </c>
      <c r="AF286" s="0" t="str">
        <f aca="false">IF(V286="","",VLOOKUP(V286,Assumptions!$B$6:$C$9,2,FALSE()))</f>
        <v/>
      </c>
      <c r="AG286" s="0" t="n">
        <f aca="false">IF(W286="","",VLOOKUP(W286,Assumptions!$B$6:$C$9,2,FALSE()))</f>
        <v>4</v>
      </c>
      <c r="AH286" s="0" t="n">
        <f aca="false">IF(X286="","",VLOOKUP(X286,Assumptions!$B$6:$C$9,2,FALSE()))</f>
        <v>4</v>
      </c>
      <c r="AI286" s="0" t="n">
        <f aca="false">IF(Y286="","",VLOOKUP(Y286,Assumptions!$B$6:$C$9,2,FALSE()))</f>
        <v>4</v>
      </c>
      <c r="AJ286" s="0" t="n">
        <f aca="false">IF(Z286="","",VLOOKUP(Z286,Assumptions!$B$6:$C$9,2,FALSE()))</f>
        <v>3</v>
      </c>
      <c r="AK286" s="7" t="n">
        <f aca="false">IFERROR(ROUND(AVERAGE(AF286:AJ286),3),"")</f>
        <v>3.75</v>
      </c>
      <c r="AL286" s="7" t="str">
        <f aca="false">IF(OR(AF286="",AJ286=""),"",AJ286-AF286)</f>
        <v/>
      </c>
      <c r="AM286" s="7" t="n">
        <f aca="false">IF(COUNT(AF286:AJ286)&gt;=2,ROUND(_xlfn.STDEV.S(AF286:AJ286),3),"")</f>
        <v>0.5</v>
      </c>
      <c r="AN286" s="7" t="n">
        <f aca="false">ROUND((IF(AF286="",0,AF286)*Assumptions!$F$15)+(IF(AG286="",0,AG286)*Assumptions!$F$16)+(IF(AH286="",0,AH286)*Assumptions!$F$17)+(IF(AI286="",0,AI286)*Assumptions!$F$18)+(IF(AJ286="",0,AJ286)*Assumptions!$F$19),3)</f>
        <v>3.3</v>
      </c>
      <c r="AO286" s="0" t="str">
        <f aca="false">IF(AC286&lt;=20,"",IF(AC286&lt;=Assumptions!$F$6,"20-30",IF(AC286&lt;=Assumptions!$F$7,"30-40",IF(AC286&lt;=Assumptions!$F$8,"40-50",IF(AC286&lt;=Assumptions!$F$9,"50-60",IF(AC286&lt;=Assumptions!$F$10,"60+",""))))))</f>
        <v>30-40</v>
      </c>
      <c r="AP286" s="0" t="str">
        <f aca="false">IFERROR(VLOOKUP(O286,Assumptions!$B$14:$C$26,2,FALSE()),"Other")</f>
        <v>Manager</v>
      </c>
      <c r="AQ286" s="0" t="n">
        <f aca="false">IF(T286="",0,1)</f>
        <v>0</v>
      </c>
      <c r="AR286" s="0" t="n">
        <f aca="false">IF(U286="",0,1)</f>
        <v>0</v>
      </c>
      <c r="AS286" s="8" t="n">
        <f aca="false">IF(AK286="","",IF(MAX($AK$2:$AK$921)=MIN($AK$2:$AK$921),50,ROUND((AK286-MIN($AK$2:$AK$921))/(MAX($AK$2:$AK$921)-MIN($AK$2:$AK$921))*100,2)))</f>
        <v>89.28</v>
      </c>
      <c r="AT286" s="8" t="n">
        <f aca="false">IF(MAX($BC$2:$BC$921)=MIN($BC$2:$BC$921),50,ROUND((BC286-MIN($BC$2:$BC$921))/(MAX($BC$2:$BC$921)-MIN($BC$2:$BC$921))*100,2))</f>
        <v>50</v>
      </c>
      <c r="AU286" s="8" t="n">
        <f aca="false">IF(MAX($BE$2:$BE$921)=MIN($BE$2:$BE$921),50,ROUND((BE286-MIN($BE$2:$BE$921))/(MAX($BE$2:$BE$921)-MIN($BE$2:$BE$921))*100,2))</f>
        <v>71.13</v>
      </c>
      <c r="AV286" s="8" t="n">
        <f aca="false">IF(MAX($AD$2:$AD$921)=MIN($AD$2:$AD$921),50,ROUND((AD286-MIN($AD$2:$AD$921))/(MAX($AD$2:$AD$921)-MIN($AD$2:$AD$921))*100,2))</f>
        <v>11.39</v>
      </c>
      <c r="AW286" s="8" t="n">
        <f aca="false">IF(MAX($AN$2:$AN$921)=MIN($AN$2:$AN$921),50,ROUND((AN286-MIN($AN$2:$AN$921))/(MAX($AN$2:$AN$921)-MIN($AN$2:$AN$921))*100,2))</f>
        <v>82.5</v>
      </c>
      <c r="AX286" s="8" t="n">
        <f aca="false">AQ286*100</f>
        <v>0</v>
      </c>
      <c r="AY286" s="8" t="n">
        <f aca="false">AR286*100</f>
        <v>0</v>
      </c>
      <c r="AZ286" s="8" t="n">
        <f aca="false">IFERROR(ROUND(AS286*Assumptions!$I$6+AW286*Assumptions!$I$7+AT286*Assumptions!$I$8+AU286*Assumptions!$I$9+AV286*Assumptions!$I$10+AX286*Assumptions!$I$11+AY286*Assumptions!$I$12,2),"")</f>
        <v>62.59</v>
      </c>
      <c r="BA286" s="0" t="str">
        <f aca="false">IF(AZ286="","",IF(AZ286&lt;=Assumptions!$I$18,"Below Expectation",IF(AZ286&lt;=Assumptions!$I$19,"Developing",IF(AZ286&lt;=Assumptions!$I$20,"Meets Expectation",IF(AZ286&lt;=Assumptions!$I$21,"Exceeds","Star Performer")))))</f>
        <v>Meets Expectation</v>
      </c>
      <c r="BB286" s="0" t="n">
        <f aca="false">IF(AZ286="",0,IF(AZ286&gt;=Assumptions!$I$26,1,0))</f>
        <v>0</v>
      </c>
      <c r="BC286" s="9" t="n">
        <f aca="false">IF(AL286="",2,AL286+2)</f>
        <v>2</v>
      </c>
      <c r="BD286" s="10" t="n">
        <f aca="false">IF(AM286="",ROUND(AVERAGE($AM$2:$AM$921),3),AM286)</f>
        <v>0.5</v>
      </c>
      <c r="BE286" s="9" t="n">
        <f aca="false">1-BD286</f>
        <v>0.5</v>
      </c>
    </row>
    <row r="287" customFormat="false" ht="14.25" hidden="true" customHeight="false" outlineLevel="0" collapsed="false">
      <c r="A287" s="4" t="n">
        <v>141</v>
      </c>
      <c r="B287" s="5" t="n">
        <v>10045789</v>
      </c>
      <c r="C287" s="5" t="s">
        <v>57</v>
      </c>
      <c r="D287" s="5" t="s">
        <v>1410</v>
      </c>
      <c r="E287" s="5" t="s">
        <v>252</v>
      </c>
      <c r="F287" s="5" t="s">
        <v>209</v>
      </c>
      <c r="G287" s="5" t="s">
        <v>210</v>
      </c>
      <c r="H287" s="5" t="s">
        <v>209</v>
      </c>
      <c r="I287" s="5" t="s">
        <v>63</v>
      </c>
      <c r="J287" s="5" t="s">
        <v>100</v>
      </c>
      <c r="K287" s="5" t="s">
        <v>65</v>
      </c>
      <c r="L287" s="6" t="n">
        <v>41883</v>
      </c>
      <c r="M287" s="5" t="s">
        <v>1411</v>
      </c>
      <c r="N287" s="6" t="n">
        <v>27195</v>
      </c>
      <c r="O287" s="5" t="s">
        <v>162</v>
      </c>
      <c r="P287" s="5" t="s">
        <v>162</v>
      </c>
      <c r="Q287" s="5" t="s">
        <v>240</v>
      </c>
      <c r="R287" s="5" t="s">
        <v>180</v>
      </c>
      <c r="S287" s="5" t="s">
        <v>819</v>
      </c>
      <c r="T287" s="6"/>
      <c r="U287" s="6" t="n">
        <v>45627</v>
      </c>
      <c r="V287" s="5" t="s">
        <v>141</v>
      </c>
      <c r="W287" s="5" t="s">
        <v>141</v>
      </c>
      <c r="X287" s="5" t="s">
        <v>83</v>
      </c>
      <c r="Y287" s="5" t="s">
        <v>141</v>
      </c>
      <c r="Z287" s="5" t="s">
        <v>141</v>
      </c>
      <c r="AA287" s="5" t="s">
        <v>1412</v>
      </c>
      <c r="AB287" s="0" t="n">
        <f aca="false">IFERROR(VALUE(R287),0)</f>
        <v>18</v>
      </c>
      <c r="AC287" s="0" t="n">
        <f aca="false">IFERROR(VALUE(M287),"")</f>
        <v>51.11</v>
      </c>
      <c r="AD287" s="0" t="n">
        <f aca="false">IFERROR(VALUE(Q287),"")</f>
        <v>11.9</v>
      </c>
      <c r="AE287" s="0" t="n">
        <f aca="false">IFERROR(VALUE(S287),"")</f>
        <v>29.9</v>
      </c>
      <c r="AF287" s="0" t="n">
        <f aca="false">IF(V287="","",VLOOKUP(V287,Assumptions!$B$6:$C$9,2,FALSE()))</f>
        <v>3</v>
      </c>
      <c r="AG287" s="0" t="n">
        <f aca="false">IF(W287="","",VLOOKUP(W287,Assumptions!$B$6:$C$9,2,FALSE()))</f>
        <v>3</v>
      </c>
      <c r="AH287" s="0" t="n">
        <f aca="false">IF(X287="","",VLOOKUP(X287,Assumptions!$B$6:$C$9,2,FALSE()))</f>
        <v>4</v>
      </c>
      <c r="AI287" s="0" t="n">
        <f aca="false">IF(Y287="","",VLOOKUP(Y287,Assumptions!$B$6:$C$9,2,FALSE()))</f>
        <v>3</v>
      </c>
      <c r="AJ287" s="0" t="n">
        <f aca="false">IF(Z287="","",VLOOKUP(Z287,Assumptions!$B$6:$C$9,2,FALSE()))</f>
        <v>3</v>
      </c>
      <c r="AK287" s="7" t="n">
        <f aca="false">IFERROR(ROUND(AVERAGE(AF287:AJ287),3),"")</f>
        <v>3.2</v>
      </c>
      <c r="AL287" s="7" t="n">
        <f aca="false">IF(OR(AF287="",AJ287=""),"",AJ287-AF287)</f>
        <v>0</v>
      </c>
      <c r="AM287" s="7" t="n">
        <f aca="false">IF(COUNT(AF287:AJ287)&gt;=2,ROUND(_xlfn.STDEV.S(AF287:AJ287),3),"")</f>
        <v>0.447</v>
      </c>
      <c r="AN287" s="7" t="n">
        <f aca="false">ROUND((IF(AF287="",0,AF287)*Assumptions!$F$15)+(IF(AG287="",0,AG287)*Assumptions!$F$16)+(IF(AH287="",0,AH287)*Assumptions!$F$17)+(IF(AI287="",0,AI287)*Assumptions!$F$18)+(IF(AJ287="",0,AJ287)*Assumptions!$F$19),3)</f>
        <v>3.2</v>
      </c>
      <c r="AO287" s="0" t="str">
        <f aca="false">IF(AC287&lt;=20,"",IF(AC287&lt;=Assumptions!$F$6,"20-30",IF(AC287&lt;=Assumptions!$F$7,"30-40",IF(AC287&lt;=Assumptions!$F$8,"40-50",IF(AC287&lt;=Assumptions!$F$9,"50-60",IF(AC287&lt;=Assumptions!$F$10,"60+",""))))))</f>
        <v>50-60</v>
      </c>
      <c r="AP287" s="0" t="str">
        <f aca="false">IFERROR(VLOOKUP(O287,Assumptions!$B$14:$C$26,2,FALSE()),"Other")</f>
        <v>Manager</v>
      </c>
      <c r="AQ287" s="0" t="n">
        <f aca="false">IF(T287="",0,1)</f>
        <v>0</v>
      </c>
      <c r="AR287" s="0" t="n">
        <f aca="false">IF(U287="",0,1)</f>
        <v>1</v>
      </c>
      <c r="AS287" s="8" t="n">
        <f aca="false">IF(AK287="","",IF(MAX($AK$2:$AK$921)=MIN($AK$2:$AK$921),50,ROUND((AK287-MIN($AK$2:$AK$921))/(MAX($AK$2:$AK$921)-MIN($AK$2:$AK$921))*100,2)))</f>
        <v>65.71</v>
      </c>
      <c r="AT287" s="8" t="n">
        <f aca="false">IF(MAX($BC$2:$BC$921)=MIN($BC$2:$BC$921),50,ROUND((BC287-MIN($BC$2:$BC$921))/(MAX($BC$2:$BC$921)-MIN($BC$2:$BC$921))*100,2))</f>
        <v>50</v>
      </c>
      <c r="AU287" s="8" t="n">
        <f aca="false">IF(MAX($BE$2:$BE$921)=MIN($BE$2:$BE$921),50,ROUND((BE287-MIN($BE$2:$BE$921))/(MAX($BE$2:$BE$921)-MIN($BE$2:$BE$921))*100,2))</f>
        <v>74.19</v>
      </c>
      <c r="AV287" s="8" t="n">
        <f aca="false">IF(MAX($AD$2:$AD$921)=MIN($AD$2:$AD$921),50,ROUND((AD287-MIN($AD$2:$AD$921))/(MAX($AD$2:$AD$921)-MIN($AD$2:$AD$921))*100,2))</f>
        <v>32.05</v>
      </c>
      <c r="AW287" s="8" t="n">
        <f aca="false">IF(MAX($AN$2:$AN$921)=MIN($AN$2:$AN$921),50,ROUND((AN287-MIN($AN$2:$AN$921))/(MAX($AN$2:$AN$921)-MIN($AN$2:$AN$921))*100,2))</f>
        <v>80</v>
      </c>
      <c r="AX287" s="8" t="n">
        <f aca="false">AQ287*100</f>
        <v>0</v>
      </c>
      <c r="AY287" s="8" t="n">
        <f aca="false">AR287*100</f>
        <v>100</v>
      </c>
      <c r="AZ287" s="8" t="n">
        <f aca="false">IFERROR(ROUND(AS287*Assumptions!$I$6+AW287*Assumptions!$I$7+AT287*Assumptions!$I$8+AU287*Assumptions!$I$9+AV287*Assumptions!$I$10+AX287*Assumptions!$I$11+AY287*Assumptions!$I$12,2),"")</f>
        <v>62.55</v>
      </c>
      <c r="BA287" s="0" t="str">
        <f aca="false">IF(AZ287="","",IF(AZ287&lt;=Assumptions!$I$18,"Below Expectation",IF(AZ287&lt;=Assumptions!$I$19,"Developing",IF(AZ287&lt;=Assumptions!$I$20,"Meets Expectation",IF(AZ287&lt;=Assumptions!$I$21,"Exceeds","Star Performer")))))</f>
        <v>Meets Expectation</v>
      </c>
      <c r="BB287" s="0" t="n">
        <f aca="false">IF(AZ287="",0,IF(AZ287&gt;=Assumptions!$I$26,1,0))</f>
        <v>0</v>
      </c>
      <c r="BC287" s="9" t="n">
        <f aca="false">IF(AL287="",2,AL287+2)</f>
        <v>2</v>
      </c>
      <c r="BD287" s="10" t="n">
        <f aca="false">IF(AM287="",ROUND(AVERAGE($AM$2:$AM$921),3),AM287)</f>
        <v>0.447</v>
      </c>
      <c r="BE287" s="9" t="n">
        <f aca="false">1-BD287</f>
        <v>0.553</v>
      </c>
    </row>
    <row r="288" customFormat="false" ht="14.25" hidden="false" customHeight="false" outlineLevel="0" collapsed="false">
      <c r="A288" s="4" t="n">
        <v>539</v>
      </c>
      <c r="B288" s="5" t="n">
        <v>55047801</v>
      </c>
      <c r="C288" s="5" t="s">
        <v>106</v>
      </c>
      <c r="D288" s="5" t="s">
        <v>1413</v>
      </c>
      <c r="E288" s="5" t="s">
        <v>108</v>
      </c>
      <c r="F288" s="5" t="s">
        <v>463</v>
      </c>
      <c r="G288" s="5" t="s">
        <v>589</v>
      </c>
      <c r="H288" s="5" t="s">
        <v>590</v>
      </c>
      <c r="I288" s="5" t="s">
        <v>63</v>
      </c>
      <c r="J288" s="5" t="s">
        <v>112</v>
      </c>
      <c r="K288" s="5" t="s">
        <v>309</v>
      </c>
      <c r="L288" s="6" t="n">
        <v>44627</v>
      </c>
      <c r="M288" s="5" t="s">
        <v>1414</v>
      </c>
      <c r="N288" s="6" t="n">
        <v>35889</v>
      </c>
      <c r="O288" s="5" t="s">
        <v>585</v>
      </c>
      <c r="P288" s="5" t="s">
        <v>586</v>
      </c>
      <c r="Q288" s="5" t="s">
        <v>1407</v>
      </c>
      <c r="R288" s="5" t="s">
        <v>115</v>
      </c>
      <c r="S288" s="5" t="s">
        <v>1407</v>
      </c>
      <c r="T288" s="6"/>
      <c r="U288" s="6" t="n">
        <v>45992</v>
      </c>
      <c r="V288" s="5"/>
      <c r="W288" s="5" t="s">
        <v>83</v>
      </c>
      <c r="X288" s="5" t="s">
        <v>83</v>
      </c>
      <c r="Y288" s="5" t="s">
        <v>141</v>
      </c>
      <c r="Z288" s="5" t="s">
        <v>141</v>
      </c>
      <c r="AA288" s="5" t="s">
        <v>1415</v>
      </c>
      <c r="AB288" s="0" t="n">
        <f aca="false">IFERROR(VALUE(R288),0)</f>
        <v>0</v>
      </c>
      <c r="AC288" s="0" t="n">
        <f aca="false">IFERROR(VALUE(M288),"")</f>
        <v>28.2</v>
      </c>
      <c r="AD288" s="0" t="n">
        <f aca="false">IFERROR(VALUE(Q288),"")</f>
        <v>4.3</v>
      </c>
      <c r="AE288" s="0" t="n">
        <f aca="false">IFERROR(VALUE(S288),"")</f>
        <v>4.3</v>
      </c>
      <c r="AF288" s="0" t="str">
        <f aca="false">IF(V288="","",VLOOKUP(V288,Assumptions!$B$6:$C$9,2,FALSE()))</f>
        <v/>
      </c>
      <c r="AG288" s="0" t="n">
        <f aca="false">IF(W288="","",VLOOKUP(W288,Assumptions!$B$6:$C$9,2,FALSE()))</f>
        <v>4</v>
      </c>
      <c r="AH288" s="0" t="n">
        <f aca="false">IF(X288="","",VLOOKUP(X288,Assumptions!$B$6:$C$9,2,FALSE()))</f>
        <v>4</v>
      </c>
      <c r="AI288" s="0" t="n">
        <f aca="false">IF(Y288="","",VLOOKUP(Y288,Assumptions!$B$6:$C$9,2,FALSE()))</f>
        <v>3</v>
      </c>
      <c r="AJ288" s="0" t="n">
        <f aca="false">IF(Z288="","",VLOOKUP(Z288,Assumptions!$B$6:$C$9,2,FALSE()))</f>
        <v>3</v>
      </c>
      <c r="AK288" s="7" t="n">
        <f aca="false">IFERROR(ROUND(AVERAGE(AF288:AJ288),3),"")</f>
        <v>3.5</v>
      </c>
      <c r="AL288" s="7" t="str">
        <f aca="false">IF(OR(AF288="",AJ288=""),"",AJ288-AF288)</f>
        <v/>
      </c>
      <c r="AM288" s="7" t="n">
        <f aca="false">IF(COUNT(AF288:AJ288)&gt;=2,ROUND(_xlfn.STDEV.S(AF288:AJ288),3),"")</f>
        <v>0.577</v>
      </c>
      <c r="AN288" s="7" t="n">
        <f aca="false">ROUND((IF(AF288="",0,AF288)*Assumptions!$F$15)+(IF(AG288="",0,AG288)*Assumptions!$F$16)+(IF(AH288="",0,AH288)*Assumptions!$F$17)+(IF(AI288="",0,AI288)*Assumptions!$F$18)+(IF(AJ288="",0,AJ288)*Assumptions!$F$19),3)</f>
        <v>3.05</v>
      </c>
      <c r="AO288" s="0" t="str">
        <f aca="false">IF(AC288&lt;=20,"",IF(AC288&lt;=Assumptions!$F$6,"20-30",IF(AC288&lt;=Assumptions!$F$7,"30-40",IF(AC288&lt;=Assumptions!$F$8,"40-50",IF(AC288&lt;=Assumptions!$F$9,"50-60",IF(AC288&lt;=Assumptions!$F$10,"60+",""))))))</f>
        <v>20-30</v>
      </c>
      <c r="AP288" s="0" t="str">
        <f aca="false">IFERROR(VLOOKUP(O288,Assumptions!$B$14:$C$26,2,FALSE()),"Other")</f>
        <v>Manager</v>
      </c>
      <c r="AQ288" s="0" t="n">
        <f aca="false">IF(T288="",0,1)</f>
        <v>0</v>
      </c>
      <c r="AR288" s="0" t="n">
        <f aca="false">IF(U288="",0,1)</f>
        <v>1</v>
      </c>
      <c r="AS288" s="8" t="n">
        <f aca="false">IF(AK288="","",IF(MAX($AK$2:$AK$921)=MIN($AK$2:$AK$921),50,ROUND((AK288-MIN($AK$2:$AK$921))/(MAX($AK$2:$AK$921)-MIN($AK$2:$AK$921))*100,2)))</f>
        <v>78.57</v>
      </c>
      <c r="AT288" s="8" t="n">
        <f aca="false">IF(MAX($BC$2:$BC$921)=MIN($BC$2:$BC$921),50,ROUND((BC288-MIN($BC$2:$BC$921))/(MAX($BC$2:$BC$921)-MIN($BC$2:$BC$921))*100,2))</f>
        <v>50</v>
      </c>
      <c r="AU288" s="8" t="n">
        <f aca="false">IF(MAX($BE$2:$BE$921)=MIN($BE$2:$BE$921),50,ROUND((BE288-MIN($BE$2:$BE$921))/(MAX($BE$2:$BE$921)-MIN($BE$2:$BE$921))*100,2))</f>
        <v>66.69</v>
      </c>
      <c r="AV288" s="8" t="n">
        <f aca="false">IF(MAX($AD$2:$AD$921)=MIN($AD$2:$AD$921),50,ROUND((AD288-MIN($AD$2:$AD$921))/(MAX($AD$2:$AD$921)-MIN($AD$2:$AD$921))*100,2))</f>
        <v>11.39</v>
      </c>
      <c r="AW288" s="8" t="n">
        <f aca="false">IF(MAX($AN$2:$AN$921)=MIN($AN$2:$AN$921),50,ROUND((AN288-MIN($AN$2:$AN$921))/(MAX($AN$2:$AN$921)-MIN($AN$2:$AN$921))*100,2))</f>
        <v>76.25</v>
      </c>
      <c r="AX288" s="8" t="n">
        <f aca="false">AQ288*100</f>
        <v>0</v>
      </c>
      <c r="AY288" s="8" t="n">
        <f aca="false">AR288*100</f>
        <v>100</v>
      </c>
      <c r="AZ288" s="8" t="n">
        <f aca="false">IFERROR(ROUND(AS288*Assumptions!$I$6+AW288*Assumptions!$I$7+AT288*Assumptions!$I$8+AU288*Assumptions!$I$9+AV288*Assumptions!$I$10+AX288*Assumptions!$I$11+AY288*Assumptions!$I$12,2),"")</f>
        <v>62.46</v>
      </c>
      <c r="BA288" s="0" t="str">
        <f aca="false">IF(AZ288="","",IF(AZ288&lt;=Assumptions!$I$18,"Below Expectation",IF(AZ288&lt;=Assumptions!$I$19,"Developing",IF(AZ288&lt;=Assumptions!$I$20,"Meets Expectation",IF(AZ288&lt;=Assumptions!$I$21,"Exceeds","Star Performer")))))</f>
        <v>Meets Expectation</v>
      </c>
      <c r="BB288" s="0" t="n">
        <f aca="false">IF(AZ288="",0,IF(AZ288&gt;=Assumptions!$I$26,1,0))</f>
        <v>0</v>
      </c>
      <c r="BC288" s="9" t="n">
        <f aca="false">IF(AL288="",2,AL288+2)</f>
        <v>2</v>
      </c>
      <c r="BD288" s="10" t="n">
        <f aca="false">IF(AM288="",ROUND(AVERAGE($AM$2:$AM$921),3),AM288)</f>
        <v>0.577</v>
      </c>
      <c r="BE288" s="9" t="n">
        <f aca="false">1-BD288</f>
        <v>0.423</v>
      </c>
    </row>
    <row r="289" customFormat="false" ht="14.25" hidden="true" customHeight="false" outlineLevel="0" collapsed="false">
      <c r="A289" s="4" t="n">
        <v>17</v>
      </c>
      <c r="B289" s="5" t="n">
        <v>451503</v>
      </c>
      <c r="C289" s="5" t="s">
        <v>85</v>
      </c>
      <c r="D289" s="5" t="s">
        <v>1416</v>
      </c>
      <c r="E289" s="5" t="s">
        <v>1238</v>
      </c>
      <c r="F289" s="5" t="s">
        <v>178</v>
      </c>
      <c r="G289" s="5" t="s">
        <v>177</v>
      </c>
      <c r="H289" s="5" t="s">
        <v>178</v>
      </c>
      <c r="I289" s="5" t="s">
        <v>63</v>
      </c>
      <c r="J289" s="5" t="s">
        <v>76</v>
      </c>
      <c r="K289" s="5" t="s">
        <v>65</v>
      </c>
      <c r="L289" s="6" t="n">
        <v>33178</v>
      </c>
      <c r="M289" s="5" t="s">
        <v>1417</v>
      </c>
      <c r="N289" s="6" t="n">
        <v>24929</v>
      </c>
      <c r="O289" s="5" t="s">
        <v>122</v>
      </c>
      <c r="P289" s="5" t="s">
        <v>123</v>
      </c>
      <c r="Q289" s="5" t="s">
        <v>1418</v>
      </c>
      <c r="R289" s="5" t="s">
        <v>115</v>
      </c>
      <c r="S289" s="5" t="s">
        <v>1418</v>
      </c>
      <c r="T289" s="6" t="n">
        <v>38078</v>
      </c>
      <c r="U289" s="6" t="n">
        <v>41365</v>
      </c>
      <c r="V289" s="5" t="s">
        <v>631</v>
      </c>
      <c r="W289" s="5" t="s">
        <v>141</v>
      </c>
      <c r="X289" s="5" t="s">
        <v>141</v>
      </c>
      <c r="Y289" s="5" t="s">
        <v>141</v>
      </c>
      <c r="Z289" s="5" t="s">
        <v>631</v>
      </c>
      <c r="AA289" s="5" t="s">
        <v>1419</v>
      </c>
      <c r="AB289" s="0" t="n">
        <f aca="false">IFERROR(VALUE(R289),0)</f>
        <v>0</v>
      </c>
      <c r="AC289" s="0" t="n">
        <f aca="false">IFERROR(VALUE(M289),"")</f>
        <v>58.2</v>
      </c>
      <c r="AD289" s="0" t="n">
        <f aca="false">IFERROR(VALUE(Q289),"")</f>
        <v>35.7</v>
      </c>
      <c r="AE289" s="0" t="n">
        <f aca="false">IFERROR(VALUE(S289),"")</f>
        <v>35.7</v>
      </c>
      <c r="AF289" s="0" t="n">
        <f aca="false">IF(V289="","",VLOOKUP(V289,Assumptions!$B$6:$C$9,2,FALSE()))</f>
        <v>2</v>
      </c>
      <c r="AG289" s="0" t="n">
        <f aca="false">IF(W289="","",VLOOKUP(W289,Assumptions!$B$6:$C$9,2,FALSE()))</f>
        <v>3</v>
      </c>
      <c r="AH289" s="0" t="n">
        <f aca="false">IF(X289="","",VLOOKUP(X289,Assumptions!$B$6:$C$9,2,FALSE()))</f>
        <v>3</v>
      </c>
      <c r="AI289" s="0" t="n">
        <f aca="false">IF(Y289="","",VLOOKUP(Y289,Assumptions!$B$6:$C$9,2,FALSE()))</f>
        <v>3</v>
      </c>
      <c r="AJ289" s="0" t="n">
        <f aca="false">IF(Z289="","",VLOOKUP(Z289,Assumptions!$B$6:$C$9,2,FALSE()))</f>
        <v>2</v>
      </c>
      <c r="AK289" s="7" t="n">
        <f aca="false">IFERROR(ROUND(AVERAGE(AF289:AJ289),3),"")</f>
        <v>2.6</v>
      </c>
      <c r="AL289" s="7" t="n">
        <f aca="false">IF(OR(AF289="",AJ289=""),"",AJ289-AF289)</f>
        <v>0</v>
      </c>
      <c r="AM289" s="7" t="n">
        <f aca="false">IF(COUNT(AF289:AJ289)&gt;=2,ROUND(_xlfn.STDEV.S(AF289:AJ289),3),"")</f>
        <v>0.548</v>
      </c>
      <c r="AN289" s="7" t="n">
        <f aca="false">ROUND((IF(AF289="",0,AF289)*Assumptions!$F$15)+(IF(AG289="",0,AG289)*Assumptions!$F$16)+(IF(AH289="",0,AH289)*Assumptions!$F$17)+(IF(AI289="",0,AI289)*Assumptions!$F$18)+(IF(AJ289="",0,AJ289)*Assumptions!$F$19),3)</f>
        <v>2.6</v>
      </c>
      <c r="AO289" s="0" t="str">
        <f aca="false">IF(AC289&lt;=20,"",IF(AC289&lt;=Assumptions!$F$6,"20-30",IF(AC289&lt;=Assumptions!$F$7,"30-40",IF(AC289&lt;=Assumptions!$F$8,"40-50",IF(AC289&lt;=Assumptions!$F$9,"50-60",IF(AC289&lt;=Assumptions!$F$10,"60+",""))))))</f>
        <v>50-60</v>
      </c>
      <c r="AP289" s="0" t="str">
        <f aca="false">IFERROR(VLOOKUP(O289,Assumptions!$B$14:$C$26,2,FALSE()),"Other")</f>
        <v>Leadership</v>
      </c>
      <c r="AQ289" s="0" t="n">
        <f aca="false">IF(T289="",0,1)</f>
        <v>1</v>
      </c>
      <c r="AR289" s="0" t="n">
        <f aca="false">IF(U289="",0,1)</f>
        <v>1</v>
      </c>
      <c r="AS289" s="8" t="n">
        <f aca="false">IF(AK289="","",IF(MAX($AK$2:$AK$921)=MIN($AK$2:$AK$921),50,ROUND((AK289-MIN($AK$2:$AK$921))/(MAX($AK$2:$AK$921)-MIN($AK$2:$AK$921))*100,2)))</f>
        <v>39.99</v>
      </c>
      <c r="AT289" s="8" t="n">
        <f aca="false">IF(MAX($BC$2:$BC$921)=MIN($BC$2:$BC$921),50,ROUND((BC289-MIN($BC$2:$BC$921))/(MAX($BC$2:$BC$921)-MIN($BC$2:$BC$921))*100,2))</f>
        <v>50</v>
      </c>
      <c r="AU289" s="8" t="n">
        <f aca="false">IF(MAX($BE$2:$BE$921)=MIN($BE$2:$BE$921),50,ROUND((BE289-MIN($BE$2:$BE$921))/(MAX($BE$2:$BE$921)-MIN($BE$2:$BE$921))*100,2))</f>
        <v>68.36</v>
      </c>
      <c r="AV289" s="8" t="n">
        <f aca="false">IF(MAX($AD$2:$AD$921)=MIN($AD$2:$AD$921),50,ROUND((AD289-MIN($AD$2:$AD$921))/(MAX($AD$2:$AD$921)-MIN($AD$2:$AD$921))*100,2))</f>
        <v>96.74</v>
      </c>
      <c r="AW289" s="8" t="n">
        <f aca="false">IF(MAX($AN$2:$AN$921)=MIN($AN$2:$AN$921),50,ROUND((AN289-MIN($AN$2:$AN$921))/(MAX($AN$2:$AN$921)-MIN($AN$2:$AN$921))*100,2))</f>
        <v>65</v>
      </c>
      <c r="AX289" s="8" t="n">
        <f aca="false">AQ289*100</f>
        <v>100</v>
      </c>
      <c r="AY289" s="8" t="n">
        <f aca="false">AR289*100</f>
        <v>100</v>
      </c>
      <c r="AZ289" s="8" t="n">
        <f aca="false">IFERROR(ROUND(AS289*Assumptions!$I$6+AW289*Assumptions!$I$7+AT289*Assumptions!$I$8+AU289*Assumptions!$I$9+AV289*Assumptions!$I$10+AX289*Assumptions!$I$11+AY289*Assumptions!$I$12,2),"")</f>
        <v>62.43</v>
      </c>
      <c r="BA289" s="0" t="str">
        <f aca="false">IF(AZ289="","",IF(AZ289&lt;=Assumptions!$I$18,"Below Expectation",IF(AZ289&lt;=Assumptions!$I$19,"Developing",IF(AZ289&lt;=Assumptions!$I$20,"Meets Expectation",IF(AZ289&lt;=Assumptions!$I$21,"Exceeds","Star Performer")))))</f>
        <v>Meets Expectation</v>
      </c>
      <c r="BB289" s="0" t="n">
        <f aca="false">IF(AZ289="",0,IF(AZ289&gt;=Assumptions!$I$26,1,0))</f>
        <v>0</v>
      </c>
      <c r="BC289" s="9" t="n">
        <f aca="false">IF(AL289="",2,AL289+2)</f>
        <v>2</v>
      </c>
      <c r="BD289" s="10" t="n">
        <f aca="false">IF(AM289="",ROUND(AVERAGE($AM$2:$AM$921),3),AM289)</f>
        <v>0.548</v>
      </c>
      <c r="BE289" s="9" t="n">
        <f aca="false">1-BD289</f>
        <v>0.452</v>
      </c>
    </row>
    <row r="290" customFormat="false" ht="14.25" hidden="true" customHeight="false" outlineLevel="0" collapsed="false">
      <c r="A290" s="4" t="n">
        <v>180</v>
      </c>
      <c r="B290" s="5" t="n">
        <v>10053803</v>
      </c>
      <c r="C290" s="5" t="s">
        <v>57</v>
      </c>
      <c r="D290" s="5" t="s">
        <v>1420</v>
      </c>
      <c r="E290" s="5" t="s">
        <v>208</v>
      </c>
      <c r="F290" s="5" t="s">
        <v>608</v>
      </c>
      <c r="G290" s="5" t="s">
        <v>609</v>
      </c>
      <c r="H290" s="5" t="s">
        <v>608</v>
      </c>
      <c r="I290" s="5" t="s">
        <v>63</v>
      </c>
      <c r="J290" s="5" t="s">
        <v>100</v>
      </c>
      <c r="K290" s="5" t="s">
        <v>65</v>
      </c>
      <c r="L290" s="6" t="n">
        <v>42492</v>
      </c>
      <c r="M290" s="5" t="s">
        <v>769</v>
      </c>
      <c r="N290" s="6" t="n">
        <v>33383</v>
      </c>
      <c r="O290" s="5" t="s">
        <v>365</v>
      </c>
      <c r="P290" s="5" t="s">
        <v>365</v>
      </c>
      <c r="Q290" s="5" t="s">
        <v>399</v>
      </c>
      <c r="R290" s="5" t="s">
        <v>115</v>
      </c>
      <c r="S290" s="5" t="s">
        <v>399</v>
      </c>
      <c r="T290" s="6"/>
      <c r="U290" s="6"/>
      <c r="V290" s="5" t="s">
        <v>631</v>
      </c>
      <c r="W290" s="5" t="s">
        <v>141</v>
      </c>
      <c r="X290" s="5" t="s">
        <v>141</v>
      </c>
      <c r="Y290" s="5" t="s">
        <v>83</v>
      </c>
      <c r="Z290" s="5" t="s">
        <v>83</v>
      </c>
      <c r="AA290" s="5" t="s">
        <v>1421</v>
      </c>
      <c r="AB290" s="0" t="n">
        <f aca="false">IFERROR(VALUE(R290),0)</f>
        <v>0</v>
      </c>
      <c r="AC290" s="0" t="n">
        <f aca="false">IFERROR(VALUE(M290),"")</f>
        <v>35</v>
      </c>
      <c r="AD290" s="0" t="n">
        <f aca="false">IFERROR(VALUE(Q290),"")</f>
        <v>10.1</v>
      </c>
      <c r="AE290" s="0" t="n">
        <f aca="false">IFERROR(VALUE(S290),"")</f>
        <v>10.1</v>
      </c>
      <c r="AF290" s="0" t="n">
        <f aca="false">IF(V290="","",VLOOKUP(V290,Assumptions!$B$6:$C$9,2,FALSE()))</f>
        <v>2</v>
      </c>
      <c r="AG290" s="0" t="n">
        <f aca="false">IF(W290="","",VLOOKUP(W290,Assumptions!$B$6:$C$9,2,FALSE()))</f>
        <v>3</v>
      </c>
      <c r="AH290" s="0" t="n">
        <f aca="false">IF(X290="","",VLOOKUP(X290,Assumptions!$B$6:$C$9,2,FALSE()))</f>
        <v>3</v>
      </c>
      <c r="AI290" s="0" t="n">
        <f aca="false">IF(Y290="","",VLOOKUP(Y290,Assumptions!$B$6:$C$9,2,FALSE()))</f>
        <v>4</v>
      </c>
      <c r="AJ290" s="0" t="n">
        <f aca="false">IF(Z290="","",VLOOKUP(Z290,Assumptions!$B$6:$C$9,2,FALSE()))</f>
        <v>4</v>
      </c>
      <c r="AK290" s="7" t="n">
        <f aca="false">IFERROR(ROUND(AVERAGE(AF290:AJ290),3),"")</f>
        <v>3.2</v>
      </c>
      <c r="AL290" s="7" t="n">
        <f aca="false">IF(OR(AF290="",AJ290=""),"",AJ290-AF290)</f>
        <v>2</v>
      </c>
      <c r="AM290" s="7" t="n">
        <f aca="false">IF(COUNT(AF290:AJ290)&gt;=2,ROUND(_xlfn.STDEV.S(AF290:AJ290),3),"")</f>
        <v>0.837</v>
      </c>
      <c r="AN290" s="7" t="n">
        <f aca="false">ROUND((IF(AF290="",0,AF290)*Assumptions!$F$15)+(IF(AG290="",0,AG290)*Assumptions!$F$16)+(IF(AH290="",0,AH290)*Assumptions!$F$17)+(IF(AI290="",0,AI290)*Assumptions!$F$18)+(IF(AJ290="",0,AJ290)*Assumptions!$F$19),3)</f>
        <v>3.45</v>
      </c>
      <c r="AO290" s="0" t="str">
        <f aca="false">IF(AC290&lt;=20,"",IF(AC290&lt;=Assumptions!$F$6,"20-30",IF(AC290&lt;=Assumptions!$F$7,"30-40",IF(AC290&lt;=Assumptions!$F$8,"40-50",IF(AC290&lt;=Assumptions!$F$9,"50-60",IF(AC290&lt;=Assumptions!$F$10,"60+",""))))))</f>
        <v>30-40</v>
      </c>
      <c r="AP290" s="0" t="str">
        <f aca="false">IFERROR(VLOOKUP(O290,Assumptions!$B$14:$C$26,2,FALSE()),"Other")</f>
        <v>Manager</v>
      </c>
      <c r="AQ290" s="0" t="n">
        <f aca="false">IF(T290="",0,1)</f>
        <v>0</v>
      </c>
      <c r="AR290" s="0" t="n">
        <f aca="false">IF(U290="",0,1)</f>
        <v>0</v>
      </c>
      <c r="AS290" s="8" t="n">
        <f aca="false">IF(AK290="","",IF(MAX($AK$2:$AK$921)=MIN($AK$2:$AK$921),50,ROUND((AK290-MIN($AK$2:$AK$921))/(MAX($AK$2:$AK$921)-MIN($AK$2:$AK$921))*100,2)))</f>
        <v>65.71</v>
      </c>
      <c r="AT290" s="8" t="n">
        <f aca="false">IF(MAX($BC$2:$BC$921)=MIN($BC$2:$BC$921),50,ROUND((BC290-MIN($BC$2:$BC$921))/(MAX($BC$2:$BC$921)-MIN($BC$2:$BC$921))*100,2))</f>
        <v>100</v>
      </c>
      <c r="AU290" s="8" t="n">
        <f aca="false">IF(MAX($BE$2:$BE$921)=MIN($BE$2:$BE$921),50,ROUND((BE290-MIN($BE$2:$BE$921))/(MAX($BE$2:$BE$921)-MIN($BE$2:$BE$921))*100,2))</f>
        <v>51.67</v>
      </c>
      <c r="AV290" s="8" t="n">
        <f aca="false">IF(MAX($AD$2:$AD$921)=MIN($AD$2:$AD$921),50,ROUND((AD290-MIN($AD$2:$AD$921))/(MAX($AD$2:$AD$921)-MIN($AD$2:$AD$921))*100,2))</f>
        <v>27.15</v>
      </c>
      <c r="AW290" s="8" t="n">
        <f aca="false">IF(MAX($AN$2:$AN$921)=MIN($AN$2:$AN$921),50,ROUND((AN290-MIN($AN$2:$AN$921))/(MAX($AN$2:$AN$921)-MIN($AN$2:$AN$921))*100,2))</f>
        <v>86.25</v>
      </c>
      <c r="AX290" s="8" t="n">
        <f aca="false">AQ290*100</f>
        <v>0</v>
      </c>
      <c r="AY290" s="8" t="n">
        <f aca="false">AR290*100</f>
        <v>0</v>
      </c>
      <c r="AZ290" s="8" t="n">
        <f aca="false">IFERROR(ROUND(AS290*Assumptions!$I$6+AW290*Assumptions!$I$7+AT290*Assumptions!$I$8+AU290*Assumptions!$I$9+AV290*Assumptions!$I$10+AX290*Assumptions!$I$11+AY290*Assumptions!$I$12,2),"")</f>
        <v>62.43</v>
      </c>
      <c r="BA290" s="0" t="str">
        <f aca="false">IF(AZ290="","",IF(AZ290&lt;=Assumptions!$I$18,"Below Expectation",IF(AZ290&lt;=Assumptions!$I$19,"Developing",IF(AZ290&lt;=Assumptions!$I$20,"Meets Expectation",IF(AZ290&lt;=Assumptions!$I$21,"Exceeds","Star Performer")))))</f>
        <v>Meets Expectation</v>
      </c>
      <c r="BB290" s="0" t="n">
        <f aca="false">IF(AZ290="",0,IF(AZ290&gt;=Assumptions!$I$26,1,0))</f>
        <v>0</v>
      </c>
      <c r="BC290" s="9" t="n">
        <f aca="false">IF(AL290="",2,AL290+2)</f>
        <v>4</v>
      </c>
      <c r="BD290" s="10" t="n">
        <f aca="false">IF(AM290="",ROUND(AVERAGE($AM$2:$AM$921),3),AM290)</f>
        <v>0.837</v>
      </c>
      <c r="BE290" s="9" t="n">
        <f aca="false">1-BD290</f>
        <v>0.163</v>
      </c>
    </row>
    <row r="291" customFormat="false" ht="14.25" hidden="true" customHeight="false" outlineLevel="0" collapsed="false">
      <c r="A291" s="4" t="n">
        <v>173</v>
      </c>
      <c r="B291" s="5" t="n">
        <v>10053309</v>
      </c>
      <c r="C291" s="5" t="s">
        <v>858</v>
      </c>
      <c r="D291" s="5" t="s">
        <v>1422</v>
      </c>
      <c r="E291" s="5" t="s">
        <v>1423</v>
      </c>
      <c r="F291" s="5" t="s">
        <v>1177</v>
      </c>
      <c r="G291" s="5" t="s">
        <v>1178</v>
      </c>
      <c r="H291" s="5" t="s">
        <v>1177</v>
      </c>
      <c r="I291" s="5" t="s">
        <v>63</v>
      </c>
      <c r="J291" s="5" t="s">
        <v>100</v>
      </c>
      <c r="K291" s="5" t="s">
        <v>65</v>
      </c>
      <c r="L291" s="6" t="n">
        <v>42443</v>
      </c>
      <c r="M291" s="5" t="s">
        <v>1424</v>
      </c>
      <c r="N291" s="6" t="n">
        <v>28126</v>
      </c>
      <c r="O291" s="5" t="s">
        <v>162</v>
      </c>
      <c r="P291" s="5" t="s">
        <v>162</v>
      </c>
      <c r="Q291" s="5" t="s">
        <v>318</v>
      </c>
      <c r="R291" s="5" t="s">
        <v>1189</v>
      </c>
      <c r="S291" s="5" t="s">
        <v>1425</v>
      </c>
      <c r="T291" s="6"/>
      <c r="U291" s="6" t="n">
        <v>46113</v>
      </c>
      <c r="V291" s="5" t="s">
        <v>141</v>
      </c>
      <c r="W291" s="5" t="s">
        <v>141</v>
      </c>
      <c r="X291" s="5" t="s">
        <v>141</v>
      </c>
      <c r="Y291" s="5" t="s">
        <v>141</v>
      </c>
      <c r="Z291" s="5" t="s">
        <v>141</v>
      </c>
      <c r="AA291" s="5" t="s">
        <v>1426</v>
      </c>
      <c r="AB291" s="0" t="n">
        <f aca="false">IFERROR(VALUE(R291),0)</f>
        <v>16.9</v>
      </c>
      <c r="AC291" s="0" t="n">
        <f aca="false">IFERROR(VALUE(M291),"")</f>
        <v>49.5</v>
      </c>
      <c r="AD291" s="0" t="n">
        <f aca="false">IFERROR(VALUE(Q291),"")</f>
        <v>10.2</v>
      </c>
      <c r="AE291" s="0" t="n">
        <f aca="false">IFERROR(VALUE(S291),"")</f>
        <v>26.11</v>
      </c>
      <c r="AF291" s="0" t="n">
        <f aca="false">IF(V291="","",VLOOKUP(V291,Assumptions!$B$6:$C$9,2,FALSE()))</f>
        <v>3</v>
      </c>
      <c r="AG291" s="0" t="n">
        <f aca="false">IF(W291="","",VLOOKUP(W291,Assumptions!$B$6:$C$9,2,FALSE()))</f>
        <v>3</v>
      </c>
      <c r="AH291" s="0" t="n">
        <f aca="false">IF(X291="","",VLOOKUP(X291,Assumptions!$B$6:$C$9,2,FALSE()))</f>
        <v>3</v>
      </c>
      <c r="AI291" s="0" t="n">
        <f aca="false">IF(Y291="","",VLOOKUP(Y291,Assumptions!$B$6:$C$9,2,FALSE()))</f>
        <v>3</v>
      </c>
      <c r="AJ291" s="0" t="n">
        <f aca="false">IF(Z291="","",VLOOKUP(Z291,Assumptions!$B$6:$C$9,2,FALSE()))</f>
        <v>3</v>
      </c>
      <c r="AK291" s="7" t="n">
        <f aca="false">IFERROR(ROUND(AVERAGE(AF291:AJ291),3),"")</f>
        <v>3</v>
      </c>
      <c r="AL291" s="7" t="n">
        <f aca="false">IF(OR(AF291="",AJ291=""),"",AJ291-AF291)</f>
        <v>0</v>
      </c>
      <c r="AM291" s="7" t="n">
        <f aca="false">IF(COUNT(AF291:AJ291)&gt;=2,ROUND(_xlfn.STDEV.S(AF291:AJ291),3),"")</f>
        <v>0</v>
      </c>
      <c r="AN291" s="7" t="n">
        <f aca="false">ROUND((IF(AF291="",0,AF291)*Assumptions!$F$15)+(IF(AG291="",0,AG291)*Assumptions!$F$16)+(IF(AH291="",0,AH291)*Assumptions!$F$17)+(IF(AI291="",0,AI291)*Assumptions!$F$18)+(IF(AJ291="",0,AJ291)*Assumptions!$F$19),3)</f>
        <v>3</v>
      </c>
      <c r="AO291" s="0" t="str">
        <f aca="false">IF(AC291&lt;=20,"",IF(AC291&lt;=Assumptions!$F$6,"20-30",IF(AC291&lt;=Assumptions!$F$7,"30-40",IF(AC291&lt;=Assumptions!$F$8,"40-50",IF(AC291&lt;=Assumptions!$F$9,"50-60",IF(AC291&lt;=Assumptions!$F$10,"60+",""))))))</f>
        <v>40-50</v>
      </c>
      <c r="AP291" s="0" t="str">
        <f aca="false">IFERROR(VLOOKUP(O291,Assumptions!$B$14:$C$26,2,FALSE()),"Other")</f>
        <v>Manager</v>
      </c>
      <c r="AQ291" s="0" t="n">
        <f aca="false">IF(T291="",0,1)</f>
        <v>0</v>
      </c>
      <c r="AR291" s="0" t="n">
        <f aca="false">IF(U291="",0,1)</f>
        <v>1</v>
      </c>
      <c r="AS291" s="8" t="n">
        <f aca="false">IF(AK291="","",IF(MAX($AK$2:$AK$921)=MIN($AK$2:$AK$921),50,ROUND((AK291-MIN($AK$2:$AK$921))/(MAX($AK$2:$AK$921)-MIN($AK$2:$AK$921))*100,2)))</f>
        <v>57.14</v>
      </c>
      <c r="AT291" s="8" t="n">
        <f aca="false">IF(MAX($BC$2:$BC$921)=MIN($BC$2:$BC$921),50,ROUND((BC291-MIN($BC$2:$BC$921))/(MAX($BC$2:$BC$921)-MIN($BC$2:$BC$921))*100,2))</f>
        <v>50</v>
      </c>
      <c r="AU291" s="8" t="n">
        <f aca="false">IF(MAX($BE$2:$BE$921)=MIN($BE$2:$BE$921),50,ROUND((BE291-MIN($BE$2:$BE$921))/(MAX($BE$2:$BE$921)-MIN($BE$2:$BE$921))*100,2))</f>
        <v>100</v>
      </c>
      <c r="AV291" s="8" t="n">
        <f aca="false">IF(MAX($AD$2:$AD$921)=MIN($AD$2:$AD$921),50,ROUND((AD291-MIN($AD$2:$AD$921))/(MAX($AD$2:$AD$921)-MIN($AD$2:$AD$921))*100,2))</f>
        <v>27.43</v>
      </c>
      <c r="AW291" s="8" t="n">
        <f aca="false">IF(MAX($AN$2:$AN$921)=MIN($AN$2:$AN$921),50,ROUND((AN291-MIN($AN$2:$AN$921))/(MAX($AN$2:$AN$921)-MIN($AN$2:$AN$921))*100,2))</f>
        <v>75</v>
      </c>
      <c r="AX291" s="8" t="n">
        <f aca="false">AQ291*100</f>
        <v>0</v>
      </c>
      <c r="AY291" s="8" t="n">
        <f aca="false">AR291*100</f>
        <v>100</v>
      </c>
      <c r="AZ291" s="8" t="n">
        <f aca="false">IFERROR(ROUND(AS291*Assumptions!$I$6+AW291*Assumptions!$I$7+AT291*Assumptions!$I$8+AU291*Assumptions!$I$9+AV291*Assumptions!$I$10+AX291*Assumptions!$I$11+AY291*Assumptions!$I$12,2),"")</f>
        <v>62.39</v>
      </c>
      <c r="BA291" s="0" t="str">
        <f aca="false">IF(AZ291="","",IF(AZ291&lt;=Assumptions!$I$18,"Below Expectation",IF(AZ291&lt;=Assumptions!$I$19,"Developing",IF(AZ291&lt;=Assumptions!$I$20,"Meets Expectation",IF(AZ291&lt;=Assumptions!$I$21,"Exceeds","Star Performer")))))</f>
        <v>Meets Expectation</v>
      </c>
      <c r="BB291" s="0" t="n">
        <f aca="false">IF(AZ291="",0,IF(AZ291&gt;=Assumptions!$I$26,1,0))</f>
        <v>0</v>
      </c>
      <c r="BC291" s="9" t="n">
        <f aca="false">IF(AL291="",2,AL291+2)</f>
        <v>2</v>
      </c>
      <c r="BD291" s="10" t="n">
        <f aca="false">IF(AM291="",ROUND(AVERAGE($AM$2:$AM$921),3),AM291)</f>
        <v>0</v>
      </c>
      <c r="BE291" s="9" t="n">
        <f aca="false">1-BD291</f>
        <v>1</v>
      </c>
    </row>
    <row r="292" customFormat="false" ht="14.25" hidden="true" customHeight="false" outlineLevel="0" collapsed="false">
      <c r="A292" s="4" t="n">
        <v>198</v>
      </c>
      <c r="B292" s="5" t="n">
        <v>10055755</v>
      </c>
      <c r="C292" s="5" t="s">
        <v>57</v>
      </c>
      <c r="D292" s="5" t="s">
        <v>1427</v>
      </c>
      <c r="E292" s="5" t="s">
        <v>299</v>
      </c>
      <c r="F292" s="5" t="s">
        <v>387</v>
      </c>
      <c r="G292" s="5" t="s">
        <v>388</v>
      </c>
      <c r="H292" s="5" t="s">
        <v>387</v>
      </c>
      <c r="I292" s="5" t="s">
        <v>63</v>
      </c>
      <c r="J292" s="5" t="s">
        <v>100</v>
      </c>
      <c r="K292" s="5" t="s">
        <v>65</v>
      </c>
      <c r="L292" s="6" t="n">
        <v>42646</v>
      </c>
      <c r="M292" s="5" t="s">
        <v>1428</v>
      </c>
      <c r="N292" s="6" t="n">
        <v>32062</v>
      </c>
      <c r="O292" s="5" t="s">
        <v>332</v>
      </c>
      <c r="P292" s="5" t="s">
        <v>333</v>
      </c>
      <c r="Q292" s="5" t="s">
        <v>418</v>
      </c>
      <c r="R292" s="5" t="s">
        <v>1297</v>
      </c>
      <c r="S292" s="5" t="s">
        <v>1137</v>
      </c>
      <c r="T292" s="6"/>
      <c r="U292" s="6" t="n">
        <v>44197</v>
      </c>
      <c r="V292" s="5" t="s">
        <v>141</v>
      </c>
      <c r="W292" s="5" t="s">
        <v>141</v>
      </c>
      <c r="X292" s="5" t="s">
        <v>141</v>
      </c>
      <c r="Y292" s="5" t="s">
        <v>141</v>
      </c>
      <c r="Z292" s="5" t="s">
        <v>141</v>
      </c>
      <c r="AA292" s="5" t="s">
        <v>1429</v>
      </c>
      <c r="AB292" s="0" t="n">
        <f aca="false">IFERROR(VALUE(R292),0)</f>
        <v>4.9</v>
      </c>
      <c r="AC292" s="0" t="n">
        <f aca="false">IFERROR(VALUE(M292),"")</f>
        <v>38.7</v>
      </c>
      <c r="AD292" s="0" t="n">
        <f aca="false">IFERROR(VALUE(Q292),"")</f>
        <v>9.8</v>
      </c>
      <c r="AE292" s="0" t="n">
        <f aca="false">IFERROR(VALUE(S292),"")</f>
        <v>14.5</v>
      </c>
      <c r="AF292" s="0" t="n">
        <f aca="false">IF(V292="","",VLOOKUP(V292,Assumptions!$B$6:$C$9,2,FALSE()))</f>
        <v>3</v>
      </c>
      <c r="AG292" s="0" t="n">
        <f aca="false">IF(W292="","",VLOOKUP(W292,Assumptions!$B$6:$C$9,2,FALSE()))</f>
        <v>3</v>
      </c>
      <c r="AH292" s="0" t="n">
        <f aca="false">IF(X292="","",VLOOKUP(X292,Assumptions!$B$6:$C$9,2,FALSE()))</f>
        <v>3</v>
      </c>
      <c r="AI292" s="0" t="n">
        <f aca="false">IF(Y292="","",VLOOKUP(Y292,Assumptions!$B$6:$C$9,2,FALSE()))</f>
        <v>3</v>
      </c>
      <c r="AJ292" s="0" t="n">
        <f aca="false">IF(Z292="","",VLOOKUP(Z292,Assumptions!$B$6:$C$9,2,FALSE()))</f>
        <v>3</v>
      </c>
      <c r="AK292" s="7" t="n">
        <f aca="false">IFERROR(ROUND(AVERAGE(AF292:AJ292),3),"")</f>
        <v>3</v>
      </c>
      <c r="AL292" s="7" t="n">
        <f aca="false">IF(OR(AF292="",AJ292=""),"",AJ292-AF292)</f>
        <v>0</v>
      </c>
      <c r="AM292" s="7" t="n">
        <f aca="false">IF(COUNT(AF292:AJ292)&gt;=2,ROUND(_xlfn.STDEV.S(AF292:AJ292),3),"")</f>
        <v>0</v>
      </c>
      <c r="AN292" s="7" t="n">
        <f aca="false">ROUND((IF(AF292="",0,AF292)*Assumptions!$F$15)+(IF(AG292="",0,AG292)*Assumptions!$F$16)+(IF(AH292="",0,AH292)*Assumptions!$F$17)+(IF(AI292="",0,AI292)*Assumptions!$F$18)+(IF(AJ292="",0,AJ292)*Assumptions!$F$19),3)</f>
        <v>3</v>
      </c>
      <c r="AO292" s="0" t="str">
        <f aca="false">IF(AC292&lt;=20,"",IF(AC292&lt;=Assumptions!$F$6,"20-30",IF(AC292&lt;=Assumptions!$F$7,"30-40",IF(AC292&lt;=Assumptions!$F$8,"40-50",IF(AC292&lt;=Assumptions!$F$9,"50-60",IF(AC292&lt;=Assumptions!$F$10,"60+",""))))))</f>
        <v>30-40</v>
      </c>
      <c r="AP292" s="0" t="str">
        <f aca="false">IFERROR(VLOOKUP(O292,Assumptions!$B$14:$C$26,2,FALSE()),"Other")</f>
        <v>Manager</v>
      </c>
      <c r="AQ292" s="0" t="n">
        <f aca="false">IF(T292="",0,1)</f>
        <v>0</v>
      </c>
      <c r="AR292" s="0" t="n">
        <f aca="false">IF(U292="",0,1)</f>
        <v>1</v>
      </c>
      <c r="AS292" s="8" t="n">
        <f aca="false">IF(AK292="","",IF(MAX($AK$2:$AK$921)=MIN($AK$2:$AK$921),50,ROUND((AK292-MIN($AK$2:$AK$921))/(MAX($AK$2:$AK$921)-MIN($AK$2:$AK$921))*100,2)))</f>
        <v>57.14</v>
      </c>
      <c r="AT292" s="8" t="n">
        <f aca="false">IF(MAX($BC$2:$BC$921)=MIN($BC$2:$BC$921),50,ROUND((BC292-MIN($BC$2:$BC$921))/(MAX($BC$2:$BC$921)-MIN($BC$2:$BC$921))*100,2))</f>
        <v>50</v>
      </c>
      <c r="AU292" s="8" t="n">
        <f aca="false">IF(MAX($BE$2:$BE$921)=MIN($BE$2:$BE$921),50,ROUND((BE292-MIN($BE$2:$BE$921))/(MAX($BE$2:$BE$921)-MIN($BE$2:$BE$921))*100,2))</f>
        <v>100</v>
      </c>
      <c r="AV292" s="8" t="n">
        <f aca="false">IF(MAX($AD$2:$AD$921)=MIN($AD$2:$AD$921),50,ROUND((AD292-MIN($AD$2:$AD$921))/(MAX($AD$2:$AD$921)-MIN($AD$2:$AD$921))*100,2))</f>
        <v>26.34</v>
      </c>
      <c r="AW292" s="8" t="n">
        <f aca="false">IF(MAX($AN$2:$AN$921)=MIN($AN$2:$AN$921),50,ROUND((AN292-MIN($AN$2:$AN$921))/(MAX($AN$2:$AN$921)-MIN($AN$2:$AN$921))*100,2))</f>
        <v>75</v>
      </c>
      <c r="AX292" s="8" t="n">
        <f aca="false">AQ292*100</f>
        <v>0</v>
      </c>
      <c r="AY292" s="8" t="n">
        <f aca="false">AR292*100</f>
        <v>100</v>
      </c>
      <c r="AZ292" s="8" t="n">
        <f aca="false">IFERROR(ROUND(AS292*Assumptions!$I$6+AW292*Assumptions!$I$7+AT292*Assumptions!$I$8+AU292*Assumptions!$I$9+AV292*Assumptions!$I$10+AX292*Assumptions!$I$11+AY292*Assumptions!$I$12,2),"")</f>
        <v>62.28</v>
      </c>
      <c r="BA292" s="0" t="str">
        <f aca="false">IF(AZ292="","",IF(AZ292&lt;=Assumptions!$I$18,"Below Expectation",IF(AZ292&lt;=Assumptions!$I$19,"Developing",IF(AZ292&lt;=Assumptions!$I$20,"Meets Expectation",IF(AZ292&lt;=Assumptions!$I$21,"Exceeds","Star Performer")))))</f>
        <v>Meets Expectation</v>
      </c>
      <c r="BB292" s="0" t="n">
        <f aca="false">IF(AZ292="",0,IF(AZ292&gt;=Assumptions!$I$26,1,0))</f>
        <v>0</v>
      </c>
      <c r="BC292" s="9" t="n">
        <f aca="false">IF(AL292="",2,AL292+2)</f>
        <v>2</v>
      </c>
      <c r="BD292" s="10" t="n">
        <f aca="false">IF(AM292="",ROUND(AVERAGE($AM$2:$AM$921),3),AM292)</f>
        <v>0</v>
      </c>
      <c r="BE292" s="9" t="n">
        <f aca="false">1-BD292</f>
        <v>1</v>
      </c>
    </row>
    <row r="293" customFormat="false" ht="14.25" hidden="true" customHeight="false" outlineLevel="0" collapsed="false">
      <c r="A293" s="4" t="n">
        <v>193</v>
      </c>
      <c r="B293" s="5" t="n">
        <v>10055279</v>
      </c>
      <c r="C293" s="5" t="s">
        <v>57</v>
      </c>
      <c r="D293" s="5" t="s">
        <v>1430</v>
      </c>
      <c r="E293" s="5" t="s">
        <v>514</v>
      </c>
      <c r="F293" s="5" t="s">
        <v>387</v>
      </c>
      <c r="G293" s="5" t="s">
        <v>388</v>
      </c>
      <c r="H293" s="5" t="s">
        <v>387</v>
      </c>
      <c r="I293" s="5" t="s">
        <v>63</v>
      </c>
      <c r="J293" s="5" t="s">
        <v>100</v>
      </c>
      <c r="K293" s="5" t="s">
        <v>65</v>
      </c>
      <c r="L293" s="6" t="n">
        <v>42598</v>
      </c>
      <c r="M293" s="5" t="s">
        <v>443</v>
      </c>
      <c r="N293" s="6" t="n">
        <v>32860</v>
      </c>
      <c r="O293" s="5" t="s">
        <v>332</v>
      </c>
      <c r="P293" s="5" t="s">
        <v>333</v>
      </c>
      <c r="Q293" s="5" t="s">
        <v>1431</v>
      </c>
      <c r="R293" s="5" t="s">
        <v>629</v>
      </c>
      <c r="S293" s="5" t="s">
        <v>341</v>
      </c>
      <c r="T293" s="6"/>
      <c r="U293" s="6" t="n">
        <v>44197</v>
      </c>
      <c r="V293" s="5" t="s">
        <v>141</v>
      </c>
      <c r="W293" s="5" t="s">
        <v>141</v>
      </c>
      <c r="X293" s="5" t="s">
        <v>141</v>
      </c>
      <c r="Y293" s="5" t="s">
        <v>83</v>
      </c>
      <c r="Z293" s="5" t="s">
        <v>141</v>
      </c>
      <c r="AA293" s="5" t="s">
        <v>1432</v>
      </c>
      <c r="AB293" s="0" t="n">
        <f aca="false">IFERROR(VALUE(R293),0)</f>
        <v>2.1</v>
      </c>
      <c r="AC293" s="0" t="n">
        <f aca="false">IFERROR(VALUE(M293),"")</f>
        <v>36.5</v>
      </c>
      <c r="AD293" s="0" t="n">
        <f aca="false">IFERROR(VALUE(Q293),"")</f>
        <v>9.9</v>
      </c>
      <c r="AE293" s="0" t="n">
        <f aca="false">IFERROR(VALUE(S293),"")</f>
        <v>11.1</v>
      </c>
      <c r="AF293" s="0" t="n">
        <f aca="false">IF(V293="","",VLOOKUP(V293,Assumptions!$B$6:$C$9,2,FALSE()))</f>
        <v>3</v>
      </c>
      <c r="AG293" s="0" t="n">
        <f aca="false">IF(W293="","",VLOOKUP(W293,Assumptions!$B$6:$C$9,2,FALSE()))</f>
        <v>3</v>
      </c>
      <c r="AH293" s="0" t="n">
        <f aca="false">IF(X293="","",VLOOKUP(X293,Assumptions!$B$6:$C$9,2,FALSE()))</f>
        <v>3</v>
      </c>
      <c r="AI293" s="0" t="n">
        <f aca="false">IF(Y293="","",VLOOKUP(Y293,Assumptions!$B$6:$C$9,2,FALSE()))</f>
        <v>4</v>
      </c>
      <c r="AJ293" s="0" t="n">
        <f aca="false">IF(Z293="","",VLOOKUP(Z293,Assumptions!$B$6:$C$9,2,FALSE()))</f>
        <v>3</v>
      </c>
      <c r="AK293" s="7" t="n">
        <f aca="false">IFERROR(ROUND(AVERAGE(AF293:AJ293),3),"")</f>
        <v>3.2</v>
      </c>
      <c r="AL293" s="7" t="n">
        <f aca="false">IF(OR(AF293="",AJ293=""),"",AJ293-AF293)</f>
        <v>0</v>
      </c>
      <c r="AM293" s="7" t="n">
        <f aca="false">IF(COUNT(AF293:AJ293)&gt;=2,ROUND(_xlfn.STDEV.S(AF293:AJ293),3),"")</f>
        <v>0.447</v>
      </c>
      <c r="AN293" s="7" t="n">
        <f aca="false">ROUND((IF(AF293="",0,AF293)*Assumptions!$F$15)+(IF(AG293="",0,AG293)*Assumptions!$F$16)+(IF(AH293="",0,AH293)*Assumptions!$F$17)+(IF(AI293="",0,AI293)*Assumptions!$F$18)+(IF(AJ293="",0,AJ293)*Assumptions!$F$19),3)</f>
        <v>3.25</v>
      </c>
      <c r="AO293" s="0" t="str">
        <f aca="false">IF(AC293&lt;=20,"",IF(AC293&lt;=Assumptions!$F$6,"20-30",IF(AC293&lt;=Assumptions!$F$7,"30-40",IF(AC293&lt;=Assumptions!$F$8,"40-50",IF(AC293&lt;=Assumptions!$F$9,"50-60",IF(AC293&lt;=Assumptions!$F$10,"60+",""))))))</f>
        <v>30-40</v>
      </c>
      <c r="AP293" s="0" t="str">
        <f aca="false">IFERROR(VLOOKUP(O293,Assumptions!$B$14:$C$26,2,FALSE()),"Other")</f>
        <v>Manager</v>
      </c>
      <c r="AQ293" s="0" t="n">
        <f aca="false">IF(T293="",0,1)</f>
        <v>0</v>
      </c>
      <c r="AR293" s="0" t="n">
        <f aca="false">IF(U293="",0,1)</f>
        <v>1</v>
      </c>
      <c r="AS293" s="8" t="n">
        <f aca="false">IF(AK293="","",IF(MAX($AK$2:$AK$921)=MIN($AK$2:$AK$921),50,ROUND((AK293-MIN($AK$2:$AK$921))/(MAX($AK$2:$AK$921)-MIN($AK$2:$AK$921))*100,2)))</f>
        <v>65.71</v>
      </c>
      <c r="AT293" s="8" t="n">
        <f aca="false">IF(MAX($BC$2:$BC$921)=MIN($BC$2:$BC$921),50,ROUND((BC293-MIN($BC$2:$BC$921))/(MAX($BC$2:$BC$921)-MIN($BC$2:$BC$921))*100,2))</f>
        <v>50</v>
      </c>
      <c r="AU293" s="8" t="n">
        <f aca="false">IF(MAX($BE$2:$BE$921)=MIN($BE$2:$BE$921),50,ROUND((BE293-MIN($BE$2:$BE$921))/(MAX($BE$2:$BE$921)-MIN($BE$2:$BE$921))*100,2))</f>
        <v>74.19</v>
      </c>
      <c r="AV293" s="8" t="n">
        <f aca="false">IF(MAX($AD$2:$AD$921)=MIN($AD$2:$AD$921),50,ROUND((AD293-MIN($AD$2:$AD$921))/(MAX($AD$2:$AD$921)-MIN($AD$2:$AD$921))*100,2))</f>
        <v>26.61</v>
      </c>
      <c r="AW293" s="8" t="n">
        <f aca="false">IF(MAX($AN$2:$AN$921)=MIN($AN$2:$AN$921),50,ROUND((AN293-MIN($AN$2:$AN$921))/(MAX($AN$2:$AN$921)-MIN($AN$2:$AN$921))*100,2))</f>
        <v>81.25</v>
      </c>
      <c r="AX293" s="8" t="n">
        <f aca="false">AQ293*100</f>
        <v>0</v>
      </c>
      <c r="AY293" s="8" t="n">
        <f aca="false">AR293*100</f>
        <v>100</v>
      </c>
      <c r="AZ293" s="8" t="n">
        <f aca="false">IFERROR(ROUND(AS293*Assumptions!$I$6+AW293*Assumptions!$I$7+AT293*Assumptions!$I$8+AU293*Assumptions!$I$9+AV293*Assumptions!$I$10+AX293*Assumptions!$I$11+AY293*Assumptions!$I$12,2),"")</f>
        <v>62.25</v>
      </c>
      <c r="BA293" s="0" t="str">
        <f aca="false">IF(AZ293="","",IF(AZ293&lt;=Assumptions!$I$18,"Below Expectation",IF(AZ293&lt;=Assumptions!$I$19,"Developing",IF(AZ293&lt;=Assumptions!$I$20,"Meets Expectation",IF(AZ293&lt;=Assumptions!$I$21,"Exceeds","Star Performer")))))</f>
        <v>Meets Expectation</v>
      </c>
      <c r="BB293" s="0" t="n">
        <f aca="false">IF(AZ293="",0,IF(AZ293&gt;=Assumptions!$I$26,1,0))</f>
        <v>0</v>
      </c>
      <c r="BC293" s="9" t="n">
        <f aca="false">IF(AL293="",2,AL293+2)</f>
        <v>2</v>
      </c>
      <c r="BD293" s="10" t="n">
        <f aca="false">IF(AM293="",ROUND(AVERAGE($AM$2:$AM$921),3),AM293)</f>
        <v>0.447</v>
      </c>
      <c r="BE293" s="9" t="n">
        <f aca="false">1-BD293</f>
        <v>0.553</v>
      </c>
    </row>
    <row r="294" customFormat="false" ht="14.25" hidden="false" customHeight="false" outlineLevel="0" collapsed="false">
      <c r="A294" s="4" t="n">
        <v>282</v>
      </c>
      <c r="B294" s="5" t="n">
        <v>10068783</v>
      </c>
      <c r="C294" s="5" t="s">
        <v>106</v>
      </c>
      <c r="D294" s="5" t="s">
        <v>1433</v>
      </c>
      <c r="E294" s="5" t="s">
        <v>108</v>
      </c>
      <c r="F294" s="5" t="s">
        <v>885</v>
      </c>
      <c r="G294" s="5" t="s">
        <v>160</v>
      </c>
      <c r="H294" s="5" t="s">
        <v>159</v>
      </c>
      <c r="I294" s="5" t="s">
        <v>63</v>
      </c>
      <c r="J294" s="5" t="s">
        <v>112</v>
      </c>
      <c r="K294" s="5" t="s">
        <v>65</v>
      </c>
      <c r="L294" s="6" t="n">
        <v>43654</v>
      </c>
      <c r="M294" s="5" t="s">
        <v>789</v>
      </c>
      <c r="N294" s="6" t="n">
        <v>30217</v>
      </c>
      <c r="O294" s="5" t="s">
        <v>162</v>
      </c>
      <c r="P294" s="5" t="s">
        <v>162</v>
      </c>
      <c r="Q294" s="5" t="s">
        <v>701</v>
      </c>
      <c r="R294" s="5" t="s">
        <v>936</v>
      </c>
      <c r="S294" s="5" t="s">
        <v>301</v>
      </c>
      <c r="T294" s="6"/>
      <c r="U294" s="6"/>
      <c r="V294" s="5" t="s">
        <v>83</v>
      </c>
      <c r="W294" s="5" t="s">
        <v>141</v>
      </c>
      <c r="X294" s="5" t="s">
        <v>83</v>
      </c>
      <c r="Y294" s="5" t="s">
        <v>141</v>
      </c>
      <c r="Z294" s="5" t="s">
        <v>83</v>
      </c>
      <c r="AA294" s="5" t="s">
        <v>1434</v>
      </c>
      <c r="AB294" s="0" t="n">
        <f aca="false">IFERROR(VALUE(R294),0)</f>
        <v>15.4</v>
      </c>
      <c r="AC294" s="0" t="n">
        <f aca="false">IFERROR(VALUE(M294),"")</f>
        <v>43.8</v>
      </c>
      <c r="AD294" s="0" t="n">
        <f aca="false">IFERROR(VALUE(Q294),"")</f>
        <v>6.11</v>
      </c>
      <c r="AE294" s="0" t="n">
        <f aca="false">IFERROR(VALUE(S294),"")</f>
        <v>22.3</v>
      </c>
      <c r="AF294" s="0" t="n">
        <f aca="false">IF(V294="","",VLOOKUP(V294,Assumptions!$B$6:$C$9,2,FALSE()))</f>
        <v>4</v>
      </c>
      <c r="AG294" s="0" t="n">
        <f aca="false">IF(W294="","",VLOOKUP(W294,Assumptions!$B$6:$C$9,2,FALSE()))</f>
        <v>3</v>
      </c>
      <c r="AH294" s="0" t="n">
        <f aca="false">IF(X294="","",VLOOKUP(X294,Assumptions!$B$6:$C$9,2,FALSE()))</f>
        <v>4</v>
      </c>
      <c r="AI294" s="0" t="n">
        <f aca="false">IF(Y294="","",VLOOKUP(Y294,Assumptions!$B$6:$C$9,2,FALSE()))</f>
        <v>3</v>
      </c>
      <c r="AJ294" s="0" t="n">
        <f aca="false">IF(Z294="","",VLOOKUP(Z294,Assumptions!$B$6:$C$9,2,FALSE()))</f>
        <v>4</v>
      </c>
      <c r="AK294" s="7" t="n">
        <f aca="false">IFERROR(ROUND(AVERAGE(AF294:AJ294),3),"")</f>
        <v>3.6</v>
      </c>
      <c r="AL294" s="7" t="n">
        <f aca="false">IF(OR(AF294="",AJ294=""),"",AJ294-AF294)</f>
        <v>0</v>
      </c>
      <c r="AM294" s="7" t="n">
        <f aca="false">IF(COUNT(AF294:AJ294)&gt;=2,ROUND(_xlfn.STDEV.S(AF294:AJ294),3),"")</f>
        <v>0.548</v>
      </c>
      <c r="AN294" s="7" t="n">
        <f aca="false">ROUND((IF(AF294="",0,AF294)*Assumptions!$F$15)+(IF(AG294="",0,AG294)*Assumptions!$F$16)+(IF(AH294="",0,AH294)*Assumptions!$F$17)+(IF(AI294="",0,AI294)*Assumptions!$F$18)+(IF(AJ294="",0,AJ294)*Assumptions!$F$19),3)</f>
        <v>3.6</v>
      </c>
      <c r="AO294" s="0" t="str">
        <f aca="false">IF(AC294&lt;=20,"",IF(AC294&lt;=Assumptions!$F$6,"20-30",IF(AC294&lt;=Assumptions!$F$7,"30-40",IF(AC294&lt;=Assumptions!$F$8,"40-50",IF(AC294&lt;=Assumptions!$F$9,"50-60",IF(AC294&lt;=Assumptions!$F$10,"60+",""))))))</f>
        <v>40-50</v>
      </c>
      <c r="AP294" s="0" t="str">
        <f aca="false">IFERROR(VLOOKUP(O294,Assumptions!$B$14:$C$26,2,FALSE()),"Other")</f>
        <v>Manager</v>
      </c>
      <c r="AQ294" s="0" t="n">
        <f aca="false">IF(T294="",0,1)</f>
        <v>0</v>
      </c>
      <c r="AR294" s="0" t="n">
        <f aca="false">IF(U294="",0,1)</f>
        <v>0</v>
      </c>
      <c r="AS294" s="8" t="n">
        <f aca="false">IF(AK294="","",IF(MAX($AK$2:$AK$921)=MIN($AK$2:$AK$921),50,ROUND((AK294-MIN($AK$2:$AK$921))/(MAX($AK$2:$AK$921)-MIN($AK$2:$AK$921))*100,2)))</f>
        <v>82.85</v>
      </c>
      <c r="AT294" s="8" t="n">
        <f aca="false">IF(MAX($BC$2:$BC$921)=MIN($BC$2:$BC$921),50,ROUND((BC294-MIN($BC$2:$BC$921))/(MAX($BC$2:$BC$921)-MIN($BC$2:$BC$921))*100,2))</f>
        <v>50</v>
      </c>
      <c r="AU294" s="8" t="n">
        <f aca="false">IF(MAX($BE$2:$BE$921)=MIN($BE$2:$BE$921),50,ROUND((BE294-MIN($BE$2:$BE$921))/(MAX($BE$2:$BE$921)-MIN($BE$2:$BE$921))*100,2))</f>
        <v>68.36</v>
      </c>
      <c r="AV294" s="8" t="n">
        <f aca="false">IF(MAX($AD$2:$AD$921)=MIN($AD$2:$AD$921),50,ROUND((AD294-MIN($AD$2:$AD$921))/(MAX($AD$2:$AD$921)-MIN($AD$2:$AD$921))*100,2))</f>
        <v>16.31</v>
      </c>
      <c r="AW294" s="8" t="n">
        <f aca="false">IF(MAX($AN$2:$AN$921)=MIN($AN$2:$AN$921),50,ROUND((AN294-MIN($AN$2:$AN$921))/(MAX($AN$2:$AN$921)-MIN($AN$2:$AN$921))*100,2))</f>
        <v>90</v>
      </c>
      <c r="AX294" s="8" t="n">
        <f aca="false">AQ294*100</f>
        <v>0</v>
      </c>
      <c r="AY294" s="8" t="n">
        <f aca="false">AR294*100</f>
        <v>0</v>
      </c>
      <c r="AZ294" s="8" t="n">
        <f aca="false">IFERROR(ROUND(AS294*Assumptions!$I$6+AW294*Assumptions!$I$7+AT294*Assumptions!$I$8+AU294*Assumptions!$I$9+AV294*Assumptions!$I$10+AX294*Assumptions!$I$11+AY294*Assumptions!$I$12,2),"")</f>
        <v>62.24</v>
      </c>
      <c r="BA294" s="0" t="str">
        <f aca="false">IF(AZ294="","",IF(AZ294&lt;=Assumptions!$I$18,"Below Expectation",IF(AZ294&lt;=Assumptions!$I$19,"Developing",IF(AZ294&lt;=Assumptions!$I$20,"Meets Expectation",IF(AZ294&lt;=Assumptions!$I$21,"Exceeds","Star Performer")))))</f>
        <v>Meets Expectation</v>
      </c>
      <c r="BB294" s="0" t="n">
        <f aca="false">IF(AZ294="",0,IF(AZ294&gt;=Assumptions!$I$26,1,0))</f>
        <v>0</v>
      </c>
      <c r="BC294" s="9" t="n">
        <f aca="false">IF(AL294="",2,AL294+2)</f>
        <v>2</v>
      </c>
      <c r="BD294" s="10" t="n">
        <f aca="false">IF(AM294="",ROUND(AVERAGE($AM$2:$AM$921),3),AM294)</f>
        <v>0.548</v>
      </c>
      <c r="BE294" s="9" t="n">
        <f aca="false">1-BD294</f>
        <v>0.452</v>
      </c>
    </row>
    <row r="295" customFormat="false" ht="14.25" hidden="true" customHeight="false" outlineLevel="0" collapsed="false">
      <c r="A295" s="4" t="n">
        <v>286</v>
      </c>
      <c r="B295" s="5" t="n">
        <v>10069364</v>
      </c>
      <c r="C295" s="5"/>
      <c r="D295" s="5" t="s">
        <v>1435</v>
      </c>
      <c r="E295" s="5" t="s">
        <v>257</v>
      </c>
      <c r="F295" s="5" t="s">
        <v>483</v>
      </c>
      <c r="G295" s="5" t="s">
        <v>484</v>
      </c>
      <c r="H295" s="5" t="s">
        <v>483</v>
      </c>
      <c r="I295" s="5" t="s">
        <v>63</v>
      </c>
      <c r="J295" s="5" t="s">
        <v>76</v>
      </c>
      <c r="K295" s="5" t="s">
        <v>65</v>
      </c>
      <c r="L295" s="6" t="n">
        <v>43664</v>
      </c>
      <c r="M295" s="5" t="s">
        <v>748</v>
      </c>
      <c r="N295" s="6" t="n">
        <v>33359</v>
      </c>
      <c r="O295" s="5" t="s">
        <v>365</v>
      </c>
      <c r="P295" s="5" t="s">
        <v>365</v>
      </c>
      <c r="Q295" s="5" t="s">
        <v>604</v>
      </c>
      <c r="R295" s="5" t="s">
        <v>523</v>
      </c>
      <c r="S295" s="5" t="s">
        <v>714</v>
      </c>
      <c r="T295" s="6"/>
      <c r="U295" s="6"/>
      <c r="V295" s="5" t="s">
        <v>141</v>
      </c>
      <c r="W295" s="5" t="s">
        <v>83</v>
      </c>
      <c r="X295" s="5" t="s">
        <v>83</v>
      </c>
      <c r="Y295" s="5" t="s">
        <v>83</v>
      </c>
      <c r="Z295" s="5" t="s">
        <v>141</v>
      </c>
      <c r="AA295" s="5" t="s">
        <v>1436</v>
      </c>
      <c r="AB295" s="0" t="n">
        <f aca="false">IFERROR(VALUE(R295),0)</f>
        <v>4.1</v>
      </c>
      <c r="AC295" s="0" t="n">
        <f aca="false">IFERROR(VALUE(M295),"")</f>
        <v>35.1</v>
      </c>
      <c r="AD295" s="0" t="n">
        <f aca="false">IFERROR(VALUE(Q295),"")</f>
        <v>6.1</v>
      </c>
      <c r="AE295" s="0" t="n">
        <f aca="false">IFERROR(VALUE(S295),"")</f>
        <v>11.8</v>
      </c>
      <c r="AF295" s="0" t="n">
        <f aca="false">IF(V295="","",VLOOKUP(V295,Assumptions!$B$6:$C$9,2,FALSE()))</f>
        <v>3</v>
      </c>
      <c r="AG295" s="0" t="n">
        <f aca="false">IF(W295="","",VLOOKUP(W295,Assumptions!$B$6:$C$9,2,FALSE()))</f>
        <v>4</v>
      </c>
      <c r="AH295" s="0" t="n">
        <f aca="false">IF(X295="","",VLOOKUP(X295,Assumptions!$B$6:$C$9,2,FALSE()))</f>
        <v>4</v>
      </c>
      <c r="AI295" s="0" t="n">
        <f aca="false">IF(Y295="","",VLOOKUP(Y295,Assumptions!$B$6:$C$9,2,FALSE()))</f>
        <v>4</v>
      </c>
      <c r="AJ295" s="0" t="n">
        <f aca="false">IF(Z295="","",VLOOKUP(Z295,Assumptions!$B$6:$C$9,2,FALSE()))</f>
        <v>3</v>
      </c>
      <c r="AK295" s="7" t="n">
        <f aca="false">IFERROR(ROUND(AVERAGE(AF295:AJ295),3),"")</f>
        <v>3.6</v>
      </c>
      <c r="AL295" s="7" t="n">
        <f aca="false">IF(OR(AF295="",AJ295=""),"",AJ295-AF295)</f>
        <v>0</v>
      </c>
      <c r="AM295" s="7" t="n">
        <f aca="false">IF(COUNT(AF295:AJ295)&gt;=2,ROUND(_xlfn.STDEV.S(AF295:AJ295),3),"")</f>
        <v>0.548</v>
      </c>
      <c r="AN295" s="7" t="n">
        <f aca="false">ROUND((IF(AF295="",0,AF295)*Assumptions!$F$15)+(IF(AG295="",0,AG295)*Assumptions!$F$16)+(IF(AH295="",0,AH295)*Assumptions!$F$17)+(IF(AI295="",0,AI295)*Assumptions!$F$18)+(IF(AJ295="",0,AJ295)*Assumptions!$F$19),3)</f>
        <v>3.6</v>
      </c>
      <c r="AO295" s="0" t="str">
        <f aca="false">IF(AC295&lt;=20,"",IF(AC295&lt;=Assumptions!$F$6,"20-30",IF(AC295&lt;=Assumptions!$F$7,"30-40",IF(AC295&lt;=Assumptions!$F$8,"40-50",IF(AC295&lt;=Assumptions!$F$9,"50-60",IF(AC295&lt;=Assumptions!$F$10,"60+",""))))))</f>
        <v>30-40</v>
      </c>
      <c r="AP295" s="0" t="str">
        <f aca="false">IFERROR(VLOOKUP(O295,Assumptions!$B$14:$C$26,2,FALSE()),"Other")</f>
        <v>Manager</v>
      </c>
      <c r="AQ295" s="0" t="n">
        <f aca="false">IF(T295="",0,1)</f>
        <v>0</v>
      </c>
      <c r="AR295" s="0" t="n">
        <f aca="false">IF(U295="",0,1)</f>
        <v>0</v>
      </c>
      <c r="AS295" s="8" t="n">
        <f aca="false">IF(AK295="","",IF(MAX($AK$2:$AK$921)=MIN($AK$2:$AK$921),50,ROUND((AK295-MIN($AK$2:$AK$921))/(MAX($AK$2:$AK$921)-MIN($AK$2:$AK$921))*100,2)))</f>
        <v>82.85</v>
      </c>
      <c r="AT295" s="8" t="n">
        <f aca="false">IF(MAX($BC$2:$BC$921)=MIN($BC$2:$BC$921),50,ROUND((BC295-MIN($BC$2:$BC$921))/(MAX($BC$2:$BC$921)-MIN($BC$2:$BC$921))*100,2))</f>
        <v>50</v>
      </c>
      <c r="AU295" s="8" t="n">
        <f aca="false">IF(MAX($BE$2:$BE$921)=MIN($BE$2:$BE$921),50,ROUND((BE295-MIN($BE$2:$BE$921))/(MAX($BE$2:$BE$921)-MIN($BE$2:$BE$921))*100,2))</f>
        <v>68.36</v>
      </c>
      <c r="AV295" s="8" t="n">
        <f aca="false">IF(MAX($AD$2:$AD$921)=MIN($AD$2:$AD$921),50,ROUND((AD295-MIN($AD$2:$AD$921))/(MAX($AD$2:$AD$921)-MIN($AD$2:$AD$921))*100,2))</f>
        <v>16.28</v>
      </c>
      <c r="AW295" s="8" t="n">
        <f aca="false">IF(MAX($AN$2:$AN$921)=MIN($AN$2:$AN$921),50,ROUND((AN295-MIN($AN$2:$AN$921))/(MAX($AN$2:$AN$921)-MIN($AN$2:$AN$921))*100,2))</f>
        <v>90</v>
      </c>
      <c r="AX295" s="8" t="n">
        <f aca="false">AQ295*100</f>
        <v>0</v>
      </c>
      <c r="AY295" s="8" t="n">
        <f aca="false">AR295*100</f>
        <v>0</v>
      </c>
      <c r="AZ295" s="8" t="n">
        <f aca="false">IFERROR(ROUND(AS295*Assumptions!$I$6+AW295*Assumptions!$I$7+AT295*Assumptions!$I$8+AU295*Assumptions!$I$9+AV295*Assumptions!$I$10+AX295*Assumptions!$I$11+AY295*Assumptions!$I$12,2),"")</f>
        <v>62.24</v>
      </c>
      <c r="BA295" s="0" t="str">
        <f aca="false">IF(AZ295="","",IF(AZ295&lt;=Assumptions!$I$18,"Below Expectation",IF(AZ295&lt;=Assumptions!$I$19,"Developing",IF(AZ295&lt;=Assumptions!$I$20,"Meets Expectation",IF(AZ295&lt;=Assumptions!$I$21,"Exceeds","Star Performer")))))</f>
        <v>Meets Expectation</v>
      </c>
      <c r="BB295" s="0" t="n">
        <f aca="false">IF(AZ295="",0,IF(AZ295&gt;=Assumptions!$I$26,1,0))</f>
        <v>0</v>
      </c>
      <c r="BC295" s="9" t="n">
        <f aca="false">IF(AL295="",2,AL295+2)</f>
        <v>2</v>
      </c>
      <c r="BD295" s="10" t="n">
        <f aca="false">IF(AM295="",ROUND(AVERAGE($AM$2:$AM$921),3),AM295)</f>
        <v>0.548</v>
      </c>
      <c r="BE295" s="9" t="n">
        <f aca="false">1-BD295</f>
        <v>0.452</v>
      </c>
    </row>
    <row r="296" customFormat="false" ht="14.25" hidden="true" customHeight="false" outlineLevel="0" collapsed="false">
      <c r="A296" s="4" t="n">
        <v>204</v>
      </c>
      <c r="B296" s="5" t="n">
        <v>10056069</v>
      </c>
      <c r="C296" s="5" t="s">
        <v>149</v>
      </c>
      <c r="D296" s="5" t="s">
        <v>1437</v>
      </c>
      <c r="E296" s="5" t="s">
        <v>1127</v>
      </c>
      <c r="F296" s="5" t="s">
        <v>245</v>
      </c>
      <c r="G296" s="5" t="s">
        <v>246</v>
      </c>
      <c r="H296" s="5" t="s">
        <v>245</v>
      </c>
      <c r="I296" s="5" t="s">
        <v>63</v>
      </c>
      <c r="J296" s="5" t="s">
        <v>100</v>
      </c>
      <c r="K296" s="5" t="s">
        <v>65</v>
      </c>
      <c r="L296" s="6" t="n">
        <v>42695</v>
      </c>
      <c r="M296" s="5" t="s">
        <v>935</v>
      </c>
      <c r="N296" s="6" t="n">
        <v>30926</v>
      </c>
      <c r="O296" s="5" t="s">
        <v>162</v>
      </c>
      <c r="P296" s="5" t="s">
        <v>162</v>
      </c>
      <c r="Q296" s="5" t="s">
        <v>1094</v>
      </c>
      <c r="R296" s="5" t="s">
        <v>213</v>
      </c>
      <c r="S296" s="5" t="s">
        <v>715</v>
      </c>
      <c r="T296" s="6"/>
      <c r="U296" s="6" t="n">
        <v>46113</v>
      </c>
      <c r="V296" s="5" t="s">
        <v>141</v>
      </c>
      <c r="W296" s="5" t="s">
        <v>141</v>
      </c>
      <c r="X296" s="5" t="s">
        <v>141</v>
      </c>
      <c r="Y296" s="5" t="s">
        <v>141</v>
      </c>
      <c r="Z296" s="5" t="s">
        <v>141</v>
      </c>
      <c r="AA296" s="5" t="s">
        <v>1438</v>
      </c>
      <c r="AB296" s="0" t="n">
        <f aca="false">IFERROR(VALUE(R296),0)</f>
        <v>5.2</v>
      </c>
      <c r="AC296" s="0" t="n">
        <f aca="false">IFERROR(VALUE(M296),"")</f>
        <v>41.9</v>
      </c>
      <c r="AD296" s="0" t="n">
        <f aca="false">IFERROR(VALUE(Q296),"")</f>
        <v>9.6</v>
      </c>
      <c r="AE296" s="0" t="n">
        <f aca="false">IFERROR(VALUE(S296),"")</f>
        <v>14.8</v>
      </c>
      <c r="AF296" s="0" t="n">
        <f aca="false">IF(V296="","",VLOOKUP(V296,Assumptions!$B$6:$C$9,2,FALSE()))</f>
        <v>3</v>
      </c>
      <c r="AG296" s="0" t="n">
        <f aca="false">IF(W296="","",VLOOKUP(W296,Assumptions!$B$6:$C$9,2,FALSE()))</f>
        <v>3</v>
      </c>
      <c r="AH296" s="0" t="n">
        <f aca="false">IF(X296="","",VLOOKUP(X296,Assumptions!$B$6:$C$9,2,FALSE()))</f>
        <v>3</v>
      </c>
      <c r="AI296" s="0" t="n">
        <f aca="false">IF(Y296="","",VLOOKUP(Y296,Assumptions!$B$6:$C$9,2,FALSE()))</f>
        <v>3</v>
      </c>
      <c r="AJ296" s="0" t="n">
        <f aca="false">IF(Z296="","",VLOOKUP(Z296,Assumptions!$B$6:$C$9,2,FALSE()))</f>
        <v>3</v>
      </c>
      <c r="AK296" s="7" t="n">
        <f aca="false">IFERROR(ROUND(AVERAGE(AF296:AJ296),3),"")</f>
        <v>3</v>
      </c>
      <c r="AL296" s="7" t="n">
        <f aca="false">IF(OR(AF296="",AJ296=""),"",AJ296-AF296)</f>
        <v>0</v>
      </c>
      <c r="AM296" s="7" t="n">
        <f aca="false">IF(COUNT(AF296:AJ296)&gt;=2,ROUND(_xlfn.STDEV.S(AF296:AJ296),3),"")</f>
        <v>0</v>
      </c>
      <c r="AN296" s="7" t="n">
        <f aca="false">ROUND((IF(AF296="",0,AF296)*Assumptions!$F$15)+(IF(AG296="",0,AG296)*Assumptions!$F$16)+(IF(AH296="",0,AH296)*Assumptions!$F$17)+(IF(AI296="",0,AI296)*Assumptions!$F$18)+(IF(AJ296="",0,AJ296)*Assumptions!$F$19),3)</f>
        <v>3</v>
      </c>
      <c r="AO296" s="0" t="str">
        <f aca="false">IF(AC296&lt;=20,"",IF(AC296&lt;=Assumptions!$F$6,"20-30",IF(AC296&lt;=Assumptions!$F$7,"30-40",IF(AC296&lt;=Assumptions!$F$8,"40-50",IF(AC296&lt;=Assumptions!$F$9,"50-60",IF(AC296&lt;=Assumptions!$F$10,"60+",""))))))</f>
        <v>40-50</v>
      </c>
      <c r="AP296" s="0" t="str">
        <f aca="false">IFERROR(VLOOKUP(O296,Assumptions!$B$14:$C$26,2,FALSE()),"Other")</f>
        <v>Manager</v>
      </c>
      <c r="AQ296" s="0" t="n">
        <f aca="false">IF(T296="",0,1)</f>
        <v>0</v>
      </c>
      <c r="AR296" s="0" t="n">
        <f aca="false">IF(U296="",0,1)</f>
        <v>1</v>
      </c>
      <c r="AS296" s="8" t="n">
        <f aca="false">IF(AK296="","",IF(MAX($AK$2:$AK$921)=MIN($AK$2:$AK$921),50,ROUND((AK296-MIN($AK$2:$AK$921))/(MAX($AK$2:$AK$921)-MIN($AK$2:$AK$921))*100,2)))</f>
        <v>57.14</v>
      </c>
      <c r="AT296" s="8" t="n">
        <f aca="false">IF(MAX($BC$2:$BC$921)=MIN($BC$2:$BC$921),50,ROUND((BC296-MIN($BC$2:$BC$921))/(MAX($BC$2:$BC$921)-MIN($BC$2:$BC$921))*100,2))</f>
        <v>50</v>
      </c>
      <c r="AU296" s="8" t="n">
        <f aca="false">IF(MAX($BE$2:$BE$921)=MIN($BE$2:$BE$921),50,ROUND((BE296-MIN($BE$2:$BE$921))/(MAX($BE$2:$BE$921)-MIN($BE$2:$BE$921))*100,2))</f>
        <v>100</v>
      </c>
      <c r="AV296" s="8" t="n">
        <f aca="false">IF(MAX($AD$2:$AD$921)=MIN($AD$2:$AD$921),50,ROUND((AD296-MIN($AD$2:$AD$921))/(MAX($AD$2:$AD$921)-MIN($AD$2:$AD$921))*100,2))</f>
        <v>25.8</v>
      </c>
      <c r="AW296" s="8" t="n">
        <f aca="false">IF(MAX($AN$2:$AN$921)=MIN($AN$2:$AN$921),50,ROUND((AN296-MIN($AN$2:$AN$921))/(MAX($AN$2:$AN$921)-MIN($AN$2:$AN$921))*100,2))</f>
        <v>75</v>
      </c>
      <c r="AX296" s="8" t="n">
        <f aca="false">AQ296*100</f>
        <v>0</v>
      </c>
      <c r="AY296" s="8" t="n">
        <f aca="false">AR296*100</f>
        <v>100</v>
      </c>
      <c r="AZ296" s="8" t="n">
        <f aca="false">IFERROR(ROUND(AS296*Assumptions!$I$6+AW296*Assumptions!$I$7+AT296*Assumptions!$I$8+AU296*Assumptions!$I$9+AV296*Assumptions!$I$10+AX296*Assumptions!$I$11+AY296*Assumptions!$I$12,2),"")</f>
        <v>62.22</v>
      </c>
      <c r="BA296" s="0" t="str">
        <f aca="false">IF(AZ296="","",IF(AZ296&lt;=Assumptions!$I$18,"Below Expectation",IF(AZ296&lt;=Assumptions!$I$19,"Developing",IF(AZ296&lt;=Assumptions!$I$20,"Meets Expectation",IF(AZ296&lt;=Assumptions!$I$21,"Exceeds","Star Performer")))))</f>
        <v>Meets Expectation</v>
      </c>
      <c r="BB296" s="0" t="n">
        <f aca="false">IF(AZ296="",0,IF(AZ296&gt;=Assumptions!$I$26,1,0))</f>
        <v>0</v>
      </c>
      <c r="BC296" s="9" t="n">
        <f aca="false">IF(AL296="",2,AL296+2)</f>
        <v>2</v>
      </c>
      <c r="BD296" s="10" t="n">
        <f aca="false">IF(AM296="",ROUND(AVERAGE($AM$2:$AM$921),3),AM296)</f>
        <v>0</v>
      </c>
      <c r="BE296" s="9" t="n">
        <f aca="false">1-BD296</f>
        <v>1</v>
      </c>
    </row>
    <row r="297" customFormat="false" ht="14.25" hidden="true" customHeight="false" outlineLevel="0" collapsed="false">
      <c r="A297" s="4" t="n">
        <v>171</v>
      </c>
      <c r="B297" s="5" t="n">
        <v>10052666</v>
      </c>
      <c r="C297" s="5" t="s">
        <v>85</v>
      </c>
      <c r="D297" s="5" t="s">
        <v>1439</v>
      </c>
      <c r="E297" s="5" t="s">
        <v>315</v>
      </c>
      <c r="F297" s="5" t="s">
        <v>178</v>
      </c>
      <c r="G297" s="5" t="s">
        <v>177</v>
      </c>
      <c r="H297" s="5" t="s">
        <v>178</v>
      </c>
      <c r="I297" s="5" t="s">
        <v>63</v>
      </c>
      <c r="J297" s="5" t="s">
        <v>76</v>
      </c>
      <c r="K297" s="5" t="s">
        <v>65</v>
      </c>
      <c r="L297" s="6" t="n">
        <v>42359</v>
      </c>
      <c r="M297" s="5" t="s">
        <v>890</v>
      </c>
      <c r="N297" s="6" t="n">
        <v>28265</v>
      </c>
      <c r="O297" s="5" t="s">
        <v>122</v>
      </c>
      <c r="P297" s="5" t="s">
        <v>123</v>
      </c>
      <c r="Q297" s="5" t="s">
        <v>324</v>
      </c>
      <c r="R297" s="5" t="s">
        <v>1113</v>
      </c>
      <c r="S297" s="5" t="s">
        <v>965</v>
      </c>
      <c r="T297" s="6" t="n">
        <v>43313</v>
      </c>
      <c r="U297" s="6"/>
      <c r="V297" s="5" t="s">
        <v>141</v>
      </c>
      <c r="W297" s="5" t="s">
        <v>141</v>
      </c>
      <c r="X297" s="5" t="s">
        <v>83</v>
      </c>
      <c r="Y297" s="5" t="s">
        <v>141</v>
      </c>
      <c r="Z297" s="5" t="s">
        <v>141</v>
      </c>
      <c r="AA297" s="5" t="s">
        <v>1440</v>
      </c>
      <c r="AB297" s="0" t="n">
        <f aca="false">IFERROR(VALUE(R297),0)</f>
        <v>16.1</v>
      </c>
      <c r="AC297" s="0" t="n">
        <f aca="false">IFERROR(VALUE(M297),"")</f>
        <v>49</v>
      </c>
      <c r="AD297" s="0" t="n">
        <f aca="false">IFERROR(VALUE(Q297),"")</f>
        <v>10.5</v>
      </c>
      <c r="AE297" s="0" t="n">
        <f aca="false">IFERROR(VALUE(S297),"")</f>
        <v>27.3</v>
      </c>
      <c r="AF297" s="0" t="n">
        <f aca="false">IF(V297="","",VLOOKUP(V297,Assumptions!$B$6:$C$9,2,FALSE()))</f>
        <v>3</v>
      </c>
      <c r="AG297" s="0" t="n">
        <f aca="false">IF(W297="","",VLOOKUP(W297,Assumptions!$B$6:$C$9,2,FALSE()))</f>
        <v>3</v>
      </c>
      <c r="AH297" s="0" t="n">
        <f aca="false">IF(X297="","",VLOOKUP(X297,Assumptions!$B$6:$C$9,2,FALSE()))</f>
        <v>4</v>
      </c>
      <c r="AI297" s="0" t="n">
        <f aca="false">IF(Y297="","",VLOOKUP(Y297,Assumptions!$B$6:$C$9,2,FALSE()))</f>
        <v>3</v>
      </c>
      <c r="AJ297" s="0" t="n">
        <f aca="false">IF(Z297="","",VLOOKUP(Z297,Assumptions!$B$6:$C$9,2,FALSE()))</f>
        <v>3</v>
      </c>
      <c r="AK297" s="7" t="n">
        <f aca="false">IFERROR(ROUND(AVERAGE(AF297:AJ297),3),"")</f>
        <v>3.2</v>
      </c>
      <c r="AL297" s="7" t="n">
        <f aca="false">IF(OR(AF297="",AJ297=""),"",AJ297-AF297)</f>
        <v>0</v>
      </c>
      <c r="AM297" s="7" t="n">
        <f aca="false">IF(COUNT(AF297:AJ297)&gt;=2,ROUND(_xlfn.STDEV.S(AF297:AJ297),3),"")</f>
        <v>0.447</v>
      </c>
      <c r="AN297" s="7" t="n">
        <f aca="false">ROUND((IF(AF297="",0,AF297)*Assumptions!$F$15)+(IF(AG297="",0,AG297)*Assumptions!$F$16)+(IF(AH297="",0,AH297)*Assumptions!$F$17)+(IF(AI297="",0,AI297)*Assumptions!$F$18)+(IF(AJ297="",0,AJ297)*Assumptions!$F$19),3)</f>
        <v>3.2</v>
      </c>
      <c r="AO297" s="0" t="str">
        <f aca="false">IF(AC297&lt;=20,"",IF(AC297&lt;=Assumptions!$F$6,"20-30",IF(AC297&lt;=Assumptions!$F$7,"30-40",IF(AC297&lt;=Assumptions!$F$8,"40-50",IF(AC297&lt;=Assumptions!$F$9,"50-60",IF(AC297&lt;=Assumptions!$F$10,"60+",""))))))</f>
        <v>40-50</v>
      </c>
      <c r="AP297" s="0" t="str">
        <f aca="false">IFERROR(VLOOKUP(O297,Assumptions!$B$14:$C$26,2,FALSE()),"Other")</f>
        <v>Leadership</v>
      </c>
      <c r="AQ297" s="0" t="n">
        <f aca="false">IF(T297="",0,1)</f>
        <v>1</v>
      </c>
      <c r="AR297" s="0" t="n">
        <f aca="false">IF(U297="",0,1)</f>
        <v>0</v>
      </c>
      <c r="AS297" s="8" t="n">
        <f aca="false">IF(AK297="","",IF(MAX($AK$2:$AK$921)=MIN($AK$2:$AK$921),50,ROUND((AK297-MIN($AK$2:$AK$921))/(MAX($AK$2:$AK$921)-MIN($AK$2:$AK$921))*100,2)))</f>
        <v>65.71</v>
      </c>
      <c r="AT297" s="8" t="n">
        <f aca="false">IF(MAX($BC$2:$BC$921)=MIN($BC$2:$BC$921),50,ROUND((BC297-MIN($BC$2:$BC$921))/(MAX($BC$2:$BC$921)-MIN($BC$2:$BC$921))*100,2))</f>
        <v>50</v>
      </c>
      <c r="AU297" s="8" t="n">
        <f aca="false">IF(MAX($BE$2:$BE$921)=MIN($BE$2:$BE$921),50,ROUND((BE297-MIN($BE$2:$BE$921))/(MAX($BE$2:$BE$921)-MIN($BE$2:$BE$921))*100,2))</f>
        <v>74.19</v>
      </c>
      <c r="AV297" s="8" t="n">
        <f aca="false">IF(MAX($AD$2:$AD$921)=MIN($AD$2:$AD$921),50,ROUND((AD297-MIN($AD$2:$AD$921))/(MAX($AD$2:$AD$921)-MIN($AD$2:$AD$921))*100,2))</f>
        <v>28.24</v>
      </c>
      <c r="AW297" s="8" t="n">
        <f aca="false">IF(MAX($AN$2:$AN$921)=MIN($AN$2:$AN$921),50,ROUND((AN297-MIN($AN$2:$AN$921))/(MAX($AN$2:$AN$921)-MIN($AN$2:$AN$921))*100,2))</f>
        <v>80</v>
      </c>
      <c r="AX297" s="8" t="n">
        <f aca="false">AQ297*100</f>
        <v>100</v>
      </c>
      <c r="AY297" s="8" t="n">
        <f aca="false">AR297*100</f>
        <v>0</v>
      </c>
      <c r="AZ297" s="8" t="n">
        <f aca="false">IFERROR(ROUND(AS297*Assumptions!$I$6+AW297*Assumptions!$I$7+AT297*Assumptions!$I$8+AU297*Assumptions!$I$9+AV297*Assumptions!$I$10+AX297*Assumptions!$I$11+AY297*Assumptions!$I$12,2),"")</f>
        <v>62.17</v>
      </c>
      <c r="BA297" s="0" t="str">
        <f aca="false">IF(AZ297="","",IF(AZ297&lt;=Assumptions!$I$18,"Below Expectation",IF(AZ297&lt;=Assumptions!$I$19,"Developing",IF(AZ297&lt;=Assumptions!$I$20,"Meets Expectation",IF(AZ297&lt;=Assumptions!$I$21,"Exceeds","Star Performer")))))</f>
        <v>Meets Expectation</v>
      </c>
      <c r="BB297" s="0" t="n">
        <f aca="false">IF(AZ297="",0,IF(AZ297&gt;=Assumptions!$I$26,1,0))</f>
        <v>0</v>
      </c>
      <c r="BC297" s="9" t="n">
        <f aca="false">IF(AL297="",2,AL297+2)</f>
        <v>2</v>
      </c>
      <c r="BD297" s="10" t="n">
        <f aca="false">IF(AM297="",ROUND(AVERAGE($AM$2:$AM$921),3),AM297)</f>
        <v>0.447</v>
      </c>
      <c r="BE297" s="9" t="n">
        <f aca="false">1-BD297</f>
        <v>0.553</v>
      </c>
    </row>
    <row r="298" customFormat="false" ht="14.25" hidden="false" customHeight="false" outlineLevel="0" collapsed="false">
      <c r="A298" s="4" t="n">
        <v>914</v>
      </c>
      <c r="B298" s="5" t="n">
        <v>67525578</v>
      </c>
      <c r="C298" s="5" t="s">
        <v>106</v>
      </c>
      <c r="D298" s="5" t="s">
        <v>1441</v>
      </c>
      <c r="E298" s="5" t="s">
        <v>305</v>
      </c>
      <c r="F298" s="5" t="s">
        <v>925</v>
      </c>
      <c r="G298" s="5" t="s">
        <v>1442</v>
      </c>
      <c r="H298" s="5" t="s">
        <v>1443</v>
      </c>
      <c r="I298" s="5" t="s">
        <v>63</v>
      </c>
      <c r="J298" s="5" t="s">
        <v>112</v>
      </c>
      <c r="K298" s="5" t="s">
        <v>65</v>
      </c>
      <c r="L298" s="6" t="n">
        <v>42751</v>
      </c>
      <c r="M298" s="5" t="s">
        <v>1444</v>
      </c>
      <c r="N298" s="6" t="n">
        <v>30163</v>
      </c>
      <c r="O298" s="5" t="s">
        <v>1264</v>
      </c>
      <c r="P298" s="5" t="s">
        <v>1264</v>
      </c>
      <c r="Q298" s="5" t="s">
        <v>70</v>
      </c>
      <c r="R298" s="5" t="s">
        <v>218</v>
      </c>
      <c r="S298" s="5" t="s">
        <v>1445</v>
      </c>
      <c r="T298" s="6"/>
      <c r="U298" s="6" t="n">
        <v>46082</v>
      </c>
      <c r="V298" s="5" t="s">
        <v>141</v>
      </c>
      <c r="W298" s="5" t="s">
        <v>141</v>
      </c>
      <c r="X298" s="5" t="s">
        <v>141</v>
      </c>
      <c r="Y298" s="5" t="s">
        <v>141</v>
      </c>
      <c r="Z298" s="5" t="s">
        <v>141</v>
      </c>
      <c r="AA298" s="5" t="s">
        <v>1446</v>
      </c>
      <c r="AB298" s="0" t="n">
        <f aca="false">IFERROR(VALUE(R298),0)</f>
        <v>14.6</v>
      </c>
      <c r="AC298" s="0" t="n">
        <f aca="false">IFERROR(VALUE(M298),"")</f>
        <v>43.1</v>
      </c>
      <c r="AD298" s="0" t="n">
        <f aca="false">IFERROR(VALUE(Q298),"")</f>
        <v>9.4</v>
      </c>
      <c r="AE298" s="0" t="n">
        <f aca="false">IFERROR(VALUE(S298),"")</f>
        <v>23.1</v>
      </c>
      <c r="AF298" s="0" t="n">
        <f aca="false">IF(V298="","",VLOOKUP(V298,Assumptions!$B$6:$C$9,2,FALSE()))</f>
        <v>3</v>
      </c>
      <c r="AG298" s="0" t="n">
        <f aca="false">IF(W298="","",VLOOKUP(W298,Assumptions!$B$6:$C$9,2,FALSE()))</f>
        <v>3</v>
      </c>
      <c r="AH298" s="0" t="n">
        <f aca="false">IF(X298="","",VLOOKUP(X298,Assumptions!$B$6:$C$9,2,FALSE()))</f>
        <v>3</v>
      </c>
      <c r="AI298" s="0" t="n">
        <f aca="false">IF(Y298="","",VLOOKUP(Y298,Assumptions!$B$6:$C$9,2,FALSE()))</f>
        <v>3</v>
      </c>
      <c r="AJ298" s="0" t="n">
        <f aca="false">IF(Z298="","",VLOOKUP(Z298,Assumptions!$B$6:$C$9,2,FALSE()))</f>
        <v>3</v>
      </c>
      <c r="AK298" s="7" t="n">
        <f aca="false">IFERROR(ROUND(AVERAGE(AF298:AJ298),3),"")</f>
        <v>3</v>
      </c>
      <c r="AL298" s="7" t="n">
        <f aca="false">IF(OR(AF298="",AJ298=""),"",AJ298-AF298)</f>
        <v>0</v>
      </c>
      <c r="AM298" s="7" t="n">
        <f aca="false">IF(COUNT(AF298:AJ298)&gt;=2,ROUND(_xlfn.STDEV.S(AF298:AJ298),3),"")</f>
        <v>0</v>
      </c>
      <c r="AN298" s="7" t="n">
        <f aca="false">ROUND((IF(AF298="",0,AF298)*Assumptions!$F$15)+(IF(AG298="",0,AG298)*Assumptions!$F$16)+(IF(AH298="",0,AH298)*Assumptions!$F$17)+(IF(AI298="",0,AI298)*Assumptions!$F$18)+(IF(AJ298="",0,AJ298)*Assumptions!$F$19),3)</f>
        <v>3</v>
      </c>
      <c r="AO298" s="0" t="str">
        <f aca="false">IF(AC298&lt;=20,"",IF(AC298&lt;=Assumptions!$F$6,"20-30",IF(AC298&lt;=Assumptions!$F$7,"30-40",IF(AC298&lt;=Assumptions!$F$8,"40-50",IF(AC298&lt;=Assumptions!$F$9,"50-60",IF(AC298&lt;=Assumptions!$F$10,"60+",""))))))</f>
        <v>40-50</v>
      </c>
      <c r="AP298" s="0" t="str">
        <f aca="false">IFERROR(VLOOKUP(O298,Assumptions!$B$14:$C$26,2,FALSE()),"Other")</f>
        <v>Manager</v>
      </c>
      <c r="AQ298" s="0" t="n">
        <f aca="false">IF(T298="",0,1)</f>
        <v>0</v>
      </c>
      <c r="AR298" s="0" t="n">
        <f aca="false">IF(U298="",0,1)</f>
        <v>1</v>
      </c>
      <c r="AS298" s="8" t="n">
        <f aca="false">IF(AK298="","",IF(MAX($AK$2:$AK$921)=MIN($AK$2:$AK$921),50,ROUND((AK298-MIN($AK$2:$AK$921))/(MAX($AK$2:$AK$921)-MIN($AK$2:$AK$921))*100,2)))</f>
        <v>57.14</v>
      </c>
      <c r="AT298" s="8" t="n">
        <f aca="false">IF(MAX($BC$2:$BC$921)=MIN($BC$2:$BC$921),50,ROUND((BC298-MIN($BC$2:$BC$921))/(MAX($BC$2:$BC$921)-MIN($BC$2:$BC$921))*100,2))</f>
        <v>50</v>
      </c>
      <c r="AU298" s="8" t="n">
        <f aca="false">IF(MAX($BE$2:$BE$921)=MIN($BE$2:$BE$921),50,ROUND((BE298-MIN($BE$2:$BE$921))/(MAX($BE$2:$BE$921)-MIN($BE$2:$BE$921))*100,2))</f>
        <v>100</v>
      </c>
      <c r="AV298" s="8" t="n">
        <f aca="false">IF(MAX($AD$2:$AD$921)=MIN($AD$2:$AD$921),50,ROUND((AD298-MIN($AD$2:$AD$921))/(MAX($AD$2:$AD$921)-MIN($AD$2:$AD$921))*100,2))</f>
        <v>25.25</v>
      </c>
      <c r="AW298" s="8" t="n">
        <f aca="false">IF(MAX($AN$2:$AN$921)=MIN($AN$2:$AN$921),50,ROUND((AN298-MIN($AN$2:$AN$921))/(MAX($AN$2:$AN$921)-MIN($AN$2:$AN$921))*100,2))</f>
        <v>75</v>
      </c>
      <c r="AX298" s="8" t="n">
        <f aca="false">AQ298*100</f>
        <v>0</v>
      </c>
      <c r="AY298" s="8" t="n">
        <f aca="false">AR298*100</f>
        <v>100</v>
      </c>
      <c r="AZ298" s="8" t="n">
        <f aca="false">IFERROR(ROUND(AS298*Assumptions!$I$6+AW298*Assumptions!$I$7+AT298*Assumptions!$I$8+AU298*Assumptions!$I$9+AV298*Assumptions!$I$10+AX298*Assumptions!$I$11+AY298*Assumptions!$I$12,2),"")</f>
        <v>62.17</v>
      </c>
      <c r="BA298" s="0" t="str">
        <f aca="false">IF(AZ298="","",IF(AZ298&lt;=Assumptions!$I$18,"Below Expectation",IF(AZ298&lt;=Assumptions!$I$19,"Developing",IF(AZ298&lt;=Assumptions!$I$20,"Meets Expectation",IF(AZ298&lt;=Assumptions!$I$21,"Exceeds","Star Performer")))))</f>
        <v>Meets Expectation</v>
      </c>
      <c r="BB298" s="0" t="n">
        <f aca="false">IF(AZ298="",0,IF(AZ298&gt;=Assumptions!$I$26,1,0))</f>
        <v>0</v>
      </c>
      <c r="BC298" s="9" t="n">
        <f aca="false">IF(AL298="",2,AL298+2)</f>
        <v>2</v>
      </c>
      <c r="BD298" s="10" t="n">
        <f aca="false">IF(AM298="",ROUND(AVERAGE($AM$2:$AM$921),3),AM298)</f>
        <v>0</v>
      </c>
      <c r="BE298" s="9" t="n">
        <f aca="false">1-BD298</f>
        <v>1</v>
      </c>
    </row>
    <row r="299" customFormat="false" ht="14.25" hidden="true" customHeight="false" outlineLevel="0" collapsed="false">
      <c r="A299" s="4" t="n">
        <v>403</v>
      </c>
      <c r="B299" s="5" t="n">
        <v>50008518</v>
      </c>
      <c r="C299" s="5" t="s">
        <v>57</v>
      </c>
      <c r="D299" s="5" t="s">
        <v>1447</v>
      </c>
      <c r="E299" s="5" t="s">
        <v>456</v>
      </c>
      <c r="F299" s="5" t="s">
        <v>387</v>
      </c>
      <c r="G299" s="5" t="s">
        <v>388</v>
      </c>
      <c r="H299" s="5" t="s">
        <v>387</v>
      </c>
      <c r="I299" s="5" t="s">
        <v>63</v>
      </c>
      <c r="J299" s="5" t="s">
        <v>100</v>
      </c>
      <c r="K299" s="5" t="s">
        <v>65</v>
      </c>
      <c r="L299" s="6" t="n">
        <v>40616</v>
      </c>
      <c r="M299" s="5" t="s">
        <v>1057</v>
      </c>
      <c r="N299" s="6" t="n">
        <v>32493</v>
      </c>
      <c r="O299" s="5" t="s">
        <v>332</v>
      </c>
      <c r="P299" s="5" t="s">
        <v>333</v>
      </c>
      <c r="Q299" s="5" t="s">
        <v>516</v>
      </c>
      <c r="R299" s="5" t="s">
        <v>115</v>
      </c>
      <c r="S299" s="5" t="s">
        <v>516</v>
      </c>
      <c r="T299" s="6"/>
      <c r="U299" s="6" t="n">
        <v>44197</v>
      </c>
      <c r="V299" s="5" t="s">
        <v>141</v>
      </c>
      <c r="W299" s="5" t="s">
        <v>631</v>
      </c>
      <c r="X299" s="5" t="s">
        <v>141</v>
      </c>
      <c r="Y299" s="5" t="s">
        <v>141</v>
      </c>
      <c r="Z299" s="5" t="s">
        <v>83</v>
      </c>
      <c r="AA299" s="5" t="s">
        <v>1448</v>
      </c>
      <c r="AB299" s="0" t="n">
        <f aca="false">IFERROR(VALUE(R299),0)</f>
        <v>0</v>
      </c>
      <c r="AC299" s="0" t="n">
        <f aca="false">IFERROR(VALUE(M299),"")</f>
        <v>37.5</v>
      </c>
      <c r="AD299" s="0" t="n">
        <f aca="false">IFERROR(VALUE(Q299),"")</f>
        <v>15.2</v>
      </c>
      <c r="AE299" s="0" t="n">
        <f aca="false">IFERROR(VALUE(S299),"")</f>
        <v>15.2</v>
      </c>
      <c r="AF299" s="0" t="n">
        <f aca="false">IF(V299="","",VLOOKUP(V299,Assumptions!$B$6:$C$9,2,FALSE()))</f>
        <v>3</v>
      </c>
      <c r="AG299" s="0" t="n">
        <f aca="false">IF(W299="","",VLOOKUP(W299,Assumptions!$B$6:$C$9,2,FALSE()))</f>
        <v>2</v>
      </c>
      <c r="AH299" s="0" t="n">
        <f aca="false">IF(X299="","",VLOOKUP(X299,Assumptions!$B$6:$C$9,2,FALSE()))</f>
        <v>3</v>
      </c>
      <c r="AI299" s="0" t="n">
        <f aca="false">IF(Y299="","",VLOOKUP(Y299,Assumptions!$B$6:$C$9,2,FALSE()))</f>
        <v>3</v>
      </c>
      <c r="AJ299" s="0" t="n">
        <f aca="false">IF(Z299="","",VLOOKUP(Z299,Assumptions!$B$6:$C$9,2,FALSE()))</f>
        <v>4</v>
      </c>
      <c r="AK299" s="7" t="n">
        <f aca="false">IFERROR(ROUND(AVERAGE(AF299:AJ299),3),"")</f>
        <v>3</v>
      </c>
      <c r="AL299" s="7" t="n">
        <f aca="false">IF(OR(AF299="",AJ299=""),"",AJ299-AF299)</f>
        <v>1</v>
      </c>
      <c r="AM299" s="7" t="n">
        <f aca="false">IF(COUNT(AF299:AJ299)&gt;=2,ROUND(_xlfn.STDEV.S(AF299:AJ299),3),"")</f>
        <v>0.707</v>
      </c>
      <c r="AN299" s="7" t="n">
        <f aca="false">ROUND((IF(AF299="",0,AF299)*Assumptions!$F$15)+(IF(AG299="",0,AG299)*Assumptions!$F$16)+(IF(AH299="",0,AH299)*Assumptions!$F$17)+(IF(AI299="",0,AI299)*Assumptions!$F$18)+(IF(AJ299="",0,AJ299)*Assumptions!$F$19),3)</f>
        <v>3.15</v>
      </c>
      <c r="AO299" s="0" t="str">
        <f aca="false">IF(AC299&lt;=20,"",IF(AC299&lt;=Assumptions!$F$6,"20-30",IF(AC299&lt;=Assumptions!$F$7,"30-40",IF(AC299&lt;=Assumptions!$F$8,"40-50",IF(AC299&lt;=Assumptions!$F$9,"50-60",IF(AC299&lt;=Assumptions!$F$10,"60+",""))))))</f>
        <v>30-40</v>
      </c>
      <c r="AP299" s="0" t="str">
        <f aca="false">IFERROR(VLOOKUP(O299,Assumptions!$B$14:$C$26,2,FALSE()),"Other")</f>
        <v>Manager</v>
      </c>
      <c r="AQ299" s="0" t="n">
        <f aca="false">IF(T299="",0,1)</f>
        <v>0</v>
      </c>
      <c r="AR299" s="0" t="n">
        <f aca="false">IF(U299="",0,1)</f>
        <v>1</v>
      </c>
      <c r="AS299" s="8" t="n">
        <f aca="false">IF(AK299="","",IF(MAX($AK$2:$AK$921)=MIN($AK$2:$AK$921),50,ROUND((AK299-MIN($AK$2:$AK$921))/(MAX($AK$2:$AK$921)-MIN($AK$2:$AK$921))*100,2)))</f>
        <v>57.14</v>
      </c>
      <c r="AT299" s="8" t="n">
        <f aca="false">IF(MAX($BC$2:$BC$921)=MIN($BC$2:$BC$921),50,ROUND((BC299-MIN($BC$2:$BC$921))/(MAX($BC$2:$BC$921)-MIN($BC$2:$BC$921))*100,2))</f>
        <v>75</v>
      </c>
      <c r="AU299" s="8" t="n">
        <f aca="false">IF(MAX($BE$2:$BE$921)=MIN($BE$2:$BE$921),50,ROUND((BE299-MIN($BE$2:$BE$921))/(MAX($BE$2:$BE$921)-MIN($BE$2:$BE$921))*100,2))</f>
        <v>59.18</v>
      </c>
      <c r="AV299" s="8" t="n">
        <f aca="false">IF(MAX($AD$2:$AD$921)=MIN($AD$2:$AD$921),50,ROUND((AD299-MIN($AD$2:$AD$921))/(MAX($AD$2:$AD$921)-MIN($AD$2:$AD$921))*100,2))</f>
        <v>41.02</v>
      </c>
      <c r="AW299" s="8" t="n">
        <f aca="false">IF(MAX($AN$2:$AN$921)=MIN($AN$2:$AN$921),50,ROUND((AN299-MIN($AN$2:$AN$921))/(MAX($AN$2:$AN$921)-MIN($AN$2:$AN$921))*100,2))</f>
        <v>78.75</v>
      </c>
      <c r="AX299" s="8" t="n">
        <f aca="false">AQ299*100</f>
        <v>0</v>
      </c>
      <c r="AY299" s="8" t="n">
        <f aca="false">AR299*100</f>
        <v>100</v>
      </c>
      <c r="AZ299" s="8" t="n">
        <f aca="false">IFERROR(ROUND(AS299*Assumptions!$I$6+AW299*Assumptions!$I$7+AT299*Assumptions!$I$8+AU299*Assumptions!$I$9+AV299*Assumptions!$I$10+AX299*Assumptions!$I$11+AY299*Assumptions!$I$12,2),"")</f>
        <v>62.12</v>
      </c>
      <c r="BA299" s="0" t="str">
        <f aca="false">IF(AZ299="","",IF(AZ299&lt;=Assumptions!$I$18,"Below Expectation",IF(AZ299&lt;=Assumptions!$I$19,"Developing",IF(AZ299&lt;=Assumptions!$I$20,"Meets Expectation",IF(AZ299&lt;=Assumptions!$I$21,"Exceeds","Star Performer")))))</f>
        <v>Meets Expectation</v>
      </c>
      <c r="BB299" s="0" t="n">
        <f aca="false">IF(AZ299="",0,IF(AZ299&gt;=Assumptions!$I$26,1,0))</f>
        <v>0</v>
      </c>
      <c r="BC299" s="9" t="n">
        <f aca="false">IF(AL299="",2,AL299+2)</f>
        <v>3</v>
      </c>
      <c r="BD299" s="10" t="n">
        <f aca="false">IF(AM299="",ROUND(AVERAGE($AM$2:$AM$921),3),AM299)</f>
        <v>0.707</v>
      </c>
      <c r="BE299" s="9" t="n">
        <f aca="false">1-BD299</f>
        <v>0.293</v>
      </c>
    </row>
    <row r="300" customFormat="false" ht="14.25" hidden="true" customHeight="false" outlineLevel="0" collapsed="false">
      <c r="A300" s="4" t="n">
        <v>392</v>
      </c>
      <c r="B300" s="5" t="n">
        <v>50007790</v>
      </c>
      <c r="C300" s="5" t="s">
        <v>85</v>
      </c>
      <c r="D300" s="5" t="s">
        <v>1449</v>
      </c>
      <c r="E300" s="5" t="s">
        <v>137</v>
      </c>
      <c r="F300" s="5" t="s">
        <v>349</v>
      </c>
      <c r="G300" s="5" t="s">
        <v>350</v>
      </c>
      <c r="H300" s="5" t="s">
        <v>349</v>
      </c>
      <c r="I300" s="5" t="s">
        <v>63</v>
      </c>
      <c r="J300" s="5" t="s">
        <v>76</v>
      </c>
      <c r="K300" s="5" t="s">
        <v>65</v>
      </c>
      <c r="L300" s="6" t="n">
        <v>40427</v>
      </c>
      <c r="M300" s="5" t="s">
        <v>211</v>
      </c>
      <c r="N300" s="6" t="n">
        <v>30858</v>
      </c>
      <c r="O300" s="5" t="s">
        <v>332</v>
      </c>
      <c r="P300" s="5" t="s">
        <v>333</v>
      </c>
      <c r="Q300" s="5" t="s">
        <v>286</v>
      </c>
      <c r="R300" s="5" t="s">
        <v>115</v>
      </c>
      <c r="S300" s="5" t="s">
        <v>286</v>
      </c>
      <c r="T300" s="6" t="n">
        <v>41518</v>
      </c>
      <c r="U300" s="6"/>
      <c r="V300" s="5" t="s">
        <v>631</v>
      </c>
      <c r="W300" s="5" t="s">
        <v>141</v>
      </c>
      <c r="X300" s="5" t="s">
        <v>83</v>
      </c>
      <c r="Y300" s="5" t="s">
        <v>141</v>
      </c>
      <c r="Z300" s="5" t="s">
        <v>141</v>
      </c>
      <c r="AA300" s="5" t="s">
        <v>1450</v>
      </c>
      <c r="AB300" s="0" t="n">
        <f aca="false">IFERROR(VALUE(R300),0)</f>
        <v>0</v>
      </c>
      <c r="AC300" s="0" t="n">
        <f aca="false">IFERROR(VALUE(M300),"")</f>
        <v>41.11</v>
      </c>
      <c r="AD300" s="0" t="n">
        <f aca="false">IFERROR(VALUE(Q300),"")</f>
        <v>15.9</v>
      </c>
      <c r="AE300" s="0" t="n">
        <f aca="false">IFERROR(VALUE(S300),"")</f>
        <v>15.9</v>
      </c>
      <c r="AF300" s="0" t="n">
        <f aca="false">IF(V300="","",VLOOKUP(V300,Assumptions!$B$6:$C$9,2,FALSE()))</f>
        <v>2</v>
      </c>
      <c r="AG300" s="0" t="n">
        <f aca="false">IF(W300="","",VLOOKUP(W300,Assumptions!$B$6:$C$9,2,FALSE()))</f>
        <v>3</v>
      </c>
      <c r="AH300" s="0" t="n">
        <f aca="false">IF(X300="","",VLOOKUP(X300,Assumptions!$B$6:$C$9,2,FALSE()))</f>
        <v>4</v>
      </c>
      <c r="AI300" s="0" t="n">
        <f aca="false">IF(Y300="","",VLOOKUP(Y300,Assumptions!$B$6:$C$9,2,FALSE()))</f>
        <v>3</v>
      </c>
      <c r="AJ300" s="0" t="n">
        <f aca="false">IF(Z300="","",VLOOKUP(Z300,Assumptions!$B$6:$C$9,2,FALSE()))</f>
        <v>3</v>
      </c>
      <c r="AK300" s="7" t="n">
        <f aca="false">IFERROR(ROUND(AVERAGE(AF300:AJ300),3),"")</f>
        <v>3</v>
      </c>
      <c r="AL300" s="7" t="n">
        <f aca="false">IF(OR(AF300="",AJ300=""),"",AJ300-AF300)</f>
        <v>1</v>
      </c>
      <c r="AM300" s="7" t="n">
        <f aca="false">IF(COUNT(AF300:AJ300)&gt;=2,ROUND(_xlfn.STDEV.S(AF300:AJ300),3),"")</f>
        <v>0.707</v>
      </c>
      <c r="AN300" s="7" t="n">
        <f aca="false">ROUND((IF(AF300="",0,AF300)*Assumptions!$F$15)+(IF(AG300="",0,AG300)*Assumptions!$F$16)+(IF(AH300="",0,AH300)*Assumptions!$F$17)+(IF(AI300="",0,AI300)*Assumptions!$F$18)+(IF(AJ300="",0,AJ300)*Assumptions!$F$19),3)</f>
        <v>3.1</v>
      </c>
      <c r="AO300" s="0" t="str">
        <f aca="false">IF(AC300&lt;=20,"",IF(AC300&lt;=Assumptions!$F$6,"20-30",IF(AC300&lt;=Assumptions!$F$7,"30-40",IF(AC300&lt;=Assumptions!$F$8,"40-50",IF(AC300&lt;=Assumptions!$F$9,"50-60",IF(AC300&lt;=Assumptions!$F$10,"60+",""))))))</f>
        <v>40-50</v>
      </c>
      <c r="AP300" s="0" t="str">
        <f aca="false">IFERROR(VLOOKUP(O300,Assumptions!$B$14:$C$26,2,FALSE()),"Other")</f>
        <v>Manager</v>
      </c>
      <c r="AQ300" s="0" t="n">
        <f aca="false">IF(T300="",0,1)</f>
        <v>1</v>
      </c>
      <c r="AR300" s="0" t="n">
        <f aca="false">IF(U300="",0,1)</f>
        <v>0</v>
      </c>
      <c r="AS300" s="8" t="n">
        <f aca="false">IF(AK300="","",IF(MAX($AK$2:$AK$921)=MIN($AK$2:$AK$921),50,ROUND((AK300-MIN($AK$2:$AK$921))/(MAX($AK$2:$AK$921)-MIN($AK$2:$AK$921))*100,2)))</f>
        <v>57.14</v>
      </c>
      <c r="AT300" s="8" t="n">
        <f aca="false">IF(MAX($BC$2:$BC$921)=MIN($BC$2:$BC$921),50,ROUND((BC300-MIN($BC$2:$BC$921))/(MAX($BC$2:$BC$921)-MIN($BC$2:$BC$921))*100,2))</f>
        <v>75</v>
      </c>
      <c r="AU300" s="8" t="n">
        <f aca="false">IF(MAX($BE$2:$BE$921)=MIN($BE$2:$BE$921),50,ROUND((BE300-MIN($BE$2:$BE$921))/(MAX($BE$2:$BE$921)-MIN($BE$2:$BE$921))*100,2))</f>
        <v>59.18</v>
      </c>
      <c r="AV300" s="8" t="n">
        <f aca="false">IF(MAX($AD$2:$AD$921)=MIN($AD$2:$AD$921),50,ROUND((AD300-MIN($AD$2:$AD$921))/(MAX($AD$2:$AD$921)-MIN($AD$2:$AD$921))*100,2))</f>
        <v>42.92</v>
      </c>
      <c r="AW300" s="8" t="n">
        <f aca="false">IF(MAX($AN$2:$AN$921)=MIN($AN$2:$AN$921),50,ROUND((AN300-MIN($AN$2:$AN$921))/(MAX($AN$2:$AN$921)-MIN($AN$2:$AN$921))*100,2))</f>
        <v>77.5</v>
      </c>
      <c r="AX300" s="8" t="n">
        <f aca="false">AQ300*100</f>
        <v>100</v>
      </c>
      <c r="AY300" s="8" t="n">
        <f aca="false">AR300*100</f>
        <v>0</v>
      </c>
      <c r="AZ300" s="8" t="n">
        <f aca="false">IFERROR(ROUND(AS300*Assumptions!$I$6+AW300*Assumptions!$I$7+AT300*Assumptions!$I$8+AU300*Assumptions!$I$9+AV300*Assumptions!$I$10+AX300*Assumptions!$I$11+AY300*Assumptions!$I$12,2),"")</f>
        <v>62.06</v>
      </c>
      <c r="BA300" s="0" t="str">
        <f aca="false">IF(AZ300="","",IF(AZ300&lt;=Assumptions!$I$18,"Below Expectation",IF(AZ300&lt;=Assumptions!$I$19,"Developing",IF(AZ300&lt;=Assumptions!$I$20,"Meets Expectation",IF(AZ300&lt;=Assumptions!$I$21,"Exceeds","Star Performer")))))</f>
        <v>Meets Expectation</v>
      </c>
      <c r="BB300" s="0" t="n">
        <f aca="false">IF(AZ300="",0,IF(AZ300&gt;=Assumptions!$I$26,1,0))</f>
        <v>0</v>
      </c>
      <c r="BC300" s="9" t="n">
        <f aca="false">IF(AL300="",2,AL300+2)</f>
        <v>3</v>
      </c>
      <c r="BD300" s="10" t="n">
        <f aca="false">IF(AM300="",ROUND(AVERAGE($AM$2:$AM$921),3),AM300)</f>
        <v>0.707</v>
      </c>
      <c r="BE300" s="9" t="n">
        <f aca="false">1-BD300</f>
        <v>0.293</v>
      </c>
    </row>
    <row r="301" customFormat="false" ht="14.25" hidden="true" customHeight="false" outlineLevel="0" collapsed="false">
      <c r="A301" s="4" t="n">
        <v>401</v>
      </c>
      <c r="B301" s="5" t="n">
        <v>50008330</v>
      </c>
      <c r="C301" s="5" t="s">
        <v>57</v>
      </c>
      <c r="D301" s="5" t="s">
        <v>1451</v>
      </c>
      <c r="E301" s="5" t="s">
        <v>514</v>
      </c>
      <c r="F301" s="5" t="s">
        <v>608</v>
      </c>
      <c r="G301" s="5" t="s">
        <v>609</v>
      </c>
      <c r="H301" s="5" t="s">
        <v>608</v>
      </c>
      <c r="I301" s="5" t="s">
        <v>63</v>
      </c>
      <c r="J301" s="5" t="s">
        <v>100</v>
      </c>
      <c r="K301" s="5" t="s">
        <v>65</v>
      </c>
      <c r="L301" s="6" t="n">
        <v>40567</v>
      </c>
      <c r="M301" s="5" t="s">
        <v>1452</v>
      </c>
      <c r="N301" s="6" t="n">
        <v>31706</v>
      </c>
      <c r="O301" s="5" t="s">
        <v>365</v>
      </c>
      <c r="P301" s="5" t="s">
        <v>365</v>
      </c>
      <c r="Q301" s="5" t="s">
        <v>936</v>
      </c>
      <c r="R301" s="5" t="s">
        <v>115</v>
      </c>
      <c r="S301" s="5" t="s">
        <v>936</v>
      </c>
      <c r="T301" s="6" t="n">
        <v>41518</v>
      </c>
      <c r="U301" s="6"/>
      <c r="V301" s="5" t="s">
        <v>631</v>
      </c>
      <c r="W301" s="5" t="s">
        <v>141</v>
      </c>
      <c r="X301" s="5" t="s">
        <v>83</v>
      </c>
      <c r="Y301" s="5" t="s">
        <v>141</v>
      </c>
      <c r="Z301" s="5" t="s">
        <v>141</v>
      </c>
      <c r="AA301" s="5" t="s">
        <v>1453</v>
      </c>
      <c r="AB301" s="0" t="n">
        <f aca="false">IFERROR(VALUE(R301),0)</f>
        <v>0</v>
      </c>
      <c r="AC301" s="0" t="n">
        <f aca="false">IFERROR(VALUE(M301),"")</f>
        <v>39.7</v>
      </c>
      <c r="AD301" s="0" t="n">
        <f aca="false">IFERROR(VALUE(Q301),"")</f>
        <v>15.4</v>
      </c>
      <c r="AE301" s="0" t="n">
        <f aca="false">IFERROR(VALUE(S301),"")</f>
        <v>15.4</v>
      </c>
      <c r="AF301" s="0" t="n">
        <f aca="false">IF(V301="","",VLOOKUP(V301,Assumptions!$B$6:$C$9,2,FALSE()))</f>
        <v>2</v>
      </c>
      <c r="AG301" s="0" t="n">
        <f aca="false">IF(W301="","",VLOOKUP(W301,Assumptions!$B$6:$C$9,2,FALSE()))</f>
        <v>3</v>
      </c>
      <c r="AH301" s="0" t="n">
        <f aca="false">IF(X301="","",VLOOKUP(X301,Assumptions!$B$6:$C$9,2,FALSE()))</f>
        <v>4</v>
      </c>
      <c r="AI301" s="0" t="n">
        <f aca="false">IF(Y301="","",VLOOKUP(Y301,Assumptions!$B$6:$C$9,2,FALSE()))</f>
        <v>3</v>
      </c>
      <c r="AJ301" s="0" t="n">
        <f aca="false">IF(Z301="","",VLOOKUP(Z301,Assumptions!$B$6:$C$9,2,FALSE()))</f>
        <v>3</v>
      </c>
      <c r="AK301" s="7" t="n">
        <f aca="false">IFERROR(ROUND(AVERAGE(AF301:AJ301),3),"")</f>
        <v>3</v>
      </c>
      <c r="AL301" s="7" t="n">
        <f aca="false">IF(OR(AF301="",AJ301=""),"",AJ301-AF301)</f>
        <v>1</v>
      </c>
      <c r="AM301" s="7" t="n">
        <f aca="false">IF(COUNT(AF301:AJ301)&gt;=2,ROUND(_xlfn.STDEV.S(AF301:AJ301),3),"")</f>
        <v>0.707</v>
      </c>
      <c r="AN301" s="7" t="n">
        <f aca="false">ROUND((IF(AF301="",0,AF301)*Assumptions!$F$15)+(IF(AG301="",0,AG301)*Assumptions!$F$16)+(IF(AH301="",0,AH301)*Assumptions!$F$17)+(IF(AI301="",0,AI301)*Assumptions!$F$18)+(IF(AJ301="",0,AJ301)*Assumptions!$F$19),3)</f>
        <v>3.1</v>
      </c>
      <c r="AO301" s="0" t="str">
        <f aca="false">IF(AC301&lt;=20,"",IF(AC301&lt;=Assumptions!$F$6,"20-30",IF(AC301&lt;=Assumptions!$F$7,"30-40",IF(AC301&lt;=Assumptions!$F$8,"40-50",IF(AC301&lt;=Assumptions!$F$9,"50-60",IF(AC301&lt;=Assumptions!$F$10,"60+",""))))))</f>
        <v>30-40</v>
      </c>
      <c r="AP301" s="0" t="str">
        <f aca="false">IFERROR(VLOOKUP(O301,Assumptions!$B$14:$C$26,2,FALSE()),"Other")</f>
        <v>Manager</v>
      </c>
      <c r="AQ301" s="0" t="n">
        <f aca="false">IF(T301="",0,1)</f>
        <v>1</v>
      </c>
      <c r="AR301" s="0" t="n">
        <f aca="false">IF(U301="",0,1)</f>
        <v>0</v>
      </c>
      <c r="AS301" s="8" t="n">
        <f aca="false">IF(AK301="","",IF(MAX($AK$2:$AK$921)=MIN($AK$2:$AK$921),50,ROUND((AK301-MIN($AK$2:$AK$921))/(MAX($AK$2:$AK$921)-MIN($AK$2:$AK$921))*100,2)))</f>
        <v>57.14</v>
      </c>
      <c r="AT301" s="8" t="n">
        <f aca="false">IF(MAX($BC$2:$BC$921)=MIN($BC$2:$BC$921),50,ROUND((BC301-MIN($BC$2:$BC$921))/(MAX($BC$2:$BC$921)-MIN($BC$2:$BC$921))*100,2))</f>
        <v>75</v>
      </c>
      <c r="AU301" s="8" t="n">
        <f aca="false">IF(MAX($BE$2:$BE$921)=MIN($BE$2:$BE$921),50,ROUND((BE301-MIN($BE$2:$BE$921))/(MAX($BE$2:$BE$921)-MIN($BE$2:$BE$921))*100,2))</f>
        <v>59.18</v>
      </c>
      <c r="AV301" s="8" t="n">
        <f aca="false">IF(MAX($AD$2:$AD$921)=MIN($AD$2:$AD$921),50,ROUND((AD301-MIN($AD$2:$AD$921))/(MAX($AD$2:$AD$921)-MIN($AD$2:$AD$921))*100,2))</f>
        <v>41.56</v>
      </c>
      <c r="AW301" s="8" t="n">
        <f aca="false">IF(MAX($AN$2:$AN$921)=MIN($AN$2:$AN$921),50,ROUND((AN301-MIN($AN$2:$AN$921))/(MAX($AN$2:$AN$921)-MIN($AN$2:$AN$921))*100,2))</f>
        <v>77.5</v>
      </c>
      <c r="AX301" s="8" t="n">
        <f aca="false">AQ301*100</f>
        <v>100</v>
      </c>
      <c r="AY301" s="8" t="n">
        <f aca="false">AR301*100</f>
        <v>0</v>
      </c>
      <c r="AZ301" s="8" t="n">
        <f aca="false">IFERROR(ROUND(AS301*Assumptions!$I$6+AW301*Assumptions!$I$7+AT301*Assumptions!$I$8+AU301*Assumptions!$I$9+AV301*Assumptions!$I$10+AX301*Assumptions!$I$11+AY301*Assumptions!$I$12,2),"")</f>
        <v>61.93</v>
      </c>
      <c r="BA301" s="0" t="str">
        <f aca="false">IF(AZ301="","",IF(AZ301&lt;=Assumptions!$I$18,"Below Expectation",IF(AZ301&lt;=Assumptions!$I$19,"Developing",IF(AZ301&lt;=Assumptions!$I$20,"Meets Expectation",IF(AZ301&lt;=Assumptions!$I$21,"Exceeds","Star Performer")))))</f>
        <v>Meets Expectation</v>
      </c>
      <c r="BB301" s="0" t="n">
        <f aca="false">IF(AZ301="",0,IF(AZ301&gt;=Assumptions!$I$26,1,0))</f>
        <v>0</v>
      </c>
      <c r="BC301" s="9" t="n">
        <f aca="false">IF(AL301="",2,AL301+2)</f>
        <v>3</v>
      </c>
      <c r="BD301" s="10" t="n">
        <f aca="false">IF(AM301="",ROUND(AVERAGE($AM$2:$AM$921),3),AM301)</f>
        <v>0.707</v>
      </c>
      <c r="BE301" s="9" t="n">
        <f aca="false">1-BD301</f>
        <v>0.293</v>
      </c>
    </row>
    <row r="302" customFormat="false" ht="14.25" hidden="true" customHeight="false" outlineLevel="0" collapsed="false">
      <c r="A302" s="4" t="n">
        <v>236</v>
      </c>
      <c r="B302" s="5" t="n">
        <v>10059788</v>
      </c>
      <c r="C302" s="5" t="s">
        <v>85</v>
      </c>
      <c r="D302" s="5" t="s">
        <v>1454</v>
      </c>
      <c r="E302" s="5" t="s">
        <v>266</v>
      </c>
      <c r="F302" s="5" t="s">
        <v>349</v>
      </c>
      <c r="G302" s="5" t="s">
        <v>350</v>
      </c>
      <c r="H302" s="5" t="s">
        <v>349</v>
      </c>
      <c r="I302" s="5" t="s">
        <v>63</v>
      </c>
      <c r="J302" s="5" t="s">
        <v>76</v>
      </c>
      <c r="K302" s="5" t="s">
        <v>65</v>
      </c>
      <c r="L302" s="6" t="n">
        <v>42947</v>
      </c>
      <c r="M302" s="5" t="s">
        <v>1455</v>
      </c>
      <c r="N302" s="6" t="n">
        <v>31913</v>
      </c>
      <c r="O302" s="5" t="s">
        <v>332</v>
      </c>
      <c r="P302" s="5" t="s">
        <v>333</v>
      </c>
      <c r="Q302" s="5" t="s">
        <v>181</v>
      </c>
      <c r="R302" s="5" t="s">
        <v>615</v>
      </c>
      <c r="S302" s="5" t="s">
        <v>1137</v>
      </c>
      <c r="T302" s="6"/>
      <c r="U302" s="6" t="n">
        <v>44440</v>
      </c>
      <c r="V302" s="5" t="s">
        <v>141</v>
      </c>
      <c r="W302" s="5" t="s">
        <v>141</v>
      </c>
      <c r="X302" s="5" t="s">
        <v>141</v>
      </c>
      <c r="Y302" s="5" t="s">
        <v>141</v>
      </c>
      <c r="Z302" s="5" t="s">
        <v>141</v>
      </c>
      <c r="AA302" s="5" t="s">
        <v>1456</v>
      </c>
      <c r="AB302" s="0" t="n">
        <f aca="false">IFERROR(VALUE(R302),0)</f>
        <v>5.7</v>
      </c>
      <c r="AC302" s="0" t="n">
        <f aca="false">IFERROR(VALUE(M302),"")</f>
        <v>39</v>
      </c>
      <c r="AD302" s="0" t="n">
        <f aca="false">IFERROR(VALUE(Q302),"")</f>
        <v>8.1</v>
      </c>
      <c r="AE302" s="0" t="n">
        <f aca="false">IFERROR(VALUE(S302),"")</f>
        <v>14.5</v>
      </c>
      <c r="AF302" s="0" t="n">
        <f aca="false">IF(V302="","",VLOOKUP(V302,Assumptions!$B$6:$C$9,2,FALSE()))</f>
        <v>3</v>
      </c>
      <c r="AG302" s="0" t="n">
        <f aca="false">IF(W302="","",VLOOKUP(W302,Assumptions!$B$6:$C$9,2,FALSE()))</f>
        <v>3</v>
      </c>
      <c r="AH302" s="0" t="n">
        <f aca="false">IF(X302="","",VLOOKUP(X302,Assumptions!$B$6:$C$9,2,FALSE()))</f>
        <v>3</v>
      </c>
      <c r="AI302" s="0" t="n">
        <f aca="false">IF(Y302="","",VLOOKUP(Y302,Assumptions!$B$6:$C$9,2,FALSE()))</f>
        <v>3</v>
      </c>
      <c r="AJ302" s="0" t="n">
        <f aca="false">IF(Z302="","",VLOOKUP(Z302,Assumptions!$B$6:$C$9,2,FALSE()))</f>
        <v>3</v>
      </c>
      <c r="AK302" s="7" t="n">
        <f aca="false">IFERROR(ROUND(AVERAGE(AF302:AJ302),3),"")</f>
        <v>3</v>
      </c>
      <c r="AL302" s="7" t="n">
        <f aca="false">IF(OR(AF302="",AJ302=""),"",AJ302-AF302)</f>
        <v>0</v>
      </c>
      <c r="AM302" s="7" t="n">
        <f aca="false">IF(COUNT(AF302:AJ302)&gt;=2,ROUND(_xlfn.STDEV.S(AF302:AJ302),3),"")</f>
        <v>0</v>
      </c>
      <c r="AN302" s="7" t="n">
        <f aca="false">ROUND((IF(AF302="",0,AF302)*Assumptions!$F$15)+(IF(AG302="",0,AG302)*Assumptions!$F$16)+(IF(AH302="",0,AH302)*Assumptions!$F$17)+(IF(AI302="",0,AI302)*Assumptions!$F$18)+(IF(AJ302="",0,AJ302)*Assumptions!$F$19),3)</f>
        <v>3</v>
      </c>
      <c r="AO302" s="0" t="str">
        <f aca="false">IF(AC302&lt;=20,"",IF(AC302&lt;=Assumptions!$F$6,"20-30",IF(AC302&lt;=Assumptions!$F$7,"30-40",IF(AC302&lt;=Assumptions!$F$8,"40-50",IF(AC302&lt;=Assumptions!$F$9,"50-60",IF(AC302&lt;=Assumptions!$F$10,"60+",""))))))</f>
        <v>30-40</v>
      </c>
      <c r="AP302" s="0" t="str">
        <f aca="false">IFERROR(VLOOKUP(O302,Assumptions!$B$14:$C$26,2,FALSE()),"Other")</f>
        <v>Manager</v>
      </c>
      <c r="AQ302" s="0" t="n">
        <f aca="false">IF(T302="",0,1)</f>
        <v>0</v>
      </c>
      <c r="AR302" s="0" t="n">
        <f aca="false">IF(U302="",0,1)</f>
        <v>1</v>
      </c>
      <c r="AS302" s="8" t="n">
        <f aca="false">IF(AK302="","",IF(MAX($AK$2:$AK$921)=MIN($AK$2:$AK$921),50,ROUND((AK302-MIN($AK$2:$AK$921))/(MAX($AK$2:$AK$921)-MIN($AK$2:$AK$921))*100,2)))</f>
        <v>57.14</v>
      </c>
      <c r="AT302" s="8" t="n">
        <f aca="false">IF(MAX($BC$2:$BC$921)=MIN($BC$2:$BC$921),50,ROUND((BC302-MIN($BC$2:$BC$921))/(MAX($BC$2:$BC$921)-MIN($BC$2:$BC$921))*100,2))</f>
        <v>50</v>
      </c>
      <c r="AU302" s="8" t="n">
        <f aca="false">IF(MAX($BE$2:$BE$921)=MIN($BE$2:$BE$921),50,ROUND((BE302-MIN($BE$2:$BE$921))/(MAX($BE$2:$BE$921)-MIN($BE$2:$BE$921))*100,2))</f>
        <v>100</v>
      </c>
      <c r="AV302" s="8" t="n">
        <f aca="false">IF(MAX($AD$2:$AD$921)=MIN($AD$2:$AD$921),50,ROUND((AD302-MIN($AD$2:$AD$921))/(MAX($AD$2:$AD$921)-MIN($AD$2:$AD$921))*100,2))</f>
        <v>21.72</v>
      </c>
      <c r="AW302" s="8" t="n">
        <f aca="false">IF(MAX($AN$2:$AN$921)=MIN($AN$2:$AN$921),50,ROUND((AN302-MIN($AN$2:$AN$921))/(MAX($AN$2:$AN$921)-MIN($AN$2:$AN$921))*100,2))</f>
        <v>75</v>
      </c>
      <c r="AX302" s="8" t="n">
        <f aca="false">AQ302*100</f>
        <v>0</v>
      </c>
      <c r="AY302" s="8" t="n">
        <f aca="false">AR302*100</f>
        <v>100</v>
      </c>
      <c r="AZ302" s="8" t="n">
        <f aca="false">IFERROR(ROUND(AS302*Assumptions!$I$6+AW302*Assumptions!$I$7+AT302*Assumptions!$I$8+AU302*Assumptions!$I$9+AV302*Assumptions!$I$10+AX302*Assumptions!$I$11+AY302*Assumptions!$I$12,2),"")</f>
        <v>61.81</v>
      </c>
      <c r="BA302" s="0" t="str">
        <f aca="false">IF(AZ302="","",IF(AZ302&lt;=Assumptions!$I$18,"Below Expectation",IF(AZ302&lt;=Assumptions!$I$19,"Developing",IF(AZ302&lt;=Assumptions!$I$20,"Meets Expectation",IF(AZ302&lt;=Assumptions!$I$21,"Exceeds","Star Performer")))))</f>
        <v>Meets Expectation</v>
      </c>
      <c r="BB302" s="0" t="n">
        <f aca="false">IF(AZ302="",0,IF(AZ302&gt;=Assumptions!$I$26,1,0))</f>
        <v>0</v>
      </c>
      <c r="BC302" s="9" t="n">
        <f aca="false">IF(AL302="",2,AL302+2)</f>
        <v>2</v>
      </c>
      <c r="BD302" s="10" t="n">
        <f aca="false">IF(AM302="",ROUND(AVERAGE($AM$2:$AM$921),3),AM302)</f>
        <v>0</v>
      </c>
      <c r="BE302" s="9" t="n">
        <f aca="false">1-BD302</f>
        <v>1</v>
      </c>
    </row>
    <row r="303" customFormat="false" ht="14.25" hidden="true" customHeight="false" outlineLevel="0" collapsed="false">
      <c r="A303" s="4" t="n">
        <v>395</v>
      </c>
      <c r="B303" s="5" t="n">
        <v>50007998</v>
      </c>
      <c r="C303" s="5" t="s">
        <v>57</v>
      </c>
      <c r="D303" s="5" t="s">
        <v>1457</v>
      </c>
      <c r="E303" s="5" t="s">
        <v>96</v>
      </c>
      <c r="F303" s="5" t="s">
        <v>387</v>
      </c>
      <c r="G303" s="5" t="s">
        <v>388</v>
      </c>
      <c r="H303" s="5" t="s">
        <v>387</v>
      </c>
      <c r="I303" s="5" t="s">
        <v>63</v>
      </c>
      <c r="J303" s="5" t="s">
        <v>100</v>
      </c>
      <c r="K303" s="5" t="s">
        <v>65</v>
      </c>
      <c r="L303" s="6" t="n">
        <v>40483</v>
      </c>
      <c r="M303" s="5" t="s">
        <v>1444</v>
      </c>
      <c r="N303" s="6" t="n">
        <v>30169</v>
      </c>
      <c r="O303" s="5" t="s">
        <v>332</v>
      </c>
      <c r="P303" s="5" t="s">
        <v>333</v>
      </c>
      <c r="Q303" s="5" t="s">
        <v>212</v>
      </c>
      <c r="R303" s="5" t="s">
        <v>433</v>
      </c>
      <c r="S303" s="5" t="s">
        <v>411</v>
      </c>
      <c r="T303" s="6"/>
      <c r="U303" s="6" t="n">
        <v>44652</v>
      </c>
      <c r="V303" s="5" t="s">
        <v>83</v>
      </c>
      <c r="W303" s="5" t="s">
        <v>83</v>
      </c>
      <c r="X303" s="5" t="s">
        <v>141</v>
      </c>
      <c r="Y303" s="5" t="s">
        <v>141</v>
      </c>
      <c r="Z303" s="5" t="s">
        <v>141</v>
      </c>
      <c r="AA303" s="5" t="s">
        <v>354</v>
      </c>
      <c r="AB303" s="0" t="n">
        <f aca="false">IFERROR(VALUE(R303),0)</f>
        <v>3</v>
      </c>
      <c r="AC303" s="0" t="n">
        <f aca="false">IFERROR(VALUE(M303),"")</f>
        <v>43.1</v>
      </c>
      <c r="AD303" s="0" t="n">
        <f aca="false">IFERROR(VALUE(Q303),"")</f>
        <v>15.7</v>
      </c>
      <c r="AE303" s="0" t="n">
        <f aca="false">IFERROR(VALUE(S303),"")</f>
        <v>18.7</v>
      </c>
      <c r="AF303" s="0" t="n">
        <f aca="false">IF(V303="","",VLOOKUP(V303,Assumptions!$B$6:$C$9,2,FALSE()))</f>
        <v>4</v>
      </c>
      <c r="AG303" s="0" t="n">
        <f aca="false">IF(W303="","",VLOOKUP(W303,Assumptions!$B$6:$C$9,2,FALSE()))</f>
        <v>4</v>
      </c>
      <c r="AH303" s="0" t="n">
        <f aca="false">IF(X303="","",VLOOKUP(X303,Assumptions!$B$6:$C$9,2,FALSE()))</f>
        <v>3</v>
      </c>
      <c r="AI303" s="0" t="n">
        <f aca="false">IF(Y303="","",VLOOKUP(Y303,Assumptions!$B$6:$C$9,2,FALSE()))</f>
        <v>3</v>
      </c>
      <c r="AJ303" s="0" t="n">
        <f aca="false">IF(Z303="","",VLOOKUP(Z303,Assumptions!$B$6:$C$9,2,FALSE()))</f>
        <v>3</v>
      </c>
      <c r="AK303" s="7" t="n">
        <f aca="false">IFERROR(ROUND(AVERAGE(AF303:AJ303),3),"")</f>
        <v>3.4</v>
      </c>
      <c r="AL303" s="7" t="n">
        <f aca="false">IF(OR(AF303="",AJ303=""),"",AJ303-AF303)</f>
        <v>-1</v>
      </c>
      <c r="AM303" s="7" t="n">
        <f aca="false">IF(COUNT(AF303:AJ303)&gt;=2,ROUND(_xlfn.STDEV.S(AF303:AJ303),3),"")</f>
        <v>0.548</v>
      </c>
      <c r="AN303" s="7" t="n">
        <f aca="false">ROUND((IF(AF303="",0,AF303)*Assumptions!$F$15)+(IF(AG303="",0,AG303)*Assumptions!$F$16)+(IF(AH303="",0,AH303)*Assumptions!$F$17)+(IF(AI303="",0,AI303)*Assumptions!$F$18)+(IF(AJ303="",0,AJ303)*Assumptions!$F$19),3)</f>
        <v>3.25</v>
      </c>
      <c r="AO303" s="0" t="str">
        <f aca="false">IF(AC303&lt;=20,"",IF(AC303&lt;=Assumptions!$F$6,"20-30",IF(AC303&lt;=Assumptions!$F$7,"30-40",IF(AC303&lt;=Assumptions!$F$8,"40-50",IF(AC303&lt;=Assumptions!$F$9,"50-60",IF(AC303&lt;=Assumptions!$F$10,"60+",""))))))</f>
        <v>40-50</v>
      </c>
      <c r="AP303" s="0" t="str">
        <f aca="false">IFERROR(VLOOKUP(O303,Assumptions!$B$14:$C$26,2,FALSE()),"Other")</f>
        <v>Manager</v>
      </c>
      <c r="AQ303" s="0" t="n">
        <f aca="false">IF(T303="",0,1)</f>
        <v>0</v>
      </c>
      <c r="AR303" s="0" t="n">
        <f aca="false">IF(U303="",0,1)</f>
        <v>1</v>
      </c>
      <c r="AS303" s="8" t="n">
        <f aca="false">IF(AK303="","",IF(MAX($AK$2:$AK$921)=MIN($AK$2:$AK$921),50,ROUND((AK303-MIN($AK$2:$AK$921))/(MAX($AK$2:$AK$921)-MIN($AK$2:$AK$921))*100,2)))</f>
        <v>74.28</v>
      </c>
      <c r="AT303" s="8" t="n">
        <f aca="false">IF(MAX($BC$2:$BC$921)=MIN($BC$2:$BC$921),50,ROUND((BC303-MIN($BC$2:$BC$921))/(MAX($BC$2:$BC$921)-MIN($BC$2:$BC$921))*100,2))</f>
        <v>25</v>
      </c>
      <c r="AU303" s="8" t="n">
        <f aca="false">IF(MAX($BE$2:$BE$921)=MIN($BE$2:$BE$921),50,ROUND((BE303-MIN($BE$2:$BE$921))/(MAX($BE$2:$BE$921)-MIN($BE$2:$BE$921))*100,2))</f>
        <v>68.36</v>
      </c>
      <c r="AV303" s="8" t="n">
        <f aca="false">IF(MAX($AD$2:$AD$921)=MIN($AD$2:$AD$921),50,ROUND((AD303-MIN($AD$2:$AD$921))/(MAX($AD$2:$AD$921)-MIN($AD$2:$AD$921))*100,2))</f>
        <v>42.38</v>
      </c>
      <c r="AW303" s="8" t="n">
        <f aca="false">IF(MAX($AN$2:$AN$921)=MIN($AN$2:$AN$921),50,ROUND((AN303-MIN($AN$2:$AN$921))/(MAX($AN$2:$AN$921)-MIN($AN$2:$AN$921))*100,2))</f>
        <v>81.25</v>
      </c>
      <c r="AX303" s="8" t="n">
        <f aca="false">AQ303*100</f>
        <v>0</v>
      </c>
      <c r="AY303" s="8" t="n">
        <f aca="false">AR303*100</f>
        <v>100</v>
      </c>
      <c r="AZ303" s="8" t="n">
        <f aca="false">IFERROR(ROUND(AS303*Assumptions!$I$6+AW303*Assumptions!$I$7+AT303*Assumptions!$I$8+AU303*Assumptions!$I$9+AV303*Assumptions!$I$10+AX303*Assumptions!$I$11+AY303*Assumptions!$I$12,2),"")</f>
        <v>61.78</v>
      </c>
      <c r="BA303" s="0" t="str">
        <f aca="false">IF(AZ303="","",IF(AZ303&lt;=Assumptions!$I$18,"Below Expectation",IF(AZ303&lt;=Assumptions!$I$19,"Developing",IF(AZ303&lt;=Assumptions!$I$20,"Meets Expectation",IF(AZ303&lt;=Assumptions!$I$21,"Exceeds","Star Performer")))))</f>
        <v>Meets Expectation</v>
      </c>
      <c r="BB303" s="0" t="n">
        <f aca="false">IF(AZ303="",0,IF(AZ303&gt;=Assumptions!$I$26,1,0))</f>
        <v>0</v>
      </c>
      <c r="BC303" s="9" t="n">
        <f aca="false">IF(AL303="",2,AL303+2)</f>
        <v>1</v>
      </c>
      <c r="BD303" s="10" t="n">
        <f aca="false">IF(AM303="",ROUND(AVERAGE($AM$2:$AM$921),3),AM303)</f>
        <v>0.548</v>
      </c>
      <c r="BE303" s="9" t="n">
        <f aca="false">1-BD303</f>
        <v>0.452</v>
      </c>
    </row>
    <row r="304" customFormat="false" ht="14.25" hidden="true" customHeight="false" outlineLevel="0" collapsed="false">
      <c r="A304" s="4" t="n">
        <v>259</v>
      </c>
      <c r="B304" s="5" t="n">
        <v>10066727</v>
      </c>
      <c r="C304" s="5" t="s">
        <v>85</v>
      </c>
      <c r="D304" s="5" t="s">
        <v>1458</v>
      </c>
      <c r="E304" s="5" t="s">
        <v>1459</v>
      </c>
      <c r="F304" s="5" t="s">
        <v>380</v>
      </c>
      <c r="G304" s="5" t="s">
        <v>379</v>
      </c>
      <c r="H304" s="5" t="s">
        <v>380</v>
      </c>
      <c r="I304" s="5" t="s">
        <v>63</v>
      </c>
      <c r="J304" s="5" t="s">
        <v>76</v>
      </c>
      <c r="K304" s="5" t="s">
        <v>65</v>
      </c>
      <c r="L304" s="6" t="n">
        <v>43472</v>
      </c>
      <c r="M304" s="5" t="s">
        <v>1460</v>
      </c>
      <c r="N304" s="6" t="n">
        <v>29006</v>
      </c>
      <c r="O304" s="5" t="s">
        <v>332</v>
      </c>
      <c r="P304" s="5" t="s">
        <v>333</v>
      </c>
      <c r="Q304" s="5" t="s">
        <v>847</v>
      </c>
      <c r="R304" s="5" t="s">
        <v>1086</v>
      </c>
      <c r="S304" s="5" t="s">
        <v>383</v>
      </c>
      <c r="T304" s="6"/>
      <c r="U304" s="6" t="n">
        <v>44652</v>
      </c>
      <c r="V304" s="5" t="s">
        <v>141</v>
      </c>
      <c r="W304" s="5" t="s">
        <v>141</v>
      </c>
      <c r="X304" s="5" t="s">
        <v>141</v>
      </c>
      <c r="Y304" s="5" t="s">
        <v>141</v>
      </c>
      <c r="Z304" s="5" t="s">
        <v>141</v>
      </c>
      <c r="AA304" s="5" t="s">
        <v>1461</v>
      </c>
      <c r="AB304" s="0" t="n">
        <f aca="false">IFERROR(VALUE(R304),0)</f>
        <v>8.1</v>
      </c>
      <c r="AC304" s="0" t="n">
        <f aca="false">IFERROR(VALUE(M304),"")</f>
        <v>47</v>
      </c>
      <c r="AD304" s="0" t="n">
        <f aca="false">IFERROR(VALUE(Q304),"")</f>
        <v>7.5</v>
      </c>
      <c r="AE304" s="0" t="n">
        <f aca="false">IFERROR(VALUE(S304),"")</f>
        <v>15.6</v>
      </c>
      <c r="AF304" s="0" t="n">
        <f aca="false">IF(V304="","",VLOOKUP(V304,Assumptions!$B$6:$C$9,2,FALSE()))</f>
        <v>3</v>
      </c>
      <c r="AG304" s="0" t="n">
        <f aca="false">IF(W304="","",VLOOKUP(W304,Assumptions!$B$6:$C$9,2,FALSE()))</f>
        <v>3</v>
      </c>
      <c r="AH304" s="0" t="n">
        <f aca="false">IF(X304="","",VLOOKUP(X304,Assumptions!$B$6:$C$9,2,FALSE()))</f>
        <v>3</v>
      </c>
      <c r="AI304" s="0" t="n">
        <f aca="false">IF(Y304="","",VLOOKUP(Y304,Assumptions!$B$6:$C$9,2,FALSE()))</f>
        <v>3</v>
      </c>
      <c r="AJ304" s="0" t="n">
        <f aca="false">IF(Z304="","",VLOOKUP(Z304,Assumptions!$B$6:$C$9,2,FALSE()))</f>
        <v>3</v>
      </c>
      <c r="AK304" s="7" t="n">
        <f aca="false">IFERROR(ROUND(AVERAGE(AF304:AJ304),3),"")</f>
        <v>3</v>
      </c>
      <c r="AL304" s="7" t="n">
        <f aca="false">IF(OR(AF304="",AJ304=""),"",AJ304-AF304)</f>
        <v>0</v>
      </c>
      <c r="AM304" s="7" t="n">
        <f aca="false">IF(COUNT(AF304:AJ304)&gt;=2,ROUND(_xlfn.STDEV.S(AF304:AJ304),3),"")</f>
        <v>0</v>
      </c>
      <c r="AN304" s="7" t="n">
        <f aca="false">ROUND((IF(AF304="",0,AF304)*Assumptions!$F$15)+(IF(AG304="",0,AG304)*Assumptions!$F$16)+(IF(AH304="",0,AH304)*Assumptions!$F$17)+(IF(AI304="",0,AI304)*Assumptions!$F$18)+(IF(AJ304="",0,AJ304)*Assumptions!$F$19),3)</f>
        <v>3</v>
      </c>
      <c r="AO304" s="0" t="str">
        <f aca="false">IF(AC304&lt;=20,"",IF(AC304&lt;=Assumptions!$F$6,"20-30",IF(AC304&lt;=Assumptions!$F$7,"30-40",IF(AC304&lt;=Assumptions!$F$8,"40-50",IF(AC304&lt;=Assumptions!$F$9,"50-60",IF(AC304&lt;=Assumptions!$F$10,"60+",""))))))</f>
        <v>40-50</v>
      </c>
      <c r="AP304" s="0" t="str">
        <f aca="false">IFERROR(VLOOKUP(O304,Assumptions!$B$14:$C$26,2,FALSE()),"Other")</f>
        <v>Manager</v>
      </c>
      <c r="AQ304" s="0" t="n">
        <f aca="false">IF(T304="",0,1)</f>
        <v>0</v>
      </c>
      <c r="AR304" s="0" t="n">
        <f aca="false">IF(U304="",0,1)</f>
        <v>1</v>
      </c>
      <c r="AS304" s="8" t="n">
        <f aca="false">IF(AK304="","",IF(MAX($AK$2:$AK$921)=MIN($AK$2:$AK$921),50,ROUND((AK304-MIN($AK$2:$AK$921))/(MAX($AK$2:$AK$921)-MIN($AK$2:$AK$921))*100,2)))</f>
        <v>57.14</v>
      </c>
      <c r="AT304" s="8" t="n">
        <f aca="false">IF(MAX($BC$2:$BC$921)=MIN($BC$2:$BC$921),50,ROUND((BC304-MIN($BC$2:$BC$921))/(MAX($BC$2:$BC$921)-MIN($BC$2:$BC$921))*100,2))</f>
        <v>50</v>
      </c>
      <c r="AU304" s="8" t="n">
        <f aca="false">IF(MAX($BE$2:$BE$921)=MIN($BE$2:$BE$921),50,ROUND((BE304-MIN($BE$2:$BE$921))/(MAX($BE$2:$BE$921)-MIN($BE$2:$BE$921))*100,2))</f>
        <v>100</v>
      </c>
      <c r="AV304" s="8" t="n">
        <f aca="false">IF(MAX($AD$2:$AD$921)=MIN($AD$2:$AD$921),50,ROUND((AD304-MIN($AD$2:$AD$921))/(MAX($AD$2:$AD$921)-MIN($AD$2:$AD$921))*100,2))</f>
        <v>20.09</v>
      </c>
      <c r="AW304" s="8" t="n">
        <f aca="false">IF(MAX($AN$2:$AN$921)=MIN($AN$2:$AN$921),50,ROUND((AN304-MIN($AN$2:$AN$921))/(MAX($AN$2:$AN$921)-MIN($AN$2:$AN$921))*100,2))</f>
        <v>75</v>
      </c>
      <c r="AX304" s="8" t="n">
        <f aca="false">AQ304*100</f>
        <v>0</v>
      </c>
      <c r="AY304" s="8" t="n">
        <f aca="false">AR304*100</f>
        <v>100</v>
      </c>
      <c r="AZ304" s="8" t="n">
        <f aca="false">IFERROR(ROUND(AS304*Assumptions!$I$6+AW304*Assumptions!$I$7+AT304*Assumptions!$I$8+AU304*Assumptions!$I$9+AV304*Assumptions!$I$10+AX304*Assumptions!$I$11+AY304*Assumptions!$I$12,2),"")</f>
        <v>61.65</v>
      </c>
      <c r="BA304" s="0" t="str">
        <f aca="false">IF(AZ304="","",IF(AZ304&lt;=Assumptions!$I$18,"Below Expectation",IF(AZ304&lt;=Assumptions!$I$19,"Developing",IF(AZ304&lt;=Assumptions!$I$20,"Meets Expectation",IF(AZ304&lt;=Assumptions!$I$21,"Exceeds","Star Performer")))))</f>
        <v>Meets Expectation</v>
      </c>
      <c r="BB304" s="0" t="n">
        <f aca="false">IF(AZ304="",0,IF(AZ304&gt;=Assumptions!$I$26,1,0))</f>
        <v>0</v>
      </c>
      <c r="BC304" s="9" t="n">
        <f aca="false">IF(AL304="",2,AL304+2)</f>
        <v>2</v>
      </c>
      <c r="BD304" s="10" t="n">
        <f aca="false">IF(AM304="",ROUND(AVERAGE($AM$2:$AM$921),3),AM304)</f>
        <v>0</v>
      </c>
      <c r="BE304" s="9" t="n">
        <f aca="false">1-BD304</f>
        <v>1</v>
      </c>
    </row>
    <row r="305" customFormat="false" ht="14.25" hidden="true" customHeight="false" outlineLevel="0" collapsed="false">
      <c r="A305" s="4" t="n">
        <v>3</v>
      </c>
      <c r="B305" s="5" t="n">
        <v>12514</v>
      </c>
      <c r="C305" s="5" t="s">
        <v>57</v>
      </c>
      <c r="D305" s="5" t="s">
        <v>1462</v>
      </c>
      <c r="E305" s="5" t="s">
        <v>275</v>
      </c>
      <c r="F305" s="5" t="s">
        <v>223</v>
      </c>
      <c r="G305" s="5" t="s">
        <v>224</v>
      </c>
      <c r="H305" s="5" t="s">
        <v>223</v>
      </c>
      <c r="I305" s="5" t="s">
        <v>63</v>
      </c>
      <c r="J305" s="5" t="s">
        <v>100</v>
      </c>
      <c r="K305" s="5" t="s">
        <v>65</v>
      </c>
      <c r="L305" s="6" t="n">
        <v>34608</v>
      </c>
      <c r="M305" s="5" t="s">
        <v>810</v>
      </c>
      <c r="N305" s="6" t="n">
        <v>24830</v>
      </c>
      <c r="O305" s="5" t="s">
        <v>162</v>
      </c>
      <c r="P305" s="5" t="s">
        <v>162</v>
      </c>
      <c r="Q305" s="5" t="s">
        <v>767</v>
      </c>
      <c r="R305" s="5" t="s">
        <v>1463</v>
      </c>
      <c r="S305" s="5" t="s">
        <v>466</v>
      </c>
      <c r="T305" s="6" t="n">
        <v>43405</v>
      </c>
      <c r="U305" s="6" t="n">
        <v>39173</v>
      </c>
      <c r="V305" s="5" t="s">
        <v>141</v>
      </c>
      <c r="W305" s="5" t="s">
        <v>141</v>
      </c>
      <c r="X305" s="5" t="s">
        <v>141</v>
      </c>
      <c r="Y305" s="5" t="s">
        <v>141</v>
      </c>
      <c r="Z305" s="5" t="s">
        <v>631</v>
      </c>
      <c r="AA305" s="5" t="s">
        <v>1464</v>
      </c>
      <c r="AB305" s="0" t="n">
        <f aca="false">IFERROR(VALUE(R305),0)</f>
        <v>1.8</v>
      </c>
      <c r="AC305" s="0" t="n">
        <f aca="false">IFERROR(VALUE(M305),"")</f>
        <v>58.5</v>
      </c>
      <c r="AD305" s="0" t="n">
        <f aca="false">IFERROR(VALUE(Q305),"")</f>
        <v>31.8</v>
      </c>
      <c r="AE305" s="0" t="n">
        <f aca="false">IFERROR(VALUE(S305),"")</f>
        <v>33.4</v>
      </c>
      <c r="AF305" s="0" t="n">
        <f aca="false">IF(V305="","",VLOOKUP(V305,Assumptions!$B$6:$C$9,2,FALSE()))</f>
        <v>3</v>
      </c>
      <c r="AG305" s="0" t="n">
        <f aca="false">IF(W305="","",VLOOKUP(W305,Assumptions!$B$6:$C$9,2,FALSE()))</f>
        <v>3</v>
      </c>
      <c r="AH305" s="0" t="n">
        <f aca="false">IF(X305="","",VLOOKUP(X305,Assumptions!$B$6:$C$9,2,FALSE()))</f>
        <v>3</v>
      </c>
      <c r="AI305" s="0" t="n">
        <f aca="false">IF(Y305="","",VLOOKUP(Y305,Assumptions!$B$6:$C$9,2,FALSE()))</f>
        <v>3</v>
      </c>
      <c r="AJ305" s="0" t="n">
        <f aca="false">IF(Z305="","",VLOOKUP(Z305,Assumptions!$B$6:$C$9,2,FALSE()))</f>
        <v>2</v>
      </c>
      <c r="AK305" s="7" t="n">
        <f aca="false">IFERROR(ROUND(AVERAGE(AF305:AJ305),3),"")</f>
        <v>2.8</v>
      </c>
      <c r="AL305" s="7" t="n">
        <f aca="false">IF(OR(AF305="",AJ305=""),"",AJ305-AF305)</f>
        <v>-1</v>
      </c>
      <c r="AM305" s="7" t="n">
        <f aca="false">IF(COUNT(AF305:AJ305)&gt;=2,ROUND(_xlfn.STDEV.S(AF305:AJ305),3),"")</f>
        <v>0.447</v>
      </c>
      <c r="AN305" s="7" t="n">
        <f aca="false">ROUND((IF(AF305="",0,AF305)*Assumptions!$F$15)+(IF(AG305="",0,AG305)*Assumptions!$F$16)+(IF(AH305="",0,AH305)*Assumptions!$F$17)+(IF(AI305="",0,AI305)*Assumptions!$F$18)+(IF(AJ305="",0,AJ305)*Assumptions!$F$19),3)</f>
        <v>2.7</v>
      </c>
      <c r="AO305" s="0" t="str">
        <f aca="false">IF(AC305&lt;=20,"",IF(AC305&lt;=Assumptions!$F$6,"20-30",IF(AC305&lt;=Assumptions!$F$7,"30-40",IF(AC305&lt;=Assumptions!$F$8,"40-50",IF(AC305&lt;=Assumptions!$F$9,"50-60",IF(AC305&lt;=Assumptions!$F$10,"60+",""))))))</f>
        <v>50-60</v>
      </c>
      <c r="AP305" s="0" t="str">
        <f aca="false">IFERROR(VLOOKUP(O305,Assumptions!$B$14:$C$26,2,FALSE()),"Other")</f>
        <v>Manager</v>
      </c>
      <c r="AQ305" s="0" t="n">
        <f aca="false">IF(T305="",0,1)</f>
        <v>1</v>
      </c>
      <c r="AR305" s="0" t="n">
        <f aca="false">IF(U305="",0,1)</f>
        <v>1</v>
      </c>
      <c r="AS305" s="8" t="n">
        <f aca="false">IF(AK305="","",IF(MAX($AK$2:$AK$921)=MIN($AK$2:$AK$921),50,ROUND((AK305-MIN($AK$2:$AK$921))/(MAX($AK$2:$AK$921)-MIN($AK$2:$AK$921))*100,2)))</f>
        <v>48.56</v>
      </c>
      <c r="AT305" s="8" t="n">
        <f aca="false">IF(MAX($BC$2:$BC$921)=MIN($BC$2:$BC$921),50,ROUND((BC305-MIN($BC$2:$BC$921))/(MAX($BC$2:$BC$921)-MIN($BC$2:$BC$921))*100,2))</f>
        <v>25</v>
      </c>
      <c r="AU305" s="8" t="n">
        <f aca="false">IF(MAX($BE$2:$BE$921)=MIN($BE$2:$BE$921),50,ROUND((BE305-MIN($BE$2:$BE$921))/(MAX($BE$2:$BE$921)-MIN($BE$2:$BE$921))*100,2))</f>
        <v>74.19</v>
      </c>
      <c r="AV305" s="8" t="n">
        <f aca="false">IF(MAX($AD$2:$AD$921)=MIN($AD$2:$AD$921),50,ROUND((AD305-MIN($AD$2:$AD$921))/(MAX($AD$2:$AD$921)-MIN($AD$2:$AD$921))*100,2))</f>
        <v>86.14</v>
      </c>
      <c r="AW305" s="8" t="n">
        <f aca="false">IF(MAX($AN$2:$AN$921)=MIN($AN$2:$AN$921),50,ROUND((AN305-MIN($AN$2:$AN$921))/(MAX($AN$2:$AN$921)-MIN($AN$2:$AN$921))*100,2))</f>
        <v>67.5</v>
      </c>
      <c r="AX305" s="8" t="n">
        <f aca="false">AQ305*100</f>
        <v>100</v>
      </c>
      <c r="AY305" s="8" t="n">
        <f aca="false">AR305*100</f>
        <v>100</v>
      </c>
      <c r="AZ305" s="8" t="n">
        <f aca="false">IFERROR(ROUND(AS305*Assumptions!$I$6+AW305*Assumptions!$I$7+AT305*Assumptions!$I$8+AU305*Assumptions!$I$9+AV305*Assumptions!$I$10+AX305*Assumptions!$I$11+AY305*Assumptions!$I$12,2),"")</f>
        <v>61.56</v>
      </c>
      <c r="BA305" s="0" t="str">
        <f aca="false">IF(AZ305="","",IF(AZ305&lt;=Assumptions!$I$18,"Below Expectation",IF(AZ305&lt;=Assumptions!$I$19,"Developing",IF(AZ305&lt;=Assumptions!$I$20,"Meets Expectation",IF(AZ305&lt;=Assumptions!$I$21,"Exceeds","Star Performer")))))</f>
        <v>Meets Expectation</v>
      </c>
      <c r="BB305" s="0" t="n">
        <f aca="false">IF(AZ305="",0,IF(AZ305&gt;=Assumptions!$I$26,1,0))</f>
        <v>0</v>
      </c>
      <c r="BC305" s="9" t="n">
        <f aca="false">IF(AL305="",2,AL305+2)</f>
        <v>1</v>
      </c>
      <c r="BD305" s="10" t="n">
        <f aca="false">IF(AM305="",ROUND(AVERAGE($AM$2:$AM$921),3),AM305)</f>
        <v>0.447</v>
      </c>
      <c r="BE305" s="9" t="n">
        <f aca="false">1-BD305</f>
        <v>0.553</v>
      </c>
    </row>
    <row r="306" customFormat="false" ht="14.25" hidden="true" customHeight="false" outlineLevel="0" collapsed="false">
      <c r="A306" s="4" t="n">
        <v>276</v>
      </c>
      <c r="B306" s="5" t="n">
        <v>10068149</v>
      </c>
      <c r="C306" s="5" t="s">
        <v>85</v>
      </c>
      <c r="D306" s="5" t="s">
        <v>1465</v>
      </c>
      <c r="E306" s="5" t="s">
        <v>144</v>
      </c>
      <c r="F306" s="5" t="s">
        <v>483</v>
      </c>
      <c r="G306" s="5" t="s">
        <v>484</v>
      </c>
      <c r="H306" s="5" t="s">
        <v>483</v>
      </c>
      <c r="I306" s="5" t="s">
        <v>63</v>
      </c>
      <c r="J306" s="5" t="s">
        <v>76</v>
      </c>
      <c r="K306" s="5" t="s">
        <v>65</v>
      </c>
      <c r="L306" s="6" t="n">
        <v>43605</v>
      </c>
      <c r="M306" s="5" t="s">
        <v>1466</v>
      </c>
      <c r="N306" s="6" t="n">
        <v>33439</v>
      </c>
      <c r="O306" s="5" t="s">
        <v>332</v>
      </c>
      <c r="P306" s="5" t="s">
        <v>333</v>
      </c>
      <c r="Q306" s="5" t="s">
        <v>459</v>
      </c>
      <c r="R306" s="5" t="s">
        <v>768</v>
      </c>
      <c r="S306" s="5" t="s">
        <v>1467</v>
      </c>
      <c r="T306" s="6"/>
      <c r="U306" s="6" t="n">
        <v>46113</v>
      </c>
      <c r="V306" s="5" t="s">
        <v>141</v>
      </c>
      <c r="W306" s="5" t="s">
        <v>141</v>
      </c>
      <c r="X306" s="5" t="s">
        <v>141</v>
      </c>
      <c r="Y306" s="5" t="s">
        <v>141</v>
      </c>
      <c r="Z306" s="5" t="s">
        <v>141</v>
      </c>
      <c r="AA306" s="5" t="s">
        <v>1468</v>
      </c>
      <c r="AB306" s="0" t="n">
        <f aca="false">IFERROR(VALUE(R306),0)</f>
        <v>3.4</v>
      </c>
      <c r="AC306" s="0" t="n">
        <f aca="false">IFERROR(VALUE(M306),"")</f>
        <v>34.1</v>
      </c>
      <c r="AD306" s="0" t="n">
        <f aca="false">IFERROR(VALUE(Q306),"")</f>
        <v>7</v>
      </c>
      <c r="AE306" s="0" t="n">
        <f aca="false">IFERROR(VALUE(S306),"")</f>
        <v>10.4</v>
      </c>
      <c r="AF306" s="0" t="n">
        <f aca="false">IF(V306="","",VLOOKUP(V306,Assumptions!$B$6:$C$9,2,FALSE()))</f>
        <v>3</v>
      </c>
      <c r="AG306" s="0" t="n">
        <f aca="false">IF(W306="","",VLOOKUP(W306,Assumptions!$B$6:$C$9,2,FALSE()))</f>
        <v>3</v>
      </c>
      <c r="AH306" s="0" t="n">
        <f aca="false">IF(X306="","",VLOOKUP(X306,Assumptions!$B$6:$C$9,2,FALSE()))</f>
        <v>3</v>
      </c>
      <c r="AI306" s="0" t="n">
        <f aca="false">IF(Y306="","",VLOOKUP(Y306,Assumptions!$B$6:$C$9,2,FALSE()))</f>
        <v>3</v>
      </c>
      <c r="AJ306" s="0" t="n">
        <f aca="false">IF(Z306="","",VLOOKUP(Z306,Assumptions!$B$6:$C$9,2,FALSE()))</f>
        <v>3</v>
      </c>
      <c r="AK306" s="7" t="n">
        <f aca="false">IFERROR(ROUND(AVERAGE(AF306:AJ306),3),"")</f>
        <v>3</v>
      </c>
      <c r="AL306" s="7" t="n">
        <f aca="false">IF(OR(AF306="",AJ306=""),"",AJ306-AF306)</f>
        <v>0</v>
      </c>
      <c r="AM306" s="7" t="n">
        <f aca="false">IF(COUNT(AF306:AJ306)&gt;=2,ROUND(_xlfn.STDEV.S(AF306:AJ306),3),"")</f>
        <v>0</v>
      </c>
      <c r="AN306" s="7" t="n">
        <f aca="false">ROUND((IF(AF306="",0,AF306)*Assumptions!$F$15)+(IF(AG306="",0,AG306)*Assumptions!$F$16)+(IF(AH306="",0,AH306)*Assumptions!$F$17)+(IF(AI306="",0,AI306)*Assumptions!$F$18)+(IF(AJ306="",0,AJ306)*Assumptions!$F$19),3)</f>
        <v>3</v>
      </c>
      <c r="AO306" s="0" t="str">
        <f aca="false">IF(AC306&lt;=20,"",IF(AC306&lt;=Assumptions!$F$6,"20-30",IF(AC306&lt;=Assumptions!$F$7,"30-40",IF(AC306&lt;=Assumptions!$F$8,"40-50",IF(AC306&lt;=Assumptions!$F$9,"50-60",IF(AC306&lt;=Assumptions!$F$10,"60+",""))))))</f>
        <v>30-40</v>
      </c>
      <c r="AP306" s="0" t="str">
        <f aca="false">IFERROR(VLOOKUP(O306,Assumptions!$B$14:$C$26,2,FALSE()),"Other")</f>
        <v>Manager</v>
      </c>
      <c r="AQ306" s="0" t="n">
        <f aca="false">IF(T306="",0,1)</f>
        <v>0</v>
      </c>
      <c r="AR306" s="0" t="n">
        <f aca="false">IF(U306="",0,1)</f>
        <v>1</v>
      </c>
      <c r="AS306" s="8" t="n">
        <f aca="false">IF(AK306="","",IF(MAX($AK$2:$AK$921)=MIN($AK$2:$AK$921),50,ROUND((AK306-MIN($AK$2:$AK$921))/(MAX($AK$2:$AK$921)-MIN($AK$2:$AK$921))*100,2)))</f>
        <v>57.14</v>
      </c>
      <c r="AT306" s="8" t="n">
        <f aca="false">IF(MAX($BC$2:$BC$921)=MIN($BC$2:$BC$921),50,ROUND((BC306-MIN($BC$2:$BC$921))/(MAX($BC$2:$BC$921)-MIN($BC$2:$BC$921))*100,2))</f>
        <v>50</v>
      </c>
      <c r="AU306" s="8" t="n">
        <f aca="false">IF(MAX($BE$2:$BE$921)=MIN($BE$2:$BE$921),50,ROUND((BE306-MIN($BE$2:$BE$921))/(MAX($BE$2:$BE$921)-MIN($BE$2:$BE$921))*100,2))</f>
        <v>100</v>
      </c>
      <c r="AV306" s="8" t="n">
        <f aca="false">IF(MAX($AD$2:$AD$921)=MIN($AD$2:$AD$921),50,ROUND((AD306-MIN($AD$2:$AD$921))/(MAX($AD$2:$AD$921)-MIN($AD$2:$AD$921))*100,2))</f>
        <v>18.73</v>
      </c>
      <c r="AW306" s="8" t="n">
        <f aca="false">IF(MAX($AN$2:$AN$921)=MIN($AN$2:$AN$921),50,ROUND((AN306-MIN($AN$2:$AN$921))/(MAX($AN$2:$AN$921)-MIN($AN$2:$AN$921))*100,2))</f>
        <v>75</v>
      </c>
      <c r="AX306" s="8" t="n">
        <f aca="false">AQ306*100</f>
        <v>0</v>
      </c>
      <c r="AY306" s="8" t="n">
        <f aca="false">AR306*100</f>
        <v>100</v>
      </c>
      <c r="AZ306" s="8" t="n">
        <f aca="false">IFERROR(ROUND(AS306*Assumptions!$I$6+AW306*Assumptions!$I$7+AT306*Assumptions!$I$8+AU306*Assumptions!$I$9+AV306*Assumptions!$I$10+AX306*Assumptions!$I$11+AY306*Assumptions!$I$12,2),"")</f>
        <v>61.52</v>
      </c>
      <c r="BA306" s="0" t="str">
        <f aca="false">IF(AZ306="","",IF(AZ306&lt;=Assumptions!$I$18,"Below Expectation",IF(AZ306&lt;=Assumptions!$I$19,"Developing",IF(AZ306&lt;=Assumptions!$I$20,"Meets Expectation",IF(AZ306&lt;=Assumptions!$I$21,"Exceeds","Star Performer")))))</f>
        <v>Meets Expectation</v>
      </c>
      <c r="BB306" s="0" t="n">
        <f aca="false">IF(AZ306="",0,IF(AZ306&gt;=Assumptions!$I$26,1,0))</f>
        <v>0</v>
      </c>
      <c r="BC306" s="9" t="n">
        <f aca="false">IF(AL306="",2,AL306+2)</f>
        <v>2</v>
      </c>
      <c r="BD306" s="10" t="n">
        <f aca="false">IF(AM306="",ROUND(AVERAGE($AM$2:$AM$921),3),AM306)</f>
        <v>0</v>
      </c>
      <c r="BE306" s="9" t="n">
        <f aca="false">1-BD306</f>
        <v>1</v>
      </c>
    </row>
    <row r="307" customFormat="false" ht="14.25" hidden="true" customHeight="false" outlineLevel="0" collapsed="false">
      <c r="A307" s="4" t="n">
        <v>230</v>
      </c>
      <c r="B307" s="5" t="n">
        <v>10059237</v>
      </c>
      <c r="C307" s="5" t="s">
        <v>666</v>
      </c>
      <c r="D307" s="5" t="s">
        <v>1469</v>
      </c>
      <c r="E307" s="5" t="s">
        <v>841</v>
      </c>
      <c r="F307" s="5" t="s">
        <v>380</v>
      </c>
      <c r="G307" s="5" t="s">
        <v>379</v>
      </c>
      <c r="H307" s="5" t="s">
        <v>380</v>
      </c>
      <c r="I307" s="5" t="s">
        <v>63</v>
      </c>
      <c r="J307" s="5" t="s">
        <v>100</v>
      </c>
      <c r="K307" s="5" t="s">
        <v>65</v>
      </c>
      <c r="L307" s="6" t="n">
        <v>42926</v>
      </c>
      <c r="M307" s="5" t="s">
        <v>1470</v>
      </c>
      <c r="N307" s="6" t="n">
        <v>33312</v>
      </c>
      <c r="O307" s="5" t="s">
        <v>262</v>
      </c>
      <c r="P307" s="5" t="s">
        <v>263</v>
      </c>
      <c r="Q307" s="5" t="s">
        <v>181</v>
      </c>
      <c r="R307" s="5" t="s">
        <v>248</v>
      </c>
      <c r="S307" s="5" t="s">
        <v>1211</v>
      </c>
      <c r="T307" s="6"/>
      <c r="U307" s="6" t="n">
        <v>46113</v>
      </c>
      <c r="V307" s="5" t="s">
        <v>141</v>
      </c>
      <c r="W307" s="5" t="s">
        <v>141</v>
      </c>
      <c r="X307" s="5" t="s">
        <v>83</v>
      </c>
      <c r="Y307" s="5" t="s">
        <v>141</v>
      </c>
      <c r="Z307" s="5" t="s">
        <v>141</v>
      </c>
      <c r="AA307" s="5" t="s">
        <v>1471</v>
      </c>
      <c r="AB307" s="0" t="n">
        <f aca="false">IFERROR(VALUE(R307),0)</f>
        <v>5</v>
      </c>
      <c r="AC307" s="0" t="n">
        <f aca="false">IFERROR(VALUE(M307),"")</f>
        <v>35.2</v>
      </c>
      <c r="AD307" s="0" t="n">
        <f aca="false">IFERROR(VALUE(Q307),"")</f>
        <v>8.1</v>
      </c>
      <c r="AE307" s="0" t="n">
        <f aca="false">IFERROR(VALUE(S307),"")</f>
        <v>13.1</v>
      </c>
      <c r="AF307" s="0" t="n">
        <f aca="false">IF(V307="","",VLOOKUP(V307,Assumptions!$B$6:$C$9,2,FALSE()))</f>
        <v>3</v>
      </c>
      <c r="AG307" s="0" t="n">
        <f aca="false">IF(W307="","",VLOOKUP(W307,Assumptions!$B$6:$C$9,2,FALSE()))</f>
        <v>3</v>
      </c>
      <c r="AH307" s="0" t="n">
        <f aca="false">IF(X307="","",VLOOKUP(X307,Assumptions!$B$6:$C$9,2,FALSE()))</f>
        <v>4</v>
      </c>
      <c r="AI307" s="0" t="n">
        <f aca="false">IF(Y307="","",VLOOKUP(Y307,Assumptions!$B$6:$C$9,2,FALSE()))</f>
        <v>3</v>
      </c>
      <c r="AJ307" s="0" t="n">
        <f aca="false">IF(Z307="","",VLOOKUP(Z307,Assumptions!$B$6:$C$9,2,FALSE()))</f>
        <v>3</v>
      </c>
      <c r="AK307" s="7" t="n">
        <f aca="false">IFERROR(ROUND(AVERAGE(AF307:AJ307),3),"")</f>
        <v>3.2</v>
      </c>
      <c r="AL307" s="7" t="n">
        <f aca="false">IF(OR(AF307="",AJ307=""),"",AJ307-AF307)</f>
        <v>0</v>
      </c>
      <c r="AM307" s="7" t="n">
        <f aca="false">IF(COUNT(AF307:AJ307)&gt;=2,ROUND(_xlfn.STDEV.S(AF307:AJ307),3),"")</f>
        <v>0.447</v>
      </c>
      <c r="AN307" s="7" t="n">
        <f aca="false">ROUND((IF(AF307="",0,AF307)*Assumptions!$F$15)+(IF(AG307="",0,AG307)*Assumptions!$F$16)+(IF(AH307="",0,AH307)*Assumptions!$F$17)+(IF(AI307="",0,AI307)*Assumptions!$F$18)+(IF(AJ307="",0,AJ307)*Assumptions!$F$19),3)</f>
        <v>3.2</v>
      </c>
      <c r="AO307" s="0" t="str">
        <f aca="false">IF(AC307&lt;=20,"",IF(AC307&lt;=Assumptions!$F$6,"20-30",IF(AC307&lt;=Assumptions!$F$7,"30-40",IF(AC307&lt;=Assumptions!$F$8,"40-50",IF(AC307&lt;=Assumptions!$F$9,"50-60",IF(AC307&lt;=Assumptions!$F$10,"60+",""))))))</f>
        <v>30-40</v>
      </c>
      <c r="AP307" s="0" t="str">
        <f aca="false">IFERROR(VLOOKUP(O307,Assumptions!$B$14:$C$26,2,FALSE()),"Other")</f>
        <v>Manager</v>
      </c>
      <c r="AQ307" s="0" t="n">
        <f aca="false">IF(T307="",0,1)</f>
        <v>0</v>
      </c>
      <c r="AR307" s="0" t="n">
        <f aca="false">IF(U307="",0,1)</f>
        <v>1</v>
      </c>
      <c r="AS307" s="8" t="n">
        <f aca="false">IF(AK307="","",IF(MAX($AK$2:$AK$921)=MIN($AK$2:$AK$921),50,ROUND((AK307-MIN($AK$2:$AK$921))/(MAX($AK$2:$AK$921)-MIN($AK$2:$AK$921))*100,2)))</f>
        <v>65.71</v>
      </c>
      <c r="AT307" s="8" t="n">
        <f aca="false">IF(MAX($BC$2:$BC$921)=MIN($BC$2:$BC$921),50,ROUND((BC307-MIN($BC$2:$BC$921))/(MAX($BC$2:$BC$921)-MIN($BC$2:$BC$921))*100,2))</f>
        <v>50</v>
      </c>
      <c r="AU307" s="8" t="n">
        <f aca="false">IF(MAX($BE$2:$BE$921)=MIN($BE$2:$BE$921),50,ROUND((BE307-MIN($BE$2:$BE$921))/(MAX($BE$2:$BE$921)-MIN($BE$2:$BE$921))*100,2))</f>
        <v>74.19</v>
      </c>
      <c r="AV307" s="8" t="n">
        <f aca="false">IF(MAX($AD$2:$AD$921)=MIN($AD$2:$AD$921),50,ROUND((AD307-MIN($AD$2:$AD$921))/(MAX($AD$2:$AD$921)-MIN($AD$2:$AD$921))*100,2))</f>
        <v>21.72</v>
      </c>
      <c r="AW307" s="8" t="n">
        <f aca="false">IF(MAX($AN$2:$AN$921)=MIN($AN$2:$AN$921),50,ROUND((AN307-MIN($AN$2:$AN$921))/(MAX($AN$2:$AN$921)-MIN($AN$2:$AN$921))*100,2))</f>
        <v>80</v>
      </c>
      <c r="AX307" s="8" t="n">
        <f aca="false">AQ307*100</f>
        <v>0</v>
      </c>
      <c r="AY307" s="8" t="n">
        <f aca="false">AR307*100</f>
        <v>100</v>
      </c>
      <c r="AZ307" s="8" t="n">
        <f aca="false">IFERROR(ROUND(AS307*Assumptions!$I$6+AW307*Assumptions!$I$7+AT307*Assumptions!$I$8+AU307*Assumptions!$I$9+AV307*Assumptions!$I$10+AX307*Assumptions!$I$11+AY307*Assumptions!$I$12,2),"")</f>
        <v>61.51</v>
      </c>
      <c r="BA307" s="0" t="str">
        <f aca="false">IF(AZ307="","",IF(AZ307&lt;=Assumptions!$I$18,"Below Expectation",IF(AZ307&lt;=Assumptions!$I$19,"Developing",IF(AZ307&lt;=Assumptions!$I$20,"Meets Expectation",IF(AZ307&lt;=Assumptions!$I$21,"Exceeds","Star Performer")))))</f>
        <v>Meets Expectation</v>
      </c>
      <c r="BB307" s="0" t="n">
        <f aca="false">IF(AZ307="",0,IF(AZ307&gt;=Assumptions!$I$26,1,0))</f>
        <v>0</v>
      </c>
      <c r="BC307" s="9" t="n">
        <f aca="false">IF(AL307="",2,AL307+2)</f>
        <v>2</v>
      </c>
      <c r="BD307" s="10" t="n">
        <f aca="false">IF(AM307="",ROUND(AVERAGE($AM$2:$AM$921),3),AM307)</f>
        <v>0.447</v>
      </c>
      <c r="BE307" s="9" t="n">
        <f aca="false">1-BD307</f>
        <v>0.553</v>
      </c>
    </row>
    <row r="308" customFormat="false" ht="14.25" hidden="true" customHeight="false" outlineLevel="0" collapsed="false">
      <c r="A308" s="4" t="n">
        <v>235</v>
      </c>
      <c r="B308" s="5" t="n">
        <v>10059754</v>
      </c>
      <c r="C308" s="5" t="s">
        <v>85</v>
      </c>
      <c r="D308" s="5" t="s">
        <v>1472</v>
      </c>
      <c r="E308" s="5" t="s">
        <v>185</v>
      </c>
      <c r="F308" s="5" t="s">
        <v>349</v>
      </c>
      <c r="G308" s="5" t="s">
        <v>350</v>
      </c>
      <c r="H308" s="5" t="s">
        <v>349</v>
      </c>
      <c r="I308" s="5" t="s">
        <v>63</v>
      </c>
      <c r="J308" s="5" t="s">
        <v>76</v>
      </c>
      <c r="K308" s="5" t="s">
        <v>309</v>
      </c>
      <c r="L308" s="6" t="n">
        <v>42948</v>
      </c>
      <c r="M308" s="5" t="s">
        <v>1473</v>
      </c>
      <c r="N308" s="6" t="n">
        <v>34737</v>
      </c>
      <c r="O308" s="5" t="s">
        <v>332</v>
      </c>
      <c r="P308" s="5" t="s">
        <v>333</v>
      </c>
      <c r="Q308" s="5" t="s">
        <v>181</v>
      </c>
      <c r="R308" s="5" t="s">
        <v>115</v>
      </c>
      <c r="S308" s="5" t="s">
        <v>181</v>
      </c>
      <c r="T308" s="6"/>
      <c r="U308" s="6" t="n">
        <v>44652</v>
      </c>
      <c r="V308" s="5" t="s">
        <v>141</v>
      </c>
      <c r="W308" s="5" t="s">
        <v>141</v>
      </c>
      <c r="X308" s="5" t="s">
        <v>83</v>
      </c>
      <c r="Y308" s="5" t="s">
        <v>141</v>
      </c>
      <c r="Z308" s="5" t="s">
        <v>141</v>
      </c>
      <c r="AA308" s="5" t="s">
        <v>1474</v>
      </c>
      <c r="AB308" s="0" t="n">
        <f aca="false">IFERROR(VALUE(R308),0)</f>
        <v>0</v>
      </c>
      <c r="AC308" s="0" t="n">
        <f aca="false">IFERROR(VALUE(M308),"")</f>
        <v>31.4</v>
      </c>
      <c r="AD308" s="0" t="n">
        <f aca="false">IFERROR(VALUE(Q308),"")</f>
        <v>8.1</v>
      </c>
      <c r="AE308" s="0" t="n">
        <f aca="false">IFERROR(VALUE(S308),"")</f>
        <v>8.1</v>
      </c>
      <c r="AF308" s="0" t="n">
        <f aca="false">IF(V308="","",VLOOKUP(V308,Assumptions!$B$6:$C$9,2,FALSE()))</f>
        <v>3</v>
      </c>
      <c r="AG308" s="0" t="n">
        <f aca="false">IF(W308="","",VLOOKUP(W308,Assumptions!$B$6:$C$9,2,FALSE()))</f>
        <v>3</v>
      </c>
      <c r="AH308" s="0" t="n">
        <f aca="false">IF(X308="","",VLOOKUP(X308,Assumptions!$B$6:$C$9,2,FALSE()))</f>
        <v>4</v>
      </c>
      <c r="AI308" s="0" t="n">
        <f aca="false">IF(Y308="","",VLOOKUP(Y308,Assumptions!$B$6:$C$9,2,FALSE()))</f>
        <v>3</v>
      </c>
      <c r="AJ308" s="0" t="n">
        <f aca="false">IF(Z308="","",VLOOKUP(Z308,Assumptions!$B$6:$C$9,2,FALSE()))</f>
        <v>3</v>
      </c>
      <c r="AK308" s="7" t="n">
        <f aca="false">IFERROR(ROUND(AVERAGE(AF308:AJ308),3),"")</f>
        <v>3.2</v>
      </c>
      <c r="AL308" s="7" t="n">
        <f aca="false">IF(OR(AF308="",AJ308=""),"",AJ308-AF308)</f>
        <v>0</v>
      </c>
      <c r="AM308" s="7" t="n">
        <f aca="false">IF(COUNT(AF308:AJ308)&gt;=2,ROUND(_xlfn.STDEV.S(AF308:AJ308),3),"")</f>
        <v>0.447</v>
      </c>
      <c r="AN308" s="7" t="n">
        <f aca="false">ROUND((IF(AF308="",0,AF308)*Assumptions!$F$15)+(IF(AG308="",0,AG308)*Assumptions!$F$16)+(IF(AH308="",0,AH308)*Assumptions!$F$17)+(IF(AI308="",0,AI308)*Assumptions!$F$18)+(IF(AJ308="",0,AJ308)*Assumptions!$F$19),3)</f>
        <v>3.2</v>
      </c>
      <c r="AO308" s="0" t="str">
        <f aca="false">IF(AC308&lt;=20,"",IF(AC308&lt;=Assumptions!$F$6,"20-30",IF(AC308&lt;=Assumptions!$F$7,"30-40",IF(AC308&lt;=Assumptions!$F$8,"40-50",IF(AC308&lt;=Assumptions!$F$9,"50-60",IF(AC308&lt;=Assumptions!$F$10,"60+",""))))))</f>
        <v>30-40</v>
      </c>
      <c r="AP308" s="0" t="str">
        <f aca="false">IFERROR(VLOOKUP(O308,Assumptions!$B$14:$C$26,2,FALSE()),"Other")</f>
        <v>Manager</v>
      </c>
      <c r="AQ308" s="0" t="n">
        <f aca="false">IF(T308="",0,1)</f>
        <v>0</v>
      </c>
      <c r="AR308" s="0" t="n">
        <f aca="false">IF(U308="",0,1)</f>
        <v>1</v>
      </c>
      <c r="AS308" s="8" t="n">
        <f aca="false">IF(AK308="","",IF(MAX($AK$2:$AK$921)=MIN($AK$2:$AK$921),50,ROUND((AK308-MIN($AK$2:$AK$921))/(MAX($AK$2:$AK$921)-MIN($AK$2:$AK$921))*100,2)))</f>
        <v>65.71</v>
      </c>
      <c r="AT308" s="8" t="n">
        <f aca="false">IF(MAX($BC$2:$BC$921)=MIN($BC$2:$BC$921),50,ROUND((BC308-MIN($BC$2:$BC$921))/(MAX($BC$2:$BC$921)-MIN($BC$2:$BC$921))*100,2))</f>
        <v>50</v>
      </c>
      <c r="AU308" s="8" t="n">
        <f aca="false">IF(MAX($BE$2:$BE$921)=MIN($BE$2:$BE$921),50,ROUND((BE308-MIN($BE$2:$BE$921))/(MAX($BE$2:$BE$921)-MIN($BE$2:$BE$921))*100,2))</f>
        <v>74.19</v>
      </c>
      <c r="AV308" s="8" t="n">
        <f aca="false">IF(MAX($AD$2:$AD$921)=MIN($AD$2:$AD$921),50,ROUND((AD308-MIN($AD$2:$AD$921))/(MAX($AD$2:$AD$921)-MIN($AD$2:$AD$921))*100,2))</f>
        <v>21.72</v>
      </c>
      <c r="AW308" s="8" t="n">
        <f aca="false">IF(MAX($AN$2:$AN$921)=MIN($AN$2:$AN$921),50,ROUND((AN308-MIN($AN$2:$AN$921))/(MAX($AN$2:$AN$921)-MIN($AN$2:$AN$921))*100,2))</f>
        <v>80</v>
      </c>
      <c r="AX308" s="8" t="n">
        <f aca="false">AQ308*100</f>
        <v>0</v>
      </c>
      <c r="AY308" s="8" t="n">
        <f aca="false">AR308*100</f>
        <v>100</v>
      </c>
      <c r="AZ308" s="8" t="n">
        <f aca="false">IFERROR(ROUND(AS308*Assumptions!$I$6+AW308*Assumptions!$I$7+AT308*Assumptions!$I$8+AU308*Assumptions!$I$9+AV308*Assumptions!$I$10+AX308*Assumptions!$I$11+AY308*Assumptions!$I$12,2),"")</f>
        <v>61.51</v>
      </c>
      <c r="BA308" s="0" t="str">
        <f aca="false">IF(AZ308="","",IF(AZ308&lt;=Assumptions!$I$18,"Below Expectation",IF(AZ308&lt;=Assumptions!$I$19,"Developing",IF(AZ308&lt;=Assumptions!$I$20,"Meets Expectation",IF(AZ308&lt;=Assumptions!$I$21,"Exceeds","Star Performer")))))</f>
        <v>Meets Expectation</v>
      </c>
      <c r="BB308" s="0" t="n">
        <f aca="false">IF(AZ308="",0,IF(AZ308&gt;=Assumptions!$I$26,1,0))</f>
        <v>0</v>
      </c>
      <c r="BC308" s="9" t="n">
        <f aca="false">IF(AL308="",2,AL308+2)</f>
        <v>2</v>
      </c>
      <c r="BD308" s="10" t="n">
        <f aca="false">IF(AM308="",ROUND(AVERAGE($AM$2:$AM$921),3),AM308)</f>
        <v>0.447</v>
      </c>
      <c r="BE308" s="9" t="n">
        <f aca="false">1-BD308</f>
        <v>0.553</v>
      </c>
    </row>
    <row r="309" customFormat="false" ht="14.25" hidden="false" customHeight="false" outlineLevel="0" collapsed="false">
      <c r="A309" s="4" t="n">
        <v>294</v>
      </c>
      <c r="B309" s="5" t="n">
        <v>10070352</v>
      </c>
      <c r="C309" s="5" t="s">
        <v>106</v>
      </c>
      <c r="D309" s="5" t="s">
        <v>1475</v>
      </c>
      <c r="E309" s="5" t="s">
        <v>108</v>
      </c>
      <c r="F309" s="5" t="s">
        <v>463</v>
      </c>
      <c r="G309" s="5" t="s">
        <v>484</v>
      </c>
      <c r="H309" s="5" t="s">
        <v>483</v>
      </c>
      <c r="I309" s="5" t="s">
        <v>63</v>
      </c>
      <c r="J309" s="5" t="s">
        <v>112</v>
      </c>
      <c r="K309" s="5" t="s">
        <v>65</v>
      </c>
      <c r="L309" s="6" t="n">
        <v>43732</v>
      </c>
      <c r="M309" s="5" t="s">
        <v>1309</v>
      </c>
      <c r="N309" s="6" t="n">
        <v>30873</v>
      </c>
      <c r="O309" s="5" t="s">
        <v>332</v>
      </c>
      <c r="P309" s="5" t="s">
        <v>333</v>
      </c>
      <c r="Q309" s="5" t="s">
        <v>711</v>
      </c>
      <c r="R309" s="5" t="s">
        <v>181</v>
      </c>
      <c r="S309" s="5" t="s">
        <v>383</v>
      </c>
      <c r="T309" s="6"/>
      <c r="U309" s="6" t="n">
        <v>45992</v>
      </c>
      <c r="V309" s="5" t="s">
        <v>141</v>
      </c>
      <c r="W309" s="5" t="s">
        <v>141</v>
      </c>
      <c r="X309" s="5" t="s">
        <v>141</v>
      </c>
      <c r="Y309" s="5" t="s">
        <v>141</v>
      </c>
      <c r="Z309" s="5" t="s">
        <v>141</v>
      </c>
      <c r="AA309" s="5" t="s">
        <v>1476</v>
      </c>
      <c r="AB309" s="0" t="n">
        <f aca="false">IFERROR(VALUE(R309),0)</f>
        <v>8.1</v>
      </c>
      <c r="AC309" s="0" t="n">
        <f aca="false">IFERROR(VALUE(M309),"")</f>
        <v>41.1</v>
      </c>
      <c r="AD309" s="0" t="n">
        <f aca="false">IFERROR(VALUE(Q309),"")</f>
        <v>6.8</v>
      </c>
      <c r="AE309" s="0" t="n">
        <f aca="false">IFERROR(VALUE(S309),"")</f>
        <v>15.6</v>
      </c>
      <c r="AF309" s="0" t="n">
        <f aca="false">IF(V309="","",VLOOKUP(V309,Assumptions!$B$6:$C$9,2,FALSE()))</f>
        <v>3</v>
      </c>
      <c r="AG309" s="0" t="n">
        <f aca="false">IF(W309="","",VLOOKUP(W309,Assumptions!$B$6:$C$9,2,FALSE()))</f>
        <v>3</v>
      </c>
      <c r="AH309" s="0" t="n">
        <f aca="false">IF(X309="","",VLOOKUP(X309,Assumptions!$B$6:$C$9,2,FALSE()))</f>
        <v>3</v>
      </c>
      <c r="AI309" s="0" t="n">
        <f aca="false">IF(Y309="","",VLOOKUP(Y309,Assumptions!$B$6:$C$9,2,FALSE()))</f>
        <v>3</v>
      </c>
      <c r="AJ309" s="0" t="n">
        <f aca="false">IF(Z309="","",VLOOKUP(Z309,Assumptions!$B$6:$C$9,2,FALSE()))</f>
        <v>3</v>
      </c>
      <c r="AK309" s="7" t="n">
        <f aca="false">IFERROR(ROUND(AVERAGE(AF309:AJ309),3),"")</f>
        <v>3</v>
      </c>
      <c r="AL309" s="7" t="n">
        <f aca="false">IF(OR(AF309="",AJ309=""),"",AJ309-AF309)</f>
        <v>0</v>
      </c>
      <c r="AM309" s="7" t="n">
        <f aca="false">IF(COUNT(AF309:AJ309)&gt;=2,ROUND(_xlfn.STDEV.S(AF309:AJ309),3),"")</f>
        <v>0</v>
      </c>
      <c r="AN309" s="7" t="n">
        <f aca="false">ROUND((IF(AF309="",0,AF309)*Assumptions!$F$15)+(IF(AG309="",0,AG309)*Assumptions!$F$16)+(IF(AH309="",0,AH309)*Assumptions!$F$17)+(IF(AI309="",0,AI309)*Assumptions!$F$18)+(IF(AJ309="",0,AJ309)*Assumptions!$F$19),3)</f>
        <v>3</v>
      </c>
      <c r="AO309" s="0" t="str">
        <f aca="false">IF(AC309&lt;=20,"",IF(AC309&lt;=Assumptions!$F$6,"20-30",IF(AC309&lt;=Assumptions!$F$7,"30-40",IF(AC309&lt;=Assumptions!$F$8,"40-50",IF(AC309&lt;=Assumptions!$F$9,"50-60",IF(AC309&lt;=Assumptions!$F$10,"60+",""))))))</f>
        <v>40-50</v>
      </c>
      <c r="AP309" s="0" t="str">
        <f aca="false">IFERROR(VLOOKUP(O309,Assumptions!$B$14:$C$26,2,FALSE()),"Other")</f>
        <v>Manager</v>
      </c>
      <c r="AQ309" s="0" t="n">
        <f aca="false">IF(T309="",0,1)</f>
        <v>0</v>
      </c>
      <c r="AR309" s="0" t="n">
        <f aca="false">IF(U309="",0,1)</f>
        <v>1</v>
      </c>
      <c r="AS309" s="8" t="n">
        <f aca="false">IF(AK309="","",IF(MAX($AK$2:$AK$921)=MIN($AK$2:$AK$921),50,ROUND((AK309-MIN($AK$2:$AK$921))/(MAX($AK$2:$AK$921)-MIN($AK$2:$AK$921))*100,2)))</f>
        <v>57.14</v>
      </c>
      <c r="AT309" s="8" t="n">
        <f aca="false">IF(MAX($BC$2:$BC$921)=MIN($BC$2:$BC$921),50,ROUND((BC309-MIN($BC$2:$BC$921))/(MAX($BC$2:$BC$921)-MIN($BC$2:$BC$921))*100,2))</f>
        <v>50</v>
      </c>
      <c r="AU309" s="8" t="n">
        <f aca="false">IF(MAX($BE$2:$BE$921)=MIN($BE$2:$BE$921),50,ROUND((BE309-MIN($BE$2:$BE$921))/(MAX($BE$2:$BE$921)-MIN($BE$2:$BE$921))*100,2))</f>
        <v>100</v>
      </c>
      <c r="AV309" s="8" t="n">
        <f aca="false">IF(MAX($AD$2:$AD$921)=MIN($AD$2:$AD$921),50,ROUND((AD309-MIN($AD$2:$AD$921))/(MAX($AD$2:$AD$921)-MIN($AD$2:$AD$921))*100,2))</f>
        <v>18.18</v>
      </c>
      <c r="AW309" s="8" t="n">
        <f aca="false">IF(MAX($AN$2:$AN$921)=MIN($AN$2:$AN$921),50,ROUND((AN309-MIN($AN$2:$AN$921))/(MAX($AN$2:$AN$921)-MIN($AN$2:$AN$921))*100,2))</f>
        <v>75</v>
      </c>
      <c r="AX309" s="8" t="n">
        <f aca="false">AQ309*100</f>
        <v>0</v>
      </c>
      <c r="AY309" s="8" t="n">
        <f aca="false">AR309*100</f>
        <v>100</v>
      </c>
      <c r="AZ309" s="8" t="n">
        <f aca="false">IFERROR(ROUND(AS309*Assumptions!$I$6+AW309*Assumptions!$I$7+AT309*Assumptions!$I$8+AU309*Assumptions!$I$9+AV309*Assumptions!$I$10+AX309*Assumptions!$I$11+AY309*Assumptions!$I$12,2),"")</f>
        <v>61.46</v>
      </c>
      <c r="BA309" s="0" t="str">
        <f aca="false">IF(AZ309="","",IF(AZ309&lt;=Assumptions!$I$18,"Below Expectation",IF(AZ309&lt;=Assumptions!$I$19,"Developing",IF(AZ309&lt;=Assumptions!$I$20,"Meets Expectation",IF(AZ309&lt;=Assumptions!$I$21,"Exceeds","Star Performer")))))</f>
        <v>Meets Expectation</v>
      </c>
      <c r="BB309" s="0" t="n">
        <f aca="false">IF(AZ309="",0,IF(AZ309&gt;=Assumptions!$I$26,1,0))</f>
        <v>0</v>
      </c>
      <c r="BC309" s="9" t="n">
        <f aca="false">IF(AL309="",2,AL309+2)</f>
        <v>2</v>
      </c>
      <c r="BD309" s="10" t="n">
        <f aca="false">IF(AM309="",ROUND(AVERAGE($AM$2:$AM$921),3),AM309)</f>
        <v>0</v>
      </c>
      <c r="BE309" s="9" t="n">
        <f aca="false">1-BD309</f>
        <v>1</v>
      </c>
    </row>
    <row r="310" customFormat="false" ht="14.25" hidden="true" customHeight="false" outlineLevel="0" collapsed="false">
      <c r="A310" s="4" t="n">
        <v>177</v>
      </c>
      <c r="B310" s="5" t="n">
        <v>10053773</v>
      </c>
      <c r="C310" s="5" t="s">
        <v>57</v>
      </c>
      <c r="D310" s="5" t="s">
        <v>1477</v>
      </c>
      <c r="E310" s="5" t="s">
        <v>229</v>
      </c>
      <c r="F310" s="5" t="s">
        <v>608</v>
      </c>
      <c r="G310" s="5" t="s">
        <v>609</v>
      </c>
      <c r="H310" s="5" t="s">
        <v>608</v>
      </c>
      <c r="I310" s="5" t="s">
        <v>63</v>
      </c>
      <c r="J310" s="5" t="s">
        <v>100</v>
      </c>
      <c r="K310" s="5" t="s">
        <v>65</v>
      </c>
      <c r="L310" s="6" t="n">
        <v>42492</v>
      </c>
      <c r="M310" s="5" t="s">
        <v>1199</v>
      </c>
      <c r="N310" s="6" t="n">
        <v>32398</v>
      </c>
      <c r="O310" s="5" t="s">
        <v>365</v>
      </c>
      <c r="P310" s="5" t="s">
        <v>365</v>
      </c>
      <c r="Q310" s="5" t="s">
        <v>399</v>
      </c>
      <c r="R310" s="5" t="s">
        <v>287</v>
      </c>
      <c r="S310" s="5" t="s">
        <v>270</v>
      </c>
      <c r="T310" s="6"/>
      <c r="U310" s="6"/>
      <c r="V310" s="5" t="s">
        <v>141</v>
      </c>
      <c r="W310" s="5" t="s">
        <v>141</v>
      </c>
      <c r="X310" s="5" t="s">
        <v>141</v>
      </c>
      <c r="Y310" s="5" t="s">
        <v>141</v>
      </c>
      <c r="Z310" s="5" t="s">
        <v>83</v>
      </c>
      <c r="AA310" s="5" t="s">
        <v>1478</v>
      </c>
      <c r="AB310" s="0" t="n">
        <f aca="false">IFERROR(VALUE(R310),0)</f>
        <v>4</v>
      </c>
      <c r="AC310" s="0" t="n">
        <f aca="false">IFERROR(VALUE(M310),"")</f>
        <v>37.8</v>
      </c>
      <c r="AD310" s="0" t="n">
        <f aca="false">IFERROR(VALUE(Q310),"")</f>
        <v>10.1</v>
      </c>
      <c r="AE310" s="0" t="n">
        <f aca="false">IFERROR(VALUE(S310),"")</f>
        <v>14.1</v>
      </c>
      <c r="AF310" s="0" t="n">
        <f aca="false">IF(V310="","",VLOOKUP(V310,Assumptions!$B$6:$C$9,2,FALSE()))</f>
        <v>3</v>
      </c>
      <c r="AG310" s="0" t="n">
        <f aca="false">IF(W310="","",VLOOKUP(W310,Assumptions!$B$6:$C$9,2,FALSE()))</f>
        <v>3</v>
      </c>
      <c r="AH310" s="0" t="n">
        <f aca="false">IF(X310="","",VLOOKUP(X310,Assumptions!$B$6:$C$9,2,FALSE()))</f>
        <v>3</v>
      </c>
      <c r="AI310" s="0" t="n">
        <f aca="false">IF(Y310="","",VLOOKUP(Y310,Assumptions!$B$6:$C$9,2,FALSE()))</f>
        <v>3</v>
      </c>
      <c r="AJ310" s="0" t="n">
        <f aca="false">IF(Z310="","",VLOOKUP(Z310,Assumptions!$B$6:$C$9,2,FALSE()))</f>
        <v>4</v>
      </c>
      <c r="AK310" s="7" t="n">
        <f aca="false">IFERROR(ROUND(AVERAGE(AF310:AJ310),3),"")</f>
        <v>3.2</v>
      </c>
      <c r="AL310" s="7" t="n">
        <f aca="false">IF(OR(AF310="",AJ310=""),"",AJ310-AF310)</f>
        <v>1</v>
      </c>
      <c r="AM310" s="7" t="n">
        <f aca="false">IF(COUNT(AF310:AJ310)&gt;=2,ROUND(_xlfn.STDEV.S(AF310:AJ310),3),"")</f>
        <v>0.447</v>
      </c>
      <c r="AN310" s="7" t="n">
        <f aca="false">ROUND((IF(AF310="",0,AF310)*Assumptions!$F$15)+(IF(AG310="",0,AG310)*Assumptions!$F$16)+(IF(AH310="",0,AH310)*Assumptions!$F$17)+(IF(AI310="",0,AI310)*Assumptions!$F$18)+(IF(AJ310="",0,AJ310)*Assumptions!$F$19),3)</f>
        <v>3.3</v>
      </c>
      <c r="AO310" s="0" t="str">
        <f aca="false">IF(AC310&lt;=20,"",IF(AC310&lt;=Assumptions!$F$6,"20-30",IF(AC310&lt;=Assumptions!$F$7,"30-40",IF(AC310&lt;=Assumptions!$F$8,"40-50",IF(AC310&lt;=Assumptions!$F$9,"50-60",IF(AC310&lt;=Assumptions!$F$10,"60+",""))))))</f>
        <v>30-40</v>
      </c>
      <c r="AP310" s="0" t="str">
        <f aca="false">IFERROR(VLOOKUP(O310,Assumptions!$B$14:$C$26,2,FALSE()),"Other")</f>
        <v>Manager</v>
      </c>
      <c r="AQ310" s="0" t="n">
        <f aca="false">IF(T310="",0,1)</f>
        <v>0</v>
      </c>
      <c r="AR310" s="0" t="n">
        <f aca="false">IF(U310="",0,1)</f>
        <v>0</v>
      </c>
      <c r="AS310" s="8" t="n">
        <f aca="false">IF(AK310="","",IF(MAX($AK$2:$AK$921)=MIN($AK$2:$AK$921),50,ROUND((AK310-MIN($AK$2:$AK$921))/(MAX($AK$2:$AK$921)-MIN($AK$2:$AK$921))*100,2)))</f>
        <v>65.71</v>
      </c>
      <c r="AT310" s="8" t="n">
        <f aca="false">IF(MAX($BC$2:$BC$921)=MIN($BC$2:$BC$921),50,ROUND((BC310-MIN($BC$2:$BC$921))/(MAX($BC$2:$BC$921)-MIN($BC$2:$BC$921))*100,2))</f>
        <v>75</v>
      </c>
      <c r="AU310" s="8" t="n">
        <f aca="false">IF(MAX($BE$2:$BE$921)=MIN($BE$2:$BE$921),50,ROUND((BE310-MIN($BE$2:$BE$921))/(MAX($BE$2:$BE$921)-MIN($BE$2:$BE$921))*100,2))</f>
        <v>74.19</v>
      </c>
      <c r="AV310" s="8" t="n">
        <f aca="false">IF(MAX($AD$2:$AD$921)=MIN($AD$2:$AD$921),50,ROUND((AD310-MIN($AD$2:$AD$921))/(MAX($AD$2:$AD$921)-MIN($AD$2:$AD$921))*100,2))</f>
        <v>27.15</v>
      </c>
      <c r="AW310" s="8" t="n">
        <f aca="false">IF(MAX($AN$2:$AN$921)=MIN($AN$2:$AN$921),50,ROUND((AN310-MIN($AN$2:$AN$921))/(MAX($AN$2:$AN$921)-MIN($AN$2:$AN$921))*100,2))</f>
        <v>82.5</v>
      </c>
      <c r="AX310" s="8" t="n">
        <f aca="false">AQ310*100</f>
        <v>0</v>
      </c>
      <c r="AY310" s="8" t="n">
        <f aca="false">AR310*100</f>
        <v>0</v>
      </c>
      <c r="AZ310" s="8" t="n">
        <f aca="false">IFERROR(ROUND(AS310*Assumptions!$I$6+AW310*Assumptions!$I$7+AT310*Assumptions!$I$8+AU310*Assumptions!$I$9+AV310*Assumptions!$I$10+AX310*Assumptions!$I$11+AY310*Assumptions!$I$12,2),"")</f>
        <v>61.31</v>
      </c>
      <c r="BA310" s="0" t="str">
        <f aca="false">IF(AZ310="","",IF(AZ310&lt;=Assumptions!$I$18,"Below Expectation",IF(AZ310&lt;=Assumptions!$I$19,"Developing",IF(AZ310&lt;=Assumptions!$I$20,"Meets Expectation",IF(AZ310&lt;=Assumptions!$I$21,"Exceeds","Star Performer")))))</f>
        <v>Meets Expectation</v>
      </c>
      <c r="BB310" s="0" t="n">
        <f aca="false">IF(AZ310="",0,IF(AZ310&gt;=Assumptions!$I$26,1,0))</f>
        <v>0</v>
      </c>
      <c r="BC310" s="9" t="n">
        <f aca="false">IF(AL310="",2,AL310+2)</f>
        <v>3</v>
      </c>
      <c r="BD310" s="10" t="n">
        <f aca="false">IF(AM310="",ROUND(AVERAGE($AM$2:$AM$921),3),AM310)</f>
        <v>0.447</v>
      </c>
      <c r="BE310" s="9" t="n">
        <f aca="false">1-BD310</f>
        <v>0.553</v>
      </c>
    </row>
    <row r="311" customFormat="false" ht="14.25" hidden="true" customHeight="false" outlineLevel="0" collapsed="false">
      <c r="A311" s="4" t="n">
        <v>432</v>
      </c>
      <c r="B311" s="5" t="n">
        <v>50011235</v>
      </c>
      <c r="C311" s="5" t="s">
        <v>57</v>
      </c>
      <c r="D311" s="5" t="s">
        <v>1479</v>
      </c>
      <c r="E311" s="5" t="s">
        <v>96</v>
      </c>
      <c r="F311" s="5" t="s">
        <v>608</v>
      </c>
      <c r="G311" s="5" t="s">
        <v>609</v>
      </c>
      <c r="H311" s="5" t="s">
        <v>608</v>
      </c>
      <c r="I311" s="5" t="s">
        <v>63</v>
      </c>
      <c r="J311" s="5" t="s">
        <v>100</v>
      </c>
      <c r="K311" s="5" t="s">
        <v>309</v>
      </c>
      <c r="L311" s="6" t="n">
        <v>41246</v>
      </c>
      <c r="M311" s="5" t="s">
        <v>1418</v>
      </c>
      <c r="N311" s="6" t="n">
        <v>33175</v>
      </c>
      <c r="O311" s="5" t="s">
        <v>332</v>
      </c>
      <c r="P311" s="5" t="s">
        <v>333</v>
      </c>
      <c r="Q311" s="5" t="s">
        <v>295</v>
      </c>
      <c r="R311" s="5" t="s">
        <v>115</v>
      </c>
      <c r="S311" s="5" t="s">
        <v>295</v>
      </c>
      <c r="T311" s="6"/>
      <c r="U311" s="6" t="n">
        <v>45748</v>
      </c>
      <c r="V311" s="5" t="s">
        <v>83</v>
      </c>
      <c r="W311" s="5" t="s">
        <v>83</v>
      </c>
      <c r="X311" s="5" t="s">
        <v>141</v>
      </c>
      <c r="Y311" s="5" t="s">
        <v>141</v>
      </c>
      <c r="Z311" s="5" t="s">
        <v>141</v>
      </c>
      <c r="AA311" s="5" t="s">
        <v>1402</v>
      </c>
      <c r="AB311" s="0" t="n">
        <f aca="false">IFERROR(VALUE(R311),0)</f>
        <v>0</v>
      </c>
      <c r="AC311" s="0" t="n">
        <f aca="false">IFERROR(VALUE(M311),"")</f>
        <v>35.7</v>
      </c>
      <c r="AD311" s="0" t="n">
        <f aca="false">IFERROR(VALUE(Q311),"")</f>
        <v>13.6</v>
      </c>
      <c r="AE311" s="0" t="n">
        <f aca="false">IFERROR(VALUE(S311),"")</f>
        <v>13.6</v>
      </c>
      <c r="AF311" s="0" t="n">
        <f aca="false">IF(V311="","",VLOOKUP(V311,Assumptions!$B$6:$C$9,2,FALSE()))</f>
        <v>4</v>
      </c>
      <c r="AG311" s="0" t="n">
        <f aca="false">IF(W311="","",VLOOKUP(W311,Assumptions!$B$6:$C$9,2,FALSE()))</f>
        <v>4</v>
      </c>
      <c r="AH311" s="0" t="n">
        <f aca="false">IF(X311="","",VLOOKUP(X311,Assumptions!$B$6:$C$9,2,FALSE()))</f>
        <v>3</v>
      </c>
      <c r="AI311" s="0" t="n">
        <f aca="false">IF(Y311="","",VLOOKUP(Y311,Assumptions!$B$6:$C$9,2,FALSE()))</f>
        <v>3</v>
      </c>
      <c r="AJ311" s="0" t="n">
        <f aca="false">IF(Z311="","",VLOOKUP(Z311,Assumptions!$B$6:$C$9,2,FALSE()))</f>
        <v>3</v>
      </c>
      <c r="AK311" s="7" t="n">
        <f aca="false">IFERROR(ROUND(AVERAGE(AF311:AJ311),3),"")</f>
        <v>3.4</v>
      </c>
      <c r="AL311" s="7" t="n">
        <f aca="false">IF(OR(AF311="",AJ311=""),"",AJ311-AF311)</f>
        <v>-1</v>
      </c>
      <c r="AM311" s="7" t="n">
        <f aca="false">IF(COUNT(AF311:AJ311)&gt;=2,ROUND(_xlfn.STDEV.S(AF311:AJ311),3),"")</f>
        <v>0.548</v>
      </c>
      <c r="AN311" s="7" t="n">
        <f aca="false">ROUND((IF(AF311="",0,AF311)*Assumptions!$F$15)+(IF(AG311="",0,AG311)*Assumptions!$F$16)+(IF(AH311="",0,AH311)*Assumptions!$F$17)+(IF(AI311="",0,AI311)*Assumptions!$F$18)+(IF(AJ311="",0,AJ311)*Assumptions!$F$19),3)</f>
        <v>3.25</v>
      </c>
      <c r="AO311" s="0" t="str">
        <f aca="false">IF(AC311&lt;=20,"",IF(AC311&lt;=Assumptions!$F$6,"20-30",IF(AC311&lt;=Assumptions!$F$7,"30-40",IF(AC311&lt;=Assumptions!$F$8,"40-50",IF(AC311&lt;=Assumptions!$F$9,"50-60",IF(AC311&lt;=Assumptions!$F$10,"60+",""))))))</f>
        <v>30-40</v>
      </c>
      <c r="AP311" s="0" t="str">
        <f aca="false">IFERROR(VLOOKUP(O311,Assumptions!$B$14:$C$26,2,FALSE()),"Other")</f>
        <v>Manager</v>
      </c>
      <c r="AQ311" s="0" t="n">
        <f aca="false">IF(T311="",0,1)</f>
        <v>0</v>
      </c>
      <c r="AR311" s="0" t="n">
        <f aca="false">IF(U311="",0,1)</f>
        <v>1</v>
      </c>
      <c r="AS311" s="8" t="n">
        <f aca="false">IF(AK311="","",IF(MAX($AK$2:$AK$921)=MIN($AK$2:$AK$921),50,ROUND((AK311-MIN($AK$2:$AK$921))/(MAX($AK$2:$AK$921)-MIN($AK$2:$AK$921))*100,2)))</f>
        <v>74.28</v>
      </c>
      <c r="AT311" s="8" t="n">
        <f aca="false">IF(MAX($BC$2:$BC$921)=MIN($BC$2:$BC$921),50,ROUND((BC311-MIN($BC$2:$BC$921))/(MAX($BC$2:$BC$921)-MIN($BC$2:$BC$921))*100,2))</f>
        <v>25</v>
      </c>
      <c r="AU311" s="8" t="n">
        <f aca="false">IF(MAX($BE$2:$BE$921)=MIN($BE$2:$BE$921),50,ROUND((BE311-MIN($BE$2:$BE$921))/(MAX($BE$2:$BE$921)-MIN($BE$2:$BE$921))*100,2))</f>
        <v>68.36</v>
      </c>
      <c r="AV311" s="8" t="n">
        <f aca="false">IF(MAX($AD$2:$AD$921)=MIN($AD$2:$AD$921),50,ROUND((AD311-MIN($AD$2:$AD$921))/(MAX($AD$2:$AD$921)-MIN($AD$2:$AD$921))*100,2))</f>
        <v>36.67</v>
      </c>
      <c r="AW311" s="8" t="n">
        <f aca="false">IF(MAX($AN$2:$AN$921)=MIN($AN$2:$AN$921),50,ROUND((AN311-MIN($AN$2:$AN$921))/(MAX($AN$2:$AN$921)-MIN($AN$2:$AN$921))*100,2))</f>
        <v>81.25</v>
      </c>
      <c r="AX311" s="8" t="n">
        <f aca="false">AQ311*100</f>
        <v>0</v>
      </c>
      <c r="AY311" s="8" t="n">
        <f aca="false">AR311*100</f>
        <v>100</v>
      </c>
      <c r="AZ311" s="8" t="n">
        <f aca="false">IFERROR(ROUND(AS311*Assumptions!$I$6+AW311*Assumptions!$I$7+AT311*Assumptions!$I$8+AU311*Assumptions!$I$9+AV311*Assumptions!$I$10+AX311*Assumptions!$I$11+AY311*Assumptions!$I$12,2),"")</f>
        <v>61.21</v>
      </c>
      <c r="BA311" s="0" t="str">
        <f aca="false">IF(AZ311="","",IF(AZ311&lt;=Assumptions!$I$18,"Below Expectation",IF(AZ311&lt;=Assumptions!$I$19,"Developing",IF(AZ311&lt;=Assumptions!$I$20,"Meets Expectation",IF(AZ311&lt;=Assumptions!$I$21,"Exceeds","Star Performer")))))</f>
        <v>Meets Expectation</v>
      </c>
      <c r="BB311" s="0" t="n">
        <f aca="false">IF(AZ311="",0,IF(AZ311&gt;=Assumptions!$I$26,1,0))</f>
        <v>0</v>
      </c>
      <c r="BC311" s="9" t="n">
        <f aca="false">IF(AL311="",2,AL311+2)</f>
        <v>1</v>
      </c>
      <c r="BD311" s="10" t="n">
        <f aca="false">IF(AM311="",ROUND(AVERAGE($AM$2:$AM$921),3),AM311)</f>
        <v>0.548</v>
      </c>
      <c r="BE311" s="9" t="n">
        <f aca="false">1-BD311</f>
        <v>0.452</v>
      </c>
    </row>
    <row r="312" customFormat="false" ht="14.25" hidden="true" customHeight="false" outlineLevel="0" collapsed="false">
      <c r="A312" s="4" t="n">
        <v>316</v>
      </c>
      <c r="B312" s="5" t="n">
        <v>10072442</v>
      </c>
      <c r="C312" s="5" t="s">
        <v>57</v>
      </c>
      <c r="D312" s="5" t="s">
        <v>1480</v>
      </c>
      <c r="E312" s="5" t="s">
        <v>208</v>
      </c>
      <c r="F312" s="5" t="s">
        <v>608</v>
      </c>
      <c r="G312" s="5" t="s">
        <v>609</v>
      </c>
      <c r="H312" s="5" t="s">
        <v>608</v>
      </c>
      <c r="I312" s="5" t="s">
        <v>63</v>
      </c>
      <c r="J312" s="5" t="s">
        <v>100</v>
      </c>
      <c r="K312" s="5" t="s">
        <v>65</v>
      </c>
      <c r="L312" s="6" t="n">
        <v>43941</v>
      </c>
      <c r="M312" s="5" t="s">
        <v>1481</v>
      </c>
      <c r="N312" s="6" t="n">
        <v>33272</v>
      </c>
      <c r="O312" s="5" t="s">
        <v>365</v>
      </c>
      <c r="P312" s="5" t="s">
        <v>365</v>
      </c>
      <c r="Q312" s="5" t="s">
        <v>506</v>
      </c>
      <c r="R312" s="5" t="s">
        <v>81</v>
      </c>
      <c r="S312" s="5" t="s">
        <v>660</v>
      </c>
      <c r="T312" s="6"/>
      <c r="U312" s="6"/>
      <c r="V312" s="5" t="s">
        <v>631</v>
      </c>
      <c r="W312" s="5" t="s">
        <v>141</v>
      </c>
      <c r="X312" s="5" t="s">
        <v>83</v>
      </c>
      <c r="Y312" s="5" t="s">
        <v>141</v>
      </c>
      <c r="Z312" s="5" t="s">
        <v>83</v>
      </c>
      <c r="AA312" s="5" t="s">
        <v>1482</v>
      </c>
      <c r="AB312" s="0" t="n">
        <f aca="false">IFERROR(VALUE(R312),0)</f>
        <v>4.5</v>
      </c>
      <c r="AC312" s="0" t="n">
        <f aca="false">IFERROR(VALUE(M312),"")</f>
        <v>35.4</v>
      </c>
      <c r="AD312" s="0" t="n">
        <f aca="false">IFERROR(VALUE(Q312),"")</f>
        <v>6.1</v>
      </c>
      <c r="AE312" s="0" t="n">
        <f aca="false">IFERROR(VALUE(S312),"")</f>
        <v>10.6</v>
      </c>
      <c r="AF312" s="0" t="n">
        <f aca="false">IF(V312="","",VLOOKUP(V312,Assumptions!$B$6:$C$9,2,FALSE()))</f>
        <v>2</v>
      </c>
      <c r="AG312" s="0" t="n">
        <f aca="false">IF(W312="","",VLOOKUP(W312,Assumptions!$B$6:$C$9,2,FALSE()))</f>
        <v>3</v>
      </c>
      <c r="AH312" s="0" t="n">
        <f aca="false">IF(X312="","",VLOOKUP(X312,Assumptions!$B$6:$C$9,2,FALSE()))</f>
        <v>4</v>
      </c>
      <c r="AI312" s="0" t="n">
        <f aca="false">IF(Y312="","",VLOOKUP(Y312,Assumptions!$B$6:$C$9,2,FALSE()))</f>
        <v>3</v>
      </c>
      <c r="AJ312" s="0" t="n">
        <f aca="false">IF(Z312="","",VLOOKUP(Z312,Assumptions!$B$6:$C$9,2,FALSE()))</f>
        <v>4</v>
      </c>
      <c r="AK312" s="7" t="n">
        <f aca="false">IFERROR(ROUND(AVERAGE(AF312:AJ312),3),"")</f>
        <v>3.2</v>
      </c>
      <c r="AL312" s="7" t="n">
        <f aca="false">IF(OR(AF312="",AJ312=""),"",AJ312-AF312)</f>
        <v>2</v>
      </c>
      <c r="AM312" s="7" t="n">
        <f aca="false">IF(COUNT(AF312:AJ312)&gt;=2,ROUND(_xlfn.STDEV.S(AF312:AJ312),3),"")</f>
        <v>0.837</v>
      </c>
      <c r="AN312" s="7" t="n">
        <f aca="false">ROUND((IF(AF312="",0,AF312)*Assumptions!$F$15)+(IF(AG312="",0,AG312)*Assumptions!$F$16)+(IF(AH312="",0,AH312)*Assumptions!$F$17)+(IF(AI312="",0,AI312)*Assumptions!$F$18)+(IF(AJ312="",0,AJ312)*Assumptions!$F$19),3)</f>
        <v>3.4</v>
      </c>
      <c r="AO312" s="0" t="str">
        <f aca="false">IF(AC312&lt;=20,"",IF(AC312&lt;=Assumptions!$F$6,"20-30",IF(AC312&lt;=Assumptions!$F$7,"30-40",IF(AC312&lt;=Assumptions!$F$8,"40-50",IF(AC312&lt;=Assumptions!$F$9,"50-60",IF(AC312&lt;=Assumptions!$F$10,"60+",""))))))</f>
        <v>30-40</v>
      </c>
      <c r="AP312" s="0" t="str">
        <f aca="false">IFERROR(VLOOKUP(O312,Assumptions!$B$14:$C$26,2,FALSE()),"Other")</f>
        <v>Manager</v>
      </c>
      <c r="AQ312" s="0" t="n">
        <f aca="false">IF(T312="",0,1)</f>
        <v>0</v>
      </c>
      <c r="AR312" s="0" t="n">
        <f aca="false">IF(U312="",0,1)</f>
        <v>0</v>
      </c>
      <c r="AS312" s="8" t="n">
        <f aca="false">IF(AK312="","",IF(MAX($AK$2:$AK$921)=MIN($AK$2:$AK$921),50,ROUND((AK312-MIN($AK$2:$AK$921))/(MAX($AK$2:$AK$921)-MIN($AK$2:$AK$921))*100,2)))</f>
        <v>65.71</v>
      </c>
      <c r="AT312" s="8" t="n">
        <f aca="false">IF(MAX($BC$2:$BC$921)=MIN($BC$2:$BC$921),50,ROUND((BC312-MIN($BC$2:$BC$921))/(MAX($BC$2:$BC$921)-MIN($BC$2:$BC$921))*100,2))</f>
        <v>100</v>
      </c>
      <c r="AU312" s="8" t="n">
        <f aca="false">IF(MAX($BE$2:$BE$921)=MIN($BE$2:$BE$921),50,ROUND((BE312-MIN($BE$2:$BE$921))/(MAX($BE$2:$BE$921)-MIN($BE$2:$BE$921))*100,2))</f>
        <v>51.67</v>
      </c>
      <c r="AV312" s="8" t="n">
        <f aca="false">IF(MAX($AD$2:$AD$921)=MIN($AD$2:$AD$921),50,ROUND((AD312-MIN($AD$2:$AD$921))/(MAX($AD$2:$AD$921)-MIN($AD$2:$AD$921))*100,2))</f>
        <v>16.28</v>
      </c>
      <c r="AW312" s="8" t="n">
        <f aca="false">IF(MAX($AN$2:$AN$921)=MIN($AN$2:$AN$921),50,ROUND((AN312-MIN($AN$2:$AN$921))/(MAX($AN$2:$AN$921)-MIN($AN$2:$AN$921))*100,2))</f>
        <v>85</v>
      </c>
      <c r="AX312" s="8" t="n">
        <f aca="false">AQ312*100</f>
        <v>0</v>
      </c>
      <c r="AY312" s="8" t="n">
        <f aca="false">AR312*100</f>
        <v>0</v>
      </c>
      <c r="AZ312" s="8" t="n">
        <f aca="false">IFERROR(ROUND(AS312*Assumptions!$I$6+AW312*Assumptions!$I$7+AT312*Assumptions!$I$8+AU312*Assumptions!$I$9+AV312*Assumptions!$I$10+AX312*Assumptions!$I$11+AY312*Assumptions!$I$12,2),"")</f>
        <v>61.09</v>
      </c>
      <c r="BA312" s="0" t="str">
        <f aca="false">IF(AZ312="","",IF(AZ312&lt;=Assumptions!$I$18,"Below Expectation",IF(AZ312&lt;=Assumptions!$I$19,"Developing",IF(AZ312&lt;=Assumptions!$I$20,"Meets Expectation",IF(AZ312&lt;=Assumptions!$I$21,"Exceeds","Star Performer")))))</f>
        <v>Meets Expectation</v>
      </c>
      <c r="BB312" s="0" t="n">
        <f aca="false">IF(AZ312="",0,IF(AZ312&gt;=Assumptions!$I$26,1,0))</f>
        <v>0</v>
      </c>
      <c r="BC312" s="9" t="n">
        <f aca="false">IF(AL312="",2,AL312+2)</f>
        <v>4</v>
      </c>
      <c r="BD312" s="10" t="n">
        <f aca="false">IF(AM312="",ROUND(AVERAGE($AM$2:$AM$921),3),AM312)</f>
        <v>0.837</v>
      </c>
      <c r="BE312" s="9" t="n">
        <f aca="false">1-BD312</f>
        <v>0.163</v>
      </c>
    </row>
    <row r="313" customFormat="false" ht="14.25" hidden="true" customHeight="false" outlineLevel="0" collapsed="false">
      <c r="A313" s="4" t="n">
        <v>466</v>
      </c>
      <c r="B313" s="5" t="n">
        <v>55039365</v>
      </c>
      <c r="C313" s="5" t="s">
        <v>149</v>
      </c>
      <c r="D313" s="5" t="s">
        <v>1483</v>
      </c>
      <c r="E313" s="5" t="s">
        <v>718</v>
      </c>
      <c r="F313" s="5" t="s">
        <v>1399</v>
      </c>
      <c r="G313" s="5" t="s">
        <v>1400</v>
      </c>
      <c r="H313" s="5" t="s">
        <v>1399</v>
      </c>
      <c r="I313" s="5" t="s">
        <v>63</v>
      </c>
      <c r="J313" s="5" t="s">
        <v>100</v>
      </c>
      <c r="K313" s="5" t="s">
        <v>309</v>
      </c>
      <c r="L313" s="6" t="n">
        <v>44230</v>
      </c>
      <c r="M313" s="5" t="s">
        <v>1257</v>
      </c>
      <c r="N313" s="6" t="n">
        <v>35641</v>
      </c>
      <c r="O313" s="5" t="s">
        <v>332</v>
      </c>
      <c r="P313" s="5" t="s">
        <v>333</v>
      </c>
      <c r="Q313" s="5" t="s">
        <v>382</v>
      </c>
      <c r="R313" s="5" t="s">
        <v>115</v>
      </c>
      <c r="S313" s="5" t="s">
        <v>382</v>
      </c>
      <c r="T313" s="6"/>
      <c r="U313" s="6" t="n">
        <v>45748</v>
      </c>
      <c r="V313" s="5" t="s">
        <v>141</v>
      </c>
      <c r="W313" s="5" t="s">
        <v>141</v>
      </c>
      <c r="X313" s="5" t="s">
        <v>141</v>
      </c>
      <c r="Y313" s="5" t="s">
        <v>141</v>
      </c>
      <c r="Z313" s="5" t="s">
        <v>141</v>
      </c>
      <c r="AA313" s="5" t="s">
        <v>1484</v>
      </c>
      <c r="AB313" s="0" t="n">
        <f aca="false">IFERROR(VALUE(R313),0)</f>
        <v>0</v>
      </c>
      <c r="AC313" s="0" t="n">
        <f aca="false">IFERROR(VALUE(M313),"")</f>
        <v>28.1</v>
      </c>
      <c r="AD313" s="0" t="n">
        <f aca="false">IFERROR(VALUE(Q313),"")</f>
        <v>5.4</v>
      </c>
      <c r="AE313" s="0" t="n">
        <f aca="false">IFERROR(VALUE(S313),"")</f>
        <v>5.4</v>
      </c>
      <c r="AF313" s="0" t="n">
        <f aca="false">IF(V313="","",VLOOKUP(V313,Assumptions!$B$6:$C$9,2,FALSE()))</f>
        <v>3</v>
      </c>
      <c r="AG313" s="0" t="n">
        <f aca="false">IF(W313="","",VLOOKUP(W313,Assumptions!$B$6:$C$9,2,FALSE()))</f>
        <v>3</v>
      </c>
      <c r="AH313" s="0" t="n">
        <f aca="false">IF(X313="","",VLOOKUP(X313,Assumptions!$B$6:$C$9,2,FALSE()))</f>
        <v>3</v>
      </c>
      <c r="AI313" s="0" t="n">
        <f aca="false">IF(Y313="","",VLOOKUP(Y313,Assumptions!$B$6:$C$9,2,FALSE()))</f>
        <v>3</v>
      </c>
      <c r="AJ313" s="0" t="n">
        <f aca="false">IF(Z313="","",VLOOKUP(Z313,Assumptions!$B$6:$C$9,2,FALSE()))</f>
        <v>3</v>
      </c>
      <c r="AK313" s="7" t="n">
        <f aca="false">IFERROR(ROUND(AVERAGE(AF313:AJ313),3),"")</f>
        <v>3</v>
      </c>
      <c r="AL313" s="7" t="n">
        <f aca="false">IF(OR(AF313="",AJ313=""),"",AJ313-AF313)</f>
        <v>0</v>
      </c>
      <c r="AM313" s="7" t="n">
        <f aca="false">IF(COUNT(AF313:AJ313)&gt;=2,ROUND(_xlfn.STDEV.S(AF313:AJ313),3),"")</f>
        <v>0</v>
      </c>
      <c r="AN313" s="7" t="n">
        <f aca="false">ROUND((IF(AF313="",0,AF313)*Assumptions!$F$15)+(IF(AG313="",0,AG313)*Assumptions!$F$16)+(IF(AH313="",0,AH313)*Assumptions!$F$17)+(IF(AI313="",0,AI313)*Assumptions!$F$18)+(IF(AJ313="",0,AJ313)*Assumptions!$F$19),3)</f>
        <v>3</v>
      </c>
      <c r="AO313" s="0" t="str">
        <f aca="false">IF(AC313&lt;=20,"",IF(AC313&lt;=Assumptions!$F$6,"20-30",IF(AC313&lt;=Assumptions!$F$7,"30-40",IF(AC313&lt;=Assumptions!$F$8,"40-50",IF(AC313&lt;=Assumptions!$F$9,"50-60",IF(AC313&lt;=Assumptions!$F$10,"60+",""))))))</f>
        <v>20-30</v>
      </c>
      <c r="AP313" s="0" t="str">
        <f aca="false">IFERROR(VLOOKUP(O313,Assumptions!$B$14:$C$26,2,FALSE()),"Other")</f>
        <v>Manager</v>
      </c>
      <c r="AQ313" s="0" t="n">
        <f aca="false">IF(T313="",0,1)</f>
        <v>0</v>
      </c>
      <c r="AR313" s="0" t="n">
        <f aca="false">IF(U313="",0,1)</f>
        <v>1</v>
      </c>
      <c r="AS313" s="8" t="n">
        <f aca="false">IF(AK313="","",IF(MAX($AK$2:$AK$921)=MIN($AK$2:$AK$921),50,ROUND((AK313-MIN($AK$2:$AK$921))/(MAX($AK$2:$AK$921)-MIN($AK$2:$AK$921))*100,2)))</f>
        <v>57.14</v>
      </c>
      <c r="AT313" s="8" t="n">
        <f aca="false">IF(MAX($BC$2:$BC$921)=MIN($BC$2:$BC$921),50,ROUND((BC313-MIN($BC$2:$BC$921))/(MAX($BC$2:$BC$921)-MIN($BC$2:$BC$921))*100,2))</f>
        <v>50</v>
      </c>
      <c r="AU313" s="8" t="n">
        <f aca="false">IF(MAX($BE$2:$BE$921)=MIN($BE$2:$BE$921),50,ROUND((BE313-MIN($BE$2:$BE$921))/(MAX($BE$2:$BE$921)-MIN($BE$2:$BE$921))*100,2))</f>
        <v>100</v>
      </c>
      <c r="AV313" s="8" t="n">
        <f aca="false">IF(MAX($AD$2:$AD$921)=MIN($AD$2:$AD$921),50,ROUND((AD313-MIN($AD$2:$AD$921))/(MAX($AD$2:$AD$921)-MIN($AD$2:$AD$921))*100,2))</f>
        <v>14.38</v>
      </c>
      <c r="AW313" s="8" t="n">
        <f aca="false">IF(MAX($AN$2:$AN$921)=MIN($AN$2:$AN$921),50,ROUND((AN313-MIN($AN$2:$AN$921))/(MAX($AN$2:$AN$921)-MIN($AN$2:$AN$921))*100,2))</f>
        <v>75</v>
      </c>
      <c r="AX313" s="8" t="n">
        <f aca="false">AQ313*100</f>
        <v>0</v>
      </c>
      <c r="AY313" s="8" t="n">
        <f aca="false">AR313*100</f>
        <v>100</v>
      </c>
      <c r="AZ313" s="8" t="n">
        <f aca="false">IFERROR(ROUND(AS313*Assumptions!$I$6+AW313*Assumptions!$I$7+AT313*Assumptions!$I$8+AU313*Assumptions!$I$9+AV313*Assumptions!$I$10+AX313*Assumptions!$I$11+AY313*Assumptions!$I$12,2),"")</f>
        <v>61.08</v>
      </c>
      <c r="BA313" s="0" t="str">
        <f aca="false">IF(AZ313="","",IF(AZ313&lt;=Assumptions!$I$18,"Below Expectation",IF(AZ313&lt;=Assumptions!$I$19,"Developing",IF(AZ313&lt;=Assumptions!$I$20,"Meets Expectation",IF(AZ313&lt;=Assumptions!$I$21,"Exceeds","Star Performer")))))</f>
        <v>Meets Expectation</v>
      </c>
      <c r="BB313" s="0" t="n">
        <f aca="false">IF(AZ313="",0,IF(AZ313&gt;=Assumptions!$I$26,1,0))</f>
        <v>0</v>
      </c>
      <c r="BC313" s="9" t="n">
        <f aca="false">IF(AL313="",2,AL313+2)</f>
        <v>2</v>
      </c>
      <c r="BD313" s="10" t="n">
        <f aca="false">IF(AM313="",ROUND(AVERAGE($AM$2:$AM$921),3),AM313)</f>
        <v>0</v>
      </c>
      <c r="BE313" s="9" t="n">
        <f aca="false">1-BD313</f>
        <v>1</v>
      </c>
    </row>
    <row r="314" customFormat="false" ht="14.25" hidden="true" customHeight="false" outlineLevel="0" collapsed="false">
      <c r="A314" s="4" t="n">
        <v>138</v>
      </c>
      <c r="B314" s="5" t="n">
        <v>10044028</v>
      </c>
      <c r="C314" s="5" t="s">
        <v>85</v>
      </c>
      <c r="D314" s="5" t="s">
        <v>1485</v>
      </c>
      <c r="E314" s="5" t="s">
        <v>87</v>
      </c>
      <c r="F314" s="5" t="s">
        <v>199</v>
      </c>
      <c r="G314" s="5" t="s">
        <v>200</v>
      </c>
      <c r="H314" s="5" t="s">
        <v>201</v>
      </c>
      <c r="I314" s="5" t="s">
        <v>63</v>
      </c>
      <c r="J314" s="5" t="s">
        <v>76</v>
      </c>
      <c r="K314" s="5" t="s">
        <v>65</v>
      </c>
      <c r="L314" s="6" t="n">
        <v>41813</v>
      </c>
      <c r="M314" s="5" t="s">
        <v>1274</v>
      </c>
      <c r="N314" s="6" t="n">
        <v>31172</v>
      </c>
      <c r="O314" s="5" t="s">
        <v>262</v>
      </c>
      <c r="P314" s="5" t="s">
        <v>263</v>
      </c>
      <c r="Q314" s="5" t="s">
        <v>1151</v>
      </c>
      <c r="R314" s="5" t="s">
        <v>1486</v>
      </c>
      <c r="S314" s="5" t="s">
        <v>295</v>
      </c>
      <c r="T314" s="6"/>
      <c r="U314" s="6" t="n">
        <v>44652</v>
      </c>
      <c r="V314" s="5" t="s">
        <v>83</v>
      </c>
      <c r="W314" s="5" t="s">
        <v>141</v>
      </c>
      <c r="X314" s="5" t="s">
        <v>141</v>
      </c>
      <c r="Y314" s="5" t="s">
        <v>83</v>
      </c>
      <c r="Z314" s="5" t="s">
        <v>141</v>
      </c>
      <c r="AA314" s="5" t="s">
        <v>1487</v>
      </c>
      <c r="AB314" s="0" t="n">
        <f aca="false">IFERROR(VALUE(R314),0)</f>
        <v>1.7</v>
      </c>
      <c r="AC314" s="0" t="n">
        <f aca="false">IFERROR(VALUE(M314),"")</f>
        <v>41.1</v>
      </c>
      <c r="AD314" s="0" t="n">
        <f aca="false">IFERROR(VALUE(Q314),"")</f>
        <v>11.11</v>
      </c>
      <c r="AE314" s="0" t="n">
        <f aca="false">IFERROR(VALUE(S314),"")</f>
        <v>13.6</v>
      </c>
      <c r="AF314" s="0" t="n">
        <f aca="false">IF(V314="","",VLOOKUP(V314,Assumptions!$B$6:$C$9,2,FALSE()))</f>
        <v>4</v>
      </c>
      <c r="AG314" s="0" t="n">
        <f aca="false">IF(W314="","",VLOOKUP(W314,Assumptions!$B$6:$C$9,2,FALSE()))</f>
        <v>3</v>
      </c>
      <c r="AH314" s="0" t="n">
        <f aca="false">IF(X314="","",VLOOKUP(X314,Assumptions!$B$6:$C$9,2,FALSE()))</f>
        <v>3</v>
      </c>
      <c r="AI314" s="0" t="n">
        <f aca="false">IF(Y314="","",VLOOKUP(Y314,Assumptions!$B$6:$C$9,2,FALSE()))</f>
        <v>4</v>
      </c>
      <c r="AJ314" s="0" t="n">
        <f aca="false">IF(Z314="","",VLOOKUP(Z314,Assumptions!$B$6:$C$9,2,FALSE()))</f>
        <v>3</v>
      </c>
      <c r="AK314" s="7" t="n">
        <f aca="false">IFERROR(ROUND(AVERAGE(AF314:AJ314),3),"")</f>
        <v>3.4</v>
      </c>
      <c r="AL314" s="7" t="n">
        <f aca="false">IF(OR(AF314="",AJ314=""),"",AJ314-AF314)</f>
        <v>-1</v>
      </c>
      <c r="AM314" s="7" t="n">
        <f aca="false">IF(COUNT(AF314:AJ314)&gt;=2,ROUND(_xlfn.STDEV.S(AF314:AJ314),3),"")</f>
        <v>0.548</v>
      </c>
      <c r="AN314" s="7" t="n">
        <f aca="false">ROUND((IF(AF314="",0,AF314)*Assumptions!$F$15)+(IF(AG314="",0,AG314)*Assumptions!$F$16)+(IF(AH314="",0,AH314)*Assumptions!$F$17)+(IF(AI314="",0,AI314)*Assumptions!$F$18)+(IF(AJ314="",0,AJ314)*Assumptions!$F$19),3)</f>
        <v>3.35</v>
      </c>
      <c r="AO314" s="0" t="str">
        <f aca="false">IF(AC314&lt;=20,"",IF(AC314&lt;=Assumptions!$F$6,"20-30",IF(AC314&lt;=Assumptions!$F$7,"30-40",IF(AC314&lt;=Assumptions!$F$8,"40-50",IF(AC314&lt;=Assumptions!$F$9,"50-60",IF(AC314&lt;=Assumptions!$F$10,"60+",""))))))</f>
        <v>40-50</v>
      </c>
      <c r="AP314" s="0" t="str">
        <f aca="false">IFERROR(VLOOKUP(O314,Assumptions!$B$14:$C$26,2,FALSE()),"Other")</f>
        <v>Manager</v>
      </c>
      <c r="AQ314" s="0" t="n">
        <f aca="false">IF(T314="",0,1)</f>
        <v>0</v>
      </c>
      <c r="AR314" s="0" t="n">
        <f aca="false">IF(U314="",0,1)</f>
        <v>1</v>
      </c>
      <c r="AS314" s="8" t="n">
        <f aca="false">IF(AK314="","",IF(MAX($AK$2:$AK$921)=MIN($AK$2:$AK$921),50,ROUND((AK314-MIN($AK$2:$AK$921))/(MAX($AK$2:$AK$921)-MIN($AK$2:$AK$921))*100,2)))</f>
        <v>74.28</v>
      </c>
      <c r="AT314" s="8" t="n">
        <f aca="false">IF(MAX($BC$2:$BC$921)=MIN($BC$2:$BC$921),50,ROUND((BC314-MIN($BC$2:$BC$921))/(MAX($BC$2:$BC$921)-MIN($BC$2:$BC$921))*100,2))</f>
        <v>25</v>
      </c>
      <c r="AU314" s="8" t="n">
        <f aca="false">IF(MAX($BE$2:$BE$921)=MIN($BE$2:$BE$921),50,ROUND((BE314-MIN($BE$2:$BE$921))/(MAX($BE$2:$BE$921)-MIN($BE$2:$BE$921))*100,2))</f>
        <v>68.36</v>
      </c>
      <c r="AV314" s="8" t="n">
        <f aca="false">IF(MAX($AD$2:$AD$921)=MIN($AD$2:$AD$921),50,ROUND((AD314-MIN($AD$2:$AD$921))/(MAX($AD$2:$AD$921)-MIN($AD$2:$AD$921))*100,2))</f>
        <v>29.9</v>
      </c>
      <c r="AW314" s="8" t="n">
        <f aca="false">IF(MAX($AN$2:$AN$921)=MIN($AN$2:$AN$921),50,ROUND((AN314-MIN($AN$2:$AN$921))/(MAX($AN$2:$AN$921)-MIN($AN$2:$AN$921))*100,2))</f>
        <v>83.75</v>
      </c>
      <c r="AX314" s="8" t="n">
        <f aca="false">AQ314*100</f>
        <v>0</v>
      </c>
      <c r="AY314" s="8" t="n">
        <f aca="false">AR314*100</f>
        <v>100</v>
      </c>
      <c r="AZ314" s="8" t="n">
        <f aca="false">IFERROR(ROUND(AS314*Assumptions!$I$6+AW314*Assumptions!$I$7+AT314*Assumptions!$I$8+AU314*Assumptions!$I$9+AV314*Assumptions!$I$10+AX314*Assumptions!$I$11+AY314*Assumptions!$I$12,2),"")</f>
        <v>61.03</v>
      </c>
      <c r="BA314" s="0" t="str">
        <f aca="false">IF(AZ314="","",IF(AZ314&lt;=Assumptions!$I$18,"Below Expectation",IF(AZ314&lt;=Assumptions!$I$19,"Developing",IF(AZ314&lt;=Assumptions!$I$20,"Meets Expectation",IF(AZ314&lt;=Assumptions!$I$21,"Exceeds","Star Performer")))))</f>
        <v>Meets Expectation</v>
      </c>
      <c r="BB314" s="0" t="n">
        <f aca="false">IF(AZ314="",0,IF(AZ314&gt;=Assumptions!$I$26,1,0))</f>
        <v>0</v>
      </c>
      <c r="BC314" s="9" t="n">
        <f aca="false">IF(AL314="",2,AL314+2)</f>
        <v>1</v>
      </c>
      <c r="BD314" s="10" t="n">
        <f aca="false">IF(AM314="",ROUND(AVERAGE($AM$2:$AM$921),3),AM314)</f>
        <v>0.548</v>
      </c>
      <c r="BE314" s="9" t="n">
        <f aca="false">1-BD314</f>
        <v>0.452</v>
      </c>
    </row>
    <row r="315" customFormat="false" ht="14.25" hidden="true" customHeight="false" outlineLevel="0" collapsed="false">
      <c r="A315" s="4" t="n">
        <v>136</v>
      </c>
      <c r="B315" s="5" t="n">
        <v>10043220</v>
      </c>
      <c r="C315" s="5" t="s">
        <v>85</v>
      </c>
      <c r="D315" s="5" t="s">
        <v>1488</v>
      </c>
      <c r="E315" s="5" t="s">
        <v>805</v>
      </c>
      <c r="F315" s="5" t="s">
        <v>267</v>
      </c>
      <c r="G315" s="5" t="s">
        <v>268</v>
      </c>
      <c r="H315" s="5" t="s">
        <v>267</v>
      </c>
      <c r="I315" s="5" t="s">
        <v>63</v>
      </c>
      <c r="J315" s="5" t="s">
        <v>76</v>
      </c>
      <c r="K315" s="5" t="s">
        <v>65</v>
      </c>
      <c r="L315" s="6" t="n">
        <v>41771</v>
      </c>
      <c r="M315" s="5" t="s">
        <v>344</v>
      </c>
      <c r="N315" s="6" t="n">
        <v>28682</v>
      </c>
      <c r="O315" s="5" t="s">
        <v>162</v>
      </c>
      <c r="P315" s="5" t="s">
        <v>162</v>
      </c>
      <c r="Q315" s="5" t="s">
        <v>1489</v>
      </c>
      <c r="R315" s="5" t="s">
        <v>240</v>
      </c>
      <c r="S315" s="5" t="s">
        <v>904</v>
      </c>
      <c r="T315" s="6"/>
      <c r="U315" s="6" t="n">
        <v>46113</v>
      </c>
      <c r="V315" s="5" t="s">
        <v>83</v>
      </c>
      <c r="W315" s="5" t="s">
        <v>141</v>
      </c>
      <c r="X315" s="5" t="s">
        <v>83</v>
      </c>
      <c r="Y315" s="5" t="s">
        <v>141</v>
      </c>
      <c r="Z315" s="5" t="s">
        <v>141</v>
      </c>
      <c r="AA315" s="5" t="s">
        <v>1490</v>
      </c>
      <c r="AB315" s="0" t="n">
        <f aca="false">IFERROR(VALUE(R315),0)</f>
        <v>11.9</v>
      </c>
      <c r="AC315" s="0" t="n">
        <f aca="false">IFERROR(VALUE(M315),"")</f>
        <v>47.1</v>
      </c>
      <c r="AD315" s="0" t="n">
        <f aca="false">IFERROR(VALUE(Q315),"")</f>
        <v>12</v>
      </c>
      <c r="AE315" s="0" t="n">
        <f aca="false">IFERROR(VALUE(S315),"")</f>
        <v>23.9</v>
      </c>
      <c r="AF315" s="0" t="n">
        <f aca="false">IF(V315="","",VLOOKUP(V315,Assumptions!$B$6:$C$9,2,FALSE()))</f>
        <v>4</v>
      </c>
      <c r="AG315" s="0" t="n">
        <f aca="false">IF(W315="","",VLOOKUP(W315,Assumptions!$B$6:$C$9,2,FALSE()))</f>
        <v>3</v>
      </c>
      <c r="AH315" s="0" t="n">
        <f aca="false">IF(X315="","",VLOOKUP(X315,Assumptions!$B$6:$C$9,2,FALSE()))</f>
        <v>4</v>
      </c>
      <c r="AI315" s="0" t="n">
        <f aca="false">IF(Y315="","",VLOOKUP(Y315,Assumptions!$B$6:$C$9,2,FALSE()))</f>
        <v>3</v>
      </c>
      <c r="AJ315" s="0" t="n">
        <f aca="false">IF(Z315="","",VLOOKUP(Z315,Assumptions!$B$6:$C$9,2,FALSE()))</f>
        <v>3</v>
      </c>
      <c r="AK315" s="7" t="n">
        <f aca="false">IFERROR(ROUND(AVERAGE(AF315:AJ315),3),"")</f>
        <v>3.4</v>
      </c>
      <c r="AL315" s="7" t="n">
        <f aca="false">IF(OR(AF315="",AJ315=""),"",AJ315-AF315)</f>
        <v>-1</v>
      </c>
      <c r="AM315" s="7" t="n">
        <f aca="false">IF(COUNT(AF315:AJ315)&gt;=2,ROUND(_xlfn.STDEV.S(AF315:AJ315),3),"")</f>
        <v>0.548</v>
      </c>
      <c r="AN315" s="7" t="n">
        <f aca="false">ROUND((IF(AF315="",0,AF315)*Assumptions!$F$15)+(IF(AG315="",0,AG315)*Assumptions!$F$16)+(IF(AH315="",0,AH315)*Assumptions!$F$17)+(IF(AI315="",0,AI315)*Assumptions!$F$18)+(IF(AJ315="",0,AJ315)*Assumptions!$F$19),3)</f>
        <v>3.3</v>
      </c>
      <c r="AO315" s="0" t="str">
        <f aca="false">IF(AC315&lt;=20,"",IF(AC315&lt;=Assumptions!$F$6,"20-30",IF(AC315&lt;=Assumptions!$F$7,"30-40",IF(AC315&lt;=Assumptions!$F$8,"40-50",IF(AC315&lt;=Assumptions!$F$9,"50-60",IF(AC315&lt;=Assumptions!$F$10,"60+",""))))))</f>
        <v>40-50</v>
      </c>
      <c r="AP315" s="0" t="str">
        <f aca="false">IFERROR(VLOOKUP(O315,Assumptions!$B$14:$C$26,2,FALSE()),"Other")</f>
        <v>Manager</v>
      </c>
      <c r="AQ315" s="0" t="n">
        <f aca="false">IF(T315="",0,1)</f>
        <v>0</v>
      </c>
      <c r="AR315" s="0" t="n">
        <f aca="false">IF(U315="",0,1)</f>
        <v>1</v>
      </c>
      <c r="AS315" s="8" t="n">
        <f aca="false">IF(AK315="","",IF(MAX($AK$2:$AK$921)=MIN($AK$2:$AK$921),50,ROUND((AK315-MIN($AK$2:$AK$921))/(MAX($AK$2:$AK$921)-MIN($AK$2:$AK$921))*100,2)))</f>
        <v>74.28</v>
      </c>
      <c r="AT315" s="8" t="n">
        <f aca="false">IF(MAX($BC$2:$BC$921)=MIN($BC$2:$BC$921),50,ROUND((BC315-MIN($BC$2:$BC$921))/(MAX($BC$2:$BC$921)-MIN($BC$2:$BC$921))*100,2))</f>
        <v>25</v>
      </c>
      <c r="AU315" s="8" t="n">
        <f aca="false">IF(MAX($BE$2:$BE$921)=MIN($BE$2:$BE$921),50,ROUND((BE315-MIN($BE$2:$BE$921))/(MAX($BE$2:$BE$921)-MIN($BE$2:$BE$921))*100,2))</f>
        <v>68.36</v>
      </c>
      <c r="AV315" s="8" t="n">
        <f aca="false">IF(MAX($AD$2:$AD$921)=MIN($AD$2:$AD$921),50,ROUND((AD315-MIN($AD$2:$AD$921))/(MAX($AD$2:$AD$921)-MIN($AD$2:$AD$921))*100,2))</f>
        <v>32.32</v>
      </c>
      <c r="AW315" s="8" t="n">
        <f aca="false">IF(MAX($AN$2:$AN$921)=MIN($AN$2:$AN$921),50,ROUND((AN315-MIN($AN$2:$AN$921))/(MAX($AN$2:$AN$921)-MIN($AN$2:$AN$921))*100,2))</f>
        <v>82.5</v>
      </c>
      <c r="AX315" s="8" t="n">
        <f aca="false">AQ315*100</f>
        <v>0</v>
      </c>
      <c r="AY315" s="8" t="n">
        <f aca="false">AR315*100</f>
        <v>100</v>
      </c>
      <c r="AZ315" s="8" t="n">
        <f aca="false">IFERROR(ROUND(AS315*Assumptions!$I$6+AW315*Assumptions!$I$7+AT315*Assumptions!$I$8+AU315*Assumptions!$I$9+AV315*Assumptions!$I$10+AX315*Assumptions!$I$11+AY315*Assumptions!$I$12,2),"")</f>
        <v>61.02</v>
      </c>
      <c r="BA315" s="0" t="str">
        <f aca="false">IF(AZ315="","",IF(AZ315&lt;=Assumptions!$I$18,"Below Expectation",IF(AZ315&lt;=Assumptions!$I$19,"Developing",IF(AZ315&lt;=Assumptions!$I$20,"Meets Expectation",IF(AZ315&lt;=Assumptions!$I$21,"Exceeds","Star Performer")))))</f>
        <v>Meets Expectation</v>
      </c>
      <c r="BB315" s="0" t="n">
        <f aca="false">IF(AZ315="",0,IF(AZ315&gt;=Assumptions!$I$26,1,0))</f>
        <v>0</v>
      </c>
      <c r="BC315" s="9" t="n">
        <f aca="false">IF(AL315="",2,AL315+2)</f>
        <v>1</v>
      </c>
      <c r="BD315" s="10" t="n">
        <f aca="false">IF(AM315="",ROUND(AVERAGE($AM$2:$AM$921),3),AM315)</f>
        <v>0.548</v>
      </c>
      <c r="BE315" s="9" t="n">
        <f aca="false">1-BD315</f>
        <v>0.452</v>
      </c>
    </row>
    <row r="316" customFormat="false" ht="14.25" hidden="true" customHeight="false" outlineLevel="0" collapsed="false">
      <c r="A316" s="4" t="n">
        <v>228</v>
      </c>
      <c r="B316" s="5" t="n">
        <v>10058728</v>
      </c>
      <c r="C316" s="5" t="s">
        <v>57</v>
      </c>
      <c r="D316" s="5" t="s">
        <v>1491</v>
      </c>
      <c r="E316" s="5" t="s">
        <v>208</v>
      </c>
      <c r="F316" s="5" t="s">
        <v>608</v>
      </c>
      <c r="G316" s="5" t="s">
        <v>609</v>
      </c>
      <c r="H316" s="5" t="s">
        <v>608</v>
      </c>
      <c r="I316" s="5" t="s">
        <v>63</v>
      </c>
      <c r="J316" s="5" t="s">
        <v>100</v>
      </c>
      <c r="K316" s="5" t="s">
        <v>65</v>
      </c>
      <c r="L316" s="6" t="n">
        <v>42891</v>
      </c>
      <c r="M316" s="5" t="s">
        <v>1374</v>
      </c>
      <c r="N316" s="6" t="n">
        <v>33399</v>
      </c>
      <c r="O316" s="5" t="s">
        <v>365</v>
      </c>
      <c r="P316" s="5" t="s">
        <v>365</v>
      </c>
      <c r="Q316" s="5" t="s">
        <v>451</v>
      </c>
      <c r="R316" s="5" t="s">
        <v>1042</v>
      </c>
      <c r="S316" s="5" t="s">
        <v>1033</v>
      </c>
      <c r="T316" s="6"/>
      <c r="U316" s="6"/>
      <c r="V316" s="5" t="s">
        <v>141</v>
      </c>
      <c r="W316" s="5" t="s">
        <v>141</v>
      </c>
      <c r="X316" s="5" t="s">
        <v>141</v>
      </c>
      <c r="Y316" s="5" t="s">
        <v>141</v>
      </c>
      <c r="Z316" s="5" t="s">
        <v>83</v>
      </c>
      <c r="AA316" s="5" t="s">
        <v>1492</v>
      </c>
      <c r="AB316" s="0" t="n">
        <f aca="false">IFERROR(VALUE(R316),0)</f>
        <v>3.3</v>
      </c>
      <c r="AC316" s="0" t="n">
        <f aca="false">IFERROR(VALUE(M316),"")</f>
        <v>34.11</v>
      </c>
      <c r="AD316" s="0" t="n">
        <f aca="false">IFERROR(VALUE(Q316),"")</f>
        <v>9</v>
      </c>
      <c r="AE316" s="0" t="n">
        <f aca="false">IFERROR(VALUE(S316),"")</f>
        <v>12.3</v>
      </c>
      <c r="AF316" s="0" t="n">
        <f aca="false">IF(V316="","",VLOOKUP(V316,Assumptions!$B$6:$C$9,2,FALSE()))</f>
        <v>3</v>
      </c>
      <c r="AG316" s="0" t="n">
        <f aca="false">IF(W316="","",VLOOKUP(W316,Assumptions!$B$6:$C$9,2,FALSE()))</f>
        <v>3</v>
      </c>
      <c r="AH316" s="0" t="n">
        <f aca="false">IF(X316="","",VLOOKUP(X316,Assumptions!$B$6:$C$9,2,FALSE()))</f>
        <v>3</v>
      </c>
      <c r="AI316" s="0" t="n">
        <f aca="false">IF(Y316="","",VLOOKUP(Y316,Assumptions!$B$6:$C$9,2,FALSE()))</f>
        <v>3</v>
      </c>
      <c r="AJ316" s="0" t="n">
        <f aca="false">IF(Z316="","",VLOOKUP(Z316,Assumptions!$B$6:$C$9,2,FALSE()))</f>
        <v>4</v>
      </c>
      <c r="AK316" s="7" t="n">
        <f aca="false">IFERROR(ROUND(AVERAGE(AF316:AJ316),3),"")</f>
        <v>3.2</v>
      </c>
      <c r="AL316" s="7" t="n">
        <f aca="false">IF(OR(AF316="",AJ316=""),"",AJ316-AF316)</f>
        <v>1</v>
      </c>
      <c r="AM316" s="7" t="n">
        <f aca="false">IF(COUNT(AF316:AJ316)&gt;=2,ROUND(_xlfn.STDEV.S(AF316:AJ316),3),"")</f>
        <v>0.447</v>
      </c>
      <c r="AN316" s="7" t="n">
        <f aca="false">ROUND((IF(AF316="",0,AF316)*Assumptions!$F$15)+(IF(AG316="",0,AG316)*Assumptions!$F$16)+(IF(AH316="",0,AH316)*Assumptions!$F$17)+(IF(AI316="",0,AI316)*Assumptions!$F$18)+(IF(AJ316="",0,AJ316)*Assumptions!$F$19),3)</f>
        <v>3.3</v>
      </c>
      <c r="AO316" s="0" t="str">
        <f aca="false">IF(AC316&lt;=20,"",IF(AC316&lt;=Assumptions!$F$6,"20-30",IF(AC316&lt;=Assumptions!$F$7,"30-40",IF(AC316&lt;=Assumptions!$F$8,"40-50",IF(AC316&lt;=Assumptions!$F$9,"50-60",IF(AC316&lt;=Assumptions!$F$10,"60+",""))))))</f>
        <v>30-40</v>
      </c>
      <c r="AP316" s="0" t="str">
        <f aca="false">IFERROR(VLOOKUP(O316,Assumptions!$B$14:$C$26,2,FALSE()),"Other")</f>
        <v>Manager</v>
      </c>
      <c r="AQ316" s="0" t="n">
        <f aca="false">IF(T316="",0,1)</f>
        <v>0</v>
      </c>
      <c r="AR316" s="0" t="n">
        <f aca="false">IF(U316="",0,1)</f>
        <v>0</v>
      </c>
      <c r="AS316" s="8" t="n">
        <f aca="false">IF(AK316="","",IF(MAX($AK$2:$AK$921)=MIN($AK$2:$AK$921),50,ROUND((AK316-MIN($AK$2:$AK$921))/(MAX($AK$2:$AK$921)-MIN($AK$2:$AK$921))*100,2)))</f>
        <v>65.71</v>
      </c>
      <c r="AT316" s="8" t="n">
        <f aca="false">IF(MAX($BC$2:$BC$921)=MIN($BC$2:$BC$921),50,ROUND((BC316-MIN($BC$2:$BC$921))/(MAX($BC$2:$BC$921)-MIN($BC$2:$BC$921))*100,2))</f>
        <v>75</v>
      </c>
      <c r="AU316" s="8" t="n">
        <f aca="false">IF(MAX($BE$2:$BE$921)=MIN($BE$2:$BE$921),50,ROUND((BE316-MIN($BE$2:$BE$921))/(MAX($BE$2:$BE$921)-MIN($BE$2:$BE$921))*100,2))</f>
        <v>74.19</v>
      </c>
      <c r="AV316" s="8" t="n">
        <f aca="false">IF(MAX($AD$2:$AD$921)=MIN($AD$2:$AD$921),50,ROUND((AD316-MIN($AD$2:$AD$921))/(MAX($AD$2:$AD$921)-MIN($AD$2:$AD$921))*100,2))</f>
        <v>24.16</v>
      </c>
      <c r="AW316" s="8" t="n">
        <f aca="false">IF(MAX($AN$2:$AN$921)=MIN($AN$2:$AN$921),50,ROUND((AN316-MIN($AN$2:$AN$921))/(MAX($AN$2:$AN$921)-MIN($AN$2:$AN$921))*100,2))</f>
        <v>82.5</v>
      </c>
      <c r="AX316" s="8" t="n">
        <f aca="false">AQ316*100</f>
        <v>0</v>
      </c>
      <c r="AY316" s="8" t="n">
        <f aca="false">AR316*100</f>
        <v>0</v>
      </c>
      <c r="AZ316" s="8" t="n">
        <f aca="false">IFERROR(ROUND(AS316*Assumptions!$I$6+AW316*Assumptions!$I$7+AT316*Assumptions!$I$8+AU316*Assumptions!$I$9+AV316*Assumptions!$I$10+AX316*Assumptions!$I$11+AY316*Assumptions!$I$12,2),"")</f>
        <v>61.01</v>
      </c>
      <c r="BA316" s="0" t="str">
        <f aca="false">IF(AZ316="","",IF(AZ316&lt;=Assumptions!$I$18,"Below Expectation",IF(AZ316&lt;=Assumptions!$I$19,"Developing",IF(AZ316&lt;=Assumptions!$I$20,"Meets Expectation",IF(AZ316&lt;=Assumptions!$I$21,"Exceeds","Star Performer")))))</f>
        <v>Meets Expectation</v>
      </c>
      <c r="BB316" s="0" t="n">
        <f aca="false">IF(AZ316="",0,IF(AZ316&gt;=Assumptions!$I$26,1,0))</f>
        <v>0</v>
      </c>
      <c r="BC316" s="9" t="n">
        <f aca="false">IF(AL316="",2,AL316+2)</f>
        <v>3</v>
      </c>
      <c r="BD316" s="10" t="n">
        <f aca="false">IF(AM316="",ROUND(AVERAGE($AM$2:$AM$921),3),AM316)</f>
        <v>0.447</v>
      </c>
      <c r="BE316" s="9" t="n">
        <f aca="false">1-BD316</f>
        <v>0.553</v>
      </c>
    </row>
    <row r="317" customFormat="false" ht="14.25" hidden="false" customHeight="false" outlineLevel="0" collapsed="false">
      <c r="A317" s="4" t="n">
        <v>462</v>
      </c>
      <c r="B317" s="5" t="n">
        <v>55036359</v>
      </c>
      <c r="C317" s="5" t="s">
        <v>106</v>
      </c>
      <c r="D317" s="5" t="s">
        <v>1493</v>
      </c>
      <c r="E317" s="5" t="s">
        <v>1494</v>
      </c>
      <c r="F317" s="5" t="s">
        <v>563</v>
      </c>
      <c r="G317" s="5" t="s">
        <v>564</v>
      </c>
      <c r="H317" s="5" t="s">
        <v>565</v>
      </c>
      <c r="I317" s="5" t="s">
        <v>63</v>
      </c>
      <c r="J317" s="5" t="s">
        <v>112</v>
      </c>
      <c r="K317" s="5" t="s">
        <v>65</v>
      </c>
      <c r="L317" s="6" t="n">
        <v>43993</v>
      </c>
      <c r="M317" s="5" t="s">
        <v>102</v>
      </c>
      <c r="N317" s="6" t="n">
        <v>35728</v>
      </c>
      <c r="O317" s="5" t="s">
        <v>585</v>
      </c>
      <c r="P317" s="5" t="s">
        <v>586</v>
      </c>
      <c r="Q317" s="5" t="s">
        <v>997</v>
      </c>
      <c r="R317" s="5" t="s">
        <v>115</v>
      </c>
      <c r="S317" s="5" t="s">
        <v>997</v>
      </c>
      <c r="T317" s="6"/>
      <c r="U317" s="6" t="n">
        <v>45383</v>
      </c>
      <c r="V317" s="5" t="s">
        <v>141</v>
      </c>
      <c r="W317" s="5" t="s">
        <v>141</v>
      </c>
      <c r="X317" s="5" t="s">
        <v>141</v>
      </c>
      <c r="Y317" s="5" t="s">
        <v>141</v>
      </c>
      <c r="Z317" s="5" t="s">
        <v>141</v>
      </c>
      <c r="AA317" s="5" t="s">
        <v>1495</v>
      </c>
      <c r="AB317" s="0" t="n">
        <f aca="false">IFERROR(VALUE(R317),0)</f>
        <v>0</v>
      </c>
      <c r="AC317" s="0" t="n">
        <f aca="false">IFERROR(VALUE(M317),"")</f>
        <v>28.7</v>
      </c>
      <c r="AD317" s="0" t="n">
        <f aca="false">IFERROR(VALUE(Q317),"")</f>
        <v>5.11</v>
      </c>
      <c r="AE317" s="0" t="n">
        <f aca="false">IFERROR(VALUE(S317),"")</f>
        <v>5.11</v>
      </c>
      <c r="AF317" s="0" t="n">
        <f aca="false">IF(V317="","",VLOOKUP(V317,Assumptions!$B$6:$C$9,2,FALSE()))</f>
        <v>3</v>
      </c>
      <c r="AG317" s="0" t="n">
        <f aca="false">IF(W317="","",VLOOKUP(W317,Assumptions!$B$6:$C$9,2,FALSE()))</f>
        <v>3</v>
      </c>
      <c r="AH317" s="0" t="n">
        <f aca="false">IF(X317="","",VLOOKUP(X317,Assumptions!$B$6:$C$9,2,FALSE()))</f>
        <v>3</v>
      </c>
      <c r="AI317" s="0" t="n">
        <f aca="false">IF(Y317="","",VLOOKUP(Y317,Assumptions!$B$6:$C$9,2,FALSE()))</f>
        <v>3</v>
      </c>
      <c r="AJ317" s="0" t="n">
        <f aca="false">IF(Z317="","",VLOOKUP(Z317,Assumptions!$B$6:$C$9,2,FALSE()))</f>
        <v>3</v>
      </c>
      <c r="AK317" s="7" t="n">
        <f aca="false">IFERROR(ROUND(AVERAGE(AF317:AJ317),3),"")</f>
        <v>3</v>
      </c>
      <c r="AL317" s="7" t="n">
        <f aca="false">IF(OR(AF317="",AJ317=""),"",AJ317-AF317)</f>
        <v>0</v>
      </c>
      <c r="AM317" s="7" t="n">
        <f aca="false">IF(COUNT(AF317:AJ317)&gt;=2,ROUND(_xlfn.STDEV.S(AF317:AJ317),3),"")</f>
        <v>0</v>
      </c>
      <c r="AN317" s="7" t="n">
        <f aca="false">ROUND((IF(AF317="",0,AF317)*Assumptions!$F$15)+(IF(AG317="",0,AG317)*Assumptions!$F$16)+(IF(AH317="",0,AH317)*Assumptions!$F$17)+(IF(AI317="",0,AI317)*Assumptions!$F$18)+(IF(AJ317="",0,AJ317)*Assumptions!$F$19),3)</f>
        <v>3</v>
      </c>
      <c r="AO317" s="0" t="str">
        <f aca="false">IF(AC317&lt;=20,"",IF(AC317&lt;=Assumptions!$F$6,"20-30",IF(AC317&lt;=Assumptions!$F$7,"30-40",IF(AC317&lt;=Assumptions!$F$8,"40-50",IF(AC317&lt;=Assumptions!$F$9,"50-60",IF(AC317&lt;=Assumptions!$F$10,"60+",""))))))</f>
        <v>20-30</v>
      </c>
      <c r="AP317" s="0" t="str">
        <f aca="false">IFERROR(VLOOKUP(O317,Assumptions!$B$14:$C$26,2,FALSE()),"Other")</f>
        <v>Manager</v>
      </c>
      <c r="AQ317" s="0" t="n">
        <f aca="false">IF(T317="",0,1)</f>
        <v>0</v>
      </c>
      <c r="AR317" s="0" t="n">
        <f aca="false">IF(U317="",0,1)</f>
        <v>1</v>
      </c>
      <c r="AS317" s="8" t="n">
        <f aca="false">IF(AK317="","",IF(MAX($AK$2:$AK$921)=MIN($AK$2:$AK$921),50,ROUND((AK317-MIN($AK$2:$AK$921))/(MAX($AK$2:$AK$921)-MIN($AK$2:$AK$921))*100,2)))</f>
        <v>57.14</v>
      </c>
      <c r="AT317" s="8" t="n">
        <f aca="false">IF(MAX($BC$2:$BC$921)=MIN($BC$2:$BC$921),50,ROUND((BC317-MIN($BC$2:$BC$921))/(MAX($BC$2:$BC$921)-MIN($BC$2:$BC$921))*100,2))</f>
        <v>50</v>
      </c>
      <c r="AU317" s="8" t="n">
        <f aca="false">IF(MAX($BE$2:$BE$921)=MIN($BE$2:$BE$921),50,ROUND((BE317-MIN($BE$2:$BE$921))/(MAX($BE$2:$BE$921)-MIN($BE$2:$BE$921))*100,2))</f>
        <v>100</v>
      </c>
      <c r="AV317" s="8" t="n">
        <f aca="false">IF(MAX($AD$2:$AD$921)=MIN($AD$2:$AD$921),50,ROUND((AD317-MIN($AD$2:$AD$921))/(MAX($AD$2:$AD$921)-MIN($AD$2:$AD$921))*100,2))</f>
        <v>13.59</v>
      </c>
      <c r="AW317" s="8" t="n">
        <f aca="false">IF(MAX($AN$2:$AN$921)=MIN($AN$2:$AN$921),50,ROUND((AN317-MIN($AN$2:$AN$921))/(MAX($AN$2:$AN$921)-MIN($AN$2:$AN$921))*100,2))</f>
        <v>75</v>
      </c>
      <c r="AX317" s="8" t="n">
        <f aca="false">AQ317*100</f>
        <v>0</v>
      </c>
      <c r="AY317" s="8" t="n">
        <f aca="false">AR317*100</f>
        <v>100</v>
      </c>
      <c r="AZ317" s="8" t="n">
        <f aca="false">IFERROR(ROUND(AS317*Assumptions!$I$6+AW317*Assumptions!$I$7+AT317*Assumptions!$I$8+AU317*Assumptions!$I$9+AV317*Assumptions!$I$10+AX317*Assumptions!$I$11+AY317*Assumptions!$I$12,2),"")</f>
        <v>61</v>
      </c>
      <c r="BA317" s="0" t="str">
        <f aca="false">IF(AZ317="","",IF(AZ317&lt;=Assumptions!$I$18,"Below Expectation",IF(AZ317&lt;=Assumptions!$I$19,"Developing",IF(AZ317&lt;=Assumptions!$I$20,"Meets Expectation",IF(AZ317&lt;=Assumptions!$I$21,"Exceeds","Star Performer")))))</f>
        <v>Meets Expectation</v>
      </c>
      <c r="BB317" s="0" t="n">
        <f aca="false">IF(AZ317="",0,IF(AZ317&gt;=Assumptions!$I$26,1,0))</f>
        <v>0</v>
      </c>
      <c r="BC317" s="9" t="n">
        <f aca="false">IF(AL317="",2,AL317+2)</f>
        <v>2</v>
      </c>
      <c r="BD317" s="10" t="n">
        <f aca="false">IF(AM317="",ROUND(AVERAGE($AM$2:$AM$921),3),AM317)</f>
        <v>0</v>
      </c>
      <c r="BE317" s="9" t="n">
        <f aca="false">1-BD317</f>
        <v>1</v>
      </c>
    </row>
    <row r="318" customFormat="false" ht="14.25" hidden="true" customHeight="false" outlineLevel="0" collapsed="false">
      <c r="A318" s="4" t="n">
        <v>169</v>
      </c>
      <c r="B318" s="5" t="n">
        <v>10051750</v>
      </c>
      <c r="C318" s="5" t="s">
        <v>57</v>
      </c>
      <c r="D318" s="5" t="s">
        <v>1496</v>
      </c>
      <c r="E318" s="5" t="s">
        <v>1497</v>
      </c>
      <c r="F318" s="5" t="s">
        <v>387</v>
      </c>
      <c r="G318" s="5" t="s">
        <v>388</v>
      </c>
      <c r="H318" s="5" t="s">
        <v>387</v>
      </c>
      <c r="I318" s="5" t="s">
        <v>63</v>
      </c>
      <c r="J318" s="5" t="s">
        <v>100</v>
      </c>
      <c r="K318" s="5" t="s">
        <v>65</v>
      </c>
      <c r="L318" s="6" t="n">
        <v>42275</v>
      </c>
      <c r="M318" s="5" t="s">
        <v>795</v>
      </c>
      <c r="N318" s="6" t="n">
        <v>27759</v>
      </c>
      <c r="O318" s="5" t="s">
        <v>262</v>
      </c>
      <c r="P318" s="5" t="s">
        <v>263</v>
      </c>
      <c r="Q318" s="5" t="s">
        <v>1188</v>
      </c>
      <c r="R318" s="5" t="s">
        <v>218</v>
      </c>
      <c r="S318" s="5" t="s">
        <v>960</v>
      </c>
      <c r="T318" s="6"/>
      <c r="U318" s="6" t="n">
        <v>45748</v>
      </c>
      <c r="V318" s="5" t="s">
        <v>83</v>
      </c>
      <c r="W318" s="5" t="s">
        <v>141</v>
      </c>
      <c r="X318" s="5" t="s">
        <v>141</v>
      </c>
      <c r="Y318" s="5" t="s">
        <v>83</v>
      </c>
      <c r="Z318" s="5" t="s">
        <v>141</v>
      </c>
      <c r="AA318" s="5" t="s">
        <v>1498</v>
      </c>
      <c r="AB318" s="0" t="n">
        <f aca="false">IFERROR(VALUE(R318),0)</f>
        <v>14.6</v>
      </c>
      <c r="AC318" s="0" t="n">
        <f aca="false">IFERROR(VALUE(M318),"")</f>
        <v>50.5</v>
      </c>
      <c r="AD318" s="0" t="n">
        <f aca="false">IFERROR(VALUE(Q318),"")</f>
        <v>10.8</v>
      </c>
      <c r="AE318" s="0" t="n">
        <f aca="false">IFERROR(VALUE(S318),"")</f>
        <v>25.2</v>
      </c>
      <c r="AF318" s="0" t="n">
        <f aca="false">IF(V318="","",VLOOKUP(V318,Assumptions!$B$6:$C$9,2,FALSE()))</f>
        <v>4</v>
      </c>
      <c r="AG318" s="0" t="n">
        <f aca="false">IF(W318="","",VLOOKUP(W318,Assumptions!$B$6:$C$9,2,FALSE()))</f>
        <v>3</v>
      </c>
      <c r="AH318" s="0" t="n">
        <f aca="false">IF(X318="","",VLOOKUP(X318,Assumptions!$B$6:$C$9,2,FALSE()))</f>
        <v>3</v>
      </c>
      <c r="AI318" s="0" t="n">
        <f aca="false">IF(Y318="","",VLOOKUP(Y318,Assumptions!$B$6:$C$9,2,FALSE()))</f>
        <v>4</v>
      </c>
      <c r="AJ318" s="0" t="n">
        <f aca="false">IF(Z318="","",VLOOKUP(Z318,Assumptions!$B$6:$C$9,2,FALSE()))</f>
        <v>3</v>
      </c>
      <c r="AK318" s="7" t="n">
        <f aca="false">IFERROR(ROUND(AVERAGE(AF318:AJ318),3),"")</f>
        <v>3.4</v>
      </c>
      <c r="AL318" s="7" t="n">
        <f aca="false">IF(OR(AF318="",AJ318=""),"",AJ318-AF318)</f>
        <v>-1</v>
      </c>
      <c r="AM318" s="7" t="n">
        <f aca="false">IF(COUNT(AF318:AJ318)&gt;=2,ROUND(_xlfn.STDEV.S(AF318:AJ318),3),"")</f>
        <v>0.548</v>
      </c>
      <c r="AN318" s="7" t="n">
        <f aca="false">ROUND((IF(AF318="",0,AF318)*Assumptions!$F$15)+(IF(AG318="",0,AG318)*Assumptions!$F$16)+(IF(AH318="",0,AH318)*Assumptions!$F$17)+(IF(AI318="",0,AI318)*Assumptions!$F$18)+(IF(AJ318="",0,AJ318)*Assumptions!$F$19),3)</f>
        <v>3.35</v>
      </c>
      <c r="AO318" s="0" t="str">
        <f aca="false">IF(AC318&lt;=20,"",IF(AC318&lt;=Assumptions!$F$6,"20-30",IF(AC318&lt;=Assumptions!$F$7,"30-40",IF(AC318&lt;=Assumptions!$F$8,"40-50",IF(AC318&lt;=Assumptions!$F$9,"50-60",IF(AC318&lt;=Assumptions!$F$10,"60+",""))))))</f>
        <v>50-60</v>
      </c>
      <c r="AP318" s="0" t="str">
        <f aca="false">IFERROR(VLOOKUP(O318,Assumptions!$B$14:$C$26,2,FALSE()),"Other")</f>
        <v>Manager</v>
      </c>
      <c r="AQ318" s="0" t="n">
        <f aca="false">IF(T318="",0,1)</f>
        <v>0</v>
      </c>
      <c r="AR318" s="0" t="n">
        <f aca="false">IF(U318="",0,1)</f>
        <v>1</v>
      </c>
      <c r="AS318" s="8" t="n">
        <f aca="false">IF(AK318="","",IF(MAX($AK$2:$AK$921)=MIN($AK$2:$AK$921),50,ROUND((AK318-MIN($AK$2:$AK$921))/(MAX($AK$2:$AK$921)-MIN($AK$2:$AK$921))*100,2)))</f>
        <v>74.28</v>
      </c>
      <c r="AT318" s="8" t="n">
        <f aca="false">IF(MAX($BC$2:$BC$921)=MIN($BC$2:$BC$921),50,ROUND((BC318-MIN($BC$2:$BC$921))/(MAX($BC$2:$BC$921)-MIN($BC$2:$BC$921))*100,2))</f>
        <v>25</v>
      </c>
      <c r="AU318" s="8" t="n">
        <f aca="false">IF(MAX($BE$2:$BE$921)=MIN($BE$2:$BE$921),50,ROUND((BE318-MIN($BE$2:$BE$921))/(MAX($BE$2:$BE$921)-MIN($BE$2:$BE$921))*100,2))</f>
        <v>68.36</v>
      </c>
      <c r="AV318" s="8" t="n">
        <f aca="false">IF(MAX($AD$2:$AD$921)=MIN($AD$2:$AD$921),50,ROUND((AD318-MIN($AD$2:$AD$921))/(MAX($AD$2:$AD$921)-MIN($AD$2:$AD$921))*100,2))</f>
        <v>29.06</v>
      </c>
      <c r="AW318" s="8" t="n">
        <f aca="false">IF(MAX($AN$2:$AN$921)=MIN($AN$2:$AN$921),50,ROUND((AN318-MIN($AN$2:$AN$921))/(MAX($AN$2:$AN$921)-MIN($AN$2:$AN$921))*100,2))</f>
        <v>83.75</v>
      </c>
      <c r="AX318" s="8" t="n">
        <f aca="false">AQ318*100</f>
        <v>0</v>
      </c>
      <c r="AY318" s="8" t="n">
        <f aca="false">AR318*100</f>
        <v>100</v>
      </c>
      <c r="AZ318" s="8" t="n">
        <f aca="false">IFERROR(ROUND(AS318*Assumptions!$I$6+AW318*Assumptions!$I$7+AT318*Assumptions!$I$8+AU318*Assumptions!$I$9+AV318*Assumptions!$I$10+AX318*Assumptions!$I$11+AY318*Assumptions!$I$12,2),"")</f>
        <v>60.94</v>
      </c>
      <c r="BA318" s="0" t="str">
        <f aca="false">IF(AZ318="","",IF(AZ318&lt;=Assumptions!$I$18,"Below Expectation",IF(AZ318&lt;=Assumptions!$I$19,"Developing",IF(AZ318&lt;=Assumptions!$I$20,"Meets Expectation",IF(AZ318&lt;=Assumptions!$I$21,"Exceeds","Star Performer")))))</f>
        <v>Meets Expectation</v>
      </c>
      <c r="BB318" s="0" t="n">
        <f aca="false">IF(AZ318="",0,IF(AZ318&gt;=Assumptions!$I$26,1,0))</f>
        <v>0</v>
      </c>
      <c r="BC318" s="9" t="n">
        <f aca="false">IF(AL318="",2,AL318+2)</f>
        <v>1</v>
      </c>
      <c r="BD318" s="10" t="n">
        <f aca="false">IF(AM318="",ROUND(AVERAGE($AM$2:$AM$921),3),AM318)</f>
        <v>0.548</v>
      </c>
      <c r="BE318" s="9" t="n">
        <f aca="false">1-BD318</f>
        <v>0.452</v>
      </c>
    </row>
    <row r="319" customFormat="false" ht="14.25" hidden="true" customHeight="false" outlineLevel="0" collapsed="false">
      <c r="A319" s="4" t="n">
        <v>280</v>
      </c>
      <c r="B319" s="5" t="n">
        <v>10068398</v>
      </c>
      <c r="C319" s="5" t="s">
        <v>85</v>
      </c>
      <c r="D319" s="5" t="s">
        <v>1499</v>
      </c>
      <c r="E319" s="5" t="s">
        <v>775</v>
      </c>
      <c r="F319" s="5" t="s">
        <v>358</v>
      </c>
      <c r="G319" s="5" t="s">
        <v>357</v>
      </c>
      <c r="H319" s="5" t="s">
        <v>358</v>
      </c>
      <c r="I319" s="5" t="s">
        <v>63</v>
      </c>
      <c r="J319" s="5" t="s">
        <v>76</v>
      </c>
      <c r="K319" s="5" t="s">
        <v>65</v>
      </c>
      <c r="L319" s="6" t="n">
        <v>43626</v>
      </c>
      <c r="M319" s="5" t="s">
        <v>443</v>
      </c>
      <c r="N319" s="6" t="n">
        <v>32880</v>
      </c>
      <c r="O319" s="5" t="s">
        <v>332</v>
      </c>
      <c r="P319" s="5" t="s">
        <v>333</v>
      </c>
      <c r="Q319" s="5" t="s">
        <v>701</v>
      </c>
      <c r="R319" s="5" t="s">
        <v>439</v>
      </c>
      <c r="S319" s="5" t="s">
        <v>1500</v>
      </c>
      <c r="T319" s="6"/>
      <c r="U319" s="6" t="n">
        <v>46113</v>
      </c>
      <c r="V319" s="5" t="s">
        <v>141</v>
      </c>
      <c r="W319" s="5" t="s">
        <v>83</v>
      </c>
      <c r="X319" s="5" t="s">
        <v>141</v>
      </c>
      <c r="Y319" s="5" t="s">
        <v>141</v>
      </c>
      <c r="Z319" s="5" t="s">
        <v>141</v>
      </c>
      <c r="AA319" s="5" t="s">
        <v>1501</v>
      </c>
      <c r="AB319" s="0" t="n">
        <f aca="false">IFERROR(VALUE(R319),0)</f>
        <v>7.1</v>
      </c>
      <c r="AC319" s="0" t="n">
        <f aca="false">IFERROR(VALUE(M319),"")</f>
        <v>36.5</v>
      </c>
      <c r="AD319" s="0" t="n">
        <f aca="false">IFERROR(VALUE(Q319),"")</f>
        <v>6.11</v>
      </c>
      <c r="AE319" s="0" t="n">
        <f aca="false">IFERROR(VALUE(S319),"")</f>
        <v>14</v>
      </c>
      <c r="AF319" s="0" t="n">
        <f aca="false">IF(V319="","",VLOOKUP(V319,Assumptions!$B$6:$C$9,2,FALSE()))</f>
        <v>3</v>
      </c>
      <c r="AG319" s="0" t="n">
        <f aca="false">IF(W319="","",VLOOKUP(W319,Assumptions!$B$6:$C$9,2,FALSE()))</f>
        <v>4</v>
      </c>
      <c r="AH319" s="0" t="n">
        <f aca="false">IF(X319="","",VLOOKUP(X319,Assumptions!$B$6:$C$9,2,FALSE()))</f>
        <v>3</v>
      </c>
      <c r="AI319" s="0" t="n">
        <f aca="false">IF(Y319="","",VLOOKUP(Y319,Assumptions!$B$6:$C$9,2,FALSE()))</f>
        <v>3</v>
      </c>
      <c r="AJ319" s="0" t="n">
        <f aca="false">IF(Z319="","",VLOOKUP(Z319,Assumptions!$B$6:$C$9,2,FALSE()))</f>
        <v>3</v>
      </c>
      <c r="AK319" s="7" t="n">
        <f aca="false">IFERROR(ROUND(AVERAGE(AF319:AJ319),3),"")</f>
        <v>3.2</v>
      </c>
      <c r="AL319" s="7" t="n">
        <f aca="false">IF(OR(AF319="",AJ319=""),"",AJ319-AF319)</f>
        <v>0</v>
      </c>
      <c r="AM319" s="7" t="n">
        <f aca="false">IF(COUNT(AF319:AJ319)&gt;=2,ROUND(_xlfn.STDEV.S(AF319:AJ319),3),"")</f>
        <v>0.447</v>
      </c>
      <c r="AN319" s="7" t="n">
        <f aca="false">ROUND((IF(AF319="",0,AF319)*Assumptions!$F$15)+(IF(AG319="",0,AG319)*Assumptions!$F$16)+(IF(AH319="",0,AH319)*Assumptions!$F$17)+(IF(AI319="",0,AI319)*Assumptions!$F$18)+(IF(AJ319="",0,AJ319)*Assumptions!$F$19),3)</f>
        <v>3.15</v>
      </c>
      <c r="AO319" s="0" t="str">
        <f aca="false">IF(AC319&lt;=20,"",IF(AC319&lt;=Assumptions!$F$6,"20-30",IF(AC319&lt;=Assumptions!$F$7,"30-40",IF(AC319&lt;=Assumptions!$F$8,"40-50",IF(AC319&lt;=Assumptions!$F$9,"50-60",IF(AC319&lt;=Assumptions!$F$10,"60+",""))))))</f>
        <v>30-40</v>
      </c>
      <c r="AP319" s="0" t="str">
        <f aca="false">IFERROR(VLOOKUP(O319,Assumptions!$B$14:$C$26,2,FALSE()),"Other")</f>
        <v>Manager</v>
      </c>
      <c r="AQ319" s="0" t="n">
        <f aca="false">IF(T319="",0,1)</f>
        <v>0</v>
      </c>
      <c r="AR319" s="0" t="n">
        <f aca="false">IF(U319="",0,1)</f>
        <v>1</v>
      </c>
      <c r="AS319" s="8" t="n">
        <f aca="false">IF(AK319="","",IF(MAX($AK$2:$AK$921)=MIN($AK$2:$AK$921),50,ROUND((AK319-MIN($AK$2:$AK$921))/(MAX($AK$2:$AK$921)-MIN($AK$2:$AK$921))*100,2)))</f>
        <v>65.71</v>
      </c>
      <c r="AT319" s="8" t="n">
        <f aca="false">IF(MAX($BC$2:$BC$921)=MIN($BC$2:$BC$921),50,ROUND((BC319-MIN($BC$2:$BC$921))/(MAX($BC$2:$BC$921)-MIN($BC$2:$BC$921))*100,2))</f>
        <v>50</v>
      </c>
      <c r="AU319" s="8" t="n">
        <f aca="false">IF(MAX($BE$2:$BE$921)=MIN($BE$2:$BE$921),50,ROUND((BE319-MIN($BE$2:$BE$921))/(MAX($BE$2:$BE$921)-MIN($BE$2:$BE$921))*100,2))</f>
        <v>74.19</v>
      </c>
      <c r="AV319" s="8" t="n">
        <f aca="false">IF(MAX($AD$2:$AD$921)=MIN($AD$2:$AD$921),50,ROUND((AD319-MIN($AD$2:$AD$921))/(MAX($AD$2:$AD$921)-MIN($AD$2:$AD$921))*100,2))</f>
        <v>16.31</v>
      </c>
      <c r="AW319" s="8" t="n">
        <f aca="false">IF(MAX($AN$2:$AN$921)=MIN($AN$2:$AN$921),50,ROUND((AN319-MIN($AN$2:$AN$921))/(MAX($AN$2:$AN$921)-MIN($AN$2:$AN$921))*100,2))</f>
        <v>78.75</v>
      </c>
      <c r="AX319" s="8" t="n">
        <f aca="false">AQ319*100</f>
        <v>0</v>
      </c>
      <c r="AY319" s="8" t="n">
        <f aca="false">AR319*100</f>
        <v>100</v>
      </c>
      <c r="AZ319" s="8" t="n">
        <f aca="false">IFERROR(ROUND(AS319*Assumptions!$I$6+AW319*Assumptions!$I$7+AT319*Assumptions!$I$8+AU319*Assumptions!$I$9+AV319*Assumptions!$I$10+AX319*Assumptions!$I$11+AY319*Assumptions!$I$12,2),"")</f>
        <v>60.72</v>
      </c>
      <c r="BA319" s="0" t="str">
        <f aca="false">IF(AZ319="","",IF(AZ319&lt;=Assumptions!$I$18,"Below Expectation",IF(AZ319&lt;=Assumptions!$I$19,"Developing",IF(AZ319&lt;=Assumptions!$I$20,"Meets Expectation",IF(AZ319&lt;=Assumptions!$I$21,"Exceeds","Star Performer")))))</f>
        <v>Meets Expectation</v>
      </c>
      <c r="BB319" s="0" t="n">
        <f aca="false">IF(AZ319="",0,IF(AZ319&gt;=Assumptions!$I$26,1,0))</f>
        <v>0</v>
      </c>
      <c r="BC319" s="9" t="n">
        <f aca="false">IF(AL319="",2,AL319+2)</f>
        <v>2</v>
      </c>
      <c r="BD319" s="10" t="n">
        <f aca="false">IF(AM319="",ROUND(AVERAGE($AM$2:$AM$921),3),AM319)</f>
        <v>0.447</v>
      </c>
      <c r="BE319" s="9" t="n">
        <f aca="false">1-BD319</f>
        <v>0.553</v>
      </c>
    </row>
    <row r="320" customFormat="false" ht="14.25" hidden="true" customHeight="false" outlineLevel="0" collapsed="false">
      <c r="A320" s="4" t="n">
        <v>201</v>
      </c>
      <c r="B320" s="5" t="n">
        <v>10055999</v>
      </c>
      <c r="C320" s="5" t="s">
        <v>57</v>
      </c>
      <c r="D320" s="5" t="s">
        <v>1502</v>
      </c>
      <c r="E320" s="5" t="s">
        <v>514</v>
      </c>
      <c r="F320" s="5" t="s">
        <v>387</v>
      </c>
      <c r="G320" s="5" t="s">
        <v>388</v>
      </c>
      <c r="H320" s="5" t="s">
        <v>387</v>
      </c>
      <c r="I320" s="5" t="s">
        <v>63</v>
      </c>
      <c r="J320" s="5" t="s">
        <v>100</v>
      </c>
      <c r="K320" s="5" t="s">
        <v>65</v>
      </c>
      <c r="L320" s="6" t="n">
        <v>42688</v>
      </c>
      <c r="M320" s="5" t="s">
        <v>1455</v>
      </c>
      <c r="N320" s="6" t="n">
        <v>31909</v>
      </c>
      <c r="O320" s="5" t="s">
        <v>332</v>
      </c>
      <c r="P320" s="5" t="s">
        <v>333</v>
      </c>
      <c r="Q320" s="5" t="s">
        <v>1094</v>
      </c>
      <c r="R320" s="5" t="s">
        <v>847</v>
      </c>
      <c r="S320" s="5" t="s">
        <v>272</v>
      </c>
      <c r="T320" s="6"/>
      <c r="U320" s="6" t="n">
        <v>44652</v>
      </c>
      <c r="V320" s="5" t="s">
        <v>141</v>
      </c>
      <c r="W320" s="5" t="s">
        <v>631</v>
      </c>
      <c r="X320" s="5" t="s">
        <v>141</v>
      </c>
      <c r="Y320" s="5" t="s">
        <v>141</v>
      </c>
      <c r="Z320" s="5" t="s">
        <v>83</v>
      </c>
      <c r="AA320" s="5" t="s">
        <v>1503</v>
      </c>
      <c r="AB320" s="0" t="n">
        <f aca="false">IFERROR(VALUE(R320),0)</f>
        <v>7.5</v>
      </c>
      <c r="AC320" s="0" t="n">
        <f aca="false">IFERROR(VALUE(M320),"")</f>
        <v>39</v>
      </c>
      <c r="AD320" s="0" t="n">
        <f aca="false">IFERROR(VALUE(Q320),"")</f>
        <v>9.6</v>
      </c>
      <c r="AE320" s="0" t="n">
        <f aca="false">IFERROR(VALUE(S320),"")</f>
        <v>16.11</v>
      </c>
      <c r="AF320" s="0" t="n">
        <f aca="false">IF(V320="","",VLOOKUP(V320,Assumptions!$B$6:$C$9,2,FALSE()))</f>
        <v>3</v>
      </c>
      <c r="AG320" s="0" t="n">
        <f aca="false">IF(W320="","",VLOOKUP(W320,Assumptions!$B$6:$C$9,2,FALSE()))</f>
        <v>2</v>
      </c>
      <c r="AH320" s="0" t="n">
        <f aca="false">IF(X320="","",VLOOKUP(X320,Assumptions!$B$6:$C$9,2,FALSE()))</f>
        <v>3</v>
      </c>
      <c r="AI320" s="0" t="n">
        <f aca="false">IF(Y320="","",VLOOKUP(Y320,Assumptions!$B$6:$C$9,2,FALSE()))</f>
        <v>3</v>
      </c>
      <c r="AJ320" s="0" t="n">
        <f aca="false">IF(Z320="","",VLOOKUP(Z320,Assumptions!$B$6:$C$9,2,FALSE()))</f>
        <v>4</v>
      </c>
      <c r="AK320" s="7" t="n">
        <f aca="false">IFERROR(ROUND(AVERAGE(AF320:AJ320),3),"")</f>
        <v>3</v>
      </c>
      <c r="AL320" s="7" t="n">
        <f aca="false">IF(OR(AF320="",AJ320=""),"",AJ320-AF320)</f>
        <v>1</v>
      </c>
      <c r="AM320" s="7" t="n">
        <f aca="false">IF(COUNT(AF320:AJ320)&gt;=2,ROUND(_xlfn.STDEV.S(AF320:AJ320),3),"")</f>
        <v>0.707</v>
      </c>
      <c r="AN320" s="7" t="n">
        <f aca="false">ROUND((IF(AF320="",0,AF320)*Assumptions!$F$15)+(IF(AG320="",0,AG320)*Assumptions!$F$16)+(IF(AH320="",0,AH320)*Assumptions!$F$17)+(IF(AI320="",0,AI320)*Assumptions!$F$18)+(IF(AJ320="",0,AJ320)*Assumptions!$F$19),3)</f>
        <v>3.15</v>
      </c>
      <c r="AO320" s="0" t="str">
        <f aca="false">IF(AC320&lt;=20,"",IF(AC320&lt;=Assumptions!$F$6,"20-30",IF(AC320&lt;=Assumptions!$F$7,"30-40",IF(AC320&lt;=Assumptions!$F$8,"40-50",IF(AC320&lt;=Assumptions!$F$9,"50-60",IF(AC320&lt;=Assumptions!$F$10,"60+",""))))))</f>
        <v>30-40</v>
      </c>
      <c r="AP320" s="0" t="str">
        <f aca="false">IFERROR(VLOOKUP(O320,Assumptions!$B$14:$C$26,2,FALSE()),"Other")</f>
        <v>Manager</v>
      </c>
      <c r="AQ320" s="0" t="n">
        <f aca="false">IF(T320="",0,1)</f>
        <v>0</v>
      </c>
      <c r="AR320" s="0" t="n">
        <f aca="false">IF(U320="",0,1)</f>
        <v>1</v>
      </c>
      <c r="AS320" s="8" t="n">
        <f aca="false">IF(AK320="","",IF(MAX($AK$2:$AK$921)=MIN($AK$2:$AK$921),50,ROUND((AK320-MIN($AK$2:$AK$921))/(MAX($AK$2:$AK$921)-MIN($AK$2:$AK$921))*100,2)))</f>
        <v>57.14</v>
      </c>
      <c r="AT320" s="8" t="n">
        <f aca="false">IF(MAX($BC$2:$BC$921)=MIN($BC$2:$BC$921),50,ROUND((BC320-MIN($BC$2:$BC$921))/(MAX($BC$2:$BC$921)-MIN($BC$2:$BC$921))*100,2))</f>
        <v>75</v>
      </c>
      <c r="AU320" s="8" t="n">
        <f aca="false">IF(MAX($BE$2:$BE$921)=MIN($BE$2:$BE$921),50,ROUND((BE320-MIN($BE$2:$BE$921))/(MAX($BE$2:$BE$921)-MIN($BE$2:$BE$921))*100,2))</f>
        <v>59.18</v>
      </c>
      <c r="AV320" s="8" t="n">
        <f aca="false">IF(MAX($AD$2:$AD$921)=MIN($AD$2:$AD$921),50,ROUND((AD320-MIN($AD$2:$AD$921))/(MAX($AD$2:$AD$921)-MIN($AD$2:$AD$921))*100,2))</f>
        <v>25.8</v>
      </c>
      <c r="AW320" s="8" t="n">
        <f aca="false">IF(MAX($AN$2:$AN$921)=MIN($AN$2:$AN$921),50,ROUND((AN320-MIN($AN$2:$AN$921))/(MAX($AN$2:$AN$921)-MIN($AN$2:$AN$921))*100,2))</f>
        <v>78.75</v>
      </c>
      <c r="AX320" s="8" t="n">
        <f aca="false">AQ320*100</f>
        <v>0</v>
      </c>
      <c r="AY320" s="8" t="n">
        <f aca="false">AR320*100</f>
        <v>100</v>
      </c>
      <c r="AZ320" s="8" t="n">
        <f aca="false">IFERROR(ROUND(AS320*Assumptions!$I$6+AW320*Assumptions!$I$7+AT320*Assumptions!$I$8+AU320*Assumptions!$I$9+AV320*Assumptions!$I$10+AX320*Assumptions!$I$11+AY320*Assumptions!$I$12,2),"")</f>
        <v>60.6</v>
      </c>
      <c r="BA320" s="0" t="str">
        <f aca="false">IF(AZ320="","",IF(AZ320&lt;=Assumptions!$I$18,"Below Expectation",IF(AZ320&lt;=Assumptions!$I$19,"Developing",IF(AZ320&lt;=Assumptions!$I$20,"Meets Expectation",IF(AZ320&lt;=Assumptions!$I$21,"Exceeds","Star Performer")))))</f>
        <v>Meets Expectation</v>
      </c>
      <c r="BB320" s="0" t="n">
        <f aca="false">IF(AZ320="",0,IF(AZ320&gt;=Assumptions!$I$26,1,0))</f>
        <v>0</v>
      </c>
      <c r="BC320" s="9" t="n">
        <f aca="false">IF(AL320="",2,AL320+2)</f>
        <v>3</v>
      </c>
      <c r="BD320" s="10" t="n">
        <f aca="false">IF(AM320="",ROUND(AVERAGE($AM$2:$AM$921),3),AM320)</f>
        <v>0.707</v>
      </c>
      <c r="BE320" s="9" t="n">
        <f aca="false">1-BD320</f>
        <v>0.293</v>
      </c>
    </row>
    <row r="321" customFormat="false" ht="14.25" hidden="false" customHeight="false" outlineLevel="0" collapsed="false">
      <c r="A321" s="4" t="n">
        <v>912</v>
      </c>
      <c r="B321" s="5" t="n">
        <v>67516055</v>
      </c>
      <c r="C321" s="5" t="s">
        <v>106</v>
      </c>
      <c r="D321" s="5" t="s">
        <v>1504</v>
      </c>
      <c r="E321" s="5" t="s">
        <v>305</v>
      </c>
      <c r="F321" s="5" t="s">
        <v>925</v>
      </c>
      <c r="G321" s="5" t="s">
        <v>1260</v>
      </c>
      <c r="H321" s="5" t="s">
        <v>1261</v>
      </c>
      <c r="I321" s="5" t="s">
        <v>63</v>
      </c>
      <c r="J321" s="5" t="s">
        <v>112</v>
      </c>
      <c r="K321" s="5" t="s">
        <v>309</v>
      </c>
      <c r="L321" s="6" t="n">
        <v>42353</v>
      </c>
      <c r="M321" s="5" t="s">
        <v>1505</v>
      </c>
      <c r="N321" s="6" t="n">
        <v>28638</v>
      </c>
      <c r="O321" s="5" t="s">
        <v>1264</v>
      </c>
      <c r="P321" s="5" t="s">
        <v>1264</v>
      </c>
      <c r="Q321" s="5" t="s">
        <v>324</v>
      </c>
      <c r="R321" s="5" t="s">
        <v>1094</v>
      </c>
      <c r="S321" s="5" t="s">
        <v>620</v>
      </c>
      <c r="T321" s="6"/>
      <c r="U321" s="6" t="n">
        <v>46082</v>
      </c>
      <c r="V321" s="5" t="s">
        <v>631</v>
      </c>
      <c r="W321" s="5" t="s">
        <v>141</v>
      </c>
      <c r="X321" s="5" t="s">
        <v>83</v>
      </c>
      <c r="Y321" s="5" t="s">
        <v>141</v>
      </c>
      <c r="Z321" s="5" t="s">
        <v>141</v>
      </c>
      <c r="AA321" s="5" t="s">
        <v>1506</v>
      </c>
      <c r="AB321" s="0" t="n">
        <f aca="false">IFERROR(VALUE(R321),0)</f>
        <v>9.6</v>
      </c>
      <c r="AC321" s="0" t="n">
        <f aca="false">IFERROR(VALUE(M321),"")</f>
        <v>48</v>
      </c>
      <c r="AD321" s="0" t="n">
        <f aca="false">IFERROR(VALUE(Q321),"")</f>
        <v>10.5</v>
      </c>
      <c r="AE321" s="0" t="n">
        <f aca="false">IFERROR(VALUE(S321),"")</f>
        <v>19.11</v>
      </c>
      <c r="AF321" s="0" t="n">
        <f aca="false">IF(V321="","",VLOOKUP(V321,Assumptions!$B$6:$C$9,2,FALSE()))</f>
        <v>2</v>
      </c>
      <c r="AG321" s="0" t="n">
        <f aca="false">IF(W321="","",VLOOKUP(W321,Assumptions!$B$6:$C$9,2,FALSE()))</f>
        <v>3</v>
      </c>
      <c r="AH321" s="0" t="n">
        <f aca="false">IF(X321="","",VLOOKUP(X321,Assumptions!$B$6:$C$9,2,FALSE()))</f>
        <v>4</v>
      </c>
      <c r="AI321" s="0" t="n">
        <f aca="false">IF(Y321="","",VLOOKUP(Y321,Assumptions!$B$6:$C$9,2,FALSE()))</f>
        <v>3</v>
      </c>
      <c r="AJ321" s="0" t="n">
        <f aca="false">IF(Z321="","",VLOOKUP(Z321,Assumptions!$B$6:$C$9,2,FALSE()))</f>
        <v>3</v>
      </c>
      <c r="AK321" s="7" t="n">
        <f aca="false">IFERROR(ROUND(AVERAGE(AF321:AJ321),3),"")</f>
        <v>3</v>
      </c>
      <c r="AL321" s="7" t="n">
        <f aca="false">IF(OR(AF321="",AJ321=""),"",AJ321-AF321)</f>
        <v>1</v>
      </c>
      <c r="AM321" s="7" t="n">
        <f aca="false">IF(COUNT(AF321:AJ321)&gt;=2,ROUND(_xlfn.STDEV.S(AF321:AJ321),3),"")</f>
        <v>0.707</v>
      </c>
      <c r="AN321" s="7" t="n">
        <f aca="false">ROUND((IF(AF321="",0,AF321)*Assumptions!$F$15)+(IF(AG321="",0,AG321)*Assumptions!$F$16)+(IF(AH321="",0,AH321)*Assumptions!$F$17)+(IF(AI321="",0,AI321)*Assumptions!$F$18)+(IF(AJ321="",0,AJ321)*Assumptions!$F$19),3)</f>
        <v>3.1</v>
      </c>
      <c r="AO321" s="0" t="str">
        <f aca="false">IF(AC321&lt;=20,"",IF(AC321&lt;=Assumptions!$F$6,"20-30",IF(AC321&lt;=Assumptions!$F$7,"30-40",IF(AC321&lt;=Assumptions!$F$8,"40-50",IF(AC321&lt;=Assumptions!$F$9,"50-60",IF(AC321&lt;=Assumptions!$F$10,"60+",""))))))</f>
        <v>40-50</v>
      </c>
      <c r="AP321" s="0" t="str">
        <f aca="false">IFERROR(VLOOKUP(O321,Assumptions!$B$14:$C$26,2,FALSE()),"Other")</f>
        <v>Manager</v>
      </c>
      <c r="AQ321" s="0" t="n">
        <f aca="false">IF(T321="",0,1)</f>
        <v>0</v>
      </c>
      <c r="AR321" s="0" t="n">
        <f aca="false">IF(U321="",0,1)</f>
        <v>1</v>
      </c>
      <c r="AS321" s="8" t="n">
        <f aca="false">IF(AK321="","",IF(MAX($AK$2:$AK$921)=MIN($AK$2:$AK$921),50,ROUND((AK321-MIN($AK$2:$AK$921))/(MAX($AK$2:$AK$921)-MIN($AK$2:$AK$921))*100,2)))</f>
        <v>57.14</v>
      </c>
      <c r="AT321" s="8" t="n">
        <f aca="false">IF(MAX($BC$2:$BC$921)=MIN($BC$2:$BC$921),50,ROUND((BC321-MIN($BC$2:$BC$921))/(MAX($BC$2:$BC$921)-MIN($BC$2:$BC$921))*100,2))</f>
        <v>75</v>
      </c>
      <c r="AU321" s="8" t="n">
        <f aca="false">IF(MAX($BE$2:$BE$921)=MIN($BE$2:$BE$921),50,ROUND((BE321-MIN($BE$2:$BE$921))/(MAX($BE$2:$BE$921)-MIN($BE$2:$BE$921))*100,2))</f>
        <v>59.18</v>
      </c>
      <c r="AV321" s="8" t="n">
        <f aca="false">IF(MAX($AD$2:$AD$921)=MIN($AD$2:$AD$921),50,ROUND((AD321-MIN($AD$2:$AD$921))/(MAX($AD$2:$AD$921)-MIN($AD$2:$AD$921))*100,2))</f>
        <v>28.24</v>
      </c>
      <c r="AW321" s="8" t="n">
        <f aca="false">IF(MAX($AN$2:$AN$921)=MIN($AN$2:$AN$921),50,ROUND((AN321-MIN($AN$2:$AN$921))/(MAX($AN$2:$AN$921)-MIN($AN$2:$AN$921))*100,2))</f>
        <v>77.5</v>
      </c>
      <c r="AX321" s="8" t="n">
        <f aca="false">AQ321*100</f>
        <v>0</v>
      </c>
      <c r="AY321" s="8" t="n">
        <f aca="false">AR321*100</f>
        <v>100</v>
      </c>
      <c r="AZ321" s="8" t="n">
        <f aca="false">IFERROR(ROUND(AS321*Assumptions!$I$6+AW321*Assumptions!$I$7+AT321*Assumptions!$I$8+AU321*Assumptions!$I$9+AV321*Assumptions!$I$10+AX321*Assumptions!$I$11+AY321*Assumptions!$I$12,2),"")</f>
        <v>60.59</v>
      </c>
      <c r="BA321" s="0" t="str">
        <f aca="false">IF(AZ321="","",IF(AZ321&lt;=Assumptions!$I$18,"Below Expectation",IF(AZ321&lt;=Assumptions!$I$19,"Developing",IF(AZ321&lt;=Assumptions!$I$20,"Meets Expectation",IF(AZ321&lt;=Assumptions!$I$21,"Exceeds","Star Performer")))))</f>
        <v>Meets Expectation</v>
      </c>
      <c r="BB321" s="0" t="n">
        <f aca="false">IF(AZ321="",0,IF(AZ321&gt;=Assumptions!$I$26,1,0))</f>
        <v>0</v>
      </c>
      <c r="BC321" s="9" t="n">
        <f aca="false">IF(AL321="",2,AL321+2)</f>
        <v>3</v>
      </c>
      <c r="BD321" s="10" t="n">
        <f aca="false">IF(AM321="",ROUND(AVERAGE($AM$2:$AM$921),3),AM321)</f>
        <v>0.707</v>
      </c>
      <c r="BE321" s="9" t="n">
        <f aca="false">1-BD321</f>
        <v>0.293</v>
      </c>
    </row>
    <row r="322" customFormat="false" ht="14.25" hidden="true" customHeight="false" outlineLevel="0" collapsed="false">
      <c r="A322" s="4" t="n">
        <v>197</v>
      </c>
      <c r="B322" s="5" t="n">
        <v>10055703</v>
      </c>
      <c r="C322" s="5" t="s">
        <v>85</v>
      </c>
      <c r="D322" s="5" t="s">
        <v>1507</v>
      </c>
      <c r="E322" s="5" t="s">
        <v>137</v>
      </c>
      <c r="F322" s="5" t="s">
        <v>1187</v>
      </c>
      <c r="G322" s="5" t="s">
        <v>619</v>
      </c>
      <c r="H322" s="5" t="s">
        <v>618</v>
      </c>
      <c r="I322" s="5" t="s">
        <v>63</v>
      </c>
      <c r="J322" s="5" t="s">
        <v>76</v>
      </c>
      <c r="K322" s="5" t="s">
        <v>65</v>
      </c>
      <c r="L322" s="6" t="n">
        <v>42639</v>
      </c>
      <c r="M322" s="5" t="s">
        <v>217</v>
      </c>
      <c r="N322" s="6" t="n">
        <v>30769</v>
      </c>
      <c r="O322" s="5" t="s">
        <v>262</v>
      </c>
      <c r="P322" s="5" t="s">
        <v>263</v>
      </c>
      <c r="Q322" s="5" t="s">
        <v>418</v>
      </c>
      <c r="R322" s="5" t="s">
        <v>1431</v>
      </c>
      <c r="S322" s="5" t="s">
        <v>323</v>
      </c>
      <c r="T322" s="6"/>
      <c r="U322" s="6" t="n">
        <v>44652</v>
      </c>
      <c r="V322" s="5" t="s">
        <v>83</v>
      </c>
      <c r="W322" s="5" t="s">
        <v>141</v>
      </c>
      <c r="X322" s="5" t="s">
        <v>83</v>
      </c>
      <c r="Y322" s="5" t="s">
        <v>141</v>
      </c>
      <c r="Z322" s="5" t="s">
        <v>141</v>
      </c>
      <c r="AA322" s="5" t="s">
        <v>1508</v>
      </c>
      <c r="AB322" s="0" t="n">
        <f aca="false">IFERROR(VALUE(R322),0)</f>
        <v>9.9</v>
      </c>
      <c r="AC322" s="0" t="n">
        <f aca="false">IFERROR(VALUE(M322),"")</f>
        <v>42.2</v>
      </c>
      <c r="AD322" s="0" t="n">
        <f aca="false">IFERROR(VALUE(Q322),"")</f>
        <v>9.8</v>
      </c>
      <c r="AE322" s="0" t="n">
        <f aca="false">IFERROR(VALUE(S322),"")</f>
        <v>19.5</v>
      </c>
      <c r="AF322" s="0" t="n">
        <f aca="false">IF(V322="","",VLOOKUP(V322,Assumptions!$B$6:$C$9,2,FALSE()))</f>
        <v>4</v>
      </c>
      <c r="AG322" s="0" t="n">
        <f aca="false">IF(W322="","",VLOOKUP(W322,Assumptions!$B$6:$C$9,2,FALSE()))</f>
        <v>3</v>
      </c>
      <c r="AH322" s="0" t="n">
        <f aca="false">IF(X322="","",VLOOKUP(X322,Assumptions!$B$6:$C$9,2,FALSE()))</f>
        <v>4</v>
      </c>
      <c r="AI322" s="0" t="n">
        <f aca="false">IF(Y322="","",VLOOKUP(Y322,Assumptions!$B$6:$C$9,2,FALSE()))</f>
        <v>3</v>
      </c>
      <c r="AJ322" s="0" t="n">
        <f aca="false">IF(Z322="","",VLOOKUP(Z322,Assumptions!$B$6:$C$9,2,FALSE()))</f>
        <v>3</v>
      </c>
      <c r="AK322" s="7" t="n">
        <f aca="false">IFERROR(ROUND(AVERAGE(AF322:AJ322),3),"")</f>
        <v>3.4</v>
      </c>
      <c r="AL322" s="7" t="n">
        <f aca="false">IF(OR(AF322="",AJ322=""),"",AJ322-AF322)</f>
        <v>-1</v>
      </c>
      <c r="AM322" s="7" t="n">
        <f aca="false">IF(COUNT(AF322:AJ322)&gt;=2,ROUND(_xlfn.STDEV.S(AF322:AJ322),3),"")</f>
        <v>0.548</v>
      </c>
      <c r="AN322" s="7" t="n">
        <f aca="false">ROUND((IF(AF322="",0,AF322)*Assumptions!$F$15)+(IF(AG322="",0,AG322)*Assumptions!$F$16)+(IF(AH322="",0,AH322)*Assumptions!$F$17)+(IF(AI322="",0,AI322)*Assumptions!$F$18)+(IF(AJ322="",0,AJ322)*Assumptions!$F$19),3)</f>
        <v>3.3</v>
      </c>
      <c r="AO322" s="0" t="str">
        <f aca="false">IF(AC322&lt;=20,"",IF(AC322&lt;=Assumptions!$F$6,"20-30",IF(AC322&lt;=Assumptions!$F$7,"30-40",IF(AC322&lt;=Assumptions!$F$8,"40-50",IF(AC322&lt;=Assumptions!$F$9,"50-60",IF(AC322&lt;=Assumptions!$F$10,"60+",""))))))</f>
        <v>40-50</v>
      </c>
      <c r="AP322" s="0" t="str">
        <f aca="false">IFERROR(VLOOKUP(O322,Assumptions!$B$14:$C$26,2,FALSE()),"Other")</f>
        <v>Manager</v>
      </c>
      <c r="AQ322" s="0" t="n">
        <f aca="false">IF(T322="",0,1)</f>
        <v>0</v>
      </c>
      <c r="AR322" s="0" t="n">
        <f aca="false">IF(U322="",0,1)</f>
        <v>1</v>
      </c>
      <c r="AS322" s="8" t="n">
        <f aca="false">IF(AK322="","",IF(MAX($AK$2:$AK$921)=MIN($AK$2:$AK$921),50,ROUND((AK322-MIN($AK$2:$AK$921))/(MAX($AK$2:$AK$921)-MIN($AK$2:$AK$921))*100,2)))</f>
        <v>74.28</v>
      </c>
      <c r="AT322" s="8" t="n">
        <f aca="false">IF(MAX($BC$2:$BC$921)=MIN($BC$2:$BC$921),50,ROUND((BC322-MIN($BC$2:$BC$921))/(MAX($BC$2:$BC$921)-MIN($BC$2:$BC$921))*100,2))</f>
        <v>25</v>
      </c>
      <c r="AU322" s="8" t="n">
        <f aca="false">IF(MAX($BE$2:$BE$921)=MIN($BE$2:$BE$921),50,ROUND((BE322-MIN($BE$2:$BE$921))/(MAX($BE$2:$BE$921)-MIN($BE$2:$BE$921))*100,2))</f>
        <v>68.36</v>
      </c>
      <c r="AV322" s="8" t="n">
        <f aca="false">IF(MAX($AD$2:$AD$921)=MIN($AD$2:$AD$921),50,ROUND((AD322-MIN($AD$2:$AD$921))/(MAX($AD$2:$AD$921)-MIN($AD$2:$AD$921))*100,2))</f>
        <v>26.34</v>
      </c>
      <c r="AW322" s="8" t="n">
        <f aca="false">IF(MAX($AN$2:$AN$921)=MIN($AN$2:$AN$921),50,ROUND((AN322-MIN($AN$2:$AN$921))/(MAX($AN$2:$AN$921)-MIN($AN$2:$AN$921))*100,2))</f>
        <v>82.5</v>
      </c>
      <c r="AX322" s="8" t="n">
        <f aca="false">AQ322*100</f>
        <v>0</v>
      </c>
      <c r="AY322" s="8" t="n">
        <f aca="false">AR322*100</f>
        <v>100</v>
      </c>
      <c r="AZ322" s="8" t="n">
        <f aca="false">IFERROR(ROUND(AS322*Assumptions!$I$6+AW322*Assumptions!$I$7+AT322*Assumptions!$I$8+AU322*Assumptions!$I$9+AV322*Assumptions!$I$10+AX322*Assumptions!$I$11+AY322*Assumptions!$I$12,2),"")</f>
        <v>60.42</v>
      </c>
      <c r="BA322" s="0" t="str">
        <f aca="false">IF(AZ322="","",IF(AZ322&lt;=Assumptions!$I$18,"Below Expectation",IF(AZ322&lt;=Assumptions!$I$19,"Developing",IF(AZ322&lt;=Assumptions!$I$20,"Meets Expectation",IF(AZ322&lt;=Assumptions!$I$21,"Exceeds","Star Performer")))))</f>
        <v>Meets Expectation</v>
      </c>
      <c r="BB322" s="0" t="n">
        <f aca="false">IF(AZ322="",0,IF(AZ322&gt;=Assumptions!$I$26,1,0))</f>
        <v>0</v>
      </c>
      <c r="BC322" s="9" t="n">
        <f aca="false">IF(AL322="",2,AL322+2)</f>
        <v>1</v>
      </c>
      <c r="BD322" s="10" t="n">
        <f aca="false">IF(AM322="",ROUND(AVERAGE($AM$2:$AM$921),3),AM322)</f>
        <v>0.548</v>
      </c>
      <c r="BE322" s="9" t="n">
        <f aca="false">1-BD322</f>
        <v>0.452</v>
      </c>
    </row>
    <row r="323" customFormat="false" ht="14.25" hidden="true" customHeight="false" outlineLevel="0" collapsed="false">
      <c r="A323" s="4" t="n">
        <v>452</v>
      </c>
      <c r="B323" s="5" t="n">
        <v>55017109</v>
      </c>
      <c r="C323" s="5"/>
      <c r="D323" s="5" t="s">
        <v>1509</v>
      </c>
      <c r="E323" s="5" t="s">
        <v>257</v>
      </c>
      <c r="F323" s="5" t="s">
        <v>380</v>
      </c>
      <c r="G323" s="5" t="s">
        <v>379</v>
      </c>
      <c r="H323" s="5" t="s">
        <v>380</v>
      </c>
      <c r="I323" s="5" t="s">
        <v>63</v>
      </c>
      <c r="J323" s="5" t="s">
        <v>76</v>
      </c>
      <c r="K323" s="5" t="s">
        <v>65</v>
      </c>
      <c r="L323" s="6" t="n">
        <v>42430</v>
      </c>
      <c r="M323" s="5" t="s">
        <v>1123</v>
      </c>
      <c r="N323" s="6" t="n">
        <v>31437</v>
      </c>
      <c r="O323" s="5" t="s">
        <v>332</v>
      </c>
      <c r="P323" s="5" t="s">
        <v>333</v>
      </c>
      <c r="Q323" s="5" t="s">
        <v>373</v>
      </c>
      <c r="R323" s="5" t="s">
        <v>487</v>
      </c>
      <c r="S323" s="5" t="s">
        <v>1510</v>
      </c>
      <c r="T323" s="6"/>
      <c r="U323" s="6" t="n">
        <v>43556</v>
      </c>
      <c r="V323" s="5" t="s">
        <v>83</v>
      </c>
      <c r="W323" s="5" t="s">
        <v>83</v>
      </c>
      <c r="X323" s="5" t="s">
        <v>141</v>
      </c>
      <c r="Y323" s="5" t="s">
        <v>141</v>
      </c>
      <c r="Z323" s="5" t="s">
        <v>141</v>
      </c>
      <c r="AA323" s="5" t="s">
        <v>1511</v>
      </c>
      <c r="AB323" s="0" t="n">
        <f aca="false">IFERROR(VALUE(R323),0)</f>
        <v>6.4</v>
      </c>
      <c r="AC323" s="0" t="n">
        <f aca="false">IFERROR(VALUE(M323),"")</f>
        <v>40.4</v>
      </c>
      <c r="AD323" s="0" t="n">
        <f aca="false">IFERROR(VALUE(Q323),"")</f>
        <v>10.3</v>
      </c>
      <c r="AE323" s="0" t="n">
        <f aca="false">IFERROR(VALUE(S323),"")</f>
        <v>16.7</v>
      </c>
      <c r="AF323" s="0" t="n">
        <f aca="false">IF(V323="","",VLOOKUP(V323,Assumptions!$B$6:$C$9,2,FALSE()))</f>
        <v>4</v>
      </c>
      <c r="AG323" s="0" t="n">
        <f aca="false">IF(W323="","",VLOOKUP(W323,Assumptions!$B$6:$C$9,2,FALSE()))</f>
        <v>4</v>
      </c>
      <c r="AH323" s="0" t="n">
        <f aca="false">IF(X323="","",VLOOKUP(X323,Assumptions!$B$6:$C$9,2,FALSE()))</f>
        <v>3</v>
      </c>
      <c r="AI323" s="0" t="n">
        <f aca="false">IF(Y323="","",VLOOKUP(Y323,Assumptions!$B$6:$C$9,2,FALSE()))</f>
        <v>3</v>
      </c>
      <c r="AJ323" s="0" t="n">
        <f aca="false">IF(Z323="","",VLOOKUP(Z323,Assumptions!$B$6:$C$9,2,FALSE()))</f>
        <v>3</v>
      </c>
      <c r="AK323" s="7" t="n">
        <f aca="false">IFERROR(ROUND(AVERAGE(AF323:AJ323),3),"")</f>
        <v>3.4</v>
      </c>
      <c r="AL323" s="7" t="n">
        <f aca="false">IF(OR(AF323="",AJ323=""),"",AJ323-AF323)</f>
        <v>-1</v>
      </c>
      <c r="AM323" s="7" t="n">
        <f aca="false">IF(COUNT(AF323:AJ323)&gt;=2,ROUND(_xlfn.STDEV.S(AF323:AJ323),3),"")</f>
        <v>0.548</v>
      </c>
      <c r="AN323" s="7" t="n">
        <f aca="false">ROUND((IF(AF323="",0,AF323)*Assumptions!$F$15)+(IF(AG323="",0,AG323)*Assumptions!$F$16)+(IF(AH323="",0,AH323)*Assumptions!$F$17)+(IF(AI323="",0,AI323)*Assumptions!$F$18)+(IF(AJ323="",0,AJ323)*Assumptions!$F$19),3)</f>
        <v>3.25</v>
      </c>
      <c r="AO323" s="0" t="str">
        <f aca="false">IF(AC323&lt;=20,"",IF(AC323&lt;=Assumptions!$F$6,"20-30",IF(AC323&lt;=Assumptions!$F$7,"30-40",IF(AC323&lt;=Assumptions!$F$8,"40-50",IF(AC323&lt;=Assumptions!$F$9,"50-60",IF(AC323&lt;=Assumptions!$F$10,"60+",""))))))</f>
        <v>40-50</v>
      </c>
      <c r="AP323" s="0" t="str">
        <f aca="false">IFERROR(VLOOKUP(O323,Assumptions!$B$14:$C$26,2,FALSE()),"Other")</f>
        <v>Manager</v>
      </c>
      <c r="AQ323" s="0" t="n">
        <f aca="false">IF(T323="",0,1)</f>
        <v>0</v>
      </c>
      <c r="AR323" s="0" t="n">
        <f aca="false">IF(U323="",0,1)</f>
        <v>1</v>
      </c>
      <c r="AS323" s="8" t="n">
        <f aca="false">IF(AK323="","",IF(MAX($AK$2:$AK$921)=MIN($AK$2:$AK$921),50,ROUND((AK323-MIN($AK$2:$AK$921))/(MAX($AK$2:$AK$921)-MIN($AK$2:$AK$921))*100,2)))</f>
        <v>74.28</v>
      </c>
      <c r="AT323" s="8" t="n">
        <f aca="false">IF(MAX($BC$2:$BC$921)=MIN($BC$2:$BC$921),50,ROUND((BC323-MIN($BC$2:$BC$921))/(MAX($BC$2:$BC$921)-MIN($BC$2:$BC$921))*100,2))</f>
        <v>25</v>
      </c>
      <c r="AU323" s="8" t="n">
        <f aca="false">IF(MAX($BE$2:$BE$921)=MIN($BE$2:$BE$921),50,ROUND((BE323-MIN($BE$2:$BE$921))/(MAX($BE$2:$BE$921)-MIN($BE$2:$BE$921))*100,2))</f>
        <v>68.36</v>
      </c>
      <c r="AV323" s="8" t="n">
        <f aca="false">IF(MAX($AD$2:$AD$921)=MIN($AD$2:$AD$921),50,ROUND((AD323-MIN($AD$2:$AD$921))/(MAX($AD$2:$AD$921)-MIN($AD$2:$AD$921))*100,2))</f>
        <v>27.7</v>
      </c>
      <c r="AW323" s="8" t="n">
        <f aca="false">IF(MAX($AN$2:$AN$921)=MIN($AN$2:$AN$921),50,ROUND((AN323-MIN($AN$2:$AN$921))/(MAX($AN$2:$AN$921)-MIN($AN$2:$AN$921))*100,2))</f>
        <v>81.25</v>
      </c>
      <c r="AX323" s="8" t="n">
        <f aca="false">AQ323*100</f>
        <v>0</v>
      </c>
      <c r="AY323" s="8" t="n">
        <f aca="false">AR323*100</f>
        <v>100</v>
      </c>
      <c r="AZ323" s="8" t="n">
        <f aca="false">IFERROR(ROUND(AS323*Assumptions!$I$6+AW323*Assumptions!$I$7+AT323*Assumptions!$I$8+AU323*Assumptions!$I$9+AV323*Assumptions!$I$10+AX323*Assumptions!$I$11+AY323*Assumptions!$I$12,2),"")</f>
        <v>60.31</v>
      </c>
      <c r="BA323" s="0" t="str">
        <f aca="false">IF(AZ323="","",IF(AZ323&lt;=Assumptions!$I$18,"Below Expectation",IF(AZ323&lt;=Assumptions!$I$19,"Developing",IF(AZ323&lt;=Assumptions!$I$20,"Meets Expectation",IF(AZ323&lt;=Assumptions!$I$21,"Exceeds","Star Performer")))))</f>
        <v>Meets Expectation</v>
      </c>
      <c r="BB323" s="0" t="n">
        <f aca="false">IF(AZ323="",0,IF(AZ323&gt;=Assumptions!$I$26,1,0))</f>
        <v>0</v>
      </c>
      <c r="BC323" s="9" t="n">
        <f aca="false">IF(AL323="",2,AL323+2)</f>
        <v>1</v>
      </c>
      <c r="BD323" s="10" t="n">
        <f aca="false">IF(AM323="",ROUND(AVERAGE($AM$2:$AM$921),3),AM323)</f>
        <v>0.548</v>
      </c>
      <c r="BE323" s="9" t="n">
        <f aca="false">1-BD323</f>
        <v>0.452</v>
      </c>
    </row>
    <row r="324" customFormat="false" ht="14.25" hidden="true" customHeight="false" outlineLevel="0" collapsed="false">
      <c r="A324" s="4" t="n">
        <v>470</v>
      </c>
      <c r="B324" s="5" t="n">
        <v>55041190</v>
      </c>
      <c r="C324" s="5"/>
      <c r="D324" s="5" t="s">
        <v>1512</v>
      </c>
      <c r="E324" s="5" t="s">
        <v>1092</v>
      </c>
      <c r="F324" s="5" t="s">
        <v>465</v>
      </c>
      <c r="G324" s="5" t="s">
        <v>464</v>
      </c>
      <c r="H324" s="5" t="s">
        <v>465</v>
      </c>
      <c r="I324" s="5" t="s">
        <v>63</v>
      </c>
      <c r="J324" s="5" t="s">
        <v>76</v>
      </c>
      <c r="K324" s="5" t="s">
        <v>309</v>
      </c>
      <c r="L324" s="6" t="n">
        <v>44375</v>
      </c>
      <c r="M324" s="5" t="s">
        <v>1513</v>
      </c>
      <c r="N324" s="6" t="n">
        <v>36643</v>
      </c>
      <c r="O324" s="5" t="s">
        <v>585</v>
      </c>
      <c r="P324" s="5" t="s">
        <v>586</v>
      </c>
      <c r="Q324" s="5" t="s">
        <v>1318</v>
      </c>
      <c r="R324" s="5" t="s">
        <v>115</v>
      </c>
      <c r="S324" s="5" t="s">
        <v>1318</v>
      </c>
      <c r="T324" s="6"/>
      <c r="U324" s="6"/>
      <c r="V324" s="5" t="s">
        <v>631</v>
      </c>
      <c r="W324" s="5" t="s">
        <v>83</v>
      </c>
      <c r="X324" s="5" t="s">
        <v>141</v>
      </c>
      <c r="Y324" s="5" t="s">
        <v>141</v>
      </c>
      <c r="Z324" s="5" t="s">
        <v>83</v>
      </c>
      <c r="AA324" s="5" t="s">
        <v>1514</v>
      </c>
      <c r="AB324" s="0" t="n">
        <f aca="false">IFERROR(VALUE(R324),0)</f>
        <v>0</v>
      </c>
      <c r="AC324" s="0" t="n">
        <f aca="false">IFERROR(VALUE(M324),"")</f>
        <v>26.1</v>
      </c>
      <c r="AD324" s="0" t="n">
        <f aca="false">IFERROR(VALUE(Q324),"")</f>
        <v>4.11</v>
      </c>
      <c r="AE324" s="0" t="n">
        <f aca="false">IFERROR(VALUE(S324),"")</f>
        <v>4.11</v>
      </c>
      <c r="AF324" s="0" t="n">
        <f aca="false">IF(V324="","",VLOOKUP(V324,Assumptions!$B$6:$C$9,2,FALSE()))</f>
        <v>2</v>
      </c>
      <c r="AG324" s="0" t="n">
        <f aca="false">IF(W324="","",VLOOKUP(W324,Assumptions!$B$6:$C$9,2,FALSE()))</f>
        <v>4</v>
      </c>
      <c r="AH324" s="0" t="n">
        <f aca="false">IF(X324="","",VLOOKUP(X324,Assumptions!$B$6:$C$9,2,FALSE()))</f>
        <v>3</v>
      </c>
      <c r="AI324" s="0" t="n">
        <f aca="false">IF(Y324="","",VLOOKUP(Y324,Assumptions!$B$6:$C$9,2,FALSE()))</f>
        <v>3</v>
      </c>
      <c r="AJ324" s="0" t="n">
        <f aca="false">IF(Z324="","",VLOOKUP(Z324,Assumptions!$B$6:$C$9,2,FALSE()))</f>
        <v>4</v>
      </c>
      <c r="AK324" s="7" t="n">
        <f aca="false">IFERROR(ROUND(AVERAGE(AF324:AJ324),3),"")</f>
        <v>3.2</v>
      </c>
      <c r="AL324" s="7" t="n">
        <f aca="false">IF(OR(AF324="",AJ324=""),"",AJ324-AF324)</f>
        <v>2</v>
      </c>
      <c r="AM324" s="7" t="n">
        <f aca="false">IF(COUNT(AF324:AJ324)&gt;=2,ROUND(_xlfn.STDEV.S(AF324:AJ324),3),"")</f>
        <v>0.837</v>
      </c>
      <c r="AN324" s="7" t="n">
        <f aca="false">ROUND((IF(AF324="",0,AF324)*Assumptions!$F$15)+(IF(AG324="",0,AG324)*Assumptions!$F$16)+(IF(AH324="",0,AH324)*Assumptions!$F$17)+(IF(AI324="",0,AI324)*Assumptions!$F$18)+(IF(AJ324="",0,AJ324)*Assumptions!$F$19),3)</f>
        <v>3.35</v>
      </c>
      <c r="AO324" s="0" t="str">
        <f aca="false">IF(AC324&lt;=20,"",IF(AC324&lt;=Assumptions!$F$6,"20-30",IF(AC324&lt;=Assumptions!$F$7,"30-40",IF(AC324&lt;=Assumptions!$F$8,"40-50",IF(AC324&lt;=Assumptions!$F$9,"50-60",IF(AC324&lt;=Assumptions!$F$10,"60+",""))))))</f>
        <v>20-30</v>
      </c>
      <c r="AP324" s="0" t="str">
        <f aca="false">IFERROR(VLOOKUP(O324,Assumptions!$B$14:$C$26,2,FALSE()),"Other")</f>
        <v>Manager</v>
      </c>
      <c r="AQ324" s="0" t="n">
        <f aca="false">IF(T324="",0,1)</f>
        <v>0</v>
      </c>
      <c r="AR324" s="0" t="n">
        <f aca="false">IF(U324="",0,1)</f>
        <v>0</v>
      </c>
      <c r="AS324" s="8" t="n">
        <f aca="false">IF(AK324="","",IF(MAX($AK$2:$AK$921)=MIN($AK$2:$AK$921),50,ROUND((AK324-MIN($AK$2:$AK$921))/(MAX($AK$2:$AK$921)-MIN($AK$2:$AK$921))*100,2)))</f>
        <v>65.71</v>
      </c>
      <c r="AT324" s="8" t="n">
        <f aca="false">IF(MAX($BC$2:$BC$921)=MIN($BC$2:$BC$921),50,ROUND((BC324-MIN($BC$2:$BC$921))/(MAX($BC$2:$BC$921)-MIN($BC$2:$BC$921))*100,2))</f>
        <v>100</v>
      </c>
      <c r="AU324" s="8" t="n">
        <f aca="false">IF(MAX($BE$2:$BE$921)=MIN($BE$2:$BE$921),50,ROUND((BE324-MIN($BE$2:$BE$921))/(MAX($BE$2:$BE$921)-MIN($BE$2:$BE$921))*100,2))</f>
        <v>51.67</v>
      </c>
      <c r="AV324" s="8" t="n">
        <f aca="false">IF(MAX($AD$2:$AD$921)=MIN($AD$2:$AD$921),50,ROUND((AD324-MIN($AD$2:$AD$921))/(MAX($AD$2:$AD$921)-MIN($AD$2:$AD$921))*100,2))</f>
        <v>10.87</v>
      </c>
      <c r="AW324" s="8" t="n">
        <f aca="false">IF(MAX($AN$2:$AN$921)=MIN($AN$2:$AN$921),50,ROUND((AN324-MIN($AN$2:$AN$921))/(MAX($AN$2:$AN$921)-MIN($AN$2:$AN$921))*100,2))</f>
        <v>83.75</v>
      </c>
      <c r="AX324" s="8" t="n">
        <f aca="false">AQ324*100</f>
        <v>0</v>
      </c>
      <c r="AY324" s="8" t="n">
        <f aca="false">AR324*100</f>
        <v>0</v>
      </c>
      <c r="AZ324" s="8" t="n">
        <f aca="false">IFERROR(ROUND(AS324*Assumptions!$I$6+AW324*Assumptions!$I$7+AT324*Assumptions!$I$8+AU324*Assumptions!$I$9+AV324*Assumptions!$I$10+AX324*Assumptions!$I$11+AY324*Assumptions!$I$12,2),"")</f>
        <v>60.3</v>
      </c>
      <c r="BA324" s="0" t="str">
        <f aca="false">IF(AZ324="","",IF(AZ324&lt;=Assumptions!$I$18,"Below Expectation",IF(AZ324&lt;=Assumptions!$I$19,"Developing",IF(AZ324&lt;=Assumptions!$I$20,"Meets Expectation",IF(AZ324&lt;=Assumptions!$I$21,"Exceeds","Star Performer")))))</f>
        <v>Meets Expectation</v>
      </c>
      <c r="BB324" s="0" t="n">
        <f aca="false">IF(AZ324="",0,IF(AZ324&gt;=Assumptions!$I$26,1,0))</f>
        <v>0</v>
      </c>
      <c r="BC324" s="9" t="n">
        <f aca="false">IF(AL324="",2,AL324+2)</f>
        <v>4</v>
      </c>
      <c r="BD324" s="10" t="n">
        <f aca="false">IF(AM324="",ROUND(AVERAGE($AM$2:$AM$921),3),AM324)</f>
        <v>0.837</v>
      </c>
      <c r="BE324" s="9" t="n">
        <f aca="false">1-BD324</f>
        <v>0.163</v>
      </c>
    </row>
    <row r="325" customFormat="false" ht="14.25" hidden="false" customHeight="false" outlineLevel="0" collapsed="false">
      <c r="A325" s="4" t="n">
        <v>377</v>
      </c>
      <c r="B325" s="5" t="n">
        <v>50004754</v>
      </c>
      <c r="C325" s="5" t="s">
        <v>106</v>
      </c>
      <c r="D325" s="5" t="s">
        <v>1515</v>
      </c>
      <c r="E325" s="5" t="s">
        <v>305</v>
      </c>
      <c r="F325" s="5" t="s">
        <v>407</v>
      </c>
      <c r="G325" s="5" t="s">
        <v>408</v>
      </c>
      <c r="H325" s="5" t="s">
        <v>409</v>
      </c>
      <c r="I325" s="5" t="s">
        <v>63</v>
      </c>
      <c r="J325" s="5" t="s">
        <v>112</v>
      </c>
      <c r="K325" s="5" t="s">
        <v>65</v>
      </c>
      <c r="L325" s="6" t="n">
        <v>39363</v>
      </c>
      <c r="M325" s="5" t="s">
        <v>1516</v>
      </c>
      <c r="N325" s="6" t="n">
        <v>27109</v>
      </c>
      <c r="O325" s="5" t="s">
        <v>162</v>
      </c>
      <c r="P325" s="5" t="s">
        <v>162</v>
      </c>
      <c r="Q325" s="5" t="s">
        <v>573</v>
      </c>
      <c r="R325" s="5" t="s">
        <v>921</v>
      </c>
      <c r="S325" s="5" t="s">
        <v>988</v>
      </c>
      <c r="T325" s="6" t="n">
        <v>41000</v>
      </c>
      <c r="U325" s="6"/>
      <c r="V325" s="5" t="s">
        <v>83</v>
      </c>
      <c r="W325" s="5" t="s">
        <v>141</v>
      </c>
      <c r="X325" s="5" t="s">
        <v>141</v>
      </c>
      <c r="Y325" s="5" t="s">
        <v>141</v>
      </c>
      <c r="Z325" s="5" t="s">
        <v>141</v>
      </c>
      <c r="AA325" s="5" t="s">
        <v>1517</v>
      </c>
      <c r="AB325" s="0" t="n">
        <f aca="false">IFERROR(VALUE(R325),0)</f>
        <v>8.9</v>
      </c>
      <c r="AC325" s="0" t="n">
        <f aca="false">IFERROR(VALUE(M325),"")</f>
        <v>52.2</v>
      </c>
      <c r="AD325" s="0" t="n">
        <f aca="false">IFERROR(VALUE(Q325),"")</f>
        <v>18.8</v>
      </c>
      <c r="AE325" s="0" t="n">
        <f aca="false">IFERROR(VALUE(S325),"")</f>
        <v>27.5</v>
      </c>
      <c r="AF325" s="0" t="n">
        <f aca="false">IF(V325="","",VLOOKUP(V325,Assumptions!$B$6:$C$9,2,FALSE()))</f>
        <v>4</v>
      </c>
      <c r="AG325" s="0" t="n">
        <f aca="false">IF(W325="","",VLOOKUP(W325,Assumptions!$B$6:$C$9,2,FALSE()))</f>
        <v>3</v>
      </c>
      <c r="AH325" s="0" t="n">
        <f aca="false">IF(X325="","",VLOOKUP(X325,Assumptions!$B$6:$C$9,2,FALSE()))</f>
        <v>3</v>
      </c>
      <c r="AI325" s="0" t="n">
        <f aca="false">IF(Y325="","",VLOOKUP(Y325,Assumptions!$B$6:$C$9,2,FALSE()))</f>
        <v>3</v>
      </c>
      <c r="AJ325" s="0" t="n">
        <f aca="false">IF(Z325="","",VLOOKUP(Z325,Assumptions!$B$6:$C$9,2,FALSE()))</f>
        <v>3</v>
      </c>
      <c r="AK325" s="7" t="n">
        <f aca="false">IFERROR(ROUND(AVERAGE(AF325:AJ325),3),"")</f>
        <v>3.2</v>
      </c>
      <c r="AL325" s="7" t="n">
        <f aca="false">IF(OR(AF325="",AJ325=""),"",AJ325-AF325)</f>
        <v>-1</v>
      </c>
      <c r="AM325" s="7" t="n">
        <f aca="false">IF(COUNT(AF325:AJ325)&gt;=2,ROUND(_xlfn.STDEV.S(AF325:AJ325),3),"")</f>
        <v>0.447</v>
      </c>
      <c r="AN325" s="7" t="n">
        <f aca="false">ROUND((IF(AF325="",0,AF325)*Assumptions!$F$15)+(IF(AG325="",0,AG325)*Assumptions!$F$16)+(IF(AH325="",0,AH325)*Assumptions!$F$17)+(IF(AI325="",0,AI325)*Assumptions!$F$18)+(IF(AJ325="",0,AJ325)*Assumptions!$F$19),3)</f>
        <v>3.1</v>
      </c>
      <c r="AO325" s="0" t="str">
        <f aca="false">IF(AC325&lt;=20,"",IF(AC325&lt;=Assumptions!$F$6,"20-30",IF(AC325&lt;=Assumptions!$F$7,"30-40",IF(AC325&lt;=Assumptions!$F$8,"40-50",IF(AC325&lt;=Assumptions!$F$9,"50-60",IF(AC325&lt;=Assumptions!$F$10,"60+",""))))))</f>
        <v>50-60</v>
      </c>
      <c r="AP325" s="0" t="str">
        <f aca="false">IFERROR(VLOOKUP(O325,Assumptions!$B$14:$C$26,2,FALSE()),"Other")</f>
        <v>Manager</v>
      </c>
      <c r="AQ325" s="0" t="n">
        <f aca="false">IF(T325="",0,1)</f>
        <v>1</v>
      </c>
      <c r="AR325" s="0" t="n">
        <f aca="false">IF(U325="",0,1)</f>
        <v>0</v>
      </c>
      <c r="AS325" s="8" t="n">
        <f aca="false">IF(AK325="","",IF(MAX($AK$2:$AK$921)=MIN($AK$2:$AK$921),50,ROUND((AK325-MIN($AK$2:$AK$921))/(MAX($AK$2:$AK$921)-MIN($AK$2:$AK$921))*100,2)))</f>
        <v>65.71</v>
      </c>
      <c r="AT325" s="8" t="n">
        <f aca="false">IF(MAX($BC$2:$BC$921)=MIN($BC$2:$BC$921),50,ROUND((BC325-MIN($BC$2:$BC$921))/(MAX($BC$2:$BC$921)-MIN($BC$2:$BC$921))*100,2))</f>
        <v>25</v>
      </c>
      <c r="AU325" s="8" t="n">
        <f aca="false">IF(MAX($BE$2:$BE$921)=MIN($BE$2:$BE$921),50,ROUND((BE325-MIN($BE$2:$BE$921))/(MAX($BE$2:$BE$921)-MIN($BE$2:$BE$921))*100,2))</f>
        <v>74.19</v>
      </c>
      <c r="AV325" s="8" t="n">
        <f aca="false">IF(MAX($AD$2:$AD$921)=MIN($AD$2:$AD$921),50,ROUND((AD325-MIN($AD$2:$AD$921))/(MAX($AD$2:$AD$921)-MIN($AD$2:$AD$921))*100,2))</f>
        <v>50.8</v>
      </c>
      <c r="AW325" s="8" t="n">
        <f aca="false">IF(MAX($AN$2:$AN$921)=MIN($AN$2:$AN$921),50,ROUND((AN325-MIN($AN$2:$AN$921))/(MAX($AN$2:$AN$921)-MIN($AN$2:$AN$921))*100,2))</f>
        <v>77.5</v>
      </c>
      <c r="AX325" s="8" t="n">
        <f aca="false">AQ325*100</f>
        <v>100</v>
      </c>
      <c r="AY325" s="8" t="n">
        <f aca="false">AR325*100</f>
        <v>0</v>
      </c>
      <c r="AZ325" s="8" t="n">
        <f aca="false">IFERROR(ROUND(AS325*Assumptions!$I$6+AW325*Assumptions!$I$7+AT325*Assumptions!$I$8+AU325*Assumptions!$I$9+AV325*Assumptions!$I$10+AX325*Assumptions!$I$11+AY325*Assumptions!$I$12,2),"")</f>
        <v>60.17</v>
      </c>
      <c r="BA325" s="0" t="str">
        <f aca="false">IF(AZ325="","",IF(AZ325&lt;=Assumptions!$I$18,"Below Expectation",IF(AZ325&lt;=Assumptions!$I$19,"Developing",IF(AZ325&lt;=Assumptions!$I$20,"Meets Expectation",IF(AZ325&lt;=Assumptions!$I$21,"Exceeds","Star Performer")))))</f>
        <v>Meets Expectation</v>
      </c>
      <c r="BB325" s="0" t="n">
        <f aca="false">IF(AZ325="",0,IF(AZ325&gt;=Assumptions!$I$26,1,0))</f>
        <v>0</v>
      </c>
      <c r="BC325" s="9" t="n">
        <f aca="false">IF(AL325="",2,AL325+2)</f>
        <v>1</v>
      </c>
      <c r="BD325" s="10" t="n">
        <f aca="false">IF(AM325="",ROUND(AVERAGE($AM$2:$AM$921),3),AM325)</f>
        <v>0.447</v>
      </c>
      <c r="BE325" s="9" t="n">
        <f aca="false">1-BD325</f>
        <v>0.553</v>
      </c>
    </row>
    <row r="326" customFormat="false" ht="14.25" hidden="true" customHeight="false" outlineLevel="0" collapsed="false">
      <c r="A326" s="4" t="n">
        <v>76</v>
      </c>
      <c r="B326" s="5" t="n">
        <v>10022979</v>
      </c>
      <c r="C326" s="5" t="s">
        <v>57</v>
      </c>
      <c r="D326" s="5" t="s">
        <v>1518</v>
      </c>
      <c r="E326" s="5" t="s">
        <v>1497</v>
      </c>
      <c r="F326" s="5" t="s">
        <v>209</v>
      </c>
      <c r="G326" s="5" t="s">
        <v>210</v>
      </c>
      <c r="H326" s="5" t="s">
        <v>209</v>
      </c>
      <c r="I326" s="5" t="s">
        <v>63</v>
      </c>
      <c r="J326" s="5" t="s">
        <v>100</v>
      </c>
      <c r="K326" s="5" t="s">
        <v>65</v>
      </c>
      <c r="L326" s="6" t="n">
        <v>39288</v>
      </c>
      <c r="M326" s="5" t="s">
        <v>1519</v>
      </c>
      <c r="N326" s="6" t="n">
        <v>29056</v>
      </c>
      <c r="O326" s="5" t="s">
        <v>262</v>
      </c>
      <c r="P326" s="5" t="s">
        <v>263</v>
      </c>
      <c r="Q326" s="5" t="s">
        <v>655</v>
      </c>
      <c r="R326" s="5" t="s">
        <v>1158</v>
      </c>
      <c r="S326" s="5" t="s">
        <v>1223</v>
      </c>
      <c r="T326" s="6"/>
      <c r="U326" s="6" t="n">
        <v>44470</v>
      </c>
      <c r="V326" s="5" t="s">
        <v>83</v>
      </c>
      <c r="W326" s="5" t="s">
        <v>141</v>
      </c>
      <c r="X326" s="5" t="s">
        <v>141</v>
      </c>
      <c r="Y326" s="5" t="s">
        <v>141</v>
      </c>
      <c r="Z326" s="5" t="s">
        <v>141</v>
      </c>
      <c r="AA326" s="5" t="s">
        <v>1520</v>
      </c>
      <c r="AB326" s="0" t="n">
        <f aca="false">IFERROR(VALUE(R326),0)</f>
        <v>8.2</v>
      </c>
      <c r="AC326" s="0" t="n">
        <f aca="false">IFERROR(VALUE(M326),"")</f>
        <v>46.1</v>
      </c>
      <c r="AD326" s="0" t="n">
        <f aca="false">IFERROR(VALUE(Q326),"")</f>
        <v>18.1</v>
      </c>
      <c r="AE326" s="0" t="n">
        <f aca="false">IFERROR(VALUE(S326),"")</f>
        <v>27</v>
      </c>
      <c r="AF326" s="0" t="n">
        <f aca="false">IF(V326="","",VLOOKUP(V326,Assumptions!$B$6:$C$9,2,FALSE()))</f>
        <v>4</v>
      </c>
      <c r="AG326" s="0" t="n">
        <f aca="false">IF(W326="","",VLOOKUP(W326,Assumptions!$B$6:$C$9,2,FALSE()))</f>
        <v>3</v>
      </c>
      <c r="AH326" s="0" t="n">
        <f aca="false">IF(X326="","",VLOOKUP(X326,Assumptions!$B$6:$C$9,2,FALSE()))</f>
        <v>3</v>
      </c>
      <c r="AI326" s="0" t="n">
        <f aca="false">IF(Y326="","",VLOOKUP(Y326,Assumptions!$B$6:$C$9,2,FALSE()))</f>
        <v>3</v>
      </c>
      <c r="AJ326" s="0" t="n">
        <f aca="false">IF(Z326="","",VLOOKUP(Z326,Assumptions!$B$6:$C$9,2,FALSE()))</f>
        <v>3</v>
      </c>
      <c r="AK326" s="7" t="n">
        <f aca="false">IFERROR(ROUND(AVERAGE(AF326:AJ326),3),"")</f>
        <v>3.2</v>
      </c>
      <c r="AL326" s="7" t="n">
        <f aca="false">IF(OR(AF326="",AJ326=""),"",AJ326-AF326)</f>
        <v>-1</v>
      </c>
      <c r="AM326" s="7" t="n">
        <f aca="false">IF(COUNT(AF326:AJ326)&gt;=2,ROUND(_xlfn.STDEV.S(AF326:AJ326),3),"")</f>
        <v>0.447</v>
      </c>
      <c r="AN326" s="7" t="n">
        <f aca="false">ROUND((IF(AF326="",0,AF326)*Assumptions!$F$15)+(IF(AG326="",0,AG326)*Assumptions!$F$16)+(IF(AH326="",0,AH326)*Assumptions!$F$17)+(IF(AI326="",0,AI326)*Assumptions!$F$18)+(IF(AJ326="",0,AJ326)*Assumptions!$F$19),3)</f>
        <v>3.1</v>
      </c>
      <c r="AO326" s="0" t="str">
        <f aca="false">IF(AC326&lt;=20,"",IF(AC326&lt;=Assumptions!$F$6,"20-30",IF(AC326&lt;=Assumptions!$F$7,"30-40",IF(AC326&lt;=Assumptions!$F$8,"40-50",IF(AC326&lt;=Assumptions!$F$9,"50-60",IF(AC326&lt;=Assumptions!$F$10,"60+",""))))))</f>
        <v>40-50</v>
      </c>
      <c r="AP326" s="0" t="str">
        <f aca="false">IFERROR(VLOOKUP(O326,Assumptions!$B$14:$C$26,2,FALSE()),"Other")</f>
        <v>Manager</v>
      </c>
      <c r="AQ326" s="0" t="n">
        <f aca="false">IF(T326="",0,1)</f>
        <v>0</v>
      </c>
      <c r="AR326" s="0" t="n">
        <f aca="false">IF(U326="",0,1)</f>
        <v>1</v>
      </c>
      <c r="AS326" s="8" t="n">
        <f aca="false">IF(AK326="","",IF(MAX($AK$2:$AK$921)=MIN($AK$2:$AK$921),50,ROUND((AK326-MIN($AK$2:$AK$921))/(MAX($AK$2:$AK$921)-MIN($AK$2:$AK$921))*100,2)))</f>
        <v>65.71</v>
      </c>
      <c r="AT326" s="8" t="n">
        <f aca="false">IF(MAX($BC$2:$BC$921)=MIN($BC$2:$BC$921),50,ROUND((BC326-MIN($BC$2:$BC$921))/(MAX($BC$2:$BC$921)-MIN($BC$2:$BC$921))*100,2))</f>
        <v>25</v>
      </c>
      <c r="AU326" s="8" t="n">
        <f aca="false">IF(MAX($BE$2:$BE$921)=MIN($BE$2:$BE$921),50,ROUND((BE326-MIN($BE$2:$BE$921))/(MAX($BE$2:$BE$921)-MIN($BE$2:$BE$921))*100,2))</f>
        <v>74.19</v>
      </c>
      <c r="AV326" s="8" t="n">
        <f aca="false">IF(MAX($AD$2:$AD$921)=MIN($AD$2:$AD$921),50,ROUND((AD326-MIN($AD$2:$AD$921))/(MAX($AD$2:$AD$921)-MIN($AD$2:$AD$921))*100,2))</f>
        <v>48.9</v>
      </c>
      <c r="AW326" s="8" t="n">
        <f aca="false">IF(MAX($AN$2:$AN$921)=MIN($AN$2:$AN$921),50,ROUND((AN326-MIN($AN$2:$AN$921))/(MAX($AN$2:$AN$921)-MIN($AN$2:$AN$921))*100,2))</f>
        <v>77.5</v>
      </c>
      <c r="AX326" s="8" t="n">
        <f aca="false">AQ326*100</f>
        <v>0</v>
      </c>
      <c r="AY326" s="8" t="n">
        <f aca="false">AR326*100</f>
        <v>100</v>
      </c>
      <c r="AZ326" s="8" t="n">
        <f aca="false">IFERROR(ROUND(AS326*Assumptions!$I$6+AW326*Assumptions!$I$7+AT326*Assumptions!$I$8+AU326*Assumptions!$I$9+AV326*Assumptions!$I$10+AX326*Assumptions!$I$11+AY326*Assumptions!$I$12,2),"")</f>
        <v>59.98</v>
      </c>
      <c r="BA326" s="0" t="str">
        <f aca="false">IF(AZ326="","",IF(AZ326&lt;=Assumptions!$I$18,"Below Expectation",IF(AZ326&lt;=Assumptions!$I$19,"Developing",IF(AZ326&lt;=Assumptions!$I$20,"Meets Expectation",IF(AZ326&lt;=Assumptions!$I$21,"Exceeds","Star Performer")))))</f>
        <v>Meets Expectation</v>
      </c>
      <c r="BB326" s="0" t="n">
        <f aca="false">IF(AZ326="",0,IF(AZ326&gt;=Assumptions!$I$26,1,0))</f>
        <v>0</v>
      </c>
      <c r="BC326" s="9" t="n">
        <f aca="false">IF(AL326="",2,AL326+2)</f>
        <v>1</v>
      </c>
      <c r="BD326" s="10" t="n">
        <f aca="false">IF(AM326="",ROUND(AVERAGE($AM$2:$AM$921),3),AM326)</f>
        <v>0.447</v>
      </c>
      <c r="BE326" s="9" t="n">
        <f aca="false">1-BD326</f>
        <v>0.553</v>
      </c>
    </row>
    <row r="327" customFormat="false" ht="14.25" hidden="false" customHeight="false" outlineLevel="0" collapsed="false">
      <c r="A327" s="4" t="n">
        <v>605</v>
      </c>
      <c r="B327" s="5" t="n">
        <v>55052864</v>
      </c>
      <c r="C327" s="5" t="s">
        <v>106</v>
      </c>
      <c r="D327" s="5" t="s">
        <v>1521</v>
      </c>
      <c r="E327" s="5" t="s">
        <v>1494</v>
      </c>
      <c r="F327" s="5" t="s">
        <v>925</v>
      </c>
      <c r="G327" s="5" t="s">
        <v>1260</v>
      </c>
      <c r="H327" s="5" t="s">
        <v>1261</v>
      </c>
      <c r="I327" s="5" t="s">
        <v>63</v>
      </c>
      <c r="J327" s="5" t="s">
        <v>112</v>
      </c>
      <c r="K327" s="5" t="s">
        <v>65</v>
      </c>
      <c r="L327" s="6" t="n">
        <v>44741</v>
      </c>
      <c r="M327" s="5" t="s">
        <v>1522</v>
      </c>
      <c r="N327" s="6" t="n">
        <v>36066</v>
      </c>
      <c r="O327" s="5" t="s">
        <v>1264</v>
      </c>
      <c r="P327" s="5" t="s">
        <v>1264</v>
      </c>
      <c r="Q327" s="5" t="s">
        <v>345</v>
      </c>
      <c r="R327" s="5" t="s">
        <v>643</v>
      </c>
      <c r="S327" s="5" t="s">
        <v>685</v>
      </c>
      <c r="T327" s="6"/>
      <c r="U327" s="6" t="n">
        <v>45689</v>
      </c>
      <c r="V327" s="5"/>
      <c r="W327" s="5" t="s">
        <v>631</v>
      </c>
      <c r="X327" s="5" t="s">
        <v>83</v>
      </c>
      <c r="Y327" s="5" t="s">
        <v>83</v>
      </c>
      <c r="Z327" s="5" t="s">
        <v>83</v>
      </c>
      <c r="AA327" s="5" t="s">
        <v>1523</v>
      </c>
      <c r="AB327" s="0" t="n">
        <f aca="false">IFERROR(VALUE(R327),0)</f>
        <v>1.2</v>
      </c>
      <c r="AC327" s="0" t="n">
        <f aca="false">IFERROR(VALUE(M327),"")</f>
        <v>27.8</v>
      </c>
      <c r="AD327" s="0" t="n">
        <f aca="false">IFERROR(VALUE(Q327),"")</f>
        <v>3.11</v>
      </c>
      <c r="AE327" s="0" t="n">
        <f aca="false">IFERROR(VALUE(S327),"")</f>
        <v>5.1</v>
      </c>
      <c r="AF327" s="0" t="str">
        <f aca="false">IF(V327="","",VLOOKUP(V327,Assumptions!$B$6:$C$9,2,FALSE()))</f>
        <v/>
      </c>
      <c r="AG327" s="0" t="n">
        <f aca="false">IF(W327="","",VLOOKUP(W327,Assumptions!$B$6:$C$9,2,FALSE()))</f>
        <v>2</v>
      </c>
      <c r="AH327" s="0" t="n">
        <f aca="false">IF(X327="","",VLOOKUP(X327,Assumptions!$B$6:$C$9,2,FALSE()))</f>
        <v>4</v>
      </c>
      <c r="AI327" s="0" t="n">
        <f aca="false">IF(Y327="","",VLOOKUP(Y327,Assumptions!$B$6:$C$9,2,FALSE()))</f>
        <v>4</v>
      </c>
      <c r="AJ327" s="0" t="n">
        <f aca="false">IF(Z327="","",VLOOKUP(Z327,Assumptions!$B$6:$C$9,2,FALSE()))</f>
        <v>4</v>
      </c>
      <c r="AK327" s="7" t="n">
        <f aca="false">IFERROR(ROUND(AVERAGE(AF327:AJ327),3),"")</f>
        <v>3.5</v>
      </c>
      <c r="AL327" s="7" t="str">
        <f aca="false">IF(OR(AF327="",AJ327=""),"",AJ327-AF327)</f>
        <v/>
      </c>
      <c r="AM327" s="7" t="n">
        <f aca="false">IF(COUNT(AF327:AJ327)&gt;=2,ROUND(_xlfn.STDEV.S(AF327:AJ327),3),"")</f>
        <v>1</v>
      </c>
      <c r="AN327" s="7" t="n">
        <f aca="false">ROUND((IF(AF327="",0,AF327)*Assumptions!$F$15)+(IF(AG327="",0,AG327)*Assumptions!$F$16)+(IF(AH327="",0,AH327)*Assumptions!$F$17)+(IF(AI327="",0,AI327)*Assumptions!$F$18)+(IF(AJ327="",0,AJ327)*Assumptions!$F$19),3)</f>
        <v>3.3</v>
      </c>
      <c r="AO327" s="0" t="str">
        <f aca="false">IF(AC327&lt;=20,"",IF(AC327&lt;=Assumptions!$F$6,"20-30",IF(AC327&lt;=Assumptions!$F$7,"30-40",IF(AC327&lt;=Assumptions!$F$8,"40-50",IF(AC327&lt;=Assumptions!$F$9,"50-60",IF(AC327&lt;=Assumptions!$F$10,"60+",""))))))</f>
        <v>20-30</v>
      </c>
      <c r="AP327" s="0" t="str">
        <f aca="false">IFERROR(VLOOKUP(O327,Assumptions!$B$14:$C$26,2,FALSE()),"Other")</f>
        <v>Manager</v>
      </c>
      <c r="AQ327" s="0" t="n">
        <f aca="false">IF(T327="",0,1)</f>
        <v>0</v>
      </c>
      <c r="AR327" s="0" t="n">
        <f aca="false">IF(U327="",0,1)</f>
        <v>1</v>
      </c>
      <c r="AS327" s="8" t="n">
        <f aca="false">IF(AK327="","",IF(MAX($AK$2:$AK$921)=MIN($AK$2:$AK$921),50,ROUND((AK327-MIN($AK$2:$AK$921))/(MAX($AK$2:$AK$921)-MIN($AK$2:$AK$921))*100,2)))</f>
        <v>78.57</v>
      </c>
      <c r="AT327" s="8" t="n">
        <f aca="false">IF(MAX($BC$2:$BC$921)=MIN($BC$2:$BC$921),50,ROUND((BC327-MIN($BC$2:$BC$921))/(MAX($BC$2:$BC$921)-MIN($BC$2:$BC$921))*100,2))</f>
        <v>50</v>
      </c>
      <c r="AU327" s="8" t="n">
        <f aca="false">IF(MAX($BE$2:$BE$921)=MIN($BE$2:$BE$921),50,ROUND((BE327-MIN($BE$2:$BE$921))/(MAX($BE$2:$BE$921)-MIN($BE$2:$BE$921))*100,2))</f>
        <v>42.26</v>
      </c>
      <c r="AV327" s="8" t="n">
        <f aca="false">IF(MAX($AD$2:$AD$921)=MIN($AD$2:$AD$921),50,ROUND((AD327-MIN($AD$2:$AD$921))/(MAX($AD$2:$AD$921)-MIN($AD$2:$AD$921))*100,2))</f>
        <v>8.15</v>
      </c>
      <c r="AW327" s="8" t="n">
        <f aca="false">IF(MAX($AN$2:$AN$921)=MIN($AN$2:$AN$921),50,ROUND((AN327-MIN($AN$2:$AN$921))/(MAX($AN$2:$AN$921)-MIN($AN$2:$AN$921))*100,2))</f>
        <v>82.5</v>
      </c>
      <c r="AX327" s="8" t="n">
        <f aca="false">AQ327*100</f>
        <v>0</v>
      </c>
      <c r="AY327" s="8" t="n">
        <f aca="false">AR327*100</f>
        <v>100</v>
      </c>
      <c r="AZ327" s="8" t="n">
        <f aca="false">IFERROR(ROUND(AS327*Assumptions!$I$6+AW327*Assumptions!$I$7+AT327*Assumptions!$I$8+AU327*Assumptions!$I$9+AV327*Assumptions!$I$10+AX327*Assumptions!$I$11+AY327*Assumptions!$I$12,2),"")</f>
        <v>59.73</v>
      </c>
      <c r="BA327" s="0" t="str">
        <f aca="false">IF(AZ327="","",IF(AZ327&lt;=Assumptions!$I$18,"Below Expectation",IF(AZ327&lt;=Assumptions!$I$19,"Developing",IF(AZ327&lt;=Assumptions!$I$20,"Meets Expectation",IF(AZ327&lt;=Assumptions!$I$21,"Exceeds","Star Performer")))))</f>
        <v>Meets Expectation</v>
      </c>
      <c r="BB327" s="0" t="n">
        <f aca="false">IF(AZ327="",0,IF(AZ327&gt;=Assumptions!$I$26,1,0))</f>
        <v>0</v>
      </c>
      <c r="BC327" s="9" t="n">
        <f aca="false">IF(AL327="",2,AL327+2)</f>
        <v>2</v>
      </c>
      <c r="BD327" s="10" t="n">
        <f aca="false">IF(AM327="",ROUND(AVERAGE($AM$2:$AM$921),3),AM327)</f>
        <v>1</v>
      </c>
      <c r="BE327" s="9" t="n">
        <f aca="false">1-BD327</f>
        <v>0</v>
      </c>
    </row>
    <row r="328" customFormat="false" ht="14.25" hidden="true" customHeight="false" outlineLevel="0" collapsed="false">
      <c r="A328" s="4" t="n">
        <v>415</v>
      </c>
      <c r="B328" s="5" t="n">
        <v>50009657</v>
      </c>
      <c r="C328" s="5" t="s">
        <v>85</v>
      </c>
      <c r="D328" s="5" t="s">
        <v>1524</v>
      </c>
      <c r="E328" s="5" t="s">
        <v>315</v>
      </c>
      <c r="F328" s="5" t="s">
        <v>705</v>
      </c>
      <c r="G328" s="5" t="s">
        <v>706</v>
      </c>
      <c r="H328" s="5" t="s">
        <v>707</v>
      </c>
      <c r="I328" s="5" t="s">
        <v>63</v>
      </c>
      <c r="J328" s="5" t="s">
        <v>76</v>
      </c>
      <c r="K328" s="5" t="s">
        <v>65</v>
      </c>
      <c r="L328" s="6" t="n">
        <v>40848</v>
      </c>
      <c r="M328" s="5" t="s">
        <v>1004</v>
      </c>
      <c r="N328" s="6" t="n">
        <v>30368</v>
      </c>
      <c r="O328" s="5" t="s">
        <v>332</v>
      </c>
      <c r="P328" s="5" t="s">
        <v>333</v>
      </c>
      <c r="Q328" s="5" t="s">
        <v>1525</v>
      </c>
      <c r="R328" s="5" t="s">
        <v>615</v>
      </c>
      <c r="S328" s="5" t="s">
        <v>517</v>
      </c>
      <c r="T328" s="6"/>
      <c r="U328" s="6" t="n">
        <v>44652</v>
      </c>
      <c r="V328" s="5" t="s">
        <v>141</v>
      </c>
      <c r="W328" s="5" t="s">
        <v>631</v>
      </c>
      <c r="X328" s="5" t="s">
        <v>631</v>
      </c>
      <c r="Y328" s="5" t="s">
        <v>83</v>
      </c>
      <c r="Z328" s="5" t="s">
        <v>83</v>
      </c>
      <c r="AA328" s="5" t="s">
        <v>1363</v>
      </c>
      <c r="AB328" s="0" t="n">
        <f aca="false">IFERROR(VALUE(R328),0)</f>
        <v>5.7</v>
      </c>
      <c r="AC328" s="0" t="n">
        <f aca="false">IFERROR(VALUE(M328),"")</f>
        <v>43.3</v>
      </c>
      <c r="AD328" s="0" t="n">
        <f aca="false">IFERROR(VALUE(Q328),"")</f>
        <v>14.7</v>
      </c>
      <c r="AE328" s="0" t="n">
        <f aca="false">IFERROR(VALUE(S328),"")</f>
        <v>20.2</v>
      </c>
      <c r="AF328" s="0" t="n">
        <f aca="false">IF(V328="","",VLOOKUP(V328,Assumptions!$B$6:$C$9,2,FALSE()))</f>
        <v>3</v>
      </c>
      <c r="AG328" s="0" t="n">
        <f aca="false">IF(W328="","",VLOOKUP(W328,Assumptions!$B$6:$C$9,2,FALSE()))</f>
        <v>2</v>
      </c>
      <c r="AH328" s="0" t="n">
        <f aca="false">IF(X328="","",VLOOKUP(X328,Assumptions!$B$6:$C$9,2,FALSE()))</f>
        <v>2</v>
      </c>
      <c r="AI328" s="0" t="n">
        <f aca="false">IF(Y328="","",VLOOKUP(Y328,Assumptions!$B$6:$C$9,2,FALSE()))</f>
        <v>4</v>
      </c>
      <c r="AJ328" s="0" t="n">
        <f aca="false">IF(Z328="","",VLOOKUP(Z328,Assumptions!$B$6:$C$9,2,FALSE()))</f>
        <v>4</v>
      </c>
      <c r="AK328" s="7" t="n">
        <f aca="false">IFERROR(ROUND(AVERAGE(AF328:AJ328),3),"")</f>
        <v>3</v>
      </c>
      <c r="AL328" s="7" t="n">
        <f aca="false">IF(OR(AF328="",AJ328=""),"",AJ328-AF328)</f>
        <v>1</v>
      </c>
      <c r="AM328" s="7" t="n">
        <f aca="false">IF(COUNT(AF328:AJ328)&gt;=2,ROUND(_xlfn.STDEV.S(AF328:AJ328),3),"")</f>
        <v>1</v>
      </c>
      <c r="AN328" s="7" t="n">
        <f aca="false">ROUND((IF(AF328="",0,AF328)*Assumptions!$F$15)+(IF(AG328="",0,AG328)*Assumptions!$F$16)+(IF(AH328="",0,AH328)*Assumptions!$F$17)+(IF(AI328="",0,AI328)*Assumptions!$F$18)+(IF(AJ328="",0,AJ328)*Assumptions!$F$19),3)</f>
        <v>3.2</v>
      </c>
      <c r="AO328" s="0" t="str">
        <f aca="false">IF(AC328&lt;=20,"",IF(AC328&lt;=Assumptions!$F$6,"20-30",IF(AC328&lt;=Assumptions!$F$7,"30-40",IF(AC328&lt;=Assumptions!$F$8,"40-50",IF(AC328&lt;=Assumptions!$F$9,"50-60",IF(AC328&lt;=Assumptions!$F$10,"60+",""))))))</f>
        <v>40-50</v>
      </c>
      <c r="AP328" s="0" t="str">
        <f aca="false">IFERROR(VLOOKUP(O328,Assumptions!$B$14:$C$26,2,FALSE()),"Other")</f>
        <v>Manager</v>
      </c>
      <c r="AQ328" s="0" t="n">
        <f aca="false">IF(T328="",0,1)</f>
        <v>0</v>
      </c>
      <c r="AR328" s="0" t="n">
        <f aca="false">IF(U328="",0,1)</f>
        <v>1</v>
      </c>
      <c r="AS328" s="8" t="n">
        <f aca="false">IF(AK328="","",IF(MAX($AK$2:$AK$921)=MIN($AK$2:$AK$921),50,ROUND((AK328-MIN($AK$2:$AK$921))/(MAX($AK$2:$AK$921)-MIN($AK$2:$AK$921))*100,2)))</f>
        <v>57.14</v>
      </c>
      <c r="AT328" s="8" t="n">
        <f aca="false">IF(MAX($BC$2:$BC$921)=MIN($BC$2:$BC$921),50,ROUND((BC328-MIN($BC$2:$BC$921))/(MAX($BC$2:$BC$921)-MIN($BC$2:$BC$921))*100,2))</f>
        <v>75</v>
      </c>
      <c r="AU328" s="8" t="n">
        <f aca="false">IF(MAX($BE$2:$BE$921)=MIN($BE$2:$BE$921),50,ROUND((BE328-MIN($BE$2:$BE$921))/(MAX($BE$2:$BE$921)-MIN($BE$2:$BE$921))*100,2))</f>
        <v>42.26</v>
      </c>
      <c r="AV328" s="8" t="n">
        <f aca="false">IF(MAX($AD$2:$AD$921)=MIN($AD$2:$AD$921),50,ROUND((AD328-MIN($AD$2:$AD$921))/(MAX($AD$2:$AD$921)-MIN($AD$2:$AD$921))*100,2))</f>
        <v>39.66</v>
      </c>
      <c r="AW328" s="8" t="n">
        <f aca="false">IF(MAX($AN$2:$AN$921)=MIN($AN$2:$AN$921),50,ROUND((AN328-MIN($AN$2:$AN$921))/(MAX($AN$2:$AN$921)-MIN($AN$2:$AN$921))*100,2))</f>
        <v>80</v>
      </c>
      <c r="AX328" s="8" t="n">
        <f aca="false">AQ328*100</f>
        <v>0</v>
      </c>
      <c r="AY328" s="8" t="n">
        <f aca="false">AR328*100</f>
        <v>100</v>
      </c>
      <c r="AZ328" s="8" t="n">
        <f aca="false">IFERROR(ROUND(AS328*Assumptions!$I$6+AW328*Assumptions!$I$7+AT328*Assumptions!$I$8+AU328*Assumptions!$I$9+AV328*Assumptions!$I$10+AX328*Assumptions!$I$11+AY328*Assumptions!$I$12,2),"")</f>
        <v>59.7</v>
      </c>
      <c r="BA328" s="0" t="str">
        <f aca="false">IF(AZ328="","",IF(AZ328&lt;=Assumptions!$I$18,"Below Expectation",IF(AZ328&lt;=Assumptions!$I$19,"Developing",IF(AZ328&lt;=Assumptions!$I$20,"Meets Expectation",IF(AZ328&lt;=Assumptions!$I$21,"Exceeds","Star Performer")))))</f>
        <v>Meets Expectation</v>
      </c>
      <c r="BB328" s="0" t="n">
        <f aca="false">IF(AZ328="",0,IF(AZ328&gt;=Assumptions!$I$26,1,0))</f>
        <v>0</v>
      </c>
      <c r="BC328" s="9" t="n">
        <f aca="false">IF(AL328="",2,AL328+2)</f>
        <v>3</v>
      </c>
      <c r="BD328" s="10" t="n">
        <f aca="false">IF(AM328="",ROUND(AVERAGE($AM$2:$AM$921),3),AM328)</f>
        <v>1</v>
      </c>
      <c r="BE328" s="9" t="n">
        <f aca="false">1-BD328</f>
        <v>0</v>
      </c>
    </row>
    <row r="329" customFormat="false" ht="14.25" hidden="true" customHeight="false" outlineLevel="0" collapsed="false">
      <c r="A329" s="4" t="n">
        <v>342</v>
      </c>
      <c r="B329" s="5" t="n">
        <v>37100106</v>
      </c>
      <c r="C329" s="5" t="s">
        <v>666</v>
      </c>
      <c r="D329" s="5" t="s">
        <v>1526</v>
      </c>
      <c r="E329" s="5" t="s">
        <v>1527</v>
      </c>
      <c r="F329" s="5" t="s">
        <v>349</v>
      </c>
      <c r="G329" s="5" t="s">
        <v>350</v>
      </c>
      <c r="H329" s="5" t="s">
        <v>349</v>
      </c>
      <c r="I329" s="5" t="s">
        <v>63</v>
      </c>
      <c r="J329" s="5" t="s">
        <v>100</v>
      </c>
      <c r="K329" s="5" t="s">
        <v>65</v>
      </c>
      <c r="L329" s="6" t="n">
        <v>38384</v>
      </c>
      <c r="M329" s="5" t="s">
        <v>1528</v>
      </c>
      <c r="N329" s="6" t="n">
        <v>29471</v>
      </c>
      <c r="O329" s="5" t="s">
        <v>262</v>
      </c>
      <c r="P329" s="5" t="s">
        <v>263</v>
      </c>
      <c r="Q329" s="5" t="s">
        <v>1256</v>
      </c>
      <c r="R329" s="5" t="s">
        <v>472</v>
      </c>
      <c r="S329" s="5" t="s">
        <v>492</v>
      </c>
      <c r="T329" s="6" t="n">
        <v>40269</v>
      </c>
      <c r="U329" s="6" t="n">
        <v>46113</v>
      </c>
      <c r="V329" s="5" t="s">
        <v>631</v>
      </c>
      <c r="W329" s="5" t="s">
        <v>141</v>
      </c>
      <c r="X329" s="5" t="s">
        <v>83</v>
      </c>
      <c r="Y329" s="5" t="s">
        <v>141</v>
      </c>
      <c r="Z329" s="5" t="s">
        <v>631</v>
      </c>
      <c r="AA329" s="5" t="s">
        <v>1529</v>
      </c>
      <c r="AB329" s="0" t="n">
        <f aca="false">IFERROR(VALUE(R329),0)</f>
        <v>1.4</v>
      </c>
      <c r="AC329" s="0" t="n">
        <f aca="false">IFERROR(VALUE(M329),"")</f>
        <v>45.9</v>
      </c>
      <c r="AD329" s="0" t="n">
        <f aca="false">IFERROR(VALUE(Q329),"")</f>
        <v>21.4</v>
      </c>
      <c r="AE329" s="0" t="n">
        <f aca="false">IFERROR(VALUE(S329),"")</f>
        <v>22.8</v>
      </c>
      <c r="AF329" s="0" t="n">
        <f aca="false">IF(V329="","",VLOOKUP(V329,Assumptions!$B$6:$C$9,2,FALSE()))</f>
        <v>2</v>
      </c>
      <c r="AG329" s="0" t="n">
        <f aca="false">IF(W329="","",VLOOKUP(W329,Assumptions!$B$6:$C$9,2,FALSE()))</f>
        <v>3</v>
      </c>
      <c r="AH329" s="0" t="n">
        <f aca="false">IF(X329="","",VLOOKUP(X329,Assumptions!$B$6:$C$9,2,FALSE()))</f>
        <v>4</v>
      </c>
      <c r="AI329" s="0" t="n">
        <f aca="false">IF(Y329="","",VLOOKUP(Y329,Assumptions!$B$6:$C$9,2,FALSE()))</f>
        <v>3</v>
      </c>
      <c r="AJ329" s="0" t="n">
        <f aca="false">IF(Z329="","",VLOOKUP(Z329,Assumptions!$B$6:$C$9,2,FALSE()))</f>
        <v>2</v>
      </c>
      <c r="AK329" s="7" t="n">
        <f aca="false">IFERROR(ROUND(AVERAGE(AF329:AJ329),3),"")</f>
        <v>2.8</v>
      </c>
      <c r="AL329" s="7" t="n">
        <f aca="false">IF(OR(AF329="",AJ329=""),"",AJ329-AF329)</f>
        <v>0</v>
      </c>
      <c r="AM329" s="7" t="n">
        <f aca="false">IF(COUNT(AF329:AJ329)&gt;=2,ROUND(_xlfn.STDEV.S(AF329:AJ329),3),"")</f>
        <v>0.837</v>
      </c>
      <c r="AN329" s="7" t="n">
        <f aca="false">ROUND((IF(AF329="",0,AF329)*Assumptions!$F$15)+(IF(AG329="",0,AG329)*Assumptions!$F$16)+(IF(AH329="",0,AH329)*Assumptions!$F$17)+(IF(AI329="",0,AI329)*Assumptions!$F$18)+(IF(AJ329="",0,AJ329)*Assumptions!$F$19),3)</f>
        <v>2.8</v>
      </c>
      <c r="AO329" s="0" t="str">
        <f aca="false">IF(AC329&lt;=20,"",IF(AC329&lt;=Assumptions!$F$6,"20-30",IF(AC329&lt;=Assumptions!$F$7,"30-40",IF(AC329&lt;=Assumptions!$F$8,"40-50",IF(AC329&lt;=Assumptions!$F$9,"50-60",IF(AC329&lt;=Assumptions!$F$10,"60+",""))))))</f>
        <v>40-50</v>
      </c>
      <c r="AP329" s="0" t="str">
        <f aca="false">IFERROR(VLOOKUP(O329,Assumptions!$B$14:$C$26,2,FALSE()),"Other")</f>
        <v>Manager</v>
      </c>
      <c r="AQ329" s="0" t="n">
        <f aca="false">IF(T329="",0,1)</f>
        <v>1</v>
      </c>
      <c r="AR329" s="0" t="n">
        <f aca="false">IF(U329="",0,1)</f>
        <v>1</v>
      </c>
      <c r="AS329" s="8" t="n">
        <f aca="false">IF(AK329="","",IF(MAX($AK$2:$AK$921)=MIN($AK$2:$AK$921),50,ROUND((AK329-MIN($AK$2:$AK$921))/(MAX($AK$2:$AK$921)-MIN($AK$2:$AK$921))*100,2)))</f>
        <v>48.56</v>
      </c>
      <c r="AT329" s="8" t="n">
        <f aca="false">IF(MAX($BC$2:$BC$921)=MIN($BC$2:$BC$921),50,ROUND((BC329-MIN($BC$2:$BC$921))/(MAX($BC$2:$BC$921)-MIN($BC$2:$BC$921))*100,2))</f>
        <v>50</v>
      </c>
      <c r="AU329" s="8" t="n">
        <f aca="false">IF(MAX($BE$2:$BE$921)=MIN($BE$2:$BE$921),50,ROUND((BE329-MIN($BE$2:$BE$921))/(MAX($BE$2:$BE$921)-MIN($BE$2:$BE$921))*100,2))</f>
        <v>51.67</v>
      </c>
      <c r="AV329" s="8" t="n">
        <f aca="false">IF(MAX($AD$2:$AD$921)=MIN($AD$2:$AD$921),50,ROUND((AD329-MIN($AD$2:$AD$921))/(MAX($AD$2:$AD$921)-MIN($AD$2:$AD$921))*100,2))</f>
        <v>57.87</v>
      </c>
      <c r="AW329" s="8" t="n">
        <f aca="false">IF(MAX($AN$2:$AN$921)=MIN($AN$2:$AN$921),50,ROUND((AN329-MIN($AN$2:$AN$921))/(MAX($AN$2:$AN$921)-MIN($AN$2:$AN$921))*100,2))</f>
        <v>70</v>
      </c>
      <c r="AX329" s="8" t="n">
        <f aca="false">AQ329*100</f>
        <v>100</v>
      </c>
      <c r="AY329" s="8" t="n">
        <f aca="false">AR329*100</f>
        <v>100</v>
      </c>
      <c r="AZ329" s="8" t="n">
        <f aca="false">IFERROR(ROUND(AS329*Assumptions!$I$6+AW329*Assumptions!$I$7+AT329*Assumptions!$I$8+AU329*Assumptions!$I$9+AV329*Assumptions!$I$10+AX329*Assumptions!$I$11+AY329*Assumptions!$I$12,2),"")</f>
        <v>59.61</v>
      </c>
      <c r="BA329" s="0" t="str">
        <f aca="false">IF(AZ329="","",IF(AZ329&lt;=Assumptions!$I$18,"Below Expectation",IF(AZ329&lt;=Assumptions!$I$19,"Developing",IF(AZ329&lt;=Assumptions!$I$20,"Meets Expectation",IF(AZ329&lt;=Assumptions!$I$21,"Exceeds","Star Performer")))))</f>
        <v>Meets Expectation</v>
      </c>
      <c r="BB329" s="0" t="n">
        <f aca="false">IF(AZ329="",0,IF(AZ329&gt;=Assumptions!$I$26,1,0))</f>
        <v>0</v>
      </c>
      <c r="BC329" s="9" t="n">
        <f aca="false">IF(AL329="",2,AL329+2)</f>
        <v>2</v>
      </c>
      <c r="BD329" s="10" t="n">
        <f aca="false">IF(AM329="",ROUND(AVERAGE($AM$2:$AM$921),3),AM329)</f>
        <v>0.837</v>
      </c>
      <c r="BE329" s="9" t="n">
        <f aca="false">1-BD329</f>
        <v>0.163</v>
      </c>
    </row>
    <row r="330" customFormat="false" ht="14.25" hidden="false" customHeight="false" outlineLevel="0" collapsed="false">
      <c r="A330" s="4" t="n">
        <v>463</v>
      </c>
      <c r="B330" s="5" t="n">
        <v>55037157</v>
      </c>
      <c r="C330" s="5" t="s">
        <v>106</v>
      </c>
      <c r="D330" s="5" t="s">
        <v>1530</v>
      </c>
      <c r="E330" s="5" t="s">
        <v>108</v>
      </c>
      <c r="F330" s="5" t="s">
        <v>463</v>
      </c>
      <c r="G330" s="5" t="s">
        <v>484</v>
      </c>
      <c r="H330" s="5" t="s">
        <v>483</v>
      </c>
      <c r="I330" s="5" t="s">
        <v>63</v>
      </c>
      <c r="J330" s="5" t="s">
        <v>112</v>
      </c>
      <c r="K330" s="5" t="s">
        <v>65</v>
      </c>
      <c r="L330" s="6" t="n">
        <v>44063</v>
      </c>
      <c r="M330" s="5" t="s">
        <v>187</v>
      </c>
      <c r="N330" s="6" t="n">
        <v>35704</v>
      </c>
      <c r="O330" s="5" t="s">
        <v>332</v>
      </c>
      <c r="P330" s="5" t="s">
        <v>333</v>
      </c>
      <c r="Q330" s="5" t="s">
        <v>404</v>
      </c>
      <c r="R330" s="5" t="s">
        <v>115</v>
      </c>
      <c r="S330" s="5" t="s">
        <v>404</v>
      </c>
      <c r="T330" s="6"/>
      <c r="U330" s="6" t="n">
        <v>45839</v>
      </c>
      <c r="V330" s="5" t="s">
        <v>83</v>
      </c>
      <c r="W330" s="5" t="s">
        <v>141</v>
      </c>
      <c r="X330" s="5" t="s">
        <v>141</v>
      </c>
      <c r="Y330" s="5" t="s">
        <v>83</v>
      </c>
      <c r="Z330" s="5" t="s">
        <v>141</v>
      </c>
      <c r="AA330" s="5" t="s">
        <v>1531</v>
      </c>
      <c r="AB330" s="0" t="n">
        <f aca="false">IFERROR(VALUE(R330),0)</f>
        <v>0</v>
      </c>
      <c r="AC330" s="0" t="n">
        <f aca="false">IFERROR(VALUE(M330),"")</f>
        <v>28.8</v>
      </c>
      <c r="AD330" s="0" t="n">
        <f aca="false">IFERROR(VALUE(Q330),"")</f>
        <v>5.9</v>
      </c>
      <c r="AE330" s="0" t="n">
        <f aca="false">IFERROR(VALUE(S330),"")</f>
        <v>5.9</v>
      </c>
      <c r="AF330" s="0" t="n">
        <f aca="false">IF(V330="","",VLOOKUP(V330,Assumptions!$B$6:$C$9,2,FALSE()))</f>
        <v>4</v>
      </c>
      <c r="AG330" s="0" t="n">
        <f aca="false">IF(W330="","",VLOOKUP(W330,Assumptions!$B$6:$C$9,2,FALSE()))</f>
        <v>3</v>
      </c>
      <c r="AH330" s="0" t="n">
        <f aca="false">IF(X330="","",VLOOKUP(X330,Assumptions!$B$6:$C$9,2,FALSE()))</f>
        <v>3</v>
      </c>
      <c r="AI330" s="0" t="n">
        <f aca="false">IF(Y330="","",VLOOKUP(Y330,Assumptions!$B$6:$C$9,2,FALSE()))</f>
        <v>4</v>
      </c>
      <c r="AJ330" s="0" t="n">
        <f aca="false">IF(Z330="","",VLOOKUP(Z330,Assumptions!$B$6:$C$9,2,FALSE()))</f>
        <v>3</v>
      </c>
      <c r="AK330" s="7" t="n">
        <f aca="false">IFERROR(ROUND(AVERAGE(AF330:AJ330),3),"")</f>
        <v>3.4</v>
      </c>
      <c r="AL330" s="7" t="n">
        <f aca="false">IF(OR(AF330="",AJ330=""),"",AJ330-AF330)</f>
        <v>-1</v>
      </c>
      <c r="AM330" s="7" t="n">
        <f aca="false">IF(COUNT(AF330:AJ330)&gt;=2,ROUND(_xlfn.STDEV.S(AF330:AJ330),3),"")</f>
        <v>0.548</v>
      </c>
      <c r="AN330" s="7" t="n">
        <f aca="false">ROUND((IF(AF330="",0,AF330)*Assumptions!$F$15)+(IF(AG330="",0,AG330)*Assumptions!$F$16)+(IF(AH330="",0,AH330)*Assumptions!$F$17)+(IF(AI330="",0,AI330)*Assumptions!$F$18)+(IF(AJ330="",0,AJ330)*Assumptions!$F$19),3)</f>
        <v>3.35</v>
      </c>
      <c r="AO330" s="0" t="str">
        <f aca="false">IF(AC330&lt;=20,"",IF(AC330&lt;=Assumptions!$F$6,"20-30",IF(AC330&lt;=Assumptions!$F$7,"30-40",IF(AC330&lt;=Assumptions!$F$8,"40-50",IF(AC330&lt;=Assumptions!$F$9,"50-60",IF(AC330&lt;=Assumptions!$F$10,"60+",""))))))</f>
        <v>20-30</v>
      </c>
      <c r="AP330" s="0" t="str">
        <f aca="false">IFERROR(VLOOKUP(O330,Assumptions!$B$14:$C$26,2,FALSE()),"Other")</f>
        <v>Manager</v>
      </c>
      <c r="AQ330" s="0" t="n">
        <f aca="false">IF(T330="",0,1)</f>
        <v>0</v>
      </c>
      <c r="AR330" s="0" t="n">
        <f aca="false">IF(U330="",0,1)</f>
        <v>1</v>
      </c>
      <c r="AS330" s="8" t="n">
        <f aca="false">IF(AK330="","",IF(MAX($AK$2:$AK$921)=MIN($AK$2:$AK$921),50,ROUND((AK330-MIN($AK$2:$AK$921))/(MAX($AK$2:$AK$921)-MIN($AK$2:$AK$921))*100,2)))</f>
        <v>74.28</v>
      </c>
      <c r="AT330" s="8" t="n">
        <f aca="false">IF(MAX($BC$2:$BC$921)=MIN($BC$2:$BC$921),50,ROUND((BC330-MIN($BC$2:$BC$921))/(MAX($BC$2:$BC$921)-MIN($BC$2:$BC$921))*100,2))</f>
        <v>25</v>
      </c>
      <c r="AU330" s="8" t="n">
        <f aca="false">IF(MAX($BE$2:$BE$921)=MIN($BE$2:$BE$921),50,ROUND((BE330-MIN($BE$2:$BE$921))/(MAX($BE$2:$BE$921)-MIN($BE$2:$BE$921))*100,2))</f>
        <v>68.36</v>
      </c>
      <c r="AV330" s="8" t="n">
        <f aca="false">IF(MAX($AD$2:$AD$921)=MIN($AD$2:$AD$921),50,ROUND((AD330-MIN($AD$2:$AD$921))/(MAX($AD$2:$AD$921)-MIN($AD$2:$AD$921))*100,2))</f>
        <v>15.74</v>
      </c>
      <c r="AW330" s="8" t="n">
        <f aca="false">IF(MAX($AN$2:$AN$921)=MIN($AN$2:$AN$921),50,ROUND((AN330-MIN($AN$2:$AN$921))/(MAX($AN$2:$AN$921)-MIN($AN$2:$AN$921))*100,2))</f>
        <v>83.75</v>
      </c>
      <c r="AX330" s="8" t="n">
        <f aca="false">AQ330*100</f>
        <v>0</v>
      </c>
      <c r="AY330" s="8" t="n">
        <f aca="false">AR330*100</f>
        <v>100</v>
      </c>
      <c r="AZ330" s="8" t="n">
        <f aca="false">IFERROR(ROUND(AS330*Assumptions!$I$6+AW330*Assumptions!$I$7+AT330*Assumptions!$I$8+AU330*Assumptions!$I$9+AV330*Assumptions!$I$10+AX330*Assumptions!$I$11+AY330*Assumptions!$I$12,2),"")</f>
        <v>59.61</v>
      </c>
      <c r="BA330" s="0" t="str">
        <f aca="false">IF(AZ330="","",IF(AZ330&lt;=Assumptions!$I$18,"Below Expectation",IF(AZ330&lt;=Assumptions!$I$19,"Developing",IF(AZ330&lt;=Assumptions!$I$20,"Meets Expectation",IF(AZ330&lt;=Assumptions!$I$21,"Exceeds","Star Performer")))))</f>
        <v>Meets Expectation</v>
      </c>
      <c r="BB330" s="0" t="n">
        <f aca="false">IF(AZ330="",0,IF(AZ330&gt;=Assumptions!$I$26,1,0))</f>
        <v>0</v>
      </c>
      <c r="BC330" s="9" t="n">
        <f aca="false">IF(AL330="",2,AL330+2)</f>
        <v>1</v>
      </c>
      <c r="BD330" s="10" t="n">
        <f aca="false">IF(AM330="",ROUND(AVERAGE($AM$2:$AM$921),3),AM330)</f>
        <v>0.548</v>
      </c>
      <c r="BE330" s="9" t="n">
        <f aca="false">1-BD330</f>
        <v>0.452</v>
      </c>
    </row>
    <row r="331" customFormat="false" ht="14.25" hidden="true" customHeight="false" outlineLevel="0" collapsed="false">
      <c r="A331" s="4" t="n">
        <v>560</v>
      </c>
      <c r="B331" s="5" t="n">
        <v>55049424</v>
      </c>
      <c r="C331" s="5" t="s">
        <v>149</v>
      </c>
      <c r="D331" s="5" t="s">
        <v>1532</v>
      </c>
      <c r="E331" s="5" t="s">
        <v>919</v>
      </c>
      <c r="F331" s="5" t="s">
        <v>1399</v>
      </c>
      <c r="G331" s="5" t="s">
        <v>1400</v>
      </c>
      <c r="H331" s="5" t="s">
        <v>1399</v>
      </c>
      <c r="I331" s="5" t="s">
        <v>63</v>
      </c>
      <c r="J331" s="5" t="s">
        <v>100</v>
      </c>
      <c r="K331" s="5" t="s">
        <v>65</v>
      </c>
      <c r="L331" s="6" t="n">
        <v>44665</v>
      </c>
      <c r="M331" s="5" t="s">
        <v>1533</v>
      </c>
      <c r="N331" s="6" t="n">
        <v>34175</v>
      </c>
      <c r="O331" s="5" t="s">
        <v>332</v>
      </c>
      <c r="P331" s="5" t="s">
        <v>333</v>
      </c>
      <c r="Q331" s="5" t="s">
        <v>1534</v>
      </c>
      <c r="R331" s="5" t="s">
        <v>404</v>
      </c>
      <c r="S331" s="5" t="s">
        <v>546</v>
      </c>
      <c r="T331" s="6"/>
      <c r="U331" s="6" t="n">
        <v>46113</v>
      </c>
      <c r="V331" s="5"/>
      <c r="W331" s="5" t="s">
        <v>141</v>
      </c>
      <c r="X331" s="5" t="s">
        <v>141</v>
      </c>
      <c r="Y331" s="5" t="s">
        <v>141</v>
      </c>
      <c r="Z331" s="5" t="s">
        <v>83</v>
      </c>
      <c r="AA331" s="5" t="s">
        <v>1535</v>
      </c>
      <c r="AB331" s="0" t="n">
        <f aca="false">IFERROR(VALUE(R331),0)</f>
        <v>5.9</v>
      </c>
      <c r="AC331" s="0" t="n">
        <f aca="false">IFERROR(VALUE(M331),"")</f>
        <v>32.1</v>
      </c>
      <c r="AD331" s="0" t="n">
        <f aca="false">IFERROR(VALUE(Q331),"")</f>
        <v>4.1</v>
      </c>
      <c r="AE331" s="0" t="n">
        <f aca="false">IFERROR(VALUE(S331),"")</f>
        <v>9.1</v>
      </c>
      <c r="AF331" s="0" t="str">
        <f aca="false">IF(V331="","",VLOOKUP(V331,Assumptions!$B$6:$C$9,2,FALSE()))</f>
        <v/>
      </c>
      <c r="AG331" s="0" t="n">
        <f aca="false">IF(W331="","",VLOOKUP(W331,Assumptions!$B$6:$C$9,2,FALSE()))</f>
        <v>3</v>
      </c>
      <c r="AH331" s="0" t="n">
        <f aca="false">IF(X331="","",VLOOKUP(X331,Assumptions!$B$6:$C$9,2,FALSE()))</f>
        <v>3</v>
      </c>
      <c r="AI331" s="0" t="n">
        <f aca="false">IF(Y331="","",VLOOKUP(Y331,Assumptions!$B$6:$C$9,2,FALSE()))</f>
        <v>3</v>
      </c>
      <c r="AJ331" s="0" t="n">
        <f aca="false">IF(Z331="","",VLOOKUP(Z331,Assumptions!$B$6:$C$9,2,FALSE()))</f>
        <v>4</v>
      </c>
      <c r="AK331" s="7" t="n">
        <f aca="false">IFERROR(ROUND(AVERAGE(AF331:AJ331),3),"")</f>
        <v>3.25</v>
      </c>
      <c r="AL331" s="7" t="str">
        <f aca="false">IF(OR(AF331="",AJ331=""),"",AJ331-AF331)</f>
        <v/>
      </c>
      <c r="AM331" s="7" t="n">
        <f aca="false">IF(COUNT(AF331:AJ331)&gt;=2,ROUND(_xlfn.STDEV.S(AF331:AJ331),3),"")</f>
        <v>0.5</v>
      </c>
      <c r="AN331" s="7" t="n">
        <f aca="false">ROUND((IF(AF331="",0,AF331)*Assumptions!$F$15)+(IF(AG331="",0,AG331)*Assumptions!$F$16)+(IF(AH331="",0,AH331)*Assumptions!$F$17)+(IF(AI331="",0,AI331)*Assumptions!$F$18)+(IF(AJ331="",0,AJ331)*Assumptions!$F$19),3)</f>
        <v>3</v>
      </c>
      <c r="AO331" s="0" t="str">
        <f aca="false">IF(AC331&lt;=20,"",IF(AC331&lt;=Assumptions!$F$6,"20-30",IF(AC331&lt;=Assumptions!$F$7,"30-40",IF(AC331&lt;=Assumptions!$F$8,"40-50",IF(AC331&lt;=Assumptions!$F$9,"50-60",IF(AC331&lt;=Assumptions!$F$10,"60+",""))))))</f>
        <v>30-40</v>
      </c>
      <c r="AP331" s="0" t="str">
        <f aca="false">IFERROR(VLOOKUP(O331,Assumptions!$B$14:$C$26,2,FALSE()),"Other")</f>
        <v>Manager</v>
      </c>
      <c r="AQ331" s="0" t="n">
        <f aca="false">IF(T331="",0,1)</f>
        <v>0</v>
      </c>
      <c r="AR331" s="0" t="n">
        <f aca="false">IF(U331="",0,1)</f>
        <v>1</v>
      </c>
      <c r="AS331" s="8" t="n">
        <f aca="false">IF(AK331="","",IF(MAX($AK$2:$AK$921)=MIN($AK$2:$AK$921),50,ROUND((AK331-MIN($AK$2:$AK$921))/(MAX($AK$2:$AK$921)-MIN($AK$2:$AK$921))*100,2)))</f>
        <v>67.85</v>
      </c>
      <c r="AT331" s="8" t="n">
        <f aca="false">IF(MAX($BC$2:$BC$921)=MIN($BC$2:$BC$921),50,ROUND((BC331-MIN($BC$2:$BC$921))/(MAX($BC$2:$BC$921)-MIN($BC$2:$BC$921))*100,2))</f>
        <v>50</v>
      </c>
      <c r="AU331" s="8" t="n">
        <f aca="false">IF(MAX($BE$2:$BE$921)=MIN($BE$2:$BE$921),50,ROUND((BE331-MIN($BE$2:$BE$921))/(MAX($BE$2:$BE$921)-MIN($BE$2:$BE$921))*100,2))</f>
        <v>71.13</v>
      </c>
      <c r="AV331" s="8" t="n">
        <f aca="false">IF(MAX($AD$2:$AD$921)=MIN($AD$2:$AD$921),50,ROUND((AD331-MIN($AD$2:$AD$921))/(MAX($AD$2:$AD$921)-MIN($AD$2:$AD$921))*100,2))</f>
        <v>10.85</v>
      </c>
      <c r="AW331" s="8" t="n">
        <f aca="false">IF(MAX($AN$2:$AN$921)=MIN($AN$2:$AN$921),50,ROUND((AN331-MIN($AN$2:$AN$921))/(MAX($AN$2:$AN$921)-MIN($AN$2:$AN$921))*100,2))</f>
        <v>75</v>
      </c>
      <c r="AX331" s="8" t="n">
        <f aca="false">AQ331*100</f>
        <v>0</v>
      </c>
      <c r="AY331" s="8" t="n">
        <f aca="false">AR331*100</f>
        <v>100</v>
      </c>
      <c r="AZ331" s="8" t="n">
        <f aca="false">IFERROR(ROUND(AS331*Assumptions!$I$6+AW331*Assumptions!$I$7+AT331*Assumptions!$I$8+AU331*Assumptions!$I$9+AV331*Assumptions!$I$10+AX331*Assumptions!$I$11+AY331*Assumptions!$I$12,2),"")</f>
        <v>59.61</v>
      </c>
      <c r="BA331" s="0" t="str">
        <f aca="false">IF(AZ331="","",IF(AZ331&lt;=Assumptions!$I$18,"Below Expectation",IF(AZ331&lt;=Assumptions!$I$19,"Developing",IF(AZ331&lt;=Assumptions!$I$20,"Meets Expectation",IF(AZ331&lt;=Assumptions!$I$21,"Exceeds","Star Performer")))))</f>
        <v>Meets Expectation</v>
      </c>
      <c r="BB331" s="0" t="n">
        <f aca="false">IF(AZ331="",0,IF(AZ331&gt;=Assumptions!$I$26,1,0))</f>
        <v>0</v>
      </c>
      <c r="BC331" s="9" t="n">
        <f aca="false">IF(AL331="",2,AL331+2)</f>
        <v>2</v>
      </c>
      <c r="BD331" s="10" t="n">
        <f aca="false">IF(AM331="",ROUND(AVERAGE($AM$2:$AM$921),3),AM331)</f>
        <v>0.5</v>
      </c>
      <c r="BE331" s="9" t="n">
        <f aca="false">1-BD331</f>
        <v>0.5</v>
      </c>
    </row>
    <row r="332" customFormat="false" ht="14.25" hidden="true" customHeight="false" outlineLevel="0" collapsed="false">
      <c r="A332" s="4" t="n">
        <v>96</v>
      </c>
      <c r="B332" s="5" t="n">
        <v>10027007</v>
      </c>
      <c r="C332" s="5" t="s">
        <v>526</v>
      </c>
      <c r="D332" s="5" t="s">
        <v>1536</v>
      </c>
      <c r="E332" s="5" t="s">
        <v>1008</v>
      </c>
      <c r="F332" s="5" t="s">
        <v>258</v>
      </c>
      <c r="G332" s="5" t="s">
        <v>259</v>
      </c>
      <c r="H332" s="5" t="s">
        <v>260</v>
      </c>
      <c r="I332" s="5" t="s">
        <v>63</v>
      </c>
      <c r="J332" s="5" t="s">
        <v>100</v>
      </c>
      <c r="K332" s="5" t="s">
        <v>65</v>
      </c>
      <c r="L332" s="6" t="n">
        <v>39555</v>
      </c>
      <c r="M332" s="5" t="s">
        <v>1537</v>
      </c>
      <c r="N332" s="6" t="n">
        <v>29385</v>
      </c>
      <c r="O332" s="5" t="s">
        <v>262</v>
      </c>
      <c r="P332" s="5" t="s">
        <v>263</v>
      </c>
      <c r="Q332" s="5" t="s">
        <v>471</v>
      </c>
      <c r="R332" s="5" t="s">
        <v>496</v>
      </c>
      <c r="S332" s="5" t="s">
        <v>540</v>
      </c>
      <c r="T332" s="6"/>
      <c r="U332" s="6"/>
      <c r="V332" s="5" t="s">
        <v>141</v>
      </c>
      <c r="W332" s="5" t="s">
        <v>141</v>
      </c>
      <c r="X332" s="5" t="s">
        <v>141</v>
      </c>
      <c r="Y332" s="5" t="s">
        <v>141</v>
      </c>
      <c r="Z332" s="5" t="s">
        <v>141</v>
      </c>
      <c r="AA332" s="5" t="s">
        <v>1538</v>
      </c>
      <c r="AB332" s="0" t="n">
        <f aca="false">IFERROR(VALUE(R332),0)</f>
        <v>4.8</v>
      </c>
      <c r="AC332" s="0" t="n">
        <f aca="false">IFERROR(VALUE(M332),"")</f>
        <v>45.11</v>
      </c>
      <c r="AD332" s="0" t="n">
        <f aca="false">IFERROR(VALUE(Q332),"")</f>
        <v>18.1</v>
      </c>
      <c r="AE332" s="0" t="n">
        <f aca="false">IFERROR(VALUE(S332),"")</f>
        <v>22.9</v>
      </c>
      <c r="AF332" s="0" t="n">
        <f aca="false">IF(V332="","",VLOOKUP(V332,Assumptions!$B$6:$C$9,2,FALSE()))</f>
        <v>3</v>
      </c>
      <c r="AG332" s="0" t="n">
        <f aca="false">IF(W332="","",VLOOKUP(W332,Assumptions!$B$6:$C$9,2,FALSE()))</f>
        <v>3</v>
      </c>
      <c r="AH332" s="0" t="n">
        <f aca="false">IF(X332="","",VLOOKUP(X332,Assumptions!$B$6:$C$9,2,FALSE()))</f>
        <v>3</v>
      </c>
      <c r="AI332" s="0" t="n">
        <f aca="false">IF(Y332="","",VLOOKUP(Y332,Assumptions!$B$6:$C$9,2,FALSE()))</f>
        <v>3</v>
      </c>
      <c r="AJ332" s="0" t="n">
        <f aca="false">IF(Z332="","",VLOOKUP(Z332,Assumptions!$B$6:$C$9,2,FALSE()))</f>
        <v>3</v>
      </c>
      <c r="AK332" s="7" t="n">
        <f aca="false">IFERROR(ROUND(AVERAGE(AF332:AJ332),3),"")</f>
        <v>3</v>
      </c>
      <c r="AL332" s="7" t="n">
        <f aca="false">IF(OR(AF332="",AJ332=""),"",AJ332-AF332)</f>
        <v>0</v>
      </c>
      <c r="AM332" s="7" t="n">
        <f aca="false">IF(COUNT(AF332:AJ332)&gt;=2,ROUND(_xlfn.STDEV.S(AF332:AJ332),3),"")</f>
        <v>0</v>
      </c>
      <c r="AN332" s="7" t="n">
        <f aca="false">ROUND((IF(AF332="",0,AF332)*Assumptions!$F$15)+(IF(AG332="",0,AG332)*Assumptions!$F$16)+(IF(AH332="",0,AH332)*Assumptions!$F$17)+(IF(AI332="",0,AI332)*Assumptions!$F$18)+(IF(AJ332="",0,AJ332)*Assumptions!$F$19),3)</f>
        <v>3</v>
      </c>
      <c r="AO332" s="0" t="str">
        <f aca="false">IF(AC332&lt;=20,"",IF(AC332&lt;=Assumptions!$F$6,"20-30",IF(AC332&lt;=Assumptions!$F$7,"30-40",IF(AC332&lt;=Assumptions!$F$8,"40-50",IF(AC332&lt;=Assumptions!$F$9,"50-60",IF(AC332&lt;=Assumptions!$F$10,"60+",""))))))</f>
        <v>40-50</v>
      </c>
      <c r="AP332" s="0" t="str">
        <f aca="false">IFERROR(VLOOKUP(O332,Assumptions!$B$14:$C$26,2,FALSE()),"Other")</f>
        <v>Manager</v>
      </c>
      <c r="AQ332" s="0" t="n">
        <f aca="false">IF(T332="",0,1)</f>
        <v>0</v>
      </c>
      <c r="AR332" s="0" t="n">
        <f aca="false">IF(U332="",0,1)</f>
        <v>0</v>
      </c>
      <c r="AS332" s="8" t="n">
        <f aca="false">IF(AK332="","",IF(MAX($AK$2:$AK$921)=MIN($AK$2:$AK$921),50,ROUND((AK332-MIN($AK$2:$AK$921))/(MAX($AK$2:$AK$921)-MIN($AK$2:$AK$921))*100,2)))</f>
        <v>57.14</v>
      </c>
      <c r="AT332" s="8" t="n">
        <f aca="false">IF(MAX($BC$2:$BC$921)=MIN($BC$2:$BC$921),50,ROUND((BC332-MIN($BC$2:$BC$921))/(MAX($BC$2:$BC$921)-MIN($BC$2:$BC$921))*100,2))</f>
        <v>50</v>
      </c>
      <c r="AU332" s="8" t="n">
        <f aca="false">IF(MAX($BE$2:$BE$921)=MIN($BE$2:$BE$921),50,ROUND((BE332-MIN($BE$2:$BE$921))/(MAX($BE$2:$BE$921)-MIN($BE$2:$BE$921))*100,2))</f>
        <v>100</v>
      </c>
      <c r="AV332" s="8" t="n">
        <f aca="false">IF(MAX($AD$2:$AD$921)=MIN($AD$2:$AD$921),50,ROUND((AD332-MIN($AD$2:$AD$921))/(MAX($AD$2:$AD$921)-MIN($AD$2:$AD$921))*100,2))</f>
        <v>48.9</v>
      </c>
      <c r="AW332" s="8" t="n">
        <f aca="false">IF(MAX($AN$2:$AN$921)=MIN($AN$2:$AN$921),50,ROUND((AN332-MIN($AN$2:$AN$921))/(MAX($AN$2:$AN$921)-MIN($AN$2:$AN$921))*100,2))</f>
        <v>75</v>
      </c>
      <c r="AX332" s="8" t="n">
        <f aca="false">AQ332*100</f>
        <v>0</v>
      </c>
      <c r="AY332" s="8" t="n">
        <f aca="false">AR332*100</f>
        <v>0</v>
      </c>
      <c r="AZ332" s="8" t="n">
        <f aca="false">IFERROR(ROUND(AS332*Assumptions!$I$6+AW332*Assumptions!$I$7+AT332*Assumptions!$I$8+AU332*Assumptions!$I$9+AV332*Assumptions!$I$10+AX332*Assumptions!$I$11+AY332*Assumptions!$I$12,2),"")</f>
        <v>59.53</v>
      </c>
      <c r="BA332" s="0" t="str">
        <f aca="false">IF(AZ332="","",IF(AZ332&lt;=Assumptions!$I$18,"Below Expectation",IF(AZ332&lt;=Assumptions!$I$19,"Developing",IF(AZ332&lt;=Assumptions!$I$20,"Meets Expectation",IF(AZ332&lt;=Assumptions!$I$21,"Exceeds","Star Performer")))))</f>
        <v>Meets Expectation</v>
      </c>
      <c r="BB332" s="0" t="n">
        <f aca="false">IF(AZ332="",0,IF(AZ332&gt;=Assumptions!$I$26,1,0))</f>
        <v>0</v>
      </c>
      <c r="BC332" s="9" t="n">
        <f aca="false">IF(AL332="",2,AL332+2)</f>
        <v>2</v>
      </c>
      <c r="BD332" s="10" t="n">
        <f aca="false">IF(AM332="",ROUND(AVERAGE($AM$2:$AM$921),3),AM332)</f>
        <v>0</v>
      </c>
      <c r="BE332" s="9" t="n">
        <f aca="false">1-BD332</f>
        <v>1</v>
      </c>
    </row>
    <row r="333" customFormat="false" ht="14.25" hidden="true" customHeight="false" outlineLevel="0" collapsed="false">
      <c r="A333" s="4" t="n">
        <v>467</v>
      </c>
      <c r="B333" s="5" t="n">
        <v>55039366</v>
      </c>
      <c r="C333" s="5" t="s">
        <v>149</v>
      </c>
      <c r="D333" s="5" t="s">
        <v>1539</v>
      </c>
      <c r="E333" s="5" t="s">
        <v>779</v>
      </c>
      <c r="F333" s="5" t="s">
        <v>1399</v>
      </c>
      <c r="G333" s="5" t="s">
        <v>1400</v>
      </c>
      <c r="H333" s="5" t="s">
        <v>1399</v>
      </c>
      <c r="I333" s="5" t="s">
        <v>63</v>
      </c>
      <c r="J333" s="5" t="s">
        <v>100</v>
      </c>
      <c r="K333" s="5" t="s">
        <v>65</v>
      </c>
      <c r="L333" s="6" t="n">
        <v>44230</v>
      </c>
      <c r="M333" s="5" t="s">
        <v>1116</v>
      </c>
      <c r="N333" s="6" t="n">
        <v>35568</v>
      </c>
      <c r="O333" s="5" t="s">
        <v>332</v>
      </c>
      <c r="P333" s="5" t="s">
        <v>333</v>
      </c>
      <c r="Q333" s="5" t="s">
        <v>382</v>
      </c>
      <c r="R333" s="5" t="s">
        <v>115</v>
      </c>
      <c r="S333" s="5" t="s">
        <v>382</v>
      </c>
      <c r="T333" s="6"/>
      <c r="U333" s="6" t="n">
        <v>45901</v>
      </c>
      <c r="V333" s="5" t="s">
        <v>141</v>
      </c>
      <c r="W333" s="5" t="s">
        <v>631</v>
      </c>
      <c r="X333" s="5" t="s">
        <v>141</v>
      </c>
      <c r="Y333" s="5" t="s">
        <v>141</v>
      </c>
      <c r="Z333" s="5" t="s">
        <v>83</v>
      </c>
      <c r="AA333" s="5" t="s">
        <v>1540</v>
      </c>
      <c r="AB333" s="0" t="n">
        <f aca="false">IFERROR(VALUE(R333),0)</f>
        <v>0</v>
      </c>
      <c r="AC333" s="0" t="n">
        <f aca="false">IFERROR(VALUE(M333),"")</f>
        <v>29</v>
      </c>
      <c r="AD333" s="0" t="n">
        <f aca="false">IFERROR(VALUE(Q333),"")</f>
        <v>5.4</v>
      </c>
      <c r="AE333" s="0" t="n">
        <f aca="false">IFERROR(VALUE(S333),"")</f>
        <v>5.4</v>
      </c>
      <c r="AF333" s="0" t="n">
        <f aca="false">IF(V333="","",VLOOKUP(V333,Assumptions!$B$6:$C$9,2,FALSE()))</f>
        <v>3</v>
      </c>
      <c r="AG333" s="0" t="n">
        <f aca="false">IF(W333="","",VLOOKUP(W333,Assumptions!$B$6:$C$9,2,FALSE()))</f>
        <v>2</v>
      </c>
      <c r="AH333" s="0" t="n">
        <f aca="false">IF(X333="","",VLOOKUP(X333,Assumptions!$B$6:$C$9,2,FALSE()))</f>
        <v>3</v>
      </c>
      <c r="AI333" s="0" t="n">
        <f aca="false">IF(Y333="","",VLOOKUP(Y333,Assumptions!$B$6:$C$9,2,FALSE()))</f>
        <v>3</v>
      </c>
      <c r="AJ333" s="0" t="n">
        <f aca="false">IF(Z333="","",VLOOKUP(Z333,Assumptions!$B$6:$C$9,2,FALSE()))</f>
        <v>4</v>
      </c>
      <c r="AK333" s="7" t="n">
        <f aca="false">IFERROR(ROUND(AVERAGE(AF333:AJ333),3),"")</f>
        <v>3</v>
      </c>
      <c r="AL333" s="7" t="n">
        <f aca="false">IF(OR(AF333="",AJ333=""),"",AJ333-AF333)</f>
        <v>1</v>
      </c>
      <c r="AM333" s="7" t="n">
        <f aca="false">IF(COUNT(AF333:AJ333)&gt;=2,ROUND(_xlfn.STDEV.S(AF333:AJ333),3),"")</f>
        <v>0.707</v>
      </c>
      <c r="AN333" s="7" t="n">
        <f aca="false">ROUND((IF(AF333="",0,AF333)*Assumptions!$F$15)+(IF(AG333="",0,AG333)*Assumptions!$F$16)+(IF(AH333="",0,AH333)*Assumptions!$F$17)+(IF(AI333="",0,AI333)*Assumptions!$F$18)+(IF(AJ333="",0,AJ333)*Assumptions!$F$19),3)</f>
        <v>3.15</v>
      </c>
      <c r="AO333" s="0" t="str">
        <f aca="false">IF(AC333&lt;=20,"",IF(AC333&lt;=Assumptions!$F$6,"20-30",IF(AC333&lt;=Assumptions!$F$7,"30-40",IF(AC333&lt;=Assumptions!$F$8,"40-50",IF(AC333&lt;=Assumptions!$F$9,"50-60",IF(AC333&lt;=Assumptions!$F$10,"60+",""))))))</f>
        <v>20-30</v>
      </c>
      <c r="AP333" s="0" t="str">
        <f aca="false">IFERROR(VLOOKUP(O333,Assumptions!$B$14:$C$26,2,FALSE()),"Other")</f>
        <v>Manager</v>
      </c>
      <c r="AQ333" s="0" t="n">
        <f aca="false">IF(T333="",0,1)</f>
        <v>0</v>
      </c>
      <c r="AR333" s="0" t="n">
        <f aca="false">IF(U333="",0,1)</f>
        <v>1</v>
      </c>
      <c r="AS333" s="8" t="n">
        <f aca="false">IF(AK333="","",IF(MAX($AK$2:$AK$921)=MIN($AK$2:$AK$921),50,ROUND((AK333-MIN($AK$2:$AK$921))/(MAX($AK$2:$AK$921)-MIN($AK$2:$AK$921))*100,2)))</f>
        <v>57.14</v>
      </c>
      <c r="AT333" s="8" t="n">
        <f aca="false">IF(MAX($BC$2:$BC$921)=MIN($BC$2:$BC$921),50,ROUND((BC333-MIN($BC$2:$BC$921))/(MAX($BC$2:$BC$921)-MIN($BC$2:$BC$921))*100,2))</f>
        <v>75</v>
      </c>
      <c r="AU333" s="8" t="n">
        <f aca="false">IF(MAX($BE$2:$BE$921)=MIN($BE$2:$BE$921),50,ROUND((BE333-MIN($BE$2:$BE$921))/(MAX($BE$2:$BE$921)-MIN($BE$2:$BE$921))*100,2))</f>
        <v>59.18</v>
      </c>
      <c r="AV333" s="8" t="n">
        <f aca="false">IF(MAX($AD$2:$AD$921)=MIN($AD$2:$AD$921),50,ROUND((AD333-MIN($AD$2:$AD$921))/(MAX($AD$2:$AD$921)-MIN($AD$2:$AD$921))*100,2))</f>
        <v>14.38</v>
      </c>
      <c r="AW333" s="8" t="n">
        <f aca="false">IF(MAX($AN$2:$AN$921)=MIN($AN$2:$AN$921),50,ROUND((AN333-MIN($AN$2:$AN$921))/(MAX($AN$2:$AN$921)-MIN($AN$2:$AN$921))*100,2))</f>
        <v>78.75</v>
      </c>
      <c r="AX333" s="8" t="n">
        <f aca="false">AQ333*100</f>
        <v>0</v>
      </c>
      <c r="AY333" s="8" t="n">
        <f aca="false">AR333*100</f>
        <v>100</v>
      </c>
      <c r="AZ333" s="8" t="n">
        <f aca="false">IFERROR(ROUND(AS333*Assumptions!$I$6+AW333*Assumptions!$I$7+AT333*Assumptions!$I$8+AU333*Assumptions!$I$9+AV333*Assumptions!$I$10+AX333*Assumptions!$I$11+AY333*Assumptions!$I$12,2),"")</f>
        <v>59.46</v>
      </c>
      <c r="BA333" s="0" t="str">
        <f aca="false">IF(AZ333="","",IF(AZ333&lt;=Assumptions!$I$18,"Below Expectation",IF(AZ333&lt;=Assumptions!$I$19,"Developing",IF(AZ333&lt;=Assumptions!$I$20,"Meets Expectation",IF(AZ333&lt;=Assumptions!$I$21,"Exceeds","Star Performer")))))</f>
        <v>Meets Expectation</v>
      </c>
      <c r="BB333" s="0" t="n">
        <f aca="false">IF(AZ333="",0,IF(AZ333&gt;=Assumptions!$I$26,1,0))</f>
        <v>0</v>
      </c>
      <c r="BC333" s="9" t="n">
        <f aca="false">IF(AL333="",2,AL333+2)</f>
        <v>3</v>
      </c>
      <c r="BD333" s="10" t="n">
        <f aca="false">IF(AM333="",ROUND(AVERAGE($AM$2:$AM$921),3),AM333)</f>
        <v>0.707</v>
      </c>
      <c r="BE333" s="9" t="n">
        <f aca="false">1-BD333</f>
        <v>0.293</v>
      </c>
    </row>
    <row r="334" customFormat="false" ht="14.25" hidden="false" customHeight="false" outlineLevel="0" collapsed="false">
      <c r="A334" s="4" t="n">
        <v>606</v>
      </c>
      <c r="B334" s="5" t="n">
        <v>55053005</v>
      </c>
      <c r="C334" s="5" t="s">
        <v>106</v>
      </c>
      <c r="D334" s="5" t="s">
        <v>1541</v>
      </c>
      <c r="E334" s="5" t="s">
        <v>108</v>
      </c>
      <c r="F334" s="5" t="s">
        <v>463</v>
      </c>
      <c r="G334" s="5" t="s">
        <v>589</v>
      </c>
      <c r="H334" s="5" t="s">
        <v>590</v>
      </c>
      <c r="I334" s="5" t="s">
        <v>63</v>
      </c>
      <c r="J334" s="5" t="s">
        <v>112</v>
      </c>
      <c r="K334" s="5" t="s">
        <v>309</v>
      </c>
      <c r="L334" s="6" t="n">
        <v>44743</v>
      </c>
      <c r="M334" s="5" t="s">
        <v>226</v>
      </c>
      <c r="N334" s="6" t="n">
        <v>36796</v>
      </c>
      <c r="O334" s="5" t="s">
        <v>585</v>
      </c>
      <c r="P334" s="5" t="s">
        <v>586</v>
      </c>
      <c r="Q334" s="5" t="s">
        <v>345</v>
      </c>
      <c r="R334" s="5" t="s">
        <v>115</v>
      </c>
      <c r="S334" s="5" t="s">
        <v>345</v>
      </c>
      <c r="T334" s="6"/>
      <c r="U334" s="6" t="n">
        <v>45992</v>
      </c>
      <c r="V334" s="5"/>
      <c r="W334" s="5" t="s">
        <v>141</v>
      </c>
      <c r="X334" s="5" t="s">
        <v>141</v>
      </c>
      <c r="Y334" s="5" t="s">
        <v>141</v>
      </c>
      <c r="Z334" s="5" t="s">
        <v>83</v>
      </c>
      <c r="AA334" s="5" t="s">
        <v>1542</v>
      </c>
      <c r="AB334" s="0" t="n">
        <f aca="false">IFERROR(VALUE(R334),0)</f>
        <v>0</v>
      </c>
      <c r="AC334" s="0" t="n">
        <f aca="false">IFERROR(VALUE(M334),"")</f>
        <v>25.8</v>
      </c>
      <c r="AD334" s="0" t="n">
        <f aca="false">IFERROR(VALUE(Q334),"")</f>
        <v>3.11</v>
      </c>
      <c r="AE334" s="0" t="n">
        <f aca="false">IFERROR(VALUE(S334),"")</f>
        <v>3.11</v>
      </c>
      <c r="AF334" s="0" t="str">
        <f aca="false">IF(V334="","",VLOOKUP(V334,Assumptions!$B$6:$C$9,2,FALSE()))</f>
        <v/>
      </c>
      <c r="AG334" s="0" t="n">
        <f aca="false">IF(W334="","",VLOOKUP(W334,Assumptions!$B$6:$C$9,2,FALSE()))</f>
        <v>3</v>
      </c>
      <c r="AH334" s="0" t="n">
        <f aca="false">IF(X334="","",VLOOKUP(X334,Assumptions!$B$6:$C$9,2,FALSE()))</f>
        <v>3</v>
      </c>
      <c r="AI334" s="0" t="n">
        <f aca="false">IF(Y334="","",VLOOKUP(Y334,Assumptions!$B$6:$C$9,2,FALSE()))</f>
        <v>3</v>
      </c>
      <c r="AJ334" s="0" t="n">
        <f aca="false">IF(Z334="","",VLOOKUP(Z334,Assumptions!$B$6:$C$9,2,FALSE()))</f>
        <v>4</v>
      </c>
      <c r="AK334" s="7" t="n">
        <f aca="false">IFERROR(ROUND(AVERAGE(AF334:AJ334),3),"")</f>
        <v>3.25</v>
      </c>
      <c r="AL334" s="7" t="str">
        <f aca="false">IF(OR(AF334="",AJ334=""),"",AJ334-AF334)</f>
        <v/>
      </c>
      <c r="AM334" s="7" t="n">
        <f aca="false">IF(COUNT(AF334:AJ334)&gt;=2,ROUND(_xlfn.STDEV.S(AF334:AJ334),3),"")</f>
        <v>0.5</v>
      </c>
      <c r="AN334" s="7" t="n">
        <f aca="false">ROUND((IF(AF334="",0,AF334)*Assumptions!$F$15)+(IF(AG334="",0,AG334)*Assumptions!$F$16)+(IF(AH334="",0,AH334)*Assumptions!$F$17)+(IF(AI334="",0,AI334)*Assumptions!$F$18)+(IF(AJ334="",0,AJ334)*Assumptions!$F$19),3)</f>
        <v>3</v>
      </c>
      <c r="AO334" s="0" t="str">
        <f aca="false">IF(AC334&lt;=20,"",IF(AC334&lt;=Assumptions!$F$6,"20-30",IF(AC334&lt;=Assumptions!$F$7,"30-40",IF(AC334&lt;=Assumptions!$F$8,"40-50",IF(AC334&lt;=Assumptions!$F$9,"50-60",IF(AC334&lt;=Assumptions!$F$10,"60+",""))))))</f>
        <v>20-30</v>
      </c>
      <c r="AP334" s="0" t="str">
        <f aca="false">IFERROR(VLOOKUP(O334,Assumptions!$B$14:$C$26,2,FALSE()),"Other")</f>
        <v>Manager</v>
      </c>
      <c r="AQ334" s="0" t="n">
        <f aca="false">IF(T334="",0,1)</f>
        <v>0</v>
      </c>
      <c r="AR334" s="0" t="n">
        <f aca="false">IF(U334="",0,1)</f>
        <v>1</v>
      </c>
      <c r="AS334" s="8" t="n">
        <f aca="false">IF(AK334="","",IF(MAX($AK$2:$AK$921)=MIN($AK$2:$AK$921),50,ROUND((AK334-MIN($AK$2:$AK$921))/(MAX($AK$2:$AK$921)-MIN($AK$2:$AK$921))*100,2)))</f>
        <v>67.85</v>
      </c>
      <c r="AT334" s="8" t="n">
        <f aca="false">IF(MAX($BC$2:$BC$921)=MIN($BC$2:$BC$921),50,ROUND((BC334-MIN($BC$2:$BC$921))/(MAX($BC$2:$BC$921)-MIN($BC$2:$BC$921))*100,2))</f>
        <v>50</v>
      </c>
      <c r="AU334" s="8" t="n">
        <f aca="false">IF(MAX($BE$2:$BE$921)=MIN($BE$2:$BE$921),50,ROUND((BE334-MIN($BE$2:$BE$921))/(MAX($BE$2:$BE$921)-MIN($BE$2:$BE$921))*100,2))</f>
        <v>71.13</v>
      </c>
      <c r="AV334" s="8" t="n">
        <f aca="false">IF(MAX($AD$2:$AD$921)=MIN($AD$2:$AD$921),50,ROUND((AD334-MIN($AD$2:$AD$921))/(MAX($AD$2:$AD$921)-MIN($AD$2:$AD$921))*100,2))</f>
        <v>8.15</v>
      </c>
      <c r="AW334" s="8" t="n">
        <f aca="false">IF(MAX($AN$2:$AN$921)=MIN($AN$2:$AN$921),50,ROUND((AN334-MIN($AN$2:$AN$921))/(MAX($AN$2:$AN$921)-MIN($AN$2:$AN$921))*100,2))</f>
        <v>75</v>
      </c>
      <c r="AX334" s="8" t="n">
        <f aca="false">AQ334*100</f>
        <v>0</v>
      </c>
      <c r="AY334" s="8" t="n">
        <f aca="false">AR334*100</f>
        <v>100</v>
      </c>
      <c r="AZ334" s="8" t="n">
        <f aca="false">IFERROR(ROUND(AS334*Assumptions!$I$6+AW334*Assumptions!$I$7+AT334*Assumptions!$I$8+AU334*Assumptions!$I$9+AV334*Assumptions!$I$10+AX334*Assumptions!$I$11+AY334*Assumptions!$I$12,2),"")</f>
        <v>59.34</v>
      </c>
      <c r="BA334" s="0" t="str">
        <f aca="false">IF(AZ334="","",IF(AZ334&lt;=Assumptions!$I$18,"Below Expectation",IF(AZ334&lt;=Assumptions!$I$19,"Developing",IF(AZ334&lt;=Assumptions!$I$20,"Meets Expectation",IF(AZ334&lt;=Assumptions!$I$21,"Exceeds","Star Performer")))))</f>
        <v>Meets Expectation</v>
      </c>
      <c r="BB334" s="0" t="n">
        <f aca="false">IF(AZ334="",0,IF(AZ334&gt;=Assumptions!$I$26,1,0))</f>
        <v>0</v>
      </c>
      <c r="BC334" s="9" t="n">
        <f aca="false">IF(AL334="",2,AL334+2)</f>
        <v>2</v>
      </c>
      <c r="BD334" s="10" t="n">
        <f aca="false">IF(AM334="",ROUND(AVERAGE($AM$2:$AM$921),3),AM334)</f>
        <v>0.5</v>
      </c>
      <c r="BE334" s="9" t="n">
        <f aca="false">1-BD334</f>
        <v>0.5</v>
      </c>
    </row>
    <row r="335" customFormat="false" ht="14.25" hidden="true" customHeight="false" outlineLevel="0" collapsed="false">
      <c r="A335" s="4" t="n">
        <v>754</v>
      </c>
      <c r="B335" s="5" t="n">
        <v>55081846</v>
      </c>
      <c r="C335" s="5" t="s">
        <v>85</v>
      </c>
      <c r="D335" s="5" t="s">
        <v>1543</v>
      </c>
      <c r="E335" s="5" t="s">
        <v>87</v>
      </c>
      <c r="F335" s="5" t="s">
        <v>705</v>
      </c>
      <c r="G335" s="5" t="s">
        <v>706</v>
      </c>
      <c r="H335" s="5" t="s">
        <v>707</v>
      </c>
      <c r="I335" s="5" t="s">
        <v>63</v>
      </c>
      <c r="J335" s="5" t="s">
        <v>76</v>
      </c>
      <c r="K335" s="5" t="s">
        <v>65</v>
      </c>
      <c r="L335" s="6" t="n">
        <v>42268</v>
      </c>
      <c r="M335" s="5" t="s">
        <v>1544</v>
      </c>
      <c r="N335" s="6" t="n">
        <v>30840</v>
      </c>
      <c r="O335" s="5" t="s">
        <v>332</v>
      </c>
      <c r="P335" s="5" t="s">
        <v>333</v>
      </c>
      <c r="Q335" s="5" t="s">
        <v>1188</v>
      </c>
      <c r="R335" s="5" t="s">
        <v>1534</v>
      </c>
      <c r="S335" s="5" t="s">
        <v>1545</v>
      </c>
      <c r="T335" s="6"/>
      <c r="U335" s="6" t="n">
        <v>45170</v>
      </c>
      <c r="V335" s="5"/>
      <c r="W335" s="5"/>
      <c r="X335" s="5" t="s">
        <v>141</v>
      </c>
      <c r="Y335" s="5" t="s">
        <v>83</v>
      </c>
      <c r="Z335" s="5" t="s">
        <v>141</v>
      </c>
      <c r="AA335" s="5" t="s">
        <v>1546</v>
      </c>
      <c r="AB335" s="0" t="n">
        <f aca="false">IFERROR(VALUE(R335),0)</f>
        <v>4.1</v>
      </c>
      <c r="AC335" s="0" t="n">
        <f aca="false">IFERROR(VALUE(M335),"")</f>
        <v>42</v>
      </c>
      <c r="AD335" s="0" t="n">
        <f aca="false">IFERROR(VALUE(Q335),"")</f>
        <v>10.8</v>
      </c>
      <c r="AE335" s="0" t="n">
        <f aca="false">IFERROR(VALUE(S335),"")</f>
        <v>14.9</v>
      </c>
      <c r="AF335" s="0" t="str">
        <f aca="false">IF(V335="","",VLOOKUP(V335,Assumptions!$B$6:$C$9,2,FALSE()))</f>
        <v/>
      </c>
      <c r="AG335" s="0" t="str">
        <f aca="false">IF(W335="","",VLOOKUP(W335,Assumptions!$B$6:$C$9,2,FALSE()))</f>
        <v/>
      </c>
      <c r="AH335" s="0" t="n">
        <f aca="false">IF(X335="","",VLOOKUP(X335,Assumptions!$B$6:$C$9,2,FALSE()))</f>
        <v>3</v>
      </c>
      <c r="AI335" s="0" t="n">
        <f aca="false">IF(Y335="","",VLOOKUP(Y335,Assumptions!$B$6:$C$9,2,FALSE()))</f>
        <v>4</v>
      </c>
      <c r="AJ335" s="0" t="n">
        <f aca="false">IF(Z335="","",VLOOKUP(Z335,Assumptions!$B$6:$C$9,2,FALSE()))</f>
        <v>3</v>
      </c>
      <c r="AK335" s="7" t="n">
        <f aca="false">IFERROR(ROUND(AVERAGE(AF335:AJ335),3),"")</f>
        <v>3.333</v>
      </c>
      <c r="AL335" s="7" t="str">
        <f aca="false">IF(OR(AF335="",AJ335=""),"",AJ335-AF335)</f>
        <v/>
      </c>
      <c r="AM335" s="7" t="n">
        <f aca="false">IF(COUNT(AF335:AJ335)&gt;=2,ROUND(_xlfn.STDEV.S(AF335:AJ335),3),"")</f>
        <v>0.577</v>
      </c>
      <c r="AN335" s="7" t="n">
        <f aca="false">ROUND((IF(AF335="",0,AF335)*Assumptions!$F$15)+(IF(AG335="",0,AG335)*Assumptions!$F$16)+(IF(AH335="",0,AH335)*Assumptions!$F$17)+(IF(AI335="",0,AI335)*Assumptions!$F$18)+(IF(AJ335="",0,AJ335)*Assumptions!$F$19),3)</f>
        <v>2.5</v>
      </c>
      <c r="AO335" s="0" t="str">
        <f aca="false">IF(AC335&lt;=20,"",IF(AC335&lt;=Assumptions!$F$6,"20-30",IF(AC335&lt;=Assumptions!$F$7,"30-40",IF(AC335&lt;=Assumptions!$F$8,"40-50",IF(AC335&lt;=Assumptions!$F$9,"50-60",IF(AC335&lt;=Assumptions!$F$10,"60+",""))))))</f>
        <v>40-50</v>
      </c>
      <c r="AP335" s="0" t="str">
        <f aca="false">IFERROR(VLOOKUP(O335,Assumptions!$B$14:$C$26,2,FALSE()),"Other")</f>
        <v>Manager</v>
      </c>
      <c r="AQ335" s="0" t="n">
        <f aca="false">IF(T335="",0,1)</f>
        <v>0</v>
      </c>
      <c r="AR335" s="0" t="n">
        <f aca="false">IF(U335="",0,1)</f>
        <v>1</v>
      </c>
      <c r="AS335" s="8" t="n">
        <f aca="false">IF(AK335="","",IF(MAX($AK$2:$AK$921)=MIN($AK$2:$AK$921),50,ROUND((AK335-MIN($AK$2:$AK$921))/(MAX($AK$2:$AK$921)-MIN($AK$2:$AK$921))*100,2)))</f>
        <v>71.41</v>
      </c>
      <c r="AT335" s="8" t="n">
        <f aca="false">IF(MAX($BC$2:$BC$921)=MIN($BC$2:$BC$921),50,ROUND((BC335-MIN($BC$2:$BC$921))/(MAX($BC$2:$BC$921)-MIN($BC$2:$BC$921))*100,2))</f>
        <v>50</v>
      </c>
      <c r="AU335" s="8" t="n">
        <f aca="false">IF(MAX($BE$2:$BE$921)=MIN($BE$2:$BE$921),50,ROUND((BE335-MIN($BE$2:$BE$921))/(MAX($BE$2:$BE$921)-MIN($BE$2:$BE$921))*100,2))</f>
        <v>66.69</v>
      </c>
      <c r="AV335" s="8" t="n">
        <f aca="false">IF(MAX($AD$2:$AD$921)=MIN($AD$2:$AD$921),50,ROUND((AD335-MIN($AD$2:$AD$921))/(MAX($AD$2:$AD$921)-MIN($AD$2:$AD$921))*100,2))</f>
        <v>29.06</v>
      </c>
      <c r="AW335" s="8" t="n">
        <f aca="false">IF(MAX($AN$2:$AN$921)=MIN($AN$2:$AN$921),50,ROUND((AN335-MIN($AN$2:$AN$921))/(MAX($AN$2:$AN$921)-MIN($AN$2:$AN$921))*100,2))</f>
        <v>62.5</v>
      </c>
      <c r="AX335" s="8" t="n">
        <f aca="false">AQ335*100</f>
        <v>0</v>
      </c>
      <c r="AY335" s="8" t="n">
        <f aca="false">AR335*100</f>
        <v>100</v>
      </c>
      <c r="AZ335" s="8" t="n">
        <f aca="false">IFERROR(ROUND(AS335*Assumptions!$I$6+AW335*Assumptions!$I$7+AT335*Assumptions!$I$8+AU335*Assumptions!$I$9+AV335*Assumptions!$I$10+AX335*Assumptions!$I$11+AY335*Assumptions!$I$12,2),"")</f>
        <v>59.33</v>
      </c>
      <c r="BA335" s="0" t="str">
        <f aca="false">IF(AZ335="","",IF(AZ335&lt;=Assumptions!$I$18,"Below Expectation",IF(AZ335&lt;=Assumptions!$I$19,"Developing",IF(AZ335&lt;=Assumptions!$I$20,"Meets Expectation",IF(AZ335&lt;=Assumptions!$I$21,"Exceeds","Star Performer")))))</f>
        <v>Meets Expectation</v>
      </c>
      <c r="BB335" s="0" t="n">
        <f aca="false">IF(AZ335="",0,IF(AZ335&gt;=Assumptions!$I$26,1,0))</f>
        <v>0</v>
      </c>
      <c r="BC335" s="9" t="n">
        <f aca="false">IF(AL335="",2,AL335+2)</f>
        <v>2</v>
      </c>
      <c r="BD335" s="10" t="n">
        <f aca="false">IF(AM335="",ROUND(AVERAGE($AM$2:$AM$921),3),AM335)</f>
        <v>0.577</v>
      </c>
      <c r="BE335" s="9" t="n">
        <f aca="false">1-BD335</f>
        <v>0.423</v>
      </c>
    </row>
    <row r="336" customFormat="false" ht="14.25" hidden="false" customHeight="false" outlineLevel="0" collapsed="false">
      <c r="A336" s="4" t="n">
        <v>641</v>
      </c>
      <c r="B336" s="5" t="n">
        <v>55056292</v>
      </c>
      <c r="C336" s="5" t="s">
        <v>106</v>
      </c>
      <c r="D336" s="5" t="s">
        <v>1547</v>
      </c>
      <c r="E336" s="5" t="s">
        <v>108</v>
      </c>
      <c r="F336" s="5" t="s">
        <v>463</v>
      </c>
      <c r="G336" s="5" t="s">
        <v>589</v>
      </c>
      <c r="H336" s="5" t="s">
        <v>590</v>
      </c>
      <c r="I336" s="5" t="s">
        <v>63</v>
      </c>
      <c r="J336" s="5" t="s">
        <v>112</v>
      </c>
      <c r="K336" s="5" t="s">
        <v>309</v>
      </c>
      <c r="L336" s="6" t="n">
        <v>44795</v>
      </c>
      <c r="M336" s="5" t="s">
        <v>226</v>
      </c>
      <c r="N336" s="6" t="n">
        <v>36801</v>
      </c>
      <c r="O336" s="5" t="s">
        <v>585</v>
      </c>
      <c r="P336" s="5" t="s">
        <v>586</v>
      </c>
      <c r="Q336" s="5" t="s">
        <v>231</v>
      </c>
      <c r="R336" s="5" t="s">
        <v>115</v>
      </c>
      <c r="S336" s="5" t="s">
        <v>231</v>
      </c>
      <c r="T336" s="6"/>
      <c r="U336" s="6" t="n">
        <v>45992</v>
      </c>
      <c r="V336" s="5"/>
      <c r="W336" s="5" t="s">
        <v>141</v>
      </c>
      <c r="X336" s="5" t="s">
        <v>141</v>
      </c>
      <c r="Y336" s="5" t="s">
        <v>83</v>
      </c>
      <c r="Z336" s="5" t="s">
        <v>141</v>
      </c>
      <c r="AA336" s="5" t="s">
        <v>1548</v>
      </c>
      <c r="AB336" s="0" t="n">
        <f aca="false">IFERROR(VALUE(R336),0)</f>
        <v>0</v>
      </c>
      <c r="AC336" s="0" t="n">
        <f aca="false">IFERROR(VALUE(M336),"")</f>
        <v>25.8</v>
      </c>
      <c r="AD336" s="0" t="n">
        <f aca="false">IFERROR(VALUE(Q336),"")</f>
        <v>3.9</v>
      </c>
      <c r="AE336" s="0" t="n">
        <f aca="false">IFERROR(VALUE(S336),"")</f>
        <v>3.9</v>
      </c>
      <c r="AF336" s="0" t="str">
        <f aca="false">IF(V336="","",VLOOKUP(V336,Assumptions!$B$6:$C$9,2,FALSE()))</f>
        <v/>
      </c>
      <c r="AG336" s="0" t="n">
        <f aca="false">IF(W336="","",VLOOKUP(W336,Assumptions!$B$6:$C$9,2,FALSE()))</f>
        <v>3</v>
      </c>
      <c r="AH336" s="0" t="n">
        <f aca="false">IF(X336="","",VLOOKUP(X336,Assumptions!$B$6:$C$9,2,FALSE()))</f>
        <v>3</v>
      </c>
      <c r="AI336" s="0" t="n">
        <f aca="false">IF(Y336="","",VLOOKUP(Y336,Assumptions!$B$6:$C$9,2,FALSE()))</f>
        <v>4</v>
      </c>
      <c r="AJ336" s="0" t="n">
        <f aca="false">IF(Z336="","",VLOOKUP(Z336,Assumptions!$B$6:$C$9,2,FALSE()))</f>
        <v>3</v>
      </c>
      <c r="AK336" s="7" t="n">
        <f aca="false">IFERROR(ROUND(AVERAGE(AF336:AJ336),3),"")</f>
        <v>3.25</v>
      </c>
      <c r="AL336" s="7" t="str">
        <f aca="false">IF(OR(AF336="",AJ336=""),"",AJ336-AF336)</f>
        <v/>
      </c>
      <c r="AM336" s="7" t="n">
        <f aca="false">IF(COUNT(AF336:AJ336)&gt;=2,ROUND(_xlfn.STDEV.S(AF336:AJ336),3),"")</f>
        <v>0.5</v>
      </c>
      <c r="AN336" s="7" t="n">
        <f aca="false">ROUND((IF(AF336="",0,AF336)*Assumptions!$F$15)+(IF(AG336="",0,AG336)*Assumptions!$F$16)+(IF(AH336="",0,AH336)*Assumptions!$F$17)+(IF(AI336="",0,AI336)*Assumptions!$F$18)+(IF(AJ336="",0,AJ336)*Assumptions!$F$19),3)</f>
        <v>2.95</v>
      </c>
      <c r="AO336" s="0" t="str">
        <f aca="false">IF(AC336&lt;=20,"",IF(AC336&lt;=Assumptions!$F$6,"20-30",IF(AC336&lt;=Assumptions!$F$7,"30-40",IF(AC336&lt;=Assumptions!$F$8,"40-50",IF(AC336&lt;=Assumptions!$F$9,"50-60",IF(AC336&lt;=Assumptions!$F$10,"60+",""))))))</f>
        <v>20-30</v>
      </c>
      <c r="AP336" s="0" t="str">
        <f aca="false">IFERROR(VLOOKUP(O336,Assumptions!$B$14:$C$26,2,FALSE()),"Other")</f>
        <v>Manager</v>
      </c>
      <c r="AQ336" s="0" t="n">
        <f aca="false">IF(T336="",0,1)</f>
        <v>0</v>
      </c>
      <c r="AR336" s="0" t="n">
        <f aca="false">IF(U336="",0,1)</f>
        <v>1</v>
      </c>
      <c r="AS336" s="8" t="n">
        <f aca="false">IF(AK336="","",IF(MAX($AK$2:$AK$921)=MIN($AK$2:$AK$921),50,ROUND((AK336-MIN($AK$2:$AK$921))/(MAX($AK$2:$AK$921)-MIN($AK$2:$AK$921))*100,2)))</f>
        <v>67.85</v>
      </c>
      <c r="AT336" s="8" t="n">
        <f aca="false">IF(MAX($BC$2:$BC$921)=MIN($BC$2:$BC$921),50,ROUND((BC336-MIN($BC$2:$BC$921))/(MAX($BC$2:$BC$921)-MIN($BC$2:$BC$921))*100,2))</f>
        <v>50</v>
      </c>
      <c r="AU336" s="8" t="n">
        <f aca="false">IF(MAX($BE$2:$BE$921)=MIN($BE$2:$BE$921),50,ROUND((BE336-MIN($BE$2:$BE$921))/(MAX($BE$2:$BE$921)-MIN($BE$2:$BE$921))*100,2))</f>
        <v>71.13</v>
      </c>
      <c r="AV336" s="8" t="n">
        <f aca="false">IF(MAX($AD$2:$AD$921)=MIN($AD$2:$AD$921),50,ROUND((AD336-MIN($AD$2:$AD$921))/(MAX($AD$2:$AD$921)-MIN($AD$2:$AD$921))*100,2))</f>
        <v>10.3</v>
      </c>
      <c r="AW336" s="8" t="n">
        <f aca="false">IF(MAX($AN$2:$AN$921)=MIN($AN$2:$AN$921),50,ROUND((AN336-MIN($AN$2:$AN$921))/(MAX($AN$2:$AN$921)-MIN($AN$2:$AN$921))*100,2))</f>
        <v>73.75</v>
      </c>
      <c r="AX336" s="8" t="n">
        <f aca="false">AQ336*100</f>
        <v>0</v>
      </c>
      <c r="AY336" s="8" t="n">
        <f aca="false">AR336*100</f>
        <v>100</v>
      </c>
      <c r="AZ336" s="8" t="n">
        <f aca="false">IFERROR(ROUND(AS336*Assumptions!$I$6+AW336*Assumptions!$I$7+AT336*Assumptions!$I$8+AU336*Assumptions!$I$9+AV336*Assumptions!$I$10+AX336*Assumptions!$I$11+AY336*Assumptions!$I$12,2),"")</f>
        <v>59.3</v>
      </c>
      <c r="BA336" s="0" t="str">
        <f aca="false">IF(AZ336="","",IF(AZ336&lt;=Assumptions!$I$18,"Below Expectation",IF(AZ336&lt;=Assumptions!$I$19,"Developing",IF(AZ336&lt;=Assumptions!$I$20,"Meets Expectation",IF(AZ336&lt;=Assumptions!$I$21,"Exceeds","Star Performer")))))</f>
        <v>Meets Expectation</v>
      </c>
      <c r="BB336" s="0" t="n">
        <f aca="false">IF(AZ336="",0,IF(AZ336&gt;=Assumptions!$I$26,1,0))</f>
        <v>0</v>
      </c>
      <c r="BC336" s="9" t="n">
        <f aca="false">IF(AL336="",2,AL336+2)</f>
        <v>2</v>
      </c>
      <c r="BD336" s="10" t="n">
        <f aca="false">IF(AM336="",ROUND(AVERAGE($AM$2:$AM$921),3),AM336)</f>
        <v>0.5</v>
      </c>
      <c r="BE336" s="9" t="n">
        <f aca="false">1-BD336</f>
        <v>0.5</v>
      </c>
    </row>
    <row r="337" customFormat="false" ht="14.25" hidden="true" customHeight="false" outlineLevel="0" collapsed="false">
      <c r="A337" s="4" t="n">
        <v>48</v>
      </c>
      <c r="B337" s="5" t="n">
        <v>10010240</v>
      </c>
      <c r="C337" s="5" t="s">
        <v>85</v>
      </c>
      <c r="D337" s="5" t="s">
        <v>1549</v>
      </c>
      <c r="E337" s="5" t="s">
        <v>1289</v>
      </c>
      <c r="F337" s="5" t="s">
        <v>178</v>
      </c>
      <c r="G337" s="5" t="s">
        <v>177</v>
      </c>
      <c r="H337" s="5" t="s">
        <v>178</v>
      </c>
      <c r="I337" s="5" t="s">
        <v>63</v>
      </c>
      <c r="J337" s="5" t="s">
        <v>76</v>
      </c>
      <c r="K337" s="5" t="s">
        <v>65</v>
      </c>
      <c r="L337" s="6" t="n">
        <v>37653</v>
      </c>
      <c r="M337" s="5" t="s">
        <v>1516</v>
      </c>
      <c r="N337" s="6" t="n">
        <v>27119</v>
      </c>
      <c r="O337" s="5" t="s">
        <v>122</v>
      </c>
      <c r="P337" s="5" t="s">
        <v>123</v>
      </c>
      <c r="Q337" s="5" t="s">
        <v>1550</v>
      </c>
      <c r="R337" s="5" t="s">
        <v>726</v>
      </c>
      <c r="S337" s="5" t="s">
        <v>1551</v>
      </c>
      <c r="T337" s="6" t="n">
        <v>40269</v>
      </c>
      <c r="U337" s="6" t="n">
        <v>44652</v>
      </c>
      <c r="V337" s="5" t="s">
        <v>141</v>
      </c>
      <c r="W337" s="5" t="s">
        <v>141</v>
      </c>
      <c r="X337" s="5" t="s">
        <v>141</v>
      </c>
      <c r="Y337" s="5" t="s">
        <v>141</v>
      </c>
      <c r="Z337" s="5" t="s">
        <v>631</v>
      </c>
      <c r="AA337" s="5" t="s">
        <v>1552</v>
      </c>
      <c r="AB337" s="0" t="n">
        <f aca="false">IFERROR(VALUE(R337),0)</f>
        <v>5.5</v>
      </c>
      <c r="AC337" s="0" t="n">
        <f aca="false">IFERROR(VALUE(M337),"")</f>
        <v>52.2</v>
      </c>
      <c r="AD337" s="0" t="n">
        <f aca="false">IFERROR(VALUE(Q337),"")</f>
        <v>23.4</v>
      </c>
      <c r="AE337" s="0" t="n">
        <f aca="false">IFERROR(VALUE(S337),"")</f>
        <v>28.9</v>
      </c>
      <c r="AF337" s="0" t="n">
        <f aca="false">IF(V337="","",VLOOKUP(V337,Assumptions!$B$6:$C$9,2,FALSE()))</f>
        <v>3</v>
      </c>
      <c r="AG337" s="0" t="n">
        <f aca="false">IF(W337="","",VLOOKUP(W337,Assumptions!$B$6:$C$9,2,FALSE()))</f>
        <v>3</v>
      </c>
      <c r="AH337" s="0" t="n">
        <f aca="false">IF(X337="","",VLOOKUP(X337,Assumptions!$B$6:$C$9,2,FALSE()))</f>
        <v>3</v>
      </c>
      <c r="AI337" s="0" t="n">
        <f aca="false">IF(Y337="","",VLOOKUP(Y337,Assumptions!$B$6:$C$9,2,FALSE()))</f>
        <v>3</v>
      </c>
      <c r="AJ337" s="0" t="n">
        <f aca="false">IF(Z337="","",VLOOKUP(Z337,Assumptions!$B$6:$C$9,2,FALSE()))</f>
        <v>2</v>
      </c>
      <c r="AK337" s="7" t="n">
        <f aca="false">IFERROR(ROUND(AVERAGE(AF337:AJ337),3),"")</f>
        <v>2.8</v>
      </c>
      <c r="AL337" s="7" t="n">
        <f aca="false">IF(OR(AF337="",AJ337=""),"",AJ337-AF337)</f>
        <v>-1</v>
      </c>
      <c r="AM337" s="7" t="n">
        <f aca="false">IF(COUNT(AF337:AJ337)&gt;=2,ROUND(_xlfn.STDEV.S(AF337:AJ337),3),"")</f>
        <v>0.447</v>
      </c>
      <c r="AN337" s="7" t="n">
        <f aca="false">ROUND((IF(AF337="",0,AF337)*Assumptions!$F$15)+(IF(AG337="",0,AG337)*Assumptions!$F$16)+(IF(AH337="",0,AH337)*Assumptions!$F$17)+(IF(AI337="",0,AI337)*Assumptions!$F$18)+(IF(AJ337="",0,AJ337)*Assumptions!$F$19),3)</f>
        <v>2.7</v>
      </c>
      <c r="AO337" s="0" t="str">
        <f aca="false">IF(AC337&lt;=20,"",IF(AC337&lt;=Assumptions!$F$6,"20-30",IF(AC337&lt;=Assumptions!$F$7,"30-40",IF(AC337&lt;=Assumptions!$F$8,"40-50",IF(AC337&lt;=Assumptions!$F$9,"50-60",IF(AC337&lt;=Assumptions!$F$10,"60+",""))))))</f>
        <v>50-60</v>
      </c>
      <c r="AP337" s="0" t="str">
        <f aca="false">IFERROR(VLOOKUP(O337,Assumptions!$B$14:$C$26,2,FALSE()),"Other")</f>
        <v>Leadership</v>
      </c>
      <c r="AQ337" s="0" t="n">
        <f aca="false">IF(T337="",0,1)</f>
        <v>1</v>
      </c>
      <c r="AR337" s="0" t="n">
        <f aca="false">IF(U337="",0,1)</f>
        <v>1</v>
      </c>
      <c r="AS337" s="8" t="n">
        <f aca="false">IF(AK337="","",IF(MAX($AK$2:$AK$921)=MIN($AK$2:$AK$921),50,ROUND((AK337-MIN($AK$2:$AK$921))/(MAX($AK$2:$AK$921)-MIN($AK$2:$AK$921))*100,2)))</f>
        <v>48.56</v>
      </c>
      <c r="AT337" s="8" t="n">
        <f aca="false">IF(MAX($BC$2:$BC$921)=MIN($BC$2:$BC$921),50,ROUND((BC337-MIN($BC$2:$BC$921))/(MAX($BC$2:$BC$921)-MIN($BC$2:$BC$921))*100,2))</f>
        <v>25</v>
      </c>
      <c r="AU337" s="8" t="n">
        <f aca="false">IF(MAX($BE$2:$BE$921)=MIN($BE$2:$BE$921),50,ROUND((BE337-MIN($BE$2:$BE$921))/(MAX($BE$2:$BE$921)-MIN($BE$2:$BE$921))*100,2))</f>
        <v>74.19</v>
      </c>
      <c r="AV337" s="8" t="n">
        <f aca="false">IF(MAX($AD$2:$AD$921)=MIN($AD$2:$AD$921),50,ROUND((AD337-MIN($AD$2:$AD$921))/(MAX($AD$2:$AD$921)-MIN($AD$2:$AD$921))*100,2))</f>
        <v>63.31</v>
      </c>
      <c r="AW337" s="8" t="n">
        <f aca="false">IF(MAX($AN$2:$AN$921)=MIN($AN$2:$AN$921),50,ROUND((AN337-MIN($AN$2:$AN$921))/(MAX($AN$2:$AN$921)-MIN($AN$2:$AN$921))*100,2))</f>
        <v>67.5</v>
      </c>
      <c r="AX337" s="8" t="n">
        <f aca="false">AQ337*100</f>
        <v>100</v>
      </c>
      <c r="AY337" s="8" t="n">
        <f aca="false">AR337*100</f>
        <v>100</v>
      </c>
      <c r="AZ337" s="8" t="n">
        <f aca="false">IFERROR(ROUND(AS337*Assumptions!$I$6+AW337*Assumptions!$I$7+AT337*Assumptions!$I$8+AU337*Assumptions!$I$9+AV337*Assumptions!$I$10+AX337*Assumptions!$I$11+AY337*Assumptions!$I$12,2),"")</f>
        <v>59.28</v>
      </c>
      <c r="BA337" s="0" t="str">
        <f aca="false">IF(AZ337="","",IF(AZ337&lt;=Assumptions!$I$18,"Below Expectation",IF(AZ337&lt;=Assumptions!$I$19,"Developing",IF(AZ337&lt;=Assumptions!$I$20,"Meets Expectation",IF(AZ337&lt;=Assumptions!$I$21,"Exceeds","Star Performer")))))</f>
        <v>Meets Expectation</v>
      </c>
      <c r="BB337" s="0" t="n">
        <f aca="false">IF(AZ337="",0,IF(AZ337&gt;=Assumptions!$I$26,1,0))</f>
        <v>0</v>
      </c>
      <c r="BC337" s="9" t="n">
        <f aca="false">IF(AL337="",2,AL337+2)</f>
        <v>1</v>
      </c>
      <c r="BD337" s="10" t="n">
        <f aca="false">IF(AM337="",ROUND(AVERAGE($AM$2:$AM$921),3),AM337)</f>
        <v>0.447</v>
      </c>
      <c r="BE337" s="9" t="n">
        <f aca="false">1-BD337</f>
        <v>0.553</v>
      </c>
    </row>
    <row r="338" customFormat="false" ht="14.25" hidden="true" customHeight="false" outlineLevel="0" collapsed="false">
      <c r="A338" s="4" t="n">
        <v>248</v>
      </c>
      <c r="B338" s="5" t="n">
        <v>10065625</v>
      </c>
      <c r="C338" s="5" t="s">
        <v>526</v>
      </c>
      <c r="D338" s="5" t="s">
        <v>1553</v>
      </c>
      <c r="E338" s="5" t="s">
        <v>528</v>
      </c>
      <c r="F338" s="5" t="s">
        <v>483</v>
      </c>
      <c r="G338" s="5" t="s">
        <v>484</v>
      </c>
      <c r="H338" s="5" t="s">
        <v>483</v>
      </c>
      <c r="I338" s="5" t="s">
        <v>63</v>
      </c>
      <c r="J338" s="5" t="s">
        <v>100</v>
      </c>
      <c r="K338" s="5" t="s">
        <v>65</v>
      </c>
      <c r="L338" s="6" t="n">
        <v>43355</v>
      </c>
      <c r="M338" s="5" t="s">
        <v>907</v>
      </c>
      <c r="N338" s="6" t="n">
        <v>29969</v>
      </c>
      <c r="O338" s="5" t="s">
        <v>365</v>
      </c>
      <c r="P338" s="5" t="s">
        <v>365</v>
      </c>
      <c r="Q338" s="5" t="s">
        <v>392</v>
      </c>
      <c r="R338" s="5" t="s">
        <v>547</v>
      </c>
      <c r="S338" s="5" t="s">
        <v>1043</v>
      </c>
      <c r="T338" s="6"/>
      <c r="U338" s="6"/>
      <c r="V338" s="5" t="s">
        <v>83</v>
      </c>
      <c r="W338" s="5" t="s">
        <v>141</v>
      </c>
      <c r="X338" s="5" t="s">
        <v>141</v>
      </c>
      <c r="Y338" s="5" t="s">
        <v>141</v>
      </c>
      <c r="Z338" s="5" t="s">
        <v>83</v>
      </c>
      <c r="AA338" s="5" t="s">
        <v>1554</v>
      </c>
      <c r="AB338" s="0" t="n">
        <f aca="false">IFERROR(VALUE(R338),0)</f>
        <v>14.2</v>
      </c>
      <c r="AC338" s="0" t="n">
        <f aca="false">IFERROR(VALUE(M338),"")</f>
        <v>44.4</v>
      </c>
      <c r="AD338" s="0" t="n">
        <f aca="false">IFERROR(VALUE(Q338),"")</f>
        <v>7.8</v>
      </c>
      <c r="AE338" s="0" t="n">
        <f aca="false">IFERROR(VALUE(S338),"")</f>
        <v>21.1</v>
      </c>
      <c r="AF338" s="0" t="n">
        <f aca="false">IF(V338="","",VLOOKUP(V338,Assumptions!$B$6:$C$9,2,FALSE()))</f>
        <v>4</v>
      </c>
      <c r="AG338" s="0" t="n">
        <f aca="false">IF(W338="","",VLOOKUP(W338,Assumptions!$B$6:$C$9,2,FALSE()))</f>
        <v>3</v>
      </c>
      <c r="AH338" s="0" t="n">
        <f aca="false">IF(X338="","",VLOOKUP(X338,Assumptions!$B$6:$C$9,2,FALSE()))</f>
        <v>3</v>
      </c>
      <c r="AI338" s="0" t="n">
        <f aca="false">IF(Y338="","",VLOOKUP(Y338,Assumptions!$B$6:$C$9,2,FALSE()))</f>
        <v>3</v>
      </c>
      <c r="AJ338" s="0" t="n">
        <f aca="false">IF(Z338="","",VLOOKUP(Z338,Assumptions!$B$6:$C$9,2,FALSE()))</f>
        <v>4</v>
      </c>
      <c r="AK338" s="7" t="n">
        <f aca="false">IFERROR(ROUND(AVERAGE(AF338:AJ338),3),"")</f>
        <v>3.4</v>
      </c>
      <c r="AL338" s="7" t="n">
        <f aca="false">IF(OR(AF338="",AJ338=""),"",AJ338-AF338)</f>
        <v>0</v>
      </c>
      <c r="AM338" s="7" t="n">
        <f aca="false">IF(COUNT(AF338:AJ338)&gt;=2,ROUND(_xlfn.STDEV.S(AF338:AJ338),3),"")</f>
        <v>0.548</v>
      </c>
      <c r="AN338" s="7" t="n">
        <f aca="false">ROUND((IF(AF338="",0,AF338)*Assumptions!$F$15)+(IF(AG338="",0,AG338)*Assumptions!$F$16)+(IF(AH338="",0,AH338)*Assumptions!$F$17)+(IF(AI338="",0,AI338)*Assumptions!$F$18)+(IF(AJ338="",0,AJ338)*Assumptions!$F$19),3)</f>
        <v>3.4</v>
      </c>
      <c r="AO338" s="0" t="str">
        <f aca="false">IF(AC338&lt;=20,"",IF(AC338&lt;=Assumptions!$F$6,"20-30",IF(AC338&lt;=Assumptions!$F$7,"30-40",IF(AC338&lt;=Assumptions!$F$8,"40-50",IF(AC338&lt;=Assumptions!$F$9,"50-60",IF(AC338&lt;=Assumptions!$F$10,"60+",""))))))</f>
        <v>40-50</v>
      </c>
      <c r="AP338" s="0" t="str">
        <f aca="false">IFERROR(VLOOKUP(O338,Assumptions!$B$14:$C$26,2,FALSE()),"Other")</f>
        <v>Manager</v>
      </c>
      <c r="AQ338" s="0" t="n">
        <f aca="false">IF(T338="",0,1)</f>
        <v>0</v>
      </c>
      <c r="AR338" s="0" t="n">
        <f aca="false">IF(U338="",0,1)</f>
        <v>0</v>
      </c>
      <c r="AS338" s="8" t="n">
        <f aca="false">IF(AK338="","",IF(MAX($AK$2:$AK$921)=MIN($AK$2:$AK$921),50,ROUND((AK338-MIN($AK$2:$AK$921))/(MAX($AK$2:$AK$921)-MIN($AK$2:$AK$921))*100,2)))</f>
        <v>74.28</v>
      </c>
      <c r="AT338" s="8" t="n">
        <f aca="false">IF(MAX($BC$2:$BC$921)=MIN($BC$2:$BC$921),50,ROUND((BC338-MIN($BC$2:$BC$921))/(MAX($BC$2:$BC$921)-MIN($BC$2:$BC$921))*100,2))</f>
        <v>50</v>
      </c>
      <c r="AU338" s="8" t="n">
        <f aca="false">IF(MAX($BE$2:$BE$921)=MIN($BE$2:$BE$921),50,ROUND((BE338-MIN($BE$2:$BE$921))/(MAX($BE$2:$BE$921)-MIN($BE$2:$BE$921))*100,2))</f>
        <v>68.36</v>
      </c>
      <c r="AV338" s="8" t="n">
        <f aca="false">IF(MAX($AD$2:$AD$921)=MIN($AD$2:$AD$921),50,ROUND((AD338-MIN($AD$2:$AD$921))/(MAX($AD$2:$AD$921)-MIN($AD$2:$AD$921))*100,2))</f>
        <v>20.9</v>
      </c>
      <c r="AW338" s="8" t="n">
        <f aca="false">IF(MAX($AN$2:$AN$921)=MIN($AN$2:$AN$921),50,ROUND((AN338-MIN($AN$2:$AN$921))/(MAX($AN$2:$AN$921)-MIN($AN$2:$AN$921))*100,2))</f>
        <v>85</v>
      </c>
      <c r="AX338" s="8" t="n">
        <f aca="false">AQ338*100</f>
        <v>0</v>
      </c>
      <c r="AY338" s="8" t="n">
        <f aca="false">AR338*100</f>
        <v>0</v>
      </c>
      <c r="AZ338" s="8" t="n">
        <f aca="false">IFERROR(ROUND(AS338*Assumptions!$I$6+AW338*Assumptions!$I$7+AT338*Assumptions!$I$8+AU338*Assumptions!$I$9+AV338*Assumptions!$I$10+AX338*Assumptions!$I$11+AY338*Assumptions!$I$12,2),"")</f>
        <v>59.13</v>
      </c>
      <c r="BA338" s="0" t="str">
        <f aca="false">IF(AZ338="","",IF(AZ338&lt;=Assumptions!$I$18,"Below Expectation",IF(AZ338&lt;=Assumptions!$I$19,"Developing",IF(AZ338&lt;=Assumptions!$I$20,"Meets Expectation",IF(AZ338&lt;=Assumptions!$I$21,"Exceeds","Star Performer")))))</f>
        <v>Meets Expectation</v>
      </c>
      <c r="BB338" s="0" t="n">
        <f aca="false">IF(AZ338="",0,IF(AZ338&gt;=Assumptions!$I$26,1,0))</f>
        <v>0</v>
      </c>
      <c r="BC338" s="9" t="n">
        <f aca="false">IF(AL338="",2,AL338+2)</f>
        <v>2</v>
      </c>
      <c r="BD338" s="10" t="n">
        <f aca="false">IF(AM338="",ROUND(AVERAGE($AM$2:$AM$921),3),AM338)</f>
        <v>0.548</v>
      </c>
      <c r="BE338" s="9" t="n">
        <f aca="false">1-BD338</f>
        <v>0.452</v>
      </c>
    </row>
    <row r="339" customFormat="false" ht="14.25" hidden="false" customHeight="false" outlineLevel="0" collapsed="false">
      <c r="A339" s="4" t="n">
        <v>919</v>
      </c>
      <c r="B339" s="5" t="n">
        <v>67669184</v>
      </c>
      <c r="C339" s="5" t="s">
        <v>106</v>
      </c>
      <c r="D339" s="5" t="s">
        <v>1555</v>
      </c>
      <c r="E339" s="5" t="s">
        <v>1494</v>
      </c>
      <c r="F339" s="5" t="s">
        <v>1556</v>
      </c>
      <c r="G339" s="5" t="s">
        <v>1557</v>
      </c>
      <c r="H339" s="5" t="s">
        <v>1558</v>
      </c>
      <c r="I339" s="5" t="s">
        <v>63</v>
      </c>
      <c r="J339" s="5" t="s">
        <v>112</v>
      </c>
      <c r="K339" s="5" t="s">
        <v>65</v>
      </c>
      <c r="L339" s="6" t="n">
        <v>44746</v>
      </c>
      <c r="M339" s="5" t="s">
        <v>852</v>
      </c>
      <c r="N339" s="6" t="n">
        <v>33037</v>
      </c>
      <c r="O339" s="5" t="s">
        <v>1264</v>
      </c>
      <c r="P339" s="5" t="s">
        <v>1559</v>
      </c>
      <c r="Q339" s="5" t="s">
        <v>345</v>
      </c>
      <c r="R339" s="5" t="s">
        <v>711</v>
      </c>
      <c r="S339" s="5" t="s">
        <v>360</v>
      </c>
      <c r="T339" s="6"/>
      <c r="U339" s="6" t="n">
        <v>46082</v>
      </c>
      <c r="V339" s="5"/>
      <c r="W339" s="5" t="s">
        <v>141</v>
      </c>
      <c r="X339" s="5" t="s">
        <v>141</v>
      </c>
      <c r="Y339" s="5" t="s">
        <v>83</v>
      </c>
      <c r="Z339" s="5" t="s">
        <v>141</v>
      </c>
      <c r="AA339" s="5" t="s">
        <v>1560</v>
      </c>
      <c r="AB339" s="0" t="n">
        <f aca="false">IFERROR(VALUE(R339),0)</f>
        <v>6.8</v>
      </c>
      <c r="AC339" s="0" t="n">
        <f aca="false">IFERROR(VALUE(M339),"")</f>
        <v>35.11</v>
      </c>
      <c r="AD339" s="0" t="n">
        <f aca="false">IFERROR(VALUE(Q339),"")</f>
        <v>3.11</v>
      </c>
      <c r="AE339" s="0" t="n">
        <f aca="false">IFERROR(VALUE(S339),"")</f>
        <v>10.7</v>
      </c>
      <c r="AF339" s="0" t="str">
        <f aca="false">IF(V339="","",VLOOKUP(V339,Assumptions!$B$6:$C$9,2,FALSE()))</f>
        <v/>
      </c>
      <c r="AG339" s="0" t="n">
        <f aca="false">IF(W339="","",VLOOKUP(W339,Assumptions!$B$6:$C$9,2,FALSE()))</f>
        <v>3</v>
      </c>
      <c r="AH339" s="0" t="n">
        <f aca="false">IF(X339="","",VLOOKUP(X339,Assumptions!$B$6:$C$9,2,FALSE()))</f>
        <v>3</v>
      </c>
      <c r="AI339" s="0" t="n">
        <f aca="false">IF(Y339="","",VLOOKUP(Y339,Assumptions!$B$6:$C$9,2,FALSE()))</f>
        <v>4</v>
      </c>
      <c r="AJ339" s="0" t="n">
        <f aca="false">IF(Z339="","",VLOOKUP(Z339,Assumptions!$B$6:$C$9,2,FALSE()))</f>
        <v>3</v>
      </c>
      <c r="AK339" s="7" t="n">
        <f aca="false">IFERROR(ROUND(AVERAGE(AF339:AJ339),3),"")</f>
        <v>3.25</v>
      </c>
      <c r="AL339" s="7" t="str">
        <f aca="false">IF(OR(AF339="",AJ339=""),"",AJ339-AF339)</f>
        <v/>
      </c>
      <c r="AM339" s="7" t="n">
        <f aca="false">IF(COUNT(AF339:AJ339)&gt;=2,ROUND(_xlfn.STDEV.S(AF339:AJ339),3),"")</f>
        <v>0.5</v>
      </c>
      <c r="AN339" s="7" t="n">
        <f aca="false">ROUND((IF(AF339="",0,AF339)*Assumptions!$F$15)+(IF(AG339="",0,AG339)*Assumptions!$F$16)+(IF(AH339="",0,AH339)*Assumptions!$F$17)+(IF(AI339="",0,AI339)*Assumptions!$F$18)+(IF(AJ339="",0,AJ339)*Assumptions!$F$19),3)</f>
        <v>2.95</v>
      </c>
      <c r="AO339" s="0" t="str">
        <f aca="false">IF(AC339&lt;=20,"",IF(AC339&lt;=Assumptions!$F$6,"20-30",IF(AC339&lt;=Assumptions!$F$7,"30-40",IF(AC339&lt;=Assumptions!$F$8,"40-50",IF(AC339&lt;=Assumptions!$F$9,"50-60",IF(AC339&lt;=Assumptions!$F$10,"60+",""))))))</f>
        <v>30-40</v>
      </c>
      <c r="AP339" s="0" t="str">
        <f aca="false">IFERROR(VLOOKUP(O339,Assumptions!$B$14:$C$26,2,FALSE()),"Other")</f>
        <v>Manager</v>
      </c>
      <c r="AQ339" s="0" t="n">
        <f aca="false">IF(T339="",0,1)</f>
        <v>0</v>
      </c>
      <c r="AR339" s="0" t="n">
        <f aca="false">IF(U339="",0,1)</f>
        <v>1</v>
      </c>
      <c r="AS339" s="8" t="n">
        <f aca="false">IF(AK339="","",IF(MAX($AK$2:$AK$921)=MIN($AK$2:$AK$921),50,ROUND((AK339-MIN($AK$2:$AK$921))/(MAX($AK$2:$AK$921)-MIN($AK$2:$AK$921))*100,2)))</f>
        <v>67.85</v>
      </c>
      <c r="AT339" s="8" t="n">
        <f aca="false">IF(MAX($BC$2:$BC$921)=MIN($BC$2:$BC$921),50,ROUND((BC339-MIN($BC$2:$BC$921))/(MAX($BC$2:$BC$921)-MIN($BC$2:$BC$921))*100,2))</f>
        <v>50</v>
      </c>
      <c r="AU339" s="8" t="n">
        <f aca="false">IF(MAX($BE$2:$BE$921)=MIN($BE$2:$BE$921),50,ROUND((BE339-MIN($BE$2:$BE$921))/(MAX($BE$2:$BE$921)-MIN($BE$2:$BE$921))*100,2))</f>
        <v>71.13</v>
      </c>
      <c r="AV339" s="8" t="n">
        <f aca="false">IF(MAX($AD$2:$AD$921)=MIN($AD$2:$AD$921),50,ROUND((AD339-MIN($AD$2:$AD$921))/(MAX($AD$2:$AD$921)-MIN($AD$2:$AD$921))*100,2))</f>
        <v>8.15</v>
      </c>
      <c r="AW339" s="8" t="n">
        <f aca="false">IF(MAX($AN$2:$AN$921)=MIN($AN$2:$AN$921),50,ROUND((AN339-MIN($AN$2:$AN$921))/(MAX($AN$2:$AN$921)-MIN($AN$2:$AN$921))*100,2))</f>
        <v>73.75</v>
      </c>
      <c r="AX339" s="8" t="n">
        <f aca="false">AQ339*100</f>
        <v>0</v>
      </c>
      <c r="AY339" s="8" t="n">
        <f aca="false">AR339*100</f>
        <v>100</v>
      </c>
      <c r="AZ339" s="8" t="n">
        <f aca="false">IFERROR(ROUND(AS339*Assumptions!$I$6+AW339*Assumptions!$I$7+AT339*Assumptions!$I$8+AU339*Assumptions!$I$9+AV339*Assumptions!$I$10+AX339*Assumptions!$I$11+AY339*Assumptions!$I$12,2),"")</f>
        <v>59.09</v>
      </c>
      <c r="BA339" s="0" t="str">
        <f aca="false">IF(AZ339="","",IF(AZ339&lt;=Assumptions!$I$18,"Below Expectation",IF(AZ339&lt;=Assumptions!$I$19,"Developing",IF(AZ339&lt;=Assumptions!$I$20,"Meets Expectation",IF(AZ339&lt;=Assumptions!$I$21,"Exceeds","Star Performer")))))</f>
        <v>Meets Expectation</v>
      </c>
      <c r="BB339" s="0" t="n">
        <f aca="false">IF(AZ339="",0,IF(AZ339&gt;=Assumptions!$I$26,1,0))</f>
        <v>0</v>
      </c>
      <c r="BC339" s="9" t="n">
        <f aca="false">IF(AL339="",2,AL339+2)</f>
        <v>2</v>
      </c>
      <c r="BD339" s="10" t="n">
        <f aca="false">IF(AM339="",ROUND(AVERAGE($AM$2:$AM$921),3),AM339)</f>
        <v>0.5</v>
      </c>
      <c r="BE339" s="9" t="n">
        <f aca="false">1-BD339</f>
        <v>0.5</v>
      </c>
    </row>
    <row r="340" customFormat="false" ht="14.25" hidden="true" customHeight="false" outlineLevel="0" collapsed="false">
      <c r="A340" s="4" t="n">
        <v>603</v>
      </c>
      <c r="B340" s="5" t="n">
        <v>55052828</v>
      </c>
      <c r="C340" s="5" t="s">
        <v>149</v>
      </c>
      <c r="D340" s="5" t="s">
        <v>1561</v>
      </c>
      <c r="E340" s="5" t="s">
        <v>1226</v>
      </c>
      <c r="F340" s="5" t="s">
        <v>1399</v>
      </c>
      <c r="G340" s="5" t="s">
        <v>1400</v>
      </c>
      <c r="H340" s="5" t="s">
        <v>1399</v>
      </c>
      <c r="I340" s="5" t="s">
        <v>63</v>
      </c>
      <c r="J340" s="5" t="s">
        <v>100</v>
      </c>
      <c r="K340" s="5" t="s">
        <v>65</v>
      </c>
      <c r="L340" s="6" t="n">
        <v>44739</v>
      </c>
      <c r="M340" s="5" t="s">
        <v>1263</v>
      </c>
      <c r="N340" s="6" t="n">
        <v>32217</v>
      </c>
      <c r="O340" s="5" t="s">
        <v>332</v>
      </c>
      <c r="P340" s="5" t="s">
        <v>333</v>
      </c>
      <c r="Q340" s="5" t="s">
        <v>345</v>
      </c>
      <c r="R340" s="5" t="s">
        <v>611</v>
      </c>
      <c r="S340" s="5" t="s">
        <v>599</v>
      </c>
      <c r="T340" s="6"/>
      <c r="U340" s="6" t="n">
        <v>45748</v>
      </c>
      <c r="V340" s="5"/>
      <c r="W340" s="5" t="s">
        <v>141</v>
      </c>
      <c r="X340" s="5" t="s">
        <v>141</v>
      </c>
      <c r="Y340" s="5" t="s">
        <v>141</v>
      </c>
      <c r="Z340" s="5" t="s">
        <v>141</v>
      </c>
      <c r="AA340" s="5" t="s">
        <v>1562</v>
      </c>
      <c r="AB340" s="0" t="n">
        <f aca="false">IFERROR(VALUE(R340),0)</f>
        <v>6</v>
      </c>
      <c r="AC340" s="0" t="n">
        <f aca="false">IFERROR(VALUE(M340),"")</f>
        <v>38.2</v>
      </c>
      <c r="AD340" s="0" t="n">
        <f aca="false">IFERROR(VALUE(Q340),"")</f>
        <v>3.11</v>
      </c>
      <c r="AE340" s="0" t="n">
        <f aca="false">IFERROR(VALUE(S340),"")</f>
        <v>9.11</v>
      </c>
      <c r="AF340" s="0" t="str">
        <f aca="false">IF(V340="","",VLOOKUP(V340,Assumptions!$B$6:$C$9,2,FALSE()))</f>
        <v/>
      </c>
      <c r="AG340" s="0" t="n">
        <f aca="false">IF(W340="","",VLOOKUP(W340,Assumptions!$B$6:$C$9,2,FALSE()))</f>
        <v>3</v>
      </c>
      <c r="AH340" s="0" t="n">
        <f aca="false">IF(X340="","",VLOOKUP(X340,Assumptions!$B$6:$C$9,2,FALSE()))</f>
        <v>3</v>
      </c>
      <c r="AI340" s="0" t="n">
        <f aca="false">IF(Y340="","",VLOOKUP(Y340,Assumptions!$B$6:$C$9,2,FALSE()))</f>
        <v>3</v>
      </c>
      <c r="AJ340" s="0" t="n">
        <f aca="false">IF(Z340="","",VLOOKUP(Z340,Assumptions!$B$6:$C$9,2,FALSE()))</f>
        <v>3</v>
      </c>
      <c r="AK340" s="7" t="n">
        <f aca="false">IFERROR(ROUND(AVERAGE(AF340:AJ340),3),"")</f>
        <v>3</v>
      </c>
      <c r="AL340" s="7" t="str">
        <f aca="false">IF(OR(AF340="",AJ340=""),"",AJ340-AF340)</f>
        <v/>
      </c>
      <c r="AM340" s="7" t="n">
        <f aca="false">IF(COUNT(AF340:AJ340)&gt;=2,ROUND(_xlfn.STDEV.S(AF340:AJ340),3),"")</f>
        <v>0</v>
      </c>
      <c r="AN340" s="7" t="n">
        <f aca="false">ROUND((IF(AF340="",0,AF340)*Assumptions!$F$15)+(IF(AG340="",0,AG340)*Assumptions!$F$16)+(IF(AH340="",0,AH340)*Assumptions!$F$17)+(IF(AI340="",0,AI340)*Assumptions!$F$18)+(IF(AJ340="",0,AJ340)*Assumptions!$F$19),3)</f>
        <v>2.7</v>
      </c>
      <c r="AO340" s="0" t="str">
        <f aca="false">IF(AC340&lt;=20,"",IF(AC340&lt;=Assumptions!$F$6,"20-30",IF(AC340&lt;=Assumptions!$F$7,"30-40",IF(AC340&lt;=Assumptions!$F$8,"40-50",IF(AC340&lt;=Assumptions!$F$9,"50-60",IF(AC340&lt;=Assumptions!$F$10,"60+",""))))))</f>
        <v>30-40</v>
      </c>
      <c r="AP340" s="0" t="str">
        <f aca="false">IFERROR(VLOOKUP(O340,Assumptions!$B$14:$C$26,2,FALSE()),"Other")</f>
        <v>Manager</v>
      </c>
      <c r="AQ340" s="0" t="n">
        <f aca="false">IF(T340="",0,1)</f>
        <v>0</v>
      </c>
      <c r="AR340" s="0" t="n">
        <f aca="false">IF(U340="",0,1)</f>
        <v>1</v>
      </c>
      <c r="AS340" s="8" t="n">
        <f aca="false">IF(AK340="","",IF(MAX($AK$2:$AK$921)=MIN($AK$2:$AK$921),50,ROUND((AK340-MIN($AK$2:$AK$921))/(MAX($AK$2:$AK$921)-MIN($AK$2:$AK$921))*100,2)))</f>
        <v>57.14</v>
      </c>
      <c r="AT340" s="8" t="n">
        <f aca="false">IF(MAX($BC$2:$BC$921)=MIN($BC$2:$BC$921),50,ROUND((BC340-MIN($BC$2:$BC$921))/(MAX($BC$2:$BC$921)-MIN($BC$2:$BC$921))*100,2))</f>
        <v>50</v>
      </c>
      <c r="AU340" s="8" t="n">
        <f aca="false">IF(MAX($BE$2:$BE$921)=MIN($BE$2:$BE$921),50,ROUND((BE340-MIN($BE$2:$BE$921))/(MAX($BE$2:$BE$921)-MIN($BE$2:$BE$921))*100,2))</f>
        <v>100</v>
      </c>
      <c r="AV340" s="8" t="n">
        <f aca="false">IF(MAX($AD$2:$AD$921)=MIN($AD$2:$AD$921),50,ROUND((AD340-MIN($AD$2:$AD$921))/(MAX($AD$2:$AD$921)-MIN($AD$2:$AD$921))*100,2))</f>
        <v>8.15</v>
      </c>
      <c r="AW340" s="8" t="n">
        <f aca="false">IF(MAX($AN$2:$AN$921)=MIN($AN$2:$AN$921),50,ROUND((AN340-MIN($AN$2:$AN$921))/(MAX($AN$2:$AN$921)-MIN($AN$2:$AN$921))*100,2))</f>
        <v>67.5</v>
      </c>
      <c r="AX340" s="8" t="n">
        <f aca="false">AQ340*100</f>
        <v>0</v>
      </c>
      <c r="AY340" s="8" t="n">
        <f aca="false">AR340*100</f>
        <v>100</v>
      </c>
      <c r="AZ340" s="8" t="n">
        <f aca="false">IFERROR(ROUND(AS340*Assumptions!$I$6+AW340*Assumptions!$I$7+AT340*Assumptions!$I$8+AU340*Assumptions!$I$9+AV340*Assumptions!$I$10+AX340*Assumptions!$I$11+AY340*Assumptions!$I$12,2),"")</f>
        <v>58.96</v>
      </c>
      <c r="BA340" s="0" t="str">
        <f aca="false">IF(AZ340="","",IF(AZ340&lt;=Assumptions!$I$18,"Below Expectation",IF(AZ340&lt;=Assumptions!$I$19,"Developing",IF(AZ340&lt;=Assumptions!$I$20,"Meets Expectation",IF(AZ340&lt;=Assumptions!$I$21,"Exceeds","Star Performer")))))</f>
        <v>Meets Expectation</v>
      </c>
      <c r="BB340" s="0" t="n">
        <f aca="false">IF(AZ340="",0,IF(AZ340&gt;=Assumptions!$I$26,1,0))</f>
        <v>0</v>
      </c>
      <c r="BC340" s="9" t="n">
        <f aca="false">IF(AL340="",2,AL340+2)</f>
        <v>2</v>
      </c>
      <c r="BD340" s="10" t="n">
        <f aca="false">IF(AM340="",ROUND(AVERAGE($AM$2:$AM$921),3),AM340)</f>
        <v>0</v>
      </c>
      <c r="BE340" s="9" t="n">
        <f aca="false">1-BD340</f>
        <v>1</v>
      </c>
    </row>
    <row r="341" customFormat="false" ht="14.25" hidden="true" customHeight="false" outlineLevel="0" collapsed="false">
      <c r="A341" s="4" t="n">
        <v>267</v>
      </c>
      <c r="B341" s="5" t="n">
        <v>10067632</v>
      </c>
      <c r="C341" s="5" t="s">
        <v>57</v>
      </c>
      <c r="D341" s="5" t="s">
        <v>1563</v>
      </c>
      <c r="E341" s="5" t="s">
        <v>275</v>
      </c>
      <c r="F341" s="5" t="s">
        <v>608</v>
      </c>
      <c r="G341" s="5" t="s">
        <v>609</v>
      </c>
      <c r="H341" s="5" t="s">
        <v>608</v>
      </c>
      <c r="I341" s="5" t="s">
        <v>63</v>
      </c>
      <c r="J341" s="5" t="s">
        <v>100</v>
      </c>
      <c r="K341" s="5" t="s">
        <v>65</v>
      </c>
      <c r="L341" s="6" t="n">
        <v>43556</v>
      </c>
      <c r="M341" s="5" t="s">
        <v>1418</v>
      </c>
      <c r="N341" s="6" t="n">
        <v>33175</v>
      </c>
      <c r="O341" s="5" t="s">
        <v>365</v>
      </c>
      <c r="P341" s="5" t="s">
        <v>365</v>
      </c>
      <c r="Q341" s="5" t="s">
        <v>541</v>
      </c>
      <c r="R341" s="5" t="s">
        <v>611</v>
      </c>
      <c r="S341" s="5" t="s">
        <v>1362</v>
      </c>
      <c r="T341" s="6"/>
      <c r="U341" s="6"/>
      <c r="V341" s="5" t="s">
        <v>631</v>
      </c>
      <c r="W341" s="5" t="s">
        <v>141</v>
      </c>
      <c r="X341" s="5" t="s">
        <v>141</v>
      </c>
      <c r="Y341" s="5" t="s">
        <v>141</v>
      </c>
      <c r="Z341" s="5" t="s">
        <v>83</v>
      </c>
      <c r="AA341" s="5" t="s">
        <v>1564</v>
      </c>
      <c r="AB341" s="0" t="n">
        <f aca="false">IFERROR(VALUE(R341),0)</f>
        <v>6</v>
      </c>
      <c r="AC341" s="0" t="n">
        <f aca="false">IFERROR(VALUE(M341),"")</f>
        <v>35.7</v>
      </c>
      <c r="AD341" s="0" t="n">
        <f aca="false">IFERROR(VALUE(Q341),"")</f>
        <v>7.2</v>
      </c>
      <c r="AE341" s="0" t="n">
        <f aca="false">IFERROR(VALUE(S341),"")</f>
        <v>13.2</v>
      </c>
      <c r="AF341" s="0" t="n">
        <f aca="false">IF(V341="","",VLOOKUP(V341,Assumptions!$B$6:$C$9,2,FALSE()))</f>
        <v>2</v>
      </c>
      <c r="AG341" s="0" t="n">
        <f aca="false">IF(W341="","",VLOOKUP(W341,Assumptions!$B$6:$C$9,2,FALSE()))</f>
        <v>3</v>
      </c>
      <c r="AH341" s="0" t="n">
        <f aca="false">IF(X341="","",VLOOKUP(X341,Assumptions!$B$6:$C$9,2,FALSE()))</f>
        <v>3</v>
      </c>
      <c r="AI341" s="0" t="n">
        <f aca="false">IF(Y341="","",VLOOKUP(Y341,Assumptions!$B$6:$C$9,2,FALSE()))</f>
        <v>3</v>
      </c>
      <c r="AJ341" s="0" t="n">
        <f aca="false">IF(Z341="","",VLOOKUP(Z341,Assumptions!$B$6:$C$9,2,FALSE()))</f>
        <v>4</v>
      </c>
      <c r="AK341" s="7" t="n">
        <f aca="false">IFERROR(ROUND(AVERAGE(AF341:AJ341),3),"")</f>
        <v>3</v>
      </c>
      <c r="AL341" s="7" t="n">
        <f aca="false">IF(OR(AF341="",AJ341=""),"",AJ341-AF341)</f>
        <v>2</v>
      </c>
      <c r="AM341" s="7" t="n">
        <f aca="false">IF(COUNT(AF341:AJ341)&gt;=2,ROUND(_xlfn.STDEV.S(AF341:AJ341),3),"")</f>
        <v>0.707</v>
      </c>
      <c r="AN341" s="7" t="n">
        <f aca="false">ROUND((IF(AF341="",0,AF341)*Assumptions!$F$15)+(IF(AG341="",0,AG341)*Assumptions!$F$16)+(IF(AH341="",0,AH341)*Assumptions!$F$17)+(IF(AI341="",0,AI341)*Assumptions!$F$18)+(IF(AJ341="",0,AJ341)*Assumptions!$F$19),3)</f>
        <v>3.2</v>
      </c>
      <c r="AO341" s="0" t="str">
        <f aca="false">IF(AC341&lt;=20,"",IF(AC341&lt;=Assumptions!$F$6,"20-30",IF(AC341&lt;=Assumptions!$F$7,"30-40",IF(AC341&lt;=Assumptions!$F$8,"40-50",IF(AC341&lt;=Assumptions!$F$9,"50-60",IF(AC341&lt;=Assumptions!$F$10,"60+",""))))))</f>
        <v>30-40</v>
      </c>
      <c r="AP341" s="0" t="str">
        <f aca="false">IFERROR(VLOOKUP(O341,Assumptions!$B$14:$C$26,2,FALSE()),"Other")</f>
        <v>Manager</v>
      </c>
      <c r="AQ341" s="0" t="n">
        <f aca="false">IF(T341="",0,1)</f>
        <v>0</v>
      </c>
      <c r="AR341" s="0" t="n">
        <f aca="false">IF(U341="",0,1)</f>
        <v>0</v>
      </c>
      <c r="AS341" s="8" t="n">
        <f aca="false">IF(AK341="","",IF(MAX($AK$2:$AK$921)=MIN($AK$2:$AK$921),50,ROUND((AK341-MIN($AK$2:$AK$921))/(MAX($AK$2:$AK$921)-MIN($AK$2:$AK$921))*100,2)))</f>
        <v>57.14</v>
      </c>
      <c r="AT341" s="8" t="n">
        <f aca="false">IF(MAX($BC$2:$BC$921)=MIN($BC$2:$BC$921),50,ROUND((BC341-MIN($BC$2:$BC$921))/(MAX($BC$2:$BC$921)-MIN($BC$2:$BC$921))*100,2))</f>
        <v>100</v>
      </c>
      <c r="AU341" s="8" t="n">
        <f aca="false">IF(MAX($BE$2:$BE$921)=MIN($BE$2:$BE$921),50,ROUND((BE341-MIN($BE$2:$BE$921))/(MAX($BE$2:$BE$921)-MIN($BE$2:$BE$921))*100,2))</f>
        <v>59.18</v>
      </c>
      <c r="AV341" s="8" t="n">
        <f aca="false">IF(MAX($AD$2:$AD$921)=MIN($AD$2:$AD$921),50,ROUND((AD341-MIN($AD$2:$AD$921))/(MAX($AD$2:$AD$921)-MIN($AD$2:$AD$921))*100,2))</f>
        <v>19.27</v>
      </c>
      <c r="AW341" s="8" t="n">
        <f aca="false">IF(MAX($AN$2:$AN$921)=MIN($AN$2:$AN$921),50,ROUND((AN341-MIN($AN$2:$AN$921))/(MAX($AN$2:$AN$921)-MIN($AN$2:$AN$921))*100,2))</f>
        <v>80</v>
      </c>
      <c r="AX341" s="8" t="n">
        <f aca="false">AQ341*100</f>
        <v>0</v>
      </c>
      <c r="AY341" s="8" t="n">
        <f aca="false">AR341*100</f>
        <v>0</v>
      </c>
      <c r="AZ341" s="8" t="n">
        <f aca="false">IFERROR(ROUND(AS341*Assumptions!$I$6+AW341*Assumptions!$I$7+AT341*Assumptions!$I$8+AU341*Assumptions!$I$9+AV341*Assumptions!$I$10+AX341*Assumptions!$I$11+AY341*Assumptions!$I$12,2),"")</f>
        <v>58.95</v>
      </c>
      <c r="BA341" s="0" t="str">
        <f aca="false">IF(AZ341="","",IF(AZ341&lt;=Assumptions!$I$18,"Below Expectation",IF(AZ341&lt;=Assumptions!$I$19,"Developing",IF(AZ341&lt;=Assumptions!$I$20,"Meets Expectation",IF(AZ341&lt;=Assumptions!$I$21,"Exceeds","Star Performer")))))</f>
        <v>Meets Expectation</v>
      </c>
      <c r="BB341" s="0" t="n">
        <f aca="false">IF(AZ341="",0,IF(AZ341&gt;=Assumptions!$I$26,1,0))</f>
        <v>0</v>
      </c>
      <c r="BC341" s="9" t="n">
        <f aca="false">IF(AL341="",2,AL341+2)</f>
        <v>4</v>
      </c>
      <c r="BD341" s="10" t="n">
        <f aca="false">IF(AM341="",ROUND(AVERAGE($AM$2:$AM$921),3),AM341)</f>
        <v>0.707</v>
      </c>
      <c r="BE341" s="9" t="n">
        <f aca="false">1-BD341</f>
        <v>0.293</v>
      </c>
    </row>
    <row r="342" customFormat="false" ht="14.25" hidden="false" customHeight="false" outlineLevel="0" collapsed="false">
      <c r="A342" s="4" t="n">
        <v>268</v>
      </c>
      <c r="B342" s="5" t="n">
        <v>10067633</v>
      </c>
      <c r="C342" s="5" t="s">
        <v>106</v>
      </c>
      <c r="D342" s="5" t="s">
        <v>1565</v>
      </c>
      <c r="E342" s="5" t="s">
        <v>305</v>
      </c>
      <c r="F342" s="5" t="s">
        <v>608</v>
      </c>
      <c r="G342" s="5" t="s">
        <v>609</v>
      </c>
      <c r="H342" s="5" t="s">
        <v>608</v>
      </c>
      <c r="I342" s="5" t="s">
        <v>63</v>
      </c>
      <c r="J342" s="5" t="s">
        <v>112</v>
      </c>
      <c r="K342" s="5" t="s">
        <v>65</v>
      </c>
      <c r="L342" s="6" t="n">
        <v>43556</v>
      </c>
      <c r="M342" s="5" t="s">
        <v>509</v>
      </c>
      <c r="N342" s="6" t="n">
        <v>31872</v>
      </c>
      <c r="O342" s="5" t="s">
        <v>365</v>
      </c>
      <c r="P342" s="5" t="s">
        <v>365</v>
      </c>
      <c r="Q342" s="5" t="s">
        <v>541</v>
      </c>
      <c r="R342" s="5" t="s">
        <v>940</v>
      </c>
      <c r="S342" s="5" t="s">
        <v>1120</v>
      </c>
      <c r="T342" s="6"/>
      <c r="U342" s="6"/>
      <c r="V342" s="5" t="s">
        <v>631</v>
      </c>
      <c r="W342" s="5" t="s">
        <v>141</v>
      </c>
      <c r="X342" s="5" t="s">
        <v>141</v>
      </c>
      <c r="Y342" s="5" t="s">
        <v>141</v>
      </c>
      <c r="Z342" s="5" t="s">
        <v>83</v>
      </c>
      <c r="AA342" s="5" t="s">
        <v>1566</v>
      </c>
      <c r="AB342" s="0" t="n">
        <f aca="false">IFERROR(VALUE(R342),0)</f>
        <v>7.1</v>
      </c>
      <c r="AC342" s="0" t="n">
        <f aca="false">IFERROR(VALUE(M342),"")</f>
        <v>39.2</v>
      </c>
      <c r="AD342" s="0" t="n">
        <f aca="false">IFERROR(VALUE(Q342),"")</f>
        <v>7.2</v>
      </c>
      <c r="AE342" s="0" t="n">
        <f aca="false">IFERROR(VALUE(S342),"")</f>
        <v>15</v>
      </c>
      <c r="AF342" s="0" t="n">
        <f aca="false">IF(V342="","",VLOOKUP(V342,Assumptions!$B$6:$C$9,2,FALSE()))</f>
        <v>2</v>
      </c>
      <c r="AG342" s="0" t="n">
        <f aca="false">IF(W342="","",VLOOKUP(W342,Assumptions!$B$6:$C$9,2,FALSE()))</f>
        <v>3</v>
      </c>
      <c r="AH342" s="0" t="n">
        <f aca="false">IF(X342="","",VLOOKUP(X342,Assumptions!$B$6:$C$9,2,FALSE()))</f>
        <v>3</v>
      </c>
      <c r="AI342" s="0" t="n">
        <f aca="false">IF(Y342="","",VLOOKUP(Y342,Assumptions!$B$6:$C$9,2,FALSE()))</f>
        <v>3</v>
      </c>
      <c r="AJ342" s="0" t="n">
        <f aca="false">IF(Z342="","",VLOOKUP(Z342,Assumptions!$B$6:$C$9,2,FALSE()))</f>
        <v>4</v>
      </c>
      <c r="AK342" s="7" t="n">
        <f aca="false">IFERROR(ROUND(AVERAGE(AF342:AJ342),3),"")</f>
        <v>3</v>
      </c>
      <c r="AL342" s="7" t="n">
        <f aca="false">IF(OR(AF342="",AJ342=""),"",AJ342-AF342)</f>
        <v>2</v>
      </c>
      <c r="AM342" s="7" t="n">
        <f aca="false">IF(COUNT(AF342:AJ342)&gt;=2,ROUND(_xlfn.STDEV.S(AF342:AJ342),3),"")</f>
        <v>0.707</v>
      </c>
      <c r="AN342" s="7" t="n">
        <f aca="false">ROUND((IF(AF342="",0,AF342)*Assumptions!$F$15)+(IF(AG342="",0,AG342)*Assumptions!$F$16)+(IF(AH342="",0,AH342)*Assumptions!$F$17)+(IF(AI342="",0,AI342)*Assumptions!$F$18)+(IF(AJ342="",0,AJ342)*Assumptions!$F$19),3)</f>
        <v>3.2</v>
      </c>
      <c r="AO342" s="0" t="str">
        <f aca="false">IF(AC342&lt;=20,"",IF(AC342&lt;=Assumptions!$F$6,"20-30",IF(AC342&lt;=Assumptions!$F$7,"30-40",IF(AC342&lt;=Assumptions!$F$8,"40-50",IF(AC342&lt;=Assumptions!$F$9,"50-60",IF(AC342&lt;=Assumptions!$F$10,"60+",""))))))</f>
        <v>30-40</v>
      </c>
      <c r="AP342" s="0" t="str">
        <f aca="false">IFERROR(VLOOKUP(O342,Assumptions!$B$14:$C$26,2,FALSE()),"Other")</f>
        <v>Manager</v>
      </c>
      <c r="AQ342" s="0" t="n">
        <f aca="false">IF(T342="",0,1)</f>
        <v>0</v>
      </c>
      <c r="AR342" s="0" t="n">
        <f aca="false">IF(U342="",0,1)</f>
        <v>0</v>
      </c>
      <c r="AS342" s="8" t="n">
        <f aca="false">IF(AK342="","",IF(MAX($AK$2:$AK$921)=MIN($AK$2:$AK$921),50,ROUND((AK342-MIN($AK$2:$AK$921))/(MAX($AK$2:$AK$921)-MIN($AK$2:$AK$921))*100,2)))</f>
        <v>57.14</v>
      </c>
      <c r="AT342" s="8" t="n">
        <f aca="false">IF(MAX($BC$2:$BC$921)=MIN($BC$2:$BC$921),50,ROUND((BC342-MIN($BC$2:$BC$921))/(MAX($BC$2:$BC$921)-MIN($BC$2:$BC$921))*100,2))</f>
        <v>100</v>
      </c>
      <c r="AU342" s="8" t="n">
        <f aca="false">IF(MAX($BE$2:$BE$921)=MIN($BE$2:$BE$921),50,ROUND((BE342-MIN($BE$2:$BE$921))/(MAX($BE$2:$BE$921)-MIN($BE$2:$BE$921))*100,2))</f>
        <v>59.18</v>
      </c>
      <c r="AV342" s="8" t="n">
        <f aca="false">IF(MAX($AD$2:$AD$921)=MIN($AD$2:$AD$921),50,ROUND((AD342-MIN($AD$2:$AD$921))/(MAX($AD$2:$AD$921)-MIN($AD$2:$AD$921))*100,2))</f>
        <v>19.27</v>
      </c>
      <c r="AW342" s="8" t="n">
        <f aca="false">IF(MAX($AN$2:$AN$921)=MIN($AN$2:$AN$921),50,ROUND((AN342-MIN($AN$2:$AN$921))/(MAX($AN$2:$AN$921)-MIN($AN$2:$AN$921))*100,2))</f>
        <v>80</v>
      </c>
      <c r="AX342" s="8" t="n">
        <f aca="false">AQ342*100</f>
        <v>0</v>
      </c>
      <c r="AY342" s="8" t="n">
        <f aca="false">AR342*100</f>
        <v>0</v>
      </c>
      <c r="AZ342" s="8" t="n">
        <f aca="false">IFERROR(ROUND(AS342*Assumptions!$I$6+AW342*Assumptions!$I$7+AT342*Assumptions!$I$8+AU342*Assumptions!$I$9+AV342*Assumptions!$I$10+AX342*Assumptions!$I$11+AY342*Assumptions!$I$12,2),"")</f>
        <v>58.95</v>
      </c>
      <c r="BA342" s="0" t="str">
        <f aca="false">IF(AZ342="","",IF(AZ342&lt;=Assumptions!$I$18,"Below Expectation",IF(AZ342&lt;=Assumptions!$I$19,"Developing",IF(AZ342&lt;=Assumptions!$I$20,"Meets Expectation",IF(AZ342&lt;=Assumptions!$I$21,"Exceeds","Star Performer")))))</f>
        <v>Meets Expectation</v>
      </c>
      <c r="BB342" s="0" t="n">
        <f aca="false">IF(AZ342="",0,IF(AZ342&gt;=Assumptions!$I$26,1,0))</f>
        <v>0</v>
      </c>
      <c r="BC342" s="9" t="n">
        <f aca="false">IF(AL342="",2,AL342+2)</f>
        <v>4</v>
      </c>
      <c r="BD342" s="10" t="n">
        <f aca="false">IF(AM342="",ROUND(AVERAGE($AM$2:$AM$921),3),AM342)</f>
        <v>0.707</v>
      </c>
      <c r="BE342" s="9" t="n">
        <f aca="false">1-BD342</f>
        <v>0.293</v>
      </c>
    </row>
    <row r="343" customFormat="false" ht="14.25" hidden="true" customHeight="false" outlineLevel="0" collapsed="false">
      <c r="A343" s="4" t="n">
        <v>207</v>
      </c>
      <c r="B343" s="5" t="n">
        <v>10056247</v>
      </c>
      <c r="C343" s="5" t="s">
        <v>85</v>
      </c>
      <c r="D343" s="5" t="s">
        <v>1567</v>
      </c>
      <c r="E343" s="5" t="s">
        <v>339</v>
      </c>
      <c r="F343" s="5" t="s">
        <v>178</v>
      </c>
      <c r="G343" s="5" t="s">
        <v>177</v>
      </c>
      <c r="H343" s="5" t="s">
        <v>178</v>
      </c>
      <c r="I343" s="5" t="s">
        <v>63</v>
      </c>
      <c r="J343" s="5" t="s">
        <v>76</v>
      </c>
      <c r="K343" s="5" t="s">
        <v>65</v>
      </c>
      <c r="L343" s="6" t="n">
        <v>42716</v>
      </c>
      <c r="M343" s="5" t="s">
        <v>316</v>
      </c>
      <c r="N343" s="6" t="n">
        <v>29086</v>
      </c>
      <c r="O343" s="5" t="s">
        <v>122</v>
      </c>
      <c r="P343" s="5" t="s">
        <v>123</v>
      </c>
      <c r="Q343" s="5" t="s">
        <v>425</v>
      </c>
      <c r="R343" s="5" t="s">
        <v>1568</v>
      </c>
      <c r="S343" s="5" t="s">
        <v>242</v>
      </c>
      <c r="T343" s="6"/>
      <c r="U343" s="6"/>
      <c r="V343" s="5" t="s">
        <v>83</v>
      </c>
      <c r="W343" s="5" t="s">
        <v>83</v>
      </c>
      <c r="X343" s="5" t="s">
        <v>83</v>
      </c>
      <c r="Y343" s="5" t="s">
        <v>141</v>
      </c>
      <c r="Z343" s="5" t="s">
        <v>141</v>
      </c>
      <c r="AA343" s="5" t="s">
        <v>1569</v>
      </c>
      <c r="AB343" s="0" t="n">
        <f aca="false">IFERROR(VALUE(R343),0)</f>
        <v>17.4</v>
      </c>
      <c r="AC343" s="0" t="n">
        <f aca="false">IFERROR(VALUE(M343),"")</f>
        <v>46.9</v>
      </c>
      <c r="AD343" s="0" t="n">
        <f aca="false">IFERROR(VALUE(Q343),"")</f>
        <v>9.5</v>
      </c>
      <c r="AE343" s="0" t="n">
        <f aca="false">IFERROR(VALUE(S343),"")</f>
        <v>26.9</v>
      </c>
      <c r="AF343" s="0" t="n">
        <f aca="false">IF(V343="","",VLOOKUP(V343,Assumptions!$B$6:$C$9,2,FALSE()))</f>
        <v>4</v>
      </c>
      <c r="AG343" s="0" t="n">
        <f aca="false">IF(W343="","",VLOOKUP(W343,Assumptions!$B$6:$C$9,2,FALSE()))</f>
        <v>4</v>
      </c>
      <c r="AH343" s="0" t="n">
        <f aca="false">IF(X343="","",VLOOKUP(X343,Assumptions!$B$6:$C$9,2,FALSE()))</f>
        <v>4</v>
      </c>
      <c r="AI343" s="0" t="n">
        <f aca="false">IF(Y343="","",VLOOKUP(Y343,Assumptions!$B$6:$C$9,2,FALSE()))</f>
        <v>3</v>
      </c>
      <c r="AJ343" s="0" t="n">
        <f aca="false">IF(Z343="","",VLOOKUP(Z343,Assumptions!$B$6:$C$9,2,FALSE()))</f>
        <v>3</v>
      </c>
      <c r="AK343" s="7" t="n">
        <f aca="false">IFERROR(ROUND(AVERAGE(AF343:AJ343),3),"")</f>
        <v>3.6</v>
      </c>
      <c r="AL343" s="7" t="n">
        <f aca="false">IF(OR(AF343="",AJ343=""),"",AJ343-AF343)</f>
        <v>-1</v>
      </c>
      <c r="AM343" s="7" t="n">
        <f aca="false">IF(COUNT(AF343:AJ343)&gt;=2,ROUND(_xlfn.STDEV.S(AF343:AJ343),3),"")</f>
        <v>0.548</v>
      </c>
      <c r="AN343" s="7" t="n">
        <f aca="false">ROUND((IF(AF343="",0,AF343)*Assumptions!$F$15)+(IF(AG343="",0,AG343)*Assumptions!$F$16)+(IF(AH343="",0,AH343)*Assumptions!$F$17)+(IF(AI343="",0,AI343)*Assumptions!$F$18)+(IF(AJ343="",0,AJ343)*Assumptions!$F$19),3)</f>
        <v>3.45</v>
      </c>
      <c r="AO343" s="0" t="str">
        <f aca="false">IF(AC343&lt;=20,"",IF(AC343&lt;=Assumptions!$F$6,"20-30",IF(AC343&lt;=Assumptions!$F$7,"30-40",IF(AC343&lt;=Assumptions!$F$8,"40-50",IF(AC343&lt;=Assumptions!$F$9,"50-60",IF(AC343&lt;=Assumptions!$F$10,"60+",""))))))</f>
        <v>40-50</v>
      </c>
      <c r="AP343" s="0" t="str">
        <f aca="false">IFERROR(VLOOKUP(O343,Assumptions!$B$14:$C$26,2,FALSE()),"Other")</f>
        <v>Leadership</v>
      </c>
      <c r="AQ343" s="0" t="n">
        <f aca="false">IF(T343="",0,1)</f>
        <v>0</v>
      </c>
      <c r="AR343" s="0" t="n">
        <f aca="false">IF(U343="",0,1)</f>
        <v>0</v>
      </c>
      <c r="AS343" s="8" t="n">
        <f aca="false">IF(AK343="","",IF(MAX($AK$2:$AK$921)=MIN($AK$2:$AK$921),50,ROUND((AK343-MIN($AK$2:$AK$921))/(MAX($AK$2:$AK$921)-MIN($AK$2:$AK$921))*100,2)))</f>
        <v>82.85</v>
      </c>
      <c r="AT343" s="8" t="n">
        <f aca="false">IF(MAX($BC$2:$BC$921)=MIN($BC$2:$BC$921),50,ROUND((BC343-MIN($BC$2:$BC$921))/(MAX($BC$2:$BC$921)-MIN($BC$2:$BC$921))*100,2))</f>
        <v>25</v>
      </c>
      <c r="AU343" s="8" t="n">
        <f aca="false">IF(MAX($BE$2:$BE$921)=MIN($BE$2:$BE$921),50,ROUND((BE343-MIN($BE$2:$BE$921))/(MAX($BE$2:$BE$921)-MIN($BE$2:$BE$921))*100,2))</f>
        <v>68.36</v>
      </c>
      <c r="AV343" s="8" t="n">
        <f aca="false">IF(MAX($AD$2:$AD$921)=MIN($AD$2:$AD$921),50,ROUND((AD343-MIN($AD$2:$AD$921))/(MAX($AD$2:$AD$921)-MIN($AD$2:$AD$921))*100,2))</f>
        <v>25.52</v>
      </c>
      <c r="AW343" s="8" t="n">
        <f aca="false">IF(MAX($AN$2:$AN$921)=MIN($AN$2:$AN$921),50,ROUND((AN343-MIN($AN$2:$AN$921))/(MAX($AN$2:$AN$921)-MIN($AN$2:$AN$921))*100,2))</f>
        <v>86.25</v>
      </c>
      <c r="AX343" s="8" t="n">
        <f aca="false">AQ343*100</f>
        <v>0</v>
      </c>
      <c r="AY343" s="8" t="n">
        <f aca="false">AR343*100</f>
        <v>0</v>
      </c>
      <c r="AZ343" s="8" t="n">
        <f aca="false">IFERROR(ROUND(AS343*Assumptions!$I$6+AW343*Assumptions!$I$7+AT343*Assumptions!$I$8+AU343*Assumptions!$I$9+AV343*Assumptions!$I$10+AX343*Assumptions!$I$11+AY343*Assumptions!$I$12,2),"")</f>
        <v>58.66</v>
      </c>
      <c r="BA343" s="0" t="str">
        <f aca="false">IF(AZ343="","",IF(AZ343&lt;=Assumptions!$I$18,"Below Expectation",IF(AZ343&lt;=Assumptions!$I$19,"Developing",IF(AZ343&lt;=Assumptions!$I$20,"Meets Expectation",IF(AZ343&lt;=Assumptions!$I$21,"Exceeds","Star Performer")))))</f>
        <v>Meets Expectation</v>
      </c>
      <c r="BB343" s="0" t="n">
        <f aca="false">IF(AZ343="",0,IF(AZ343&gt;=Assumptions!$I$26,1,0))</f>
        <v>0</v>
      </c>
      <c r="BC343" s="9" t="n">
        <f aca="false">IF(AL343="",2,AL343+2)</f>
        <v>1</v>
      </c>
      <c r="BD343" s="10" t="n">
        <f aca="false">IF(AM343="",ROUND(AVERAGE($AM$2:$AM$921),3),AM343)</f>
        <v>0.548</v>
      </c>
      <c r="BE343" s="9" t="n">
        <f aca="false">1-BD343</f>
        <v>0.452</v>
      </c>
    </row>
    <row r="344" customFormat="false" ht="14.25" hidden="true" customHeight="false" outlineLevel="0" collapsed="false">
      <c r="A344" s="4" t="n">
        <v>534</v>
      </c>
      <c r="B344" s="5" t="n">
        <v>55047084</v>
      </c>
      <c r="C344" s="5" t="s">
        <v>57</v>
      </c>
      <c r="D344" s="5" t="s">
        <v>1570</v>
      </c>
      <c r="E344" s="5" t="s">
        <v>607</v>
      </c>
      <c r="F344" s="5" t="s">
        <v>608</v>
      </c>
      <c r="G344" s="5" t="s">
        <v>609</v>
      </c>
      <c r="H344" s="5" t="s">
        <v>608</v>
      </c>
      <c r="I344" s="5" t="s">
        <v>63</v>
      </c>
      <c r="J344" s="5" t="s">
        <v>100</v>
      </c>
      <c r="K344" s="5" t="s">
        <v>65</v>
      </c>
      <c r="L344" s="6" t="n">
        <v>44606</v>
      </c>
      <c r="M344" s="5" t="s">
        <v>813</v>
      </c>
      <c r="N344" s="6" t="n">
        <v>34264</v>
      </c>
      <c r="O344" s="5" t="s">
        <v>365</v>
      </c>
      <c r="P344" s="5" t="s">
        <v>365</v>
      </c>
      <c r="Q344" s="5" t="s">
        <v>1407</v>
      </c>
      <c r="R344" s="5" t="s">
        <v>615</v>
      </c>
      <c r="S344" s="5" t="s">
        <v>546</v>
      </c>
      <c r="T344" s="6"/>
      <c r="U344" s="6"/>
      <c r="V344" s="5"/>
      <c r="W344" s="5" t="s">
        <v>141</v>
      </c>
      <c r="X344" s="5" t="s">
        <v>141</v>
      </c>
      <c r="Y344" s="5" t="s">
        <v>83</v>
      </c>
      <c r="Z344" s="5" t="s">
        <v>83</v>
      </c>
      <c r="AA344" s="5" t="s">
        <v>1571</v>
      </c>
      <c r="AB344" s="0" t="n">
        <f aca="false">IFERROR(VALUE(R344),0)</f>
        <v>5.7</v>
      </c>
      <c r="AC344" s="0" t="n">
        <f aca="false">IFERROR(VALUE(M344),"")</f>
        <v>32.7</v>
      </c>
      <c r="AD344" s="0" t="n">
        <f aca="false">IFERROR(VALUE(Q344),"")</f>
        <v>4.3</v>
      </c>
      <c r="AE344" s="0" t="n">
        <f aca="false">IFERROR(VALUE(S344),"")</f>
        <v>9.1</v>
      </c>
      <c r="AF344" s="0" t="str">
        <f aca="false">IF(V344="","",VLOOKUP(V344,Assumptions!$B$6:$C$9,2,FALSE()))</f>
        <v/>
      </c>
      <c r="AG344" s="0" t="n">
        <f aca="false">IF(W344="","",VLOOKUP(W344,Assumptions!$B$6:$C$9,2,FALSE()))</f>
        <v>3</v>
      </c>
      <c r="AH344" s="0" t="n">
        <f aca="false">IF(X344="","",VLOOKUP(X344,Assumptions!$B$6:$C$9,2,FALSE()))</f>
        <v>3</v>
      </c>
      <c r="AI344" s="0" t="n">
        <f aca="false">IF(Y344="","",VLOOKUP(Y344,Assumptions!$B$6:$C$9,2,FALSE()))</f>
        <v>4</v>
      </c>
      <c r="AJ344" s="0" t="n">
        <f aca="false">IF(Z344="","",VLOOKUP(Z344,Assumptions!$B$6:$C$9,2,FALSE()))</f>
        <v>4</v>
      </c>
      <c r="AK344" s="7" t="n">
        <f aca="false">IFERROR(ROUND(AVERAGE(AF344:AJ344),3),"")</f>
        <v>3.5</v>
      </c>
      <c r="AL344" s="7" t="str">
        <f aca="false">IF(OR(AF344="",AJ344=""),"",AJ344-AF344)</f>
        <v/>
      </c>
      <c r="AM344" s="7" t="n">
        <f aca="false">IF(COUNT(AF344:AJ344)&gt;=2,ROUND(_xlfn.STDEV.S(AF344:AJ344),3),"")</f>
        <v>0.577</v>
      </c>
      <c r="AN344" s="7" t="n">
        <f aca="false">ROUND((IF(AF344="",0,AF344)*Assumptions!$F$15)+(IF(AG344="",0,AG344)*Assumptions!$F$16)+(IF(AH344="",0,AH344)*Assumptions!$F$17)+(IF(AI344="",0,AI344)*Assumptions!$F$18)+(IF(AJ344="",0,AJ344)*Assumptions!$F$19),3)</f>
        <v>3.25</v>
      </c>
      <c r="AO344" s="0" t="str">
        <f aca="false">IF(AC344&lt;=20,"",IF(AC344&lt;=Assumptions!$F$6,"20-30",IF(AC344&lt;=Assumptions!$F$7,"30-40",IF(AC344&lt;=Assumptions!$F$8,"40-50",IF(AC344&lt;=Assumptions!$F$9,"50-60",IF(AC344&lt;=Assumptions!$F$10,"60+",""))))))</f>
        <v>30-40</v>
      </c>
      <c r="AP344" s="0" t="str">
        <f aca="false">IFERROR(VLOOKUP(O344,Assumptions!$B$14:$C$26,2,FALSE()),"Other")</f>
        <v>Manager</v>
      </c>
      <c r="AQ344" s="0" t="n">
        <f aca="false">IF(T344="",0,1)</f>
        <v>0</v>
      </c>
      <c r="AR344" s="0" t="n">
        <f aca="false">IF(U344="",0,1)</f>
        <v>0</v>
      </c>
      <c r="AS344" s="8" t="n">
        <f aca="false">IF(AK344="","",IF(MAX($AK$2:$AK$921)=MIN($AK$2:$AK$921),50,ROUND((AK344-MIN($AK$2:$AK$921))/(MAX($AK$2:$AK$921)-MIN($AK$2:$AK$921))*100,2)))</f>
        <v>78.57</v>
      </c>
      <c r="AT344" s="8" t="n">
        <f aca="false">IF(MAX($BC$2:$BC$921)=MIN($BC$2:$BC$921),50,ROUND((BC344-MIN($BC$2:$BC$921))/(MAX($BC$2:$BC$921)-MIN($BC$2:$BC$921))*100,2))</f>
        <v>50</v>
      </c>
      <c r="AU344" s="8" t="n">
        <f aca="false">IF(MAX($BE$2:$BE$921)=MIN($BE$2:$BE$921),50,ROUND((BE344-MIN($BE$2:$BE$921))/(MAX($BE$2:$BE$921)-MIN($BE$2:$BE$921))*100,2))</f>
        <v>66.69</v>
      </c>
      <c r="AV344" s="8" t="n">
        <f aca="false">IF(MAX($AD$2:$AD$921)=MIN($AD$2:$AD$921),50,ROUND((AD344-MIN($AD$2:$AD$921))/(MAX($AD$2:$AD$921)-MIN($AD$2:$AD$921))*100,2))</f>
        <v>11.39</v>
      </c>
      <c r="AW344" s="8" t="n">
        <f aca="false">IF(MAX($AN$2:$AN$921)=MIN($AN$2:$AN$921),50,ROUND((AN344-MIN($AN$2:$AN$921))/(MAX($AN$2:$AN$921)-MIN($AN$2:$AN$921))*100,2))</f>
        <v>81.25</v>
      </c>
      <c r="AX344" s="8" t="n">
        <f aca="false">AQ344*100</f>
        <v>0</v>
      </c>
      <c r="AY344" s="8" t="n">
        <f aca="false">AR344*100</f>
        <v>0</v>
      </c>
      <c r="AZ344" s="8" t="n">
        <f aca="false">IFERROR(ROUND(AS344*Assumptions!$I$6+AW344*Assumptions!$I$7+AT344*Assumptions!$I$8+AU344*Assumptions!$I$9+AV344*Assumptions!$I$10+AX344*Assumptions!$I$11+AY344*Assumptions!$I$12,2),"")</f>
        <v>58.46</v>
      </c>
      <c r="BA344" s="0" t="str">
        <f aca="false">IF(AZ344="","",IF(AZ344&lt;=Assumptions!$I$18,"Below Expectation",IF(AZ344&lt;=Assumptions!$I$19,"Developing",IF(AZ344&lt;=Assumptions!$I$20,"Meets Expectation",IF(AZ344&lt;=Assumptions!$I$21,"Exceeds","Star Performer")))))</f>
        <v>Meets Expectation</v>
      </c>
      <c r="BB344" s="0" t="n">
        <f aca="false">IF(AZ344="",0,IF(AZ344&gt;=Assumptions!$I$26,1,0))</f>
        <v>0</v>
      </c>
      <c r="BC344" s="9" t="n">
        <f aca="false">IF(AL344="",2,AL344+2)</f>
        <v>2</v>
      </c>
      <c r="BD344" s="10" t="n">
        <f aca="false">IF(AM344="",ROUND(AVERAGE($AM$2:$AM$921),3),AM344)</f>
        <v>0.577</v>
      </c>
      <c r="BE344" s="9" t="n">
        <f aca="false">1-BD344</f>
        <v>0.423</v>
      </c>
    </row>
    <row r="345" customFormat="false" ht="14.25" hidden="true" customHeight="false" outlineLevel="0" collapsed="false">
      <c r="A345" s="4" t="n">
        <v>227</v>
      </c>
      <c r="B345" s="5" t="n">
        <v>10058725</v>
      </c>
      <c r="C345" s="5" t="s">
        <v>57</v>
      </c>
      <c r="D345" s="5" t="s">
        <v>1572</v>
      </c>
      <c r="E345" s="5" t="s">
        <v>456</v>
      </c>
      <c r="F345" s="5" t="s">
        <v>387</v>
      </c>
      <c r="G345" s="5" t="s">
        <v>388</v>
      </c>
      <c r="H345" s="5" t="s">
        <v>387</v>
      </c>
      <c r="I345" s="5" t="s">
        <v>63</v>
      </c>
      <c r="J345" s="5" t="s">
        <v>100</v>
      </c>
      <c r="K345" s="5" t="s">
        <v>65</v>
      </c>
      <c r="L345" s="6" t="n">
        <v>42891</v>
      </c>
      <c r="M345" s="5" t="s">
        <v>1573</v>
      </c>
      <c r="N345" s="6" t="n">
        <v>33030</v>
      </c>
      <c r="O345" s="5" t="s">
        <v>332</v>
      </c>
      <c r="P345" s="5" t="s">
        <v>333</v>
      </c>
      <c r="Q345" s="5" t="s">
        <v>451</v>
      </c>
      <c r="R345" s="5" t="s">
        <v>1534</v>
      </c>
      <c r="S345" s="5" t="s">
        <v>762</v>
      </c>
      <c r="T345" s="6"/>
      <c r="U345" s="6" t="n">
        <v>44652</v>
      </c>
      <c r="V345" s="5" t="s">
        <v>83</v>
      </c>
      <c r="W345" s="5" t="s">
        <v>141</v>
      </c>
      <c r="X345" s="5" t="s">
        <v>631</v>
      </c>
      <c r="Y345" s="5" t="s">
        <v>141</v>
      </c>
      <c r="Z345" s="5" t="s">
        <v>83</v>
      </c>
      <c r="AA345" s="5" t="s">
        <v>1574</v>
      </c>
      <c r="AB345" s="0" t="n">
        <f aca="false">IFERROR(VALUE(R345),0)</f>
        <v>4.1</v>
      </c>
      <c r="AC345" s="0" t="n">
        <f aca="false">IFERROR(VALUE(M345),"")</f>
        <v>36</v>
      </c>
      <c r="AD345" s="0" t="n">
        <f aca="false">IFERROR(VALUE(Q345),"")</f>
        <v>9</v>
      </c>
      <c r="AE345" s="0" t="n">
        <f aca="false">IFERROR(VALUE(S345),"")</f>
        <v>13.1</v>
      </c>
      <c r="AF345" s="0" t="n">
        <f aca="false">IF(V345="","",VLOOKUP(V345,Assumptions!$B$6:$C$9,2,FALSE()))</f>
        <v>4</v>
      </c>
      <c r="AG345" s="0" t="n">
        <f aca="false">IF(W345="","",VLOOKUP(W345,Assumptions!$B$6:$C$9,2,FALSE()))</f>
        <v>3</v>
      </c>
      <c r="AH345" s="0" t="n">
        <f aca="false">IF(X345="","",VLOOKUP(X345,Assumptions!$B$6:$C$9,2,FALSE()))</f>
        <v>2</v>
      </c>
      <c r="AI345" s="0" t="n">
        <f aca="false">IF(Y345="","",VLOOKUP(Y345,Assumptions!$B$6:$C$9,2,FALSE()))</f>
        <v>3</v>
      </c>
      <c r="AJ345" s="0" t="n">
        <f aca="false">IF(Z345="","",VLOOKUP(Z345,Assumptions!$B$6:$C$9,2,FALSE()))</f>
        <v>4</v>
      </c>
      <c r="AK345" s="7" t="n">
        <f aca="false">IFERROR(ROUND(AVERAGE(AF345:AJ345),3),"")</f>
        <v>3.2</v>
      </c>
      <c r="AL345" s="7" t="n">
        <f aca="false">IF(OR(AF345="",AJ345=""),"",AJ345-AF345)</f>
        <v>0</v>
      </c>
      <c r="AM345" s="7" t="n">
        <f aca="false">IF(COUNT(AF345:AJ345)&gt;=2,ROUND(_xlfn.STDEV.S(AF345:AJ345),3),"")</f>
        <v>0.837</v>
      </c>
      <c r="AN345" s="7" t="n">
        <f aca="false">ROUND((IF(AF345="",0,AF345)*Assumptions!$F$15)+(IF(AG345="",0,AG345)*Assumptions!$F$16)+(IF(AH345="",0,AH345)*Assumptions!$F$17)+(IF(AI345="",0,AI345)*Assumptions!$F$18)+(IF(AJ345="",0,AJ345)*Assumptions!$F$19),3)</f>
        <v>3.2</v>
      </c>
      <c r="AO345" s="0" t="str">
        <f aca="false">IF(AC345&lt;=20,"",IF(AC345&lt;=Assumptions!$F$6,"20-30",IF(AC345&lt;=Assumptions!$F$7,"30-40",IF(AC345&lt;=Assumptions!$F$8,"40-50",IF(AC345&lt;=Assumptions!$F$9,"50-60",IF(AC345&lt;=Assumptions!$F$10,"60+",""))))))</f>
        <v>30-40</v>
      </c>
      <c r="AP345" s="0" t="str">
        <f aca="false">IFERROR(VLOOKUP(O345,Assumptions!$B$14:$C$26,2,FALSE()),"Other")</f>
        <v>Manager</v>
      </c>
      <c r="AQ345" s="0" t="n">
        <f aca="false">IF(T345="",0,1)</f>
        <v>0</v>
      </c>
      <c r="AR345" s="0" t="n">
        <f aca="false">IF(U345="",0,1)</f>
        <v>1</v>
      </c>
      <c r="AS345" s="8" t="n">
        <f aca="false">IF(AK345="","",IF(MAX($AK$2:$AK$921)=MIN($AK$2:$AK$921),50,ROUND((AK345-MIN($AK$2:$AK$921))/(MAX($AK$2:$AK$921)-MIN($AK$2:$AK$921))*100,2)))</f>
        <v>65.71</v>
      </c>
      <c r="AT345" s="8" t="n">
        <f aca="false">IF(MAX($BC$2:$BC$921)=MIN($BC$2:$BC$921),50,ROUND((BC345-MIN($BC$2:$BC$921))/(MAX($BC$2:$BC$921)-MIN($BC$2:$BC$921))*100,2))</f>
        <v>50</v>
      </c>
      <c r="AU345" s="8" t="n">
        <f aca="false">IF(MAX($BE$2:$BE$921)=MIN($BE$2:$BE$921),50,ROUND((BE345-MIN($BE$2:$BE$921))/(MAX($BE$2:$BE$921)-MIN($BE$2:$BE$921))*100,2))</f>
        <v>51.67</v>
      </c>
      <c r="AV345" s="8" t="n">
        <f aca="false">IF(MAX($AD$2:$AD$921)=MIN($AD$2:$AD$921),50,ROUND((AD345-MIN($AD$2:$AD$921))/(MAX($AD$2:$AD$921)-MIN($AD$2:$AD$921))*100,2))</f>
        <v>24.16</v>
      </c>
      <c r="AW345" s="8" t="n">
        <f aca="false">IF(MAX($AN$2:$AN$921)=MIN($AN$2:$AN$921),50,ROUND((AN345-MIN($AN$2:$AN$921))/(MAX($AN$2:$AN$921)-MIN($AN$2:$AN$921))*100,2))</f>
        <v>80</v>
      </c>
      <c r="AX345" s="8" t="n">
        <f aca="false">AQ345*100</f>
        <v>0</v>
      </c>
      <c r="AY345" s="8" t="n">
        <f aca="false">AR345*100</f>
        <v>100</v>
      </c>
      <c r="AZ345" s="8" t="n">
        <f aca="false">IFERROR(ROUND(AS345*Assumptions!$I$6+AW345*Assumptions!$I$7+AT345*Assumptions!$I$8+AU345*Assumptions!$I$9+AV345*Assumptions!$I$10+AX345*Assumptions!$I$11+AY345*Assumptions!$I$12,2),"")</f>
        <v>58.38</v>
      </c>
      <c r="BA345" s="0" t="str">
        <f aca="false">IF(AZ345="","",IF(AZ345&lt;=Assumptions!$I$18,"Below Expectation",IF(AZ345&lt;=Assumptions!$I$19,"Developing",IF(AZ345&lt;=Assumptions!$I$20,"Meets Expectation",IF(AZ345&lt;=Assumptions!$I$21,"Exceeds","Star Performer")))))</f>
        <v>Meets Expectation</v>
      </c>
      <c r="BB345" s="0" t="n">
        <f aca="false">IF(AZ345="",0,IF(AZ345&gt;=Assumptions!$I$26,1,0))</f>
        <v>0</v>
      </c>
      <c r="BC345" s="9" t="n">
        <f aca="false">IF(AL345="",2,AL345+2)</f>
        <v>2</v>
      </c>
      <c r="BD345" s="10" t="n">
        <f aca="false">IF(AM345="",ROUND(AVERAGE($AM$2:$AM$921),3),AM345)</f>
        <v>0.837</v>
      </c>
      <c r="BE345" s="9" t="n">
        <f aca="false">1-BD345</f>
        <v>0.163</v>
      </c>
    </row>
    <row r="346" customFormat="false" ht="14.25" hidden="false" customHeight="false" outlineLevel="0" collapsed="false">
      <c r="A346" s="4" t="n">
        <v>640</v>
      </c>
      <c r="B346" s="5" t="n">
        <v>55056099</v>
      </c>
      <c r="C346" s="5" t="s">
        <v>106</v>
      </c>
      <c r="D346" s="5" t="s">
        <v>1575</v>
      </c>
      <c r="E346" s="5" t="s">
        <v>305</v>
      </c>
      <c r="F346" s="5" t="s">
        <v>1576</v>
      </c>
      <c r="G346" s="5" t="s">
        <v>1577</v>
      </c>
      <c r="H346" s="5" t="s">
        <v>1578</v>
      </c>
      <c r="I346" s="5" t="s">
        <v>63</v>
      </c>
      <c r="J346" s="5" t="s">
        <v>112</v>
      </c>
      <c r="K346" s="5" t="s">
        <v>65</v>
      </c>
      <c r="L346" s="6" t="n">
        <v>44792</v>
      </c>
      <c r="M346" s="5" t="s">
        <v>1579</v>
      </c>
      <c r="N346" s="6" t="n">
        <v>29564</v>
      </c>
      <c r="O346" s="5" t="s">
        <v>262</v>
      </c>
      <c r="P346" s="5" t="s">
        <v>263</v>
      </c>
      <c r="Q346" s="5" t="s">
        <v>231</v>
      </c>
      <c r="R346" s="5" t="s">
        <v>1211</v>
      </c>
      <c r="S346" s="5" t="s">
        <v>1216</v>
      </c>
      <c r="T346" s="6"/>
      <c r="U346" s="6"/>
      <c r="V346" s="5"/>
      <c r="W346" s="5" t="s">
        <v>141</v>
      </c>
      <c r="X346" s="5" t="s">
        <v>141</v>
      </c>
      <c r="Y346" s="5" t="s">
        <v>83</v>
      </c>
      <c r="Z346" s="5" t="s">
        <v>83</v>
      </c>
      <c r="AA346" s="5" t="s">
        <v>1580</v>
      </c>
      <c r="AB346" s="0" t="n">
        <f aca="false">IFERROR(VALUE(R346),0)</f>
        <v>13.1</v>
      </c>
      <c r="AC346" s="0" t="n">
        <f aca="false">IFERROR(VALUE(M346),"")</f>
        <v>45.5</v>
      </c>
      <c r="AD346" s="0" t="n">
        <f aca="false">IFERROR(VALUE(Q346),"")</f>
        <v>3.9</v>
      </c>
      <c r="AE346" s="0" t="n">
        <f aca="false">IFERROR(VALUE(S346),"")</f>
        <v>17.7</v>
      </c>
      <c r="AF346" s="0" t="str">
        <f aca="false">IF(V346="","",VLOOKUP(V346,Assumptions!$B$6:$C$9,2,FALSE()))</f>
        <v/>
      </c>
      <c r="AG346" s="0" t="n">
        <f aca="false">IF(W346="","",VLOOKUP(W346,Assumptions!$B$6:$C$9,2,FALSE()))</f>
        <v>3</v>
      </c>
      <c r="AH346" s="0" t="n">
        <f aca="false">IF(X346="","",VLOOKUP(X346,Assumptions!$B$6:$C$9,2,FALSE()))</f>
        <v>3</v>
      </c>
      <c r="AI346" s="0" t="n">
        <f aca="false">IF(Y346="","",VLOOKUP(Y346,Assumptions!$B$6:$C$9,2,FALSE()))</f>
        <v>4</v>
      </c>
      <c r="AJ346" s="0" t="n">
        <f aca="false">IF(Z346="","",VLOOKUP(Z346,Assumptions!$B$6:$C$9,2,FALSE()))</f>
        <v>4</v>
      </c>
      <c r="AK346" s="7" t="n">
        <f aca="false">IFERROR(ROUND(AVERAGE(AF346:AJ346),3),"")</f>
        <v>3.5</v>
      </c>
      <c r="AL346" s="7" t="str">
        <f aca="false">IF(OR(AF346="",AJ346=""),"",AJ346-AF346)</f>
        <v/>
      </c>
      <c r="AM346" s="7" t="n">
        <f aca="false">IF(COUNT(AF346:AJ346)&gt;=2,ROUND(_xlfn.STDEV.S(AF346:AJ346),3),"")</f>
        <v>0.577</v>
      </c>
      <c r="AN346" s="7" t="n">
        <f aca="false">ROUND((IF(AF346="",0,AF346)*Assumptions!$F$15)+(IF(AG346="",0,AG346)*Assumptions!$F$16)+(IF(AH346="",0,AH346)*Assumptions!$F$17)+(IF(AI346="",0,AI346)*Assumptions!$F$18)+(IF(AJ346="",0,AJ346)*Assumptions!$F$19),3)</f>
        <v>3.25</v>
      </c>
      <c r="AO346" s="0" t="str">
        <f aca="false">IF(AC346&lt;=20,"",IF(AC346&lt;=Assumptions!$F$6,"20-30",IF(AC346&lt;=Assumptions!$F$7,"30-40",IF(AC346&lt;=Assumptions!$F$8,"40-50",IF(AC346&lt;=Assumptions!$F$9,"50-60",IF(AC346&lt;=Assumptions!$F$10,"60+",""))))))</f>
        <v>40-50</v>
      </c>
      <c r="AP346" s="0" t="str">
        <f aca="false">IFERROR(VLOOKUP(O346,Assumptions!$B$14:$C$26,2,FALSE()),"Other")</f>
        <v>Manager</v>
      </c>
      <c r="AQ346" s="0" t="n">
        <f aca="false">IF(T346="",0,1)</f>
        <v>0</v>
      </c>
      <c r="AR346" s="0" t="n">
        <f aca="false">IF(U346="",0,1)</f>
        <v>0</v>
      </c>
      <c r="AS346" s="8" t="n">
        <f aca="false">IF(AK346="","",IF(MAX($AK$2:$AK$921)=MIN($AK$2:$AK$921),50,ROUND((AK346-MIN($AK$2:$AK$921))/(MAX($AK$2:$AK$921)-MIN($AK$2:$AK$921))*100,2)))</f>
        <v>78.57</v>
      </c>
      <c r="AT346" s="8" t="n">
        <f aca="false">IF(MAX($BC$2:$BC$921)=MIN($BC$2:$BC$921),50,ROUND((BC346-MIN($BC$2:$BC$921))/(MAX($BC$2:$BC$921)-MIN($BC$2:$BC$921))*100,2))</f>
        <v>50</v>
      </c>
      <c r="AU346" s="8" t="n">
        <f aca="false">IF(MAX($BE$2:$BE$921)=MIN($BE$2:$BE$921),50,ROUND((BE346-MIN($BE$2:$BE$921))/(MAX($BE$2:$BE$921)-MIN($BE$2:$BE$921))*100,2))</f>
        <v>66.69</v>
      </c>
      <c r="AV346" s="8" t="n">
        <f aca="false">IF(MAX($AD$2:$AD$921)=MIN($AD$2:$AD$921),50,ROUND((AD346-MIN($AD$2:$AD$921))/(MAX($AD$2:$AD$921)-MIN($AD$2:$AD$921))*100,2))</f>
        <v>10.3</v>
      </c>
      <c r="AW346" s="8" t="n">
        <f aca="false">IF(MAX($AN$2:$AN$921)=MIN($AN$2:$AN$921),50,ROUND((AN346-MIN($AN$2:$AN$921))/(MAX($AN$2:$AN$921)-MIN($AN$2:$AN$921))*100,2))</f>
        <v>81.25</v>
      </c>
      <c r="AX346" s="8" t="n">
        <f aca="false">AQ346*100</f>
        <v>0</v>
      </c>
      <c r="AY346" s="8" t="n">
        <f aca="false">AR346*100</f>
        <v>0</v>
      </c>
      <c r="AZ346" s="8" t="n">
        <f aca="false">IFERROR(ROUND(AS346*Assumptions!$I$6+AW346*Assumptions!$I$7+AT346*Assumptions!$I$8+AU346*Assumptions!$I$9+AV346*Assumptions!$I$10+AX346*Assumptions!$I$11+AY346*Assumptions!$I$12,2),"")</f>
        <v>58.35</v>
      </c>
      <c r="BA346" s="0" t="str">
        <f aca="false">IF(AZ346="","",IF(AZ346&lt;=Assumptions!$I$18,"Below Expectation",IF(AZ346&lt;=Assumptions!$I$19,"Developing",IF(AZ346&lt;=Assumptions!$I$20,"Meets Expectation",IF(AZ346&lt;=Assumptions!$I$21,"Exceeds","Star Performer")))))</f>
        <v>Meets Expectation</v>
      </c>
      <c r="BB346" s="0" t="n">
        <f aca="false">IF(AZ346="",0,IF(AZ346&gt;=Assumptions!$I$26,1,0))</f>
        <v>0</v>
      </c>
      <c r="BC346" s="9" t="n">
        <f aca="false">IF(AL346="",2,AL346+2)</f>
        <v>2</v>
      </c>
      <c r="BD346" s="10" t="n">
        <f aca="false">IF(AM346="",ROUND(AVERAGE($AM$2:$AM$921),3),AM346)</f>
        <v>0.577</v>
      </c>
      <c r="BE346" s="9" t="n">
        <f aca="false">1-BD346</f>
        <v>0.423</v>
      </c>
    </row>
    <row r="347" customFormat="false" ht="14.25" hidden="true" customHeight="false" outlineLevel="0" collapsed="false">
      <c r="A347" s="4" t="n">
        <v>202</v>
      </c>
      <c r="B347" s="5" t="n">
        <v>10056000</v>
      </c>
      <c r="C347" s="5" t="s">
        <v>57</v>
      </c>
      <c r="D347" s="5" t="s">
        <v>1581</v>
      </c>
      <c r="E347" s="5" t="s">
        <v>514</v>
      </c>
      <c r="F347" s="5" t="s">
        <v>608</v>
      </c>
      <c r="G347" s="5" t="s">
        <v>609</v>
      </c>
      <c r="H347" s="5" t="s">
        <v>608</v>
      </c>
      <c r="I347" s="5" t="s">
        <v>63</v>
      </c>
      <c r="J347" s="5" t="s">
        <v>100</v>
      </c>
      <c r="K347" s="5" t="s">
        <v>65</v>
      </c>
      <c r="L347" s="6" t="n">
        <v>42688</v>
      </c>
      <c r="M347" s="5" t="s">
        <v>1582</v>
      </c>
      <c r="N347" s="6" t="n">
        <v>33204</v>
      </c>
      <c r="O347" s="5" t="s">
        <v>365</v>
      </c>
      <c r="P347" s="5" t="s">
        <v>365</v>
      </c>
      <c r="Q347" s="5" t="s">
        <v>1094</v>
      </c>
      <c r="R347" s="5" t="s">
        <v>651</v>
      </c>
      <c r="S347" s="5" t="s">
        <v>373</v>
      </c>
      <c r="T347" s="6"/>
      <c r="U347" s="6"/>
      <c r="V347" s="5" t="s">
        <v>141</v>
      </c>
      <c r="W347" s="5" t="s">
        <v>631</v>
      </c>
      <c r="X347" s="5" t="s">
        <v>141</v>
      </c>
      <c r="Y347" s="5" t="s">
        <v>83</v>
      </c>
      <c r="Z347" s="5" t="s">
        <v>83</v>
      </c>
      <c r="AA347" s="5" t="s">
        <v>1583</v>
      </c>
      <c r="AB347" s="0" t="n">
        <f aca="false">IFERROR(VALUE(R347),0)</f>
        <v>0.9</v>
      </c>
      <c r="AC347" s="0" t="n">
        <f aca="false">IFERROR(VALUE(M347),"")</f>
        <v>35.6</v>
      </c>
      <c r="AD347" s="0" t="n">
        <f aca="false">IFERROR(VALUE(Q347),"")</f>
        <v>9.6</v>
      </c>
      <c r="AE347" s="0" t="n">
        <f aca="false">IFERROR(VALUE(S347),"")</f>
        <v>10.3</v>
      </c>
      <c r="AF347" s="0" t="n">
        <f aca="false">IF(V347="","",VLOOKUP(V347,Assumptions!$B$6:$C$9,2,FALSE()))</f>
        <v>3</v>
      </c>
      <c r="AG347" s="0" t="n">
        <f aca="false">IF(W347="","",VLOOKUP(W347,Assumptions!$B$6:$C$9,2,FALSE()))</f>
        <v>2</v>
      </c>
      <c r="AH347" s="0" t="n">
        <f aca="false">IF(X347="","",VLOOKUP(X347,Assumptions!$B$6:$C$9,2,FALSE()))</f>
        <v>3</v>
      </c>
      <c r="AI347" s="0" t="n">
        <f aca="false">IF(Y347="","",VLOOKUP(Y347,Assumptions!$B$6:$C$9,2,FALSE()))</f>
        <v>4</v>
      </c>
      <c r="AJ347" s="0" t="n">
        <f aca="false">IF(Z347="","",VLOOKUP(Z347,Assumptions!$B$6:$C$9,2,FALSE()))</f>
        <v>4</v>
      </c>
      <c r="AK347" s="7" t="n">
        <f aca="false">IFERROR(ROUND(AVERAGE(AF347:AJ347),3),"")</f>
        <v>3.2</v>
      </c>
      <c r="AL347" s="7" t="n">
        <f aca="false">IF(OR(AF347="",AJ347=""),"",AJ347-AF347)</f>
        <v>1</v>
      </c>
      <c r="AM347" s="7" t="n">
        <f aca="false">IF(COUNT(AF347:AJ347)&gt;=2,ROUND(_xlfn.STDEV.S(AF347:AJ347),3),"")</f>
        <v>0.837</v>
      </c>
      <c r="AN347" s="7" t="n">
        <f aca="false">ROUND((IF(AF347="",0,AF347)*Assumptions!$F$15)+(IF(AG347="",0,AG347)*Assumptions!$F$16)+(IF(AH347="",0,AH347)*Assumptions!$F$17)+(IF(AI347="",0,AI347)*Assumptions!$F$18)+(IF(AJ347="",0,AJ347)*Assumptions!$F$19),3)</f>
        <v>3.4</v>
      </c>
      <c r="AO347" s="0" t="str">
        <f aca="false">IF(AC347&lt;=20,"",IF(AC347&lt;=Assumptions!$F$6,"20-30",IF(AC347&lt;=Assumptions!$F$7,"30-40",IF(AC347&lt;=Assumptions!$F$8,"40-50",IF(AC347&lt;=Assumptions!$F$9,"50-60",IF(AC347&lt;=Assumptions!$F$10,"60+",""))))))</f>
        <v>30-40</v>
      </c>
      <c r="AP347" s="0" t="str">
        <f aca="false">IFERROR(VLOOKUP(O347,Assumptions!$B$14:$C$26,2,FALSE()),"Other")</f>
        <v>Manager</v>
      </c>
      <c r="AQ347" s="0" t="n">
        <f aca="false">IF(T347="",0,1)</f>
        <v>0</v>
      </c>
      <c r="AR347" s="0" t="n">
        <f aca="false">IF(U347="",0,1)</f>
        <v>0</v>
      </c>
      <c r="AS347" s="8" t="n">
        <f aca="false">IF(AK347="","",IF(MAX($AK$2:$AK$921)=MIN($AK$2:$AK$921),50,ROUND((AK347-MIN($AK$2:$AK$921))/(MAX($AK$2:$AK$921)-MIN($AK$2:$AK$921))*100,2)))</f>
        <v>65.71</v>
      </c>
      <c r="AT347" s="8" t="n">
        <f aca="false">IF(MAX($BC$2:$BC$921)=MIN($BC$2:$BC$921),50,ROUND((BC347-MIN($BC$2:$BC$921))/(MAX($BC$2:$BC$921)-MIN($BC$2:$BC$921))*100,2))</f>
        <v>75</v>
      </c>
      <c r="AU347" s="8" t="n">
        <f aca="false">IF(MAX($BE$2:$BE$921)=MIN($BE$2:$BE$921),50,ROUND((BE347-MIN($BE$2:$BE$921))/(MAX($BE$2:$BE$921)-MIN($BE$2:$BE$921))*100,2))</f>
        <v>51.67</v>
      </c>
      <c r="AV347" s="8" t="n">
        <f aca="false">IF(MAX($AD$2:$AD$921)=MIN($AD$2:$AD$921),50,ROUND((AD347-MIN($AD$2:$AD$921))/(MAX($AD$2:$AD$921)-MIN($AD$2:$AD$921))*100,2))</f>
        <v>25.8</v>
      </c>
      <c r="AW347" s="8" t="n">
        <f aca="false">IF(MAX($AN$2:$AN$921)=MIN($AN$2:$AN$921),50,ROUND((AN347-MIN($AN$2:$AN$921))/(MAX($AN$2:$AN$921)-MIN($AN$2:$AN$921))*100,2))</f>
        <v>85</v>
      </c>
      <c r="AX347" s="8" t="n">
        <f aca="false">AQ347*100</f>
        <v>0</v>
      </c>
      <c r="AY347" s="8" t="n">
        <f aca="false">AR347*100</f>
        <v>0</v>
      </c>
      <c r="AZ347" s="8" t="n">
        <f aca="false">IFERROR(ROUND(AS347*Assumptions!$I$6+AW347*Assumptions!$I$7+AT347*Assumptions!$I$8+AU347*Assumptions!$I$9+AV347*Assumptions!$I$10+AX347*Assumptions!$I$11+AY347*Assumptions!$I$12,2),"")</f>
        <v>58.29</v>
      </c>
      <c r="BA347" s="0" t="str">
        <f aca="false">IF(AZ347="","",IF(AZ347&lt;=Assumptions!$I$18,"Below Expectation",IF(AZ347&lt;=Assumptions!$I$19,"Developing",IF(AZ347&lt;=Assumptions!$I$20,"Meets Expectation",IF(AZ347&lt;=Assumptions!$I$21,"Exceeds","Star Performer")))))</f>
        <v>Meets Expectation</v>
      </c>
      <c r="BB347" s="0" t="n">
        <f aca="false">IF(AZ347="",0,IF(AZ347&gt;=Assumptions!$I$26,1,0))</f>
        <v>0</v>
      </c>
      <c r="BC347" s="9" t="n">
        <f aca="false">IF(AL347="",2,AL347+2)</f>
        <v>3</v>
      </c>
      <c r="BD347" s="10" t="n">
        <f aca="false">IF(AM347="",ROUND(AVERAGE($AM$2:$AM$921),3),AM347)</f>
        <v>0.837</v>
      </c>
      <c r="BE347" s="9" t="n">
        <f aca="false">1-BD347</f>
        <v>0.163</v>
      </c>
    </row>
    <row r="348" customFormat="false" ht="14.25" hidden="true" customHeight="false" outlineLevel="0" collapsed="false">
      <c r="A348" s="4" t="n">
        <v>151</v>
      </c>
      <c r="B348" s="5" t="n">
        <v>10046883</v>
      </c>
      <c r="C348" s="5"/>
      <c r="D348" s="5" t="s">
        <v>1584</v>
      </c>
      <c r="E348" s="5" t="s">
        <v>257</v>
      </c>
      <c r="F348" s="5" t="s">
        <v>595</v>
      </c>
      <c r="G348" s="5" t="s">
        <v>596</v>
      </c>
      <c r="H348" s="5" t="s">
        <v>597</v>
      </c>
      <c r="I348" s="5" t="s">
        <v>63</v>
      </c>
      <c r="J348" s="5" t="s">
        <v>76</v>
      </c>
      <c r="K348" s="5" t="s">
        <v>65</v>
      </c>
      <c r="L348" s="6" t="n">
        <v>41960</v>
      </c>
      <c r="M348" s="5" t="s">
        <v>639</v>
      </c>
      <c r="N348" s="6" t="n">
        <v>29372</v>
      </c>
      <c r="O348" s="5" t="s">
        <v>332</v>
      </c>
      <c r="P348" s="5" t="s">
        <v>333</v>
      </c>
      <c r="Q348" s="5" t="s">
        <v>367</v>
      </c>
      <c r="R348" s="5" t="s">
        <v>940</v>
      </c>
      <c r="S348" s="5" t="s">
        <v>1166</v>
      </c>
      <c r="T348" s="6"/>
      <c r="U348" s="6" t="n">
        <v>44652</v>
      </c>
      <c r="V348" s="5" t="s">
        <v>83</v>
      </c>
      <c r="W348" s="5" t="s">
        <v>141</v>
      </c>
      <c r="X348" s="5" t="s">
        <v>141</v>
      </c>
      <c r="Y348" s="5" t="s">
        <v>141</v>
      </c>
      <c r="Z348" s="5" t="s">
        <v>141</v>
      </c>
      <c r="AA348" s="5" t="s">
        <v>1585</v>
      </c>
      <c r="AB348" s="0" t="n">
        <f aca="false">IFERROR(VALUE(R348),0)</f>
        <v>7.1</v>
      </c>
      <c r="AC348" s="0" t="n">
        <f aca="false">IFERROR(VALUE(M348),"")</f>
        <v>46</v>
      </c>
      <c r="AD348" s="0" t="n">
        <f aca="false">IFERROR(VALUE(Q348),"")</f>
        <v>11.6</v>
      </c>
      <c r="AE348" s="0" t="n">
        <f aca="false">IFERROR(VALUE(S348),"")</f>
        <v>19.4</v>
      </c>
      <c r="AF348" s="0" t="n">
        <f aca="false">IF(V348="","",VLOOKUP(V348,Assumptions!$B$6:$C$9,2,FALSE()))</f>
        <v>4</v>
      </c>
      <c r="AG348" s="0" t="n">
        <f aca="false">IF(W348="","",VLOOKUP(W348,Assumptions!$B$6:$C$9,2,FALSE()))</f>
        <v>3</v>
      </c>
      <c r="AH348" s="0" t="n">
        <f aca="false">IF(X348="","",VLOOKUP(X348,Assumptions!$B$6:$C$9,2,FALSE()))</f>
        <v>3</v>
      </c>
      <c r="AI348" s="0" t="n">
        <f aca="false">IF(Y348="","",VLOOKUP(Y348,Assumptions!$B$6:$C$9,2,FALSE()))</f>
        <v>3</v>
      </c>
      <c r="AJ348" s="0" t="n">
        <f aca="false">IF(Z348="","",VLOOKUP(Z348,Assumptions!$B$6:$C$9,2,FALSE()))</f>
        <v>3</v>
      </c>
      <c r="AK348" s="7" t="n">
        <f aca="false">IFERROR(ROUND(AVERAGE(AF348:AJ348),3),"")</f>
        <v>3.2</v>
      </c>
      <c r="AL348" s="7" t="n">
        <f aca="false">IF(OR(AF348="",AJ348=""),"",AJ348-AF348)</f>
        <v>-1</v>
      </c>
      <c r="AM348" s="7" t="n">
        <f aca="false">IF(COUNT(AF348:AJ348)&gt;=2,ROUND(_xlfn.STDEV.S(AF348:AJ348),3),"")</f>
        <v>0.447</v>
      </c>
      <c r="AN348" s="7" t="n">
        <f aca="false">ROUND((IF(AF348="",0,AF348)*Assumptions!$F$15)+(IF(AG348="",0,AG348)*Assumptions!$F$16)+(IF(AH348="",0,AH348)*Assumptions!$F$17)+(IF(AI348="",0,AI348)*Assumptions!$F$18)+(IF(AJ348="",0,AJ348)*Assumptions!$F$19),3)</f>
        <v>3.1</v>
      </c>
      <c r="AO348" s="0" t="str">
        <f aca="false">IF(AC348&lt;=20,"",IF(AC348&lt;=Assumptions!$F$6,"20-30",IF(AC348&lt;=Assumptions!$F$7,"30-40",IF(AC348&lt;=Assumptions!$F$8,"40-50",IF(AC348&lt;=Assumptions!$F$9,"50-60",IF(AC348&lt;=Assumptions!$F$10,"60+",""))))))</f>
        <v>40-50</v>
      </c>
      <c r="AP348" s="0" t="str">
        <f aca="false">IFERROR(VLOOKUP(O348,Assumptions!$B$14:$C$26,2,FALSE()),"Other")</f>
        <v>Manager</v>
      </c>
      <c r="AQ348" s="0" t="n">
        <f aca="false">IF(T348="",0,1)</f>
        <v>0</v>
      </c>
      <c r="AR348" s="0" t="n">
        <f aca="false">IF(U348="",0,1)</f>
        <v>1</v>
      </c>
      <c r="AS348" s="8" t="n">
        <f aca="false">IF(AK348="","",IF(MAX($AK$2:$AK$921)=MIN($AK$2:$AK$921),50,ROUND((AK348-MIN($AK$2:$AK$921))/(MAX($AK$2:$AK$921)-MIN($AK$2:$AK$921))*100,2)))</f>
        <v>65.71</v>
      </c>
      <c r="AT348" s="8" t="n">
        <f aca="false">IF(MAX($BC$2:$BC$921)=MIN($BC$2:$BC$921),50,ROUND((BC348-MIN($BC$2:$BC$921))/(MAX($BC$2:$BC$921)-MIN($BC$2:$BC$921))*100,2))</f>
        <v>25</v>
      </c>
      <c r="AU348" s="8" t="n">
        <f aca="false">IF(MAX($BE$2:$BE$921)=MIN($BE$2:$BE$921),50,ROUND((BE348-MIN($BE$2:$BE$921))/(MAX($BE$2:$BE$921)-MIN($BE$2:$BE$921))*100,2))</f>
        <v>74.19</v>
      </c>
      <c r="AV348" s="8" t="n">
        <f aca="false">IF(MAX($AD$2:$AD$921)=MIN($AD$2:$AD$921),50,ROUND((AD348-MIN($AD$2:$AD$921))/(MAX($AD$2:$AD$921)-MIN($AD$2:$AD$921))*100,2))</f>
        <v>31.23</v>
      </c>
      <c r="AW348" s="8" t="n">
        <f aca="false">IF(MAX($AN$2:$AN$921)=MIN($AN$2:$AN$921),50,ROUND((AN348-MIN($AN$2:$AN$921))/(MAX($AN$2:$AN$921)-MIN($AN$2:$AN$921))*100,2))</f>
        <v>77.5</v>
      </c>
      <c r="AX348" s="8" t="n">
        <f aca="false">AQ348*100</f>
        <v>0</v>
      </c>
      <c r="AY348" s="8" t="n">
        <f aca="false">AR348*100</f>
        <v>100</v>
      </c>
      <c r="AZ348" s="8" t="n">
        <f aca="false">IFERROR(ROUND(AS348*Assumptions!$I$6+AW348*Assumptions!$I$7+AT348*Assumptions!$I$8+AU348*Assumptions!$I$9+AV348*Assumptions!$I$10+AX348*Assumptions!$I$11+AY348*Assumptions!$I$12,2),"")</f>
        <v>58.21</v>
      </c>
      <c r="BA348" s="0" t="str">
        <f aca="false">IF(AZ348="","",IF(AZ348&lt;=Assumptions!$I$18,"Below Expectation",IF(AZ348&lt;=Assumptions!$I$19,"Developing",IF(AZ348&lt;=Assumptions!$I$20,"Meets Expectation",IF(AZ348&lt;=Assumptions!$I$21,"Exceeds","Star Performer")))))</f>
        <v>Meets Expectation</v>
      </c>
      <c r="BB348" s="0" t="n">
        <f aca="false">IF(AZ348="",0,IF(AZ348&gt;=Assumptions!$I$26,1,0))</f>
        <v>0</v>
      </c>
      <c r="BC348" s="9" t="n">
        <f aca="false">IF(AL348="",2,AL348+2)</f>
        <v>1</v>
      </c>
      <c r="BD348" s="10" t="n">
        <f aca="false">IF(AM348="",ROUND(AVERAGE($AM$2:$AM$921),3),AM348)</f>
        <v>0.447</v>
      </c>
      <c r="BE348" s="9" t="n">
        <f aca="false">1-BD348</f>
        <v>0.553</v>
      </c>
    </row>
    <row r="349" customFormat="false" ht="14.25" hidden="true" customHeight="false" outlineLevel="0" collapsed="false">
      <c r="A349" s="4" t="n">
        <v>154</v>
      </c>
      <c r="B349" s="5" t="n">
        <v>10047773</v>
      </c>
      <c r="C349" s="5" t="s">
        <v>85</v>
      </c>
      <c r="D349" s="5" t="s">
        <v>1586</v>
      </c>
      <c r="E349" s="5" t="s">
        <v>850</v>
      </c>
      <c r="F349" s="5" t="s">
        <v>258</v>
      </c>
      <c r="G349" s="5" t="s">
        <v>259</v>
      </c>
      <c r="H349" s="5" t="s">
        <v>260</v>
      </c>
      <c r="I349" s="5" t="s">
        <v>63</v>
      </c>
      <c r="J349" s="5" t="s">
        <v>76</v>
      </c>
      <c r="K349" s="5" t="s">
        <v>65</v>
      </c>
      <c r="L349" s="6" t="n">
        <v>42009</v>
      </c>
      <c r="M349" s="5" t="s">
        <v>417</v>
      </c>
      <c r="N349" s="6" t="n">
        <v>32004</v>
      </c>
      <c r="O349" s="5" t="s">
        <v>262</v>
      </c>
      <c r="P349" s="5" t="s">
        <v>263</v>
      </c>
      <c r="Q349" s="5" t="s">
        <v>1396</v>
      </c>
      <c r="R349" s="5" t="s">
        <v>81</v>
      </c>
      <c r="S349" s="5" t="s">
        <v>1180</v>
      </c>
      <c r="T349" s="6"/>
      <c r="U349" s="6" t="n">
        <v>44440</v>
      </c>
      <c r="V349" s="5" t="s">
        <v>83</v>
      </c>
      <c r="W349" s="5" t="s">
        <v>141</v>
      </c>
      <c r="X349" s="5" t="s">
        <v>141</v>
      </c>
      <c r="Y349" s="5" t="s">
        <v>141</v>
      </c>
      <c r="Z349" s="5" t="s">
        <v>141</v>
      </c>
      <c r="AA349" s="5" t="s">
        <v>1587</v>
      </c>
      <c r="AB349" s="0" t="n">
        <f aca="false">IFERROR(VALUE(R349),0)</f>
        <v>4.5</v>
      </c>
      <c r="AC349" s="0" t="n">
        <f aca="false">IFERROR(VALUE(M349),"")</f>
        <v>38.9</v>
      </c>
      <c r="AD349" s="0" t="n">
        <f aca="false">IFERROR(VALUE(Q349),"")</f>
        <v>11.5</v>
      </c>
      <c r="AE349" s="0" t="n">
        <f aca="false">IFERROR(VALUE(S349),"")</f>
        <v>15.1</v>
      </c>
      <c r="AF349" s="0" t="n">
        <f aca="false">IF(V349="","",VLOOKUP(V349,Assumptions!$B$6:$C$9,2,FALSE()))</f>
        <v>4</v>
      </c>
      <c r="AG349" s="0" t="n">
        <f aca="false">IF(W349="","",VLOOKUP(W349,Assumptions!$B$6:$C$9,2,FALSE()))</f>
        <v>3</v>
      </c>
      <c r="AH349" s="0" t="n">
        <f aca="false">IF(X349="","",VLOOKUP(X349,Assumptions!$B$6:$C$9,2,FALSE()))</f>
        <v>3</v>
      </c>
      <c r="AI349" s="0" t="n">
        <f aca="false">IF(Y349="","",VLOOKUP(Y349,Assumptions!$B$6:$C$9,2,FALSE()))</f>
        <v>3</v>
      </c>
      <c r="AJ349" s="0" t="n">
        <f aca="false">IF(Z349="","",VLOOKUP(Z349,Assumptions!$B$6:$C$9,2,FALSE()))</f>
        <v>3</v>
      </c>
      <c r="AK349" s="7" t="n">
        <f aca="false">IFERROR(ROUND(AVERAGE(AF349:AJ349),3),"")</f>
        <v>3.2</v>
      </c>
      <c r="AL349" s="7" t="n">
        <f aca="false">IF(OR(AF349="",AJ349=""),"",AJ349-AF349)</f>
        <v>-1</v>
      </c>
      <c r="AM349" s="7" t="n">
        <f aca="false">IF(COUNT(AF349:AJ349)&gt;=2,ROUND(_xlfn.STDEV.S(AF349:AJ349),3),"")</f>
        <v>0.447</v>
      </c>
      <c r="AN349" s="7" t="n">
        <f aca="false">ROUND((IF(AF349="",0,AF349)*Assumptions!$F$15)+(IF(AG349="",0,AG349)*Assumptions!$F$16)+(IF(AH349="",0,AH349)*Assumptions!$F$17)+(IF(AI349="",0,AI349)*Assumptions!$F$18)+(IF(AJ349="",0,AJ349)*Assumptions!$F$19),3)</f>
        <v>3.1</v>
      </c>
      <c r="AO349" s="0" t="str">
        <f aca="false">IF(AC349&lt;=20,"",IF(AC349&lt;=Assumptions!$F$6,"20-30",IF(AC349&lt;=Assumptions!$F$7,"30-40",IF(AC349&lt;=Assumptions!$F$8,"40-50",IF(AC349&lt;=Assumptions!$F$9,"50-60",IF(AC349&lt;=Assumptions!$F$10,"60+",""))))))</f>
        <v>30-40</v>
      </c>
      <c r="AP349" s="0" t="str">
        <f aca="false">IFERROR(VLOOKUP(O349,Assumptions!$B$14:$C$26,2,FALSE()),"Other")</f>
        <v>Manager</v>
      </c>
      <c r="AQ349" s="0" t="n">
        <f aca="false">IF(T349="",0,1)</f>
        <v>0</v>
      </c>
      <c r="AR349" s="0" t="n">
        <f aca="false">IF(U349="",0,1)</f>
        <v>1</v>
      </c>
      <c r="AS349" s="8" t="n">
        <f aca="false">IF(AK349="","",IF(MAX($AK$2:$AK$921)=MIN($AK$2:$AK$921),50,ROUND((AK349-MIN($AK$2:$AK$921))/(MAX($AK$2:$AK$921)-MIN($AK$2:$AK$921))*100,2)))</f>
        <v>65.71</v>
      </c>
      <c r="AT349" s="8" t="n">
        <f aca="false">IF(MAX($BC$2:$BC$921)=MIN($BC$2:$BC$921),50,ROUND((BC349-MIN($BC$2:$BC$921))/(MAX($BC$2:$BC$921)-MIN($BC$2:$BC$921))*100,2))</f>
        <v>25</v>
      </c>
      <c r="AU349" s="8" t="n">
        <f aca="false">IF(MAX($BE$2:$BE$921)=MIN($BE$2:$BE$921),50,ROUND((BE349-MIN($BE$2:$BE$921))/(MAX($BE$2:$BE$921)-MIN($BE$2:$BE$921))*100,2))</f>
        <v>74.19</v>
      </c>
      <c r="AV349" s="8" t="n">
        <f aca="false">IF(MAX($AD$2:$AD$921)=MIN($AD$2:$AD$921),50,ROUND((AD349-MIN($AD$2:$AD$921))/(MAX($AD$2:$AD$921)-MIN($AD$2:$AD$921))*100,2))</f>
        <v>30.96</v>
      </c>
      <c r="AW349" s="8" t="n">
        <f aca="false">IF(MAX($AN$2:$AN$921)=MIN($AN$2:$AN$921),50,ROUND((AN349-MIN($AN$2:$AN$921))/(MAX($AN$2:$AN$921)-MIN($AN$2:$AN$921))*100,2))</f>
        <v>77.5</v>
      </c>
      <c r="AX349" s="8" t="n">
        <f aca="false">AQ349*100</f>
        <v>0</v>
      </c>
      <c r="AY349" s="8" t="n">
        <f aca="false">AR349*100</f>
        <v>100</v>
      </c>
      <c r="AZ349" s="8" t="n">
        <f aca="false">IFERROR(ROUND(AS349*Assumptions!$I$6+AW349*Assumptions!$I$7+AT349*Assumptions!$I$8+AU349*Assumptions!$I$9+AV349*Assumptions!$I$10+AX349*Assumptions!$I$11+AY349*Assumptions!$I$12,2),"")</f>
        <v>58.19</v>
      </c>
      <c r="BA349" s="0" t="str">
        <f aca="false">IF(AZ349="","",IF(AZ349&lt;=Assumptions!$I$18,"Below Expectation",IF(AZ349&lt;=Assumptions!$I$19,"Developing",IF(AZ349&lt;=Assumptions!$I$20,"Meets Expectation",IF(AZ349&lt;=Assumptions!$I$21,"Exceeds","Star Performer")))))</f>
        <v>Meets Expectation</v>
      </c>
      <c r="BB349" s="0" t="n">
        <f aca="false">IF(AZ349="",0,IF(AZ349&gt;=Assumptions!$I$26,1,0))</f>
        <v>0</v>
      </c>
      <c r="BC349" s="9" t="n">
        <f aca="false">IF(AL349="",2,AL349+2)</f>
        <v>1</v>
      </c>
      <c r="BD349" s="10" t="n">
        <f aca="false">IF(AM349="",ROUND(AVERAGE($AM$2:$AM$921),3),AM349)</f>
        <v>0.447</v>
      </c>
      <c r="BE349" s="9" t="n">
        <f aca="false">1-BD349</f>
        <v>0.553</v>
      </c>
    </row>
    <row r="350" customFormat="false" ht="14.25" hidden="true" customHeight="false" outlineLevel="0" collapsed="false">
      <c r="A350" s="4" t="n">
        <v>547</v>
      </c>
      <c r="B350" s="5" t="n">
        <v>55048684</v>
      </c>
      <c r="C350" s="5" t="s">
        <v>57</v>
      </c>
      <c r="D350" s="5" t="s">
        <v>1588</v>
      </c>
      <c r="E350" s="5" t="s">
        <v>275</v>
      </c>
      <c r="F350" s="5" t="s">
        <v>608</v>
      </c>
      <c r="G350" s="5" t="s">
        <v>609</v>
      </c>
      <c r="H350" s="5" t="s">
        <v>608</v>
      </c>
      <c r="I350" s="5" t="s">
        <v>63</v>
      </c>
      <c r="J350" s="5" t="s">
        <v>100</v>
      </c>
      <c r="K350" s="5" t="s">
        <v>65</v>
      </c>
      <c r="L350" s="6" t="n">
        <v>44648</v>
      </c>
      <c r="M350" s="5" t="s">
        <v>505</v>
      </c>
      <c r="N350" s="6" t="n">
        <v>34667</v>
      </c>
      <c r="O350" s="5" t="s">
        <v>365</v>
      </c>
      <c r="P350" s="5" t="s">
        <v>365</v>
      </c>
      <c r="Q350" s="5" t="s">
        <v>554</v>
      </c>
      <c r="R350" s="5" t="s">
        <v>404</v>
      </c>
      <c r="S350" s="5" t="s">
        <v>599</v>
      </c>
      <c r="T350" s="6"/>
      <c r="U350" s="6"/>
      <c r="V350" s="5"/>
      <c r="W350" s="5" t="s">
        <v>141</v>
      </c>
      <c r="X350" s="5" t="s">
        <v>83</v>
      </c>
      <c r="Y350" s="5" t="s">
        <v>141</v>
      </c>
      <c r="Z350" s="5" t="s">
        <v>83</v>
      </c>
      <c r="AA350" s="5" t="s">
        <v>1589</v>
      </c>
      <c r="AB350" s="0" t="n">
        <f aca="false">IFERROR(VALUE(R350),0)</f>
        <v>5.9</v>
      </c>
      <c r="AC350" s="0" t="n">
        <f aca="false">IFERROR(VALUE(M350),"")</f>
        <v>31.6</v>
      </c>
      <c r="AD350" s="0" t="n">
        <f aca="false">IFERROR(VALUE(Q350),"")</f>
        <v>4.2</v>
      </c>
      <c r="AE350" s="0" t="n">
        <f aca="false">IFERROR(VALUE(S350),"")</f>
        <v>9.11</v>
      </c>
      <c r="AF350" s="0" t="str">
        <f aca="false">IF(V350="","",VLOOKUP(V350,Assumptions!$B$6:$C$9,2,FALSE()))</f>
        <v/>
      </c>
      <c r="AG350" s="0" t="n">
        <f aca="false">IF(W350="","",VLOOKUP(W350,Assumptions!$B$6:$C$9,2,FALSE()))</f>
        <v>3</v>
      </c>
      <c r="AH350" s="0" t="n">
        <f aca="false">IF(X350="","",VLOOKUP(X350,Assumptions!$B$6:$C$9,2,FALSE()))</f>
        <v>4</v>
      </c>
      <c r="AI350" s="0" t="n">
        <f aca="false">IF(Y350="","",VLOOKUP(Y350,Assumptions!$B$6:$C$9,2,FALSE()))</f>
        <v>3</v>
      </c>
      <c r="AJ350" s="0" t="n">
        <f aca="false">IF(Z350="","",VLOOKUP(Z350,Assumptions!$B$6:$C$9,2,FALSE()))</f>
        <v>4</v>
      </c>
      <c r="AK350" s="7" t="n">
        <f aca="false">IFERROR(ROUND(AVERAGE(AF350:AJ350),3),"")</f>
        <v>3.5</v>
      </c>
      <c r="AL350" s="7" t="str">
        <f aca="false">IF(OR(AF350="",AJ350=""),"",AJ350-AF350)</f>
        <v/>
      </c>
      <c r="AM350" s="7" t="n">
        <f aca="false">IF(COUNT(AF350:AJ350)&gt;=2,ROUND(_xlfn.STDEV.S(AF350:AJ350),3),"")</f>
        <v>0.577</v>
      </c>
      <c r="AN350" s="7" t="n">
        <f aca="false">ROUND((IF(AF350="",0,AF350)*Assumptions!$F$15)+(IF(AG350="",0,AG350)*Assumptions!$F$16)+(IF(AH350="",0,AH350)*Assumptions!$F$17)+(IF(AI350="",0,AI350)*Assumptions!$F$18)+(IF(AJ350="",0,AJ350)*Assumptions!$F$19),3)</f>
        <v>3.2</v>
      </c>
      <c r="AO350" s="0" t="str">
        <f aca="false">IF(AC350&lt;=20,"",IF(AC350&lt;=Assumptions!$F$6,"20-30",IF(AC350&lt;=Assumptions!$F$7,"30-40",IF(AC350&lt;=Assumptions!$F$8,"40-50",IF(AC350&lt;=Assumptions!$F$9,"50-60",IF(AC350&lt;=Assumptions!$F$10,"60+",""))))))</f>
        <v>30-40</v>
      </c>
      <c r="AP350" s="0" t="str">
        <f aca="false">IFERROR(VLOOKUP(O350,Assumptions!$B$14:$C$26,2,FALSE()),"Other")</f>
        <v>Manager</v>
      </c>
      <c r="AQ350" s="0" t="n">
        <f aca="false">IF(T350="",0,1)</f>
        <v>0</v>
      </c>
      <c r="AR350" s="0" t="n">
        <f aca="false">IF(U350="",0,1)</f>
        <v>0</v>
      </c>
      <c r="AS350" s="8" t="n">
        <f aca="false">IF(AK350="","",IF(MAX($AK$2:$AK$921)=MIN($AK$2:$AK$921),50,ROUND((AK350-MIN($AK$2:$AK$921))/(MAX($AK$2:$AK$921)-MIN($AK$2:$AK$921))*100,2)))</f>
        <v>78.57</v>
      </c>
      <c r="AT350" s="8" t="n">
        <f aca="false">IF(MAX($BC$2:$BC$921)=MIN($BC$2:$BC$921),50,ROUND((BC350-MIN($BC$2:$BC$921))/(MAX($BC$2:$BC$921)-MIN($BC$2:$BC$921))*100,2))</f>
        <v>50</v>
      </c>
      <c r="AU350" s="8" t="n">
        <f aca="false">IF(MAX($BE$2:$BE$921)=MIN($BE$2:$BE$921),50,ROUND((BE350-MIN($BE$2:$BE$921))/(MAX($BE$2:$BE$921)-MIN($BE$2:$BE$921))*100,2))</f>
        <v>66.69</v>
      </c>
      <c r="AV350" s="8" t="n">
        <f aca="false">IF(MAX($AD$2:$AD$921)=MIN($AD$2:$AD$921),50,ROUND((AD350-MIN($AD$2:$AD$921))/(MAX($AD$2:$AD$921)-MIN($AD$2:$AD$921))*100,2))</f>
        <v>11.12</v>
      </c>
      <c r="AW350" s="8" t="n">
        <f aca="false">IF(MAX($AN$2:$AN$921)=MIN($AN$2:$AN$921),50,ROUND((AN350-MIN($AN$2:$AN$921))/(MAX($AN$2:$AN$921)-MIN($AN$2:$AN$921))*100,2))</f>
        <v>80</v>
      </c>
      <c r="AX350" s="8" t="n">
        <f aca="false">AQ350*100</f>
        <v>0</v>
      </c>
      <c r="AY350" s="8" t="n">
        <f aca="false">AR350*100</f>
        <v>0</v>
      </c>
      <c r="AZ350" s="8" t="n">
        <f aca="false">IFERROR(ROUND(AS350*Assumptions!$I$6+AW350*Assumptions!$I$7+AT350*Assumptions!$I$8+AU350*Assumptions!$I$9+AV350*Assumptions!$I$10+AX350*Assumptions!$I$11+AY350*Assumptions!$I$12,2),"")</f>
        <v>58.19</v>
      </c>
      <c r="BA350" s="0" t="str">
        <f aca="false">IF(AZ350="","",IF(AZ350&lt;=Assumptions!$I$18,"Below Expectation",IF(AZ350&lt;=Assumptions!$I$19,"Developing",IF(AZ350&lt;=Assumptions!$I$20,"Meets Expectation",IF(AZ350&lt;=Assumptions!$I$21,"Exceeds","Star Performer")))))</f>
        <v>Meets Expectation</v>
      </c>
      <c r="BB350" s="0" t="n">
        <f aca="false">IF(AZ350="",0,IF(AZ350&gt;=Assumptions!$I$26,1,0))</f>
        <v>0</v>
      </c>
      <c r="BC350" s="9" t="n">
        <f aca="false">IF(AL350="",2,AL350+2)</f>
        <v>2</v>
      </c>
      <c r="BD350" s="10" t="n">
        <f aca="false">IF(AM350="",ROUND(AVERAGE($AM$2:$AM$921),3),AM350)</f>
        <v>0.577</v>
      </c>
      <c r="BE350" s="9" t="n">
        <f aca="false">1-BD350</f>
        <v>0.423</v>
      </c>
    </row>
    <row r="351" customFormat="false" ht="14.25" hidden="true" customHeight="false" outlineLevel="0" collapsed="false">
      <c r="A351" s="4" t="n">
        <v>716</v>
      </c>
      <c r="B351" s="5" t="n">
        <v>55066448</v>
      </c>
      <c r="C351" s="5" t="s">
        <v>85</v>
      </c>
      <c r="D351" s="5" t="s">
        <v>1590</v>
      </c>
      <c r="E351" s="5" t="s">
        <v>137</v>
      </c>
      <c r="F351" s="5" t="s">
        <v>349</v>
      </c>
      <c r="G351" s="5" t="s">
        <v>350</v>
      </c>
      <c r="H351" s="5" t="s">
        <v>349</v>
      </c>
      <c r="I351" s="5" t="s">
        <v>63</v>
      </c>
      <c r="J351" s="5" t="s">
        <v>76</v>
      </c>
      <c r="K351" s="5" t="s">
        <v>65</v>
      </c>
      <c r="L351" s="6" t="n">
        <v>44986</v>
      </c>
      <c r="M351" s="5" t="s">
        <v>852</v>
      </c>
      <c r="N351" s="6" t="n">
        <v>33060</v>
      </c>
      <c r="O351" s="5" t="s">
        <v>332</v>
      </c>
      <c r="P351" s="5" t="s">
        <v>333</v>
      </c>
      <c r="Q351" s="5" t="s">
        <v>1042</v>
      </c>
      <c r="R351" s="5" t="s">
        <v>391</v>
      </c>
      <c r="S351" s="5" t="s">
        <v>270</v>
      </c>
      <c r="T351" s="6"/>
      <c r="U351" s="6"/>
      <c r="V351" s="5"/>
      <c r="W351" s="5"/>
      <c r="X351" s="5" t="s">
        <v>141</v>
      </c>
      <c r="Y351" s="5" t="s">
        <v>83</v>
      </c>
      <c r="Z351" s="5" t="s">
        <v>83</v>
      </c>
      <c r="AA351" s="5" t="s">
        <v>1591</v>
      </c>
      <c r="AB351" s="0" t="n">
        <f aca="false">IFERROR(VALUE(R351),0)</f>
        <v>10.1</v>
      </c>
      <c r="AC351" s="0" t="n">
        <f aca="false">IFERROR(VALUE(M351),"")</f>
        <v>35.11</v>
      </c>
      <c r="AD351" s="0" t="n">
        <f aca="false">IFERROR(VALUE(Q351),"")</f>
        <v>3.3</v>
      </c>
      <c r="AE351" s="0" t="n">
        <f aca="false">IFERROR(VALUE(S351),"")</f>
        <v>14.1</v>
      </c>
      <c r="AF351" s="0" t="str">
        <f aca="false">IF(V351="","",VLOOKUP(V351,Assumptions!$B$6:$C$9,2,FALSE()))</f>
        <v/>
      </c>
      <c r="AG351" s="0" t="str">
        <f aca="false">IF(W351="","",VLOOKUP(W351,Assumptions!$B$6:$C$9,2,FALSE()))</f>
        <v/>
      </c>
      <c r="AH351" s="0" t="n">
        <f aca="false">IF(X351="","",VLOOKUP(X351,Assumptions!$B$6:$C$9,2,FALSE()))</f>
        <v>3</v>
      </c>
      <c r="AI351" s="0" t="n">
        <f aca="false">IF(Y351="","",VLOOKUP(Y351,Assumptions!$B$6:$C$9,2,FALSE()))</f>
        <v>4</v>
      </c>
      <c r="AJ351" s="0" t="n">
        <f aca="false">IF(Z351="","",VLOOKUP(Z351,Assumptions!$B$6:$C$9,2,FALSE()))</f>
        <v>4</v>
      </c>
      <c r="AK351" s="7" t="n">
        <f aca="false">IFERROR(ROUND(AVERAGE(AF351:AJ351),3),"")</f>
        <v>3.667</v>
      </c>
      <c r="AL351" s="7" t="str">
        <f aca="false">IF(OR(AF351="",AJ351=""),"",AJ351-AF351)</f>
        <v/>
      </c>
      <c r="AM351" s="7" t="n">
        <f aca="false">IF(COUNT(AF351:AJ351)&gt;=2,ROUND(_xlfn.STDEV.S(AF351:AJ351),3),"")</f>
        <v>0.577</v>
      </c>
      <c r="AN351" s="7" t="n">
        <f aca="false">ROUND((IF(AF351="",0,AF351)*Assumptions!$F$15)+(IF(AG351="",0,AG351)*Assumptions!$F$16)+(IF(AH351="",0,AH351)*Assumptions!$F$17)+(IF(AI351="",0,AI351)*Assumptions!$F$18)+(IF(AJ351="",0,AJ351)*Assumptions!$F$19),3)</f>
        <v>2.8</v>
      </c>
      <c r="AO351" s="0" t="str">
        <f aca="false">IF(AC351&lt;=20,"",IF(AC351&lt;=Assumptions!$F$6,"20-30",IF(AC351&lt;=Assumptions!$F$7,"30-40",IF(AC351&lt;=Assumptions!$F$8,"40-50",IF(AC351&lt;=Assumptions!$F$9,"50-60",IF(AC351&lt;=Assumptions!$F$10,"60+",""))))))</f>
        <v>30-40</v>
      </c>
      <c r="AP351" s="0" t="str">
        <f aca="false">IFERROR(VLOOKUP(O351,Assumptions!$B$14:$C$26,2,FALSE()),"Other")</f>
        <v>Manager</v>
      </c>
      <c r="AQ351" s="0" t="n">
        <f aca="false">IF(T351="",0,1)</f>
        <v>0</v>
      </c>
      <c r="AR351" s="0" t="n">
        <f aca="false">IF(U351="",0,1)</f>
        <v>0</v>
      </c>
      <c r="AS351" s="8" t="n">
        <f aca="false">IF(AK351="","",IF(MAX($AK$2:$AK$921)=MIN($AK$2:$AK$921),50,ROUND((AK351-MIN($AK$2:$AK$921))/(MAX($AK$2:$AK$921)-MIN($AK$2:$AK$921))*100,2)))</f>
        <v>85.73</v>
      </c>
      <c r="AT351" s="8" t="n">
        <f aca="false">IF(MAX($BC$2:$BC$921)=MIN($BC$2:$BC$921),50,ROUND((BC351-MIN($BC$2:$BC$921))/(MAX($BC$2:$BC$921)-MIN($BC$2:$BC$921))*100,2))</f>
        <v>50</v>
      </c>
      <c r="AU351" s="8" t="n">
        <f aca="false">IF(MAX($BE$2:$BE$921)=MIN($BE$2:$BE$921),50,ROUND((BE351-MIN($BE$2:$BE$921))/(MAX($BE$2:$BE$921)-MIN($BE$2:$BE$921))*100,2))</f>
        <v>66.69</v>
      </c>
      <c r="AV351" s="8" t="n">
        <f aca="false">IF(MAX($AD$2:$AD$921)=MIN($AD$2:$AD$921),50,ROUND((AD351-MIN($AD$2:$AD$921))/(MAX($AD$2:$AD$921)-MIN($AD$2:$AD$921))*100,2))</f>
        <v>8.67</v>
      </c>
      <c r="AW351" s="8" t="n">
        <f aca="false">IF(MAX($AN$2:$AN$921)=MIN($AN$2:$AN$921),50,ROUND((AN351-MIN($AN$2:$AN$921))/(MAX($AN$2:$AN$921)-MIN($AN$2:$AN$921))*100,2))</f>
        <v>70</v>
      </c>
      <c r="AX351" s="8" t="n">
        <f aca="false">AQ351*100</f>
        <v>0</v>
      </c>
      <c r="AY351" s="8" t="n">
        <f aca="false">AR351*100</f>
        <v>0</v>
      </c>
      <c r="AZ351" s="8" t="n">
        <f aca="false">IFERROR(ROUND(AS351*Assumptions!$I$6+AW351*Assumptions!$I$7+AT351*Assumptions!$I$8+AU351*Assumptions!$I$9+AV351*Assumptions!$I$10+AX351*Assumptions!$I$11+AY351*Assumptions!$I$12,2),"")</f>
        <v>58.09</v>
      </c>
      <c r="BA351" s="0" t="str">
        <f aca="false">IF(AZ351="","",IF(AZ351&lt;=Assumptions!$I$18,"Below Expectation",IF(AZ351&lt;=Assumptions!$I$19,"Developing",IF(AZ351&lt;=Assumptions!$I$20,"Meets Expectation",IF(AZ351&lt;=Assumptions!$I$21,"Exceeds","Star Performer")))))</f>
        <v>Meets Expectation</v>
      </c>
      <c r="BB351" s="0" t="n">
        <f aca="false">IF(AZ351="",0,IF(AZ351&gt;=Assumptions!$I$26,1,0))</f>
        <v>0</v>
      </c>
      <c r="BC351" s="9" t="n">
        <f aca="false">IF(AL351="",2,AL351+2)</f>
        <v>2</v>
      </c>
      <c r="BD351" s="10" t="n">
        <f aca="false">IF(AM351="",ROUND(AVERAGE($AM$2:$AM$921),3),AM351)</f>
        <v>0.577</v>
      </c>
      <c r="BE351" s="9" t="n">
        <f aca="false">1-BD351</f>
        <v>0.423</v>
      </c>
    </row>
    <row r="352" customFormat="false" ht="14.25" hidden="true" customHeight="false" outlineLevel="0" collapsed="false">
      <c r="A352" s="4" t="n">
        <v>721</v>
      </c>
      <c r="B352" s="5" t="n">
        <v>55066980</v>
      </c>
      <c r="C352" s="5" t="s">
        <v>149</v>
      </c>
      <c r="D352" s="5" t="s">
        <v>1592</v>
      </c>
      <c r="E352" s="5" t="s">
        <v>718</v>
      </c>
      <c r="F352" s="5" t="s">
        <v>1399</v>
      </c>
      <c r="G352" s="5" t="s">
        <v>1400</v>
      </c>
      <c r="H352" s="5" t="s">
        <v>1399</v>
      </c>
      <c r="I352" s="5" t="s">
        <v>63</v>
      </c>
      <c r="J352" s="5" t="s">
        <v>100</v>
      </c>
      <c r="K352" s="5" t="s">
        <v>65</v>
      </c>
      <c r="L352" s="6" t="n">
        <v>44998</v>
      </c>
      <c r="M352" s="5" t="s">
        <v>82</v>
      </c>
      <c r="N352" s="6" t="n">
        <v>33747</v>
      </c>
      <c r="O352" s="5" t="s">
        <v>365</v>
      </c>
      <c r="P352" s="5" t="s">
        <v>365</v>
      </c>
      <c r="Q352" s="5" t="s">
        <v>103</v>
      </c>
      <c r="R352" s="5" t="s">
        <v>893</v>
      </c>
      <c r="S352" s="5" t="s">
        <v>791</v>
      </c>
      <c r="T352" s="6"/>
      <c r="U352" s="6"/>
      <c r="V352" s="5"/>
      <c r="W352" s="5"/>
      <c r="X352" s="5" t="s">
        <v>141</v>
      </c>
      <c r="Y352" s="5" t="s">
        <v>83</v>
      </c>
      <c r="Z352" s="5" t="s">
        <v>83</v>
      </c>
      <c r="AA352" s="5" t="s">
        <v>1593</v>
      </c>
      <c r="AB352" s="0" t="n">
        <f aca="false">IFERROR(VALUE(R352),0)</f>
        <v>5.3</v>
      </c>
      <c r="AC352" s="0" t="n">
        <f aca="false">IFERROR(VALUE(M352),"")</f>
        <v>34</v>
      </c>
      <c r="AD352" s="0" t="n">
        <f aca="false">IFERROR(VALUE(Q352),"")</f>
        <v>3.2</v>
      </c>
      <c r="AE352" s="0" t="n">
        <f aca="false">IFERROR(VALUE(S352),"")</f>
        <v>8.5</v>
      </c>
      <c r="AF352" s="0" t="str">
        <f aca="false">IF(V352="","",VLOOKUP(V352,Assumptions!$B$6:$C$9,2,FALSE()))</f>
        <v/>
      </c>
      <c r="AG352" s="0" t="str">
        <f aca="false">IF(W352="","",VLOOKUP(W352,Assumptions!$B$6:$C$9,2,FALSE()))</f>
        <v/>
      </c>
      <c r="AH352" s="0" t="n">
        <f aca="false">IF(X352="","",VLOOKUP(X352,Assumptions!$B$6:$C$9,2,FALSE()))</f>
        <v>3</v>
      </c>
      <c r="AI352" s="0" t="n">
        <f aca="false">IF(Y352="","",VLOOKUP(Y352,Assumptions!$B$6:$C$9,2,FALSE()))</f>
        <v>4</v>
      </c>
      <c r="AJ352" s="0" t="n">
        <f aca="false">IF(Z352="","",VLOOKUP(Z352,Assumptions!$B$6:$C$9,2,FALSE()))</f>
        <v>4</v>
      </c>
      <c r="AK352" s="7" t="n">
        <f aca="false">IFERROR(ROUND(AVERAGE(AF352:AJ352),3),"")</f>
        <v>3.667</v>
      </c>
      <c r="AL352" s="7" t="str">
        <f aca="false">IF(OR(AF352="",AJ352=""),"",AJ352-AF352)</f>
        <v/>
      </c>
      <c r="AM352" s="7" t="n">
        <f aca="false">IF(COUNT(AF352:AJ352)&gt;=2,ROUND(_xlfn.STDEV.S(AF352:AJ352),3),"")</f>
        <v>0.577</v>
      </c>
      <c r="AN352" s="7" t="n">
        <f aca="false">ROUND((IF(AF352="",0,AF352)*Assumptions!$F$15)+(IF(AG352="",0,AG352)*Assumptions!$F$16)+(IF(AH352="",0,AH352)*Assumptions!$F$17)+(IF(AI352="",0,AI352)*Assumptions!$F$18)+(IF(AJ352="",0,AJ352)*Assumptions!$F$19),3)</f>
        <v>2.8</v>
      </c>
      <c r="AO352" s="0" t="str">
        <f aca="false">IF(AC352&lt;=20,"",IF(AC352&lt;=Assumptions!$F$6,"20-30",IF(AC352&lt;=Assumptions!$F$7,"30-40",IF(AC352&lt;=Assumptions!$F$8,"40-50",IF(AC352&lt;=Assumptions!$F$9,"50-60",IF(AC352&lt;=Assumptions!$F$10,"60+",""))))))</f>
        <v>30-40</v>
      </c>
      <c r="AP352" s="0" t="str">
        <f aca="false">IFERROR(VLOOKUP(O352,Assumptions!$B$14:$C$26,2,FALSE()),"Other")</f>
        <v>Manager</v>
      </c>
      <c r="AQ352" s="0" t="n">
        <f aca="false">IF(T352="",0,1)</f>
        <v>0</v>
      </c>
      <c r="AR352" s="0" t="n">
        <f aca="false">IF(U352="",0,1)</f>
        <v>0</v>
      </c>
      <c r="AS352" s="8" t="n">
        <f aca="false">IF(AK352="","",IF(MAX($AK$2:$AK$921)=MIN($AK$2:$AK$921),50,ROUND((AK352-MIN($AK$2:$AK$921))/(MAX($AK$2:$AK$921)-MIN($AK$2:$AK$921))*100,2)))</f>
        <v>85.73</v>
      </c>
      <c r="AT352" s="8" t="n">
        <f aca="false">IF(MAX($BC$2:$BC$921)=MIN($BC$2:$BC$921),50,ROUND((BC352-MIN($BC$2:$BC$921))/(MAX($BC$2:$BC$921)-MIN($BC$2:$BC$921))*100,2))</f>
        <v>50</v>
      </c>
      <c r="AU352" s="8" t="n">
        <f aca="false">IF(MAX($BE$2:$BE$921)=MIN($BE$2:$BE$921),50,ROUND((BE352-MIN($BE$2:$BE$921))/(MAX($BE$2:$BE$921)-MIN($BE$2:$BE$921))*100,2))</f>
        <v>66.69</v>
      </c>
      <c r="AV352" s="8" t="n">
        <f aca="false">IF(MAX($AD$2:$AD$921)=MIN($AD$2:$AD$921),50,ROUND((AD352-MIN($AD$2:$AD$921))/(MAX($AD$2:$AD$921)-MIN($AD$2:$AD$921))*100,2))</f>
        <v>8.4</v>
      </c>
      <c r="AW352" s="8" t="n">
        <f aca="false">IF(MAX($AN$2:$AN$921)=MIN($AN$2:$AN$921),50,ROUND((AN352-MIN($AN$2:$AN$921))/(MAX($AN$2:$AN$921)-MIN($AN$2:$AN$921))*100,2))</f>
        <v>70</v>
      </c>
      <c r="AX352" s="8" t="n">
        <f aca="false">AQ352*100</f>
        <v>0</v>
      </c>
      <c r="AY352" s="8" t="n">
        <f aca="false">AR352*100</f>
        <v>0</v>
      </c>
      <c r="AZ352" s="8" t="n">
        <f aca="false">IFERROR(ROUND(AS352*Assumptions!$I$6+AW352*Assumptions!$I$7+AT352*Assumptions!$I$8+AU352*Assumptions!$I$9+AV352*Assumptions!$I$10+AX352*Assumptions!$I$11+AY352*Assumptions!$I$12,2),"")</f>
        <v>58.06</v>
      </c>
      <c r="BA352" s="0" t="str">
        <f aca="false">IF(AZ352="","",IF(AZ352&lt;=Assumptions!$I$18,"Below Expectation",IF(AZ352&lt;=Assumptions!$I$19,"Developing",IF(AZ352&lt;=Assumptions!$I$20,"Meets Expectation",IF(AZ352&lt;=Assumptions!$I$21,"Exceeds","Star Performer")))))</f>
        <v>Meets Expectation</v>
      </c>
      <c r="BB352" s="0" t="n">
        <f aca="false">IF(AZ352="",0,IF(AZ352&gt;=Assumptions!$I$26,1,0))</f>
        <v>0</v>
      </c>
      <c r="BC352" s="9" t="n">
        <f aca="false">IF(AL352="",2,AL352+2)</f>
        <v>2</v>
      </c>
      <c r="BD352" s="10" t="n">
        <f aca="false">IF(AM352="",ROUND(AVERAGE($AM$2:$AM$921),3),AM352)</f>
        <v>0.577</v>
      </c>
      <c r="BE352" s="9" t="n">
        <f aca="false">1-BD352</f>
        <v>0.423</v>
      </c>
    </row>
    <row r="353" customFormat="false" ht="14.25" hidden="true" customHeight="false" outlineLevel="0" collapsed="false">
      <c r="A353" s="4" t="n">
        <v>728</v>
      </c>
      <c r="B353" s="5" t="n">
        <v>55067567</v>
      </c>
      <c r="C353" s="5" t="s">
        <v>57</v>
      </c>
      <c r="D353" s="5" t="s">
        <v>1594</v>
      </c>
      <c r="E353" s="5" t="s">
        <v>1595</v>
      </c>
      <c r="F353" s="5" t="s">
        <v>223</v>
      </c>
      <c r="G353" s="5" t="s">
        <v>224</v>
      </c>
      <c r="H353" s="5" t="s">
        <v>223</v>
      </c>
      <c r="I353" s="5" t="s">
        <v>63</v>
      </c>
      <c r="J353" s="5" t="s">
        <v>100</v>
      </c>
      <c r="K353" s="5" t="s">
        <v>65</v>
      </c>
      <c r="L353" s="6" t="n">
        <v>45015</v>
      </c>
      <c r="M353" s="5" t="s">
        <v>1596</v>
      </c>
      <c r="N353" s="6" t="n">
        <v>30029</v>
      </c>
      <c r="O353" s="5" t="s">
        <v>162</v>
      </c>
      <c r="P353" s="5" t="s">
        <v>162</v>
      </c>
      <c r="Q353" s="5" t="s">
        <v>103</v>
      </c>
      <c r="R353" s="5" t="s">
        <v>871</v>
      </c>
      <c r="S353" s="5" t="s">
        <v>910</v>
      </c>
      <c r="T353" s="6"/>
      <c r="U353" s="6"/>
      <c r="V353" s="5"/>
      <c r="W353" s="5"/>
      <c r="X353" s="5" t="s">
        <v>141</v>
      </c>
      <c r="Y353" s="5" t="s">
        <v>83</v>
      </c>
      <c r="Z353" s="5" t="s">
        <v>83</v>
      </c>
      <c r="AA353" s="5" t="s">
        <v>1597</v>
      </c>
      <c r="AB353" s="0" t="n">
        <f aca="false">IFERROR(VALUE(R353),0)</f>
        <v>21.9</v>
      </c>
      <c r="AC353" s="0" t="n">
        <f aca="false">IFERROR(VALUE(M353),"")</f>
        <v>44.2</v>
      </c>
      <c r="AD353" s="0" t="n">
        <f aca="false">IFERROR(VALUE(Q353),"")</f>
        <v>3.2</v>
      </c>
      <c r="AE353" s="0" t="n">
        <f aca="false">IFERROR(VALUE(S353),"")</f>
        <v>24.11</v>
      </c>
      <c r="AF353" s="0" t="str">
        <f aca="false">IF(V353="","",VLOOKUP(V353,Assumptions!$B$6:$C$9,2,FALSE()))</f>
        <v/>
      </c>
      <c r="AG353" s="0" t="str">
        <f aca="false">IF(W353="","",VLOOKUP(W353,Assumptions!$B$6:$C$9,2,FALSE()))</f>
        <v/>
      </c>
      <c r="AH353" s="0" t="n">
        <f aca="false">IF(X353="","",VLOOKUP(X353,Assumptions!$B$6:$C$9,2,FALSE()))</f>
        <v>3</v>
      </c>
      <c r="AI353" s="0" t="n">
        <f aca="false">IF(Y353="","",VLOOKUP(Y353,Assumptions!$B$6:$C$9,2,FALSE()))</f>
        <v>4</v>
      </c>
      <c r="AJ353" s="0" t="n">
        <f aca="false">IF(Z353="","",VLOOKUP(Z353,Assumptions!$B$6:$C$9,2,FALSE()))</f>
        <v>4</v>
      </c>
      <c r="AK353" s="7" t="n">
        <f aca="false">IFERROR(ROUND(AVERAGE(AF353:AJ353),3),"")</f>
        <v>3.667</v>
      </c>
      <c r="AL353" s="7" t="str">
        <f aca="false">IF(OR(AF353="",AJ353=""),"",AJ353-AF353)</f>
        <v/>
      </c>
      <c r="AM353" s="7" t="n">
        <f aca="false">IF(COUNT(AF353:AJ353)&gt;=2,ROUND(_xlfn.STDEV.S(AF353:AJ353),3),"")</f>
        <v>0.577</v>
      </c>
      <c r="AN353" s="7" t="n">
        <f aca="false">ROUND((IF(AF353="",0,AF353)*Assumptions!$F$15)+(IF(AG353="",0,AG353)*Assumptions!$F$16)+(IF(AH353="",0,AH353)*Assumptions!$F$17)+(IF(AI353="",0,AI353)*Assumptions!$F$18)+(IF(AJ353="",0,AJ353)*Assumptions!$F$19),3)</f>
        <v>2.8</v>
      </c>
      <c r="AO353" s="0" t="str">
        <f aca="false">IF(AC353&lt;=20,"",IF(AC353&lt;=Assumptions!$F$6,"20-30",IF(AC353&lt;=Assumptions!$F$7,"30-40",IF(AC353&lt;=Assumptions!$F$8,"40-50",IF(AC353&lt;=Assumptions!$F$9,"50-60",IF(AC353&lt;=Assumptions!$F$10,"60+",""))))))</f>
        <v>40-50</v>
      </c>
      <c r="AP353" s="0" t="str">
        <f aca="false">IFERROR(VLOOKUP(O353,Assumptions!$B$14:$C$26,2,FALSE()),"Other")</f>
        <v>Manager</v>
      </c>
      <c r="AQ353" s="0" t="n">
        <f aca="false">IF(T353="",0,1)</f>
        <v>0</v>
      </c>
      <c r="AR353" s="0" t="n">
        <f aca="false">IF(U353="",0,1)</f>
        <v>0</v>
      </c>
      <c r="AS353" s="8" t="n">
        <f aca="false">IF(AK353="","",IF(MAX($AK$2:$AK$921)=MIN($AK$2:$AK$921),50,ROUND((AK353-MIN($AK$2:$AK$921))/(MAX($AK$2:$AK$921)-MIN($AK$2:$AK$921))*100,2)))</f>
        <v>85.73</v>
      </c>
      <c r="AT353" s="8" t="n">
        <f aca="false">IF(MAX($BC$2:$BC$921)=MIN($BC$2:$BC$921),50,ROUND((BC353-MIN($BC$2:$BC$921))/(MAX($BC$2:$BC$921)-MIN($BC$2:$BC$921))*100,2))</f>
        <v>50</v>
      </c>
      <c r="AU353" s="8" t="n">
        <f aca="false">IF(MAX($BE$2:$BE$921)=MIN($BE$2:$BE$921),50,ROUND((BE353-MIN($BE$2:$BE$921))/(MAX($BE$2:$BE$921)-MIN($BE$2:$BE$921))*100,2))</f>
        <v>66.69</v>
      </c>
      <c r="AV353" s="8" t="n">
        <f aca="false">IF(MAX($AD$2:$AD$921)=MIN($AD$2:$AD$921),50,ROUND((AD353-MIN($AD$2:$AD$921))/(MAX($AD$2:$AD$921)-MIN($AD$2:$AD$921))*100,2))</f>
        <v>8.4</v>
      </c>
      <c r="AW353" s="8" t="n">
        <f aca="false">IF(MAX($AN$2:$AN$921)=MIN($AN$2:$AN$921),50,ROUND((AN353-MIN($AN$2:$AN$921))/(MAX($AN$2:$AN$921)-MIN($AN$2:$AN$921))*100,2))</f>
        <v>70</v>
      </c>
      <c r="AX353" s="8" t="n">
        <f aca="false">AQ353*100</f>
        <v>0</v>
      </c>
      <c r="AY353" s="8" t="n">
        <f aca="false">AR353*100</f>
        <v>0</v>
      </c>
      <c r="AZ353" s="8" t="n">
        <f aca="false">IFERROR(ROUND(AS353*Assumptions!$I$6+AW353*Assumptions!$I$7+AT353*Assumptions!$I$8+AU353*Assumptions!$I$9+AV353*Assumptions!$I$10+AX353*Assumptions!$I$11+AY353*Assumptions!$I$12,2),"")</f>
        <v>58.06</v>
      </c>
      <c r="BA353" s="0" t="str">
        <f aca="false">IF(AZ353="","",IF(AZ353&lt;=Assumptions!$I$18,"Below Expectation",IF(AZ353&lt;=Assumptions!$I$19,"Developing",IF(AZ353&lt;=Assumptions!$I$20,"Meets Expectation",IF(AZ353&lt;=Assumptions!$I$21,"Exceeds","Star Performer")))))</f>
        <v>Meets Expectation</v>
      </c>
      <c r="BB353" s="0" t="n">
        <f aca="false">IF(AZ353="",0,IF(AZ353&gt;=Assumptions!$I$26,1,0))</f>
        <v>0</v>
      </c>
      <c r="BC353" s="9" t="n">
        <f aca="false">IF(AL353="",2,AL353+2)</f>
        <v>2</v>
      </c>
      <c r="BD353" s="10" t="n">
        <f aca="false">IF(AM353="",ROUND(AVERAGE($AM$2:$AM$921),3),AM353)</f>
        <v>0.577</v>
      </c>
      <c r="BE353" s="9" t="n">
        <f aca="false">1-BD353</f>
        <v>0.423</v>
      </c>
    </row>
    <row r="354" customFormat="false" ht="14.25" hidden="true" customHeight="false" outlineLevel="0" collapsed="false">
      <c r="A354" s="4" t="n">
        <v>549</v>
      </c>
      <c r="B354" s="5" t="n">
        <v>55048992</v>
      </c>
      <c r="C354" s="5" t="s">
        <v>85</v>
      </c>
      <c r="D354" s="5" t="s">
        <v>1598</v>
      </c>
      <c r="E354" s="5" t="s">
        <v>137</v>
      </c>
      <c r="F354" s="5" t="s">
        <v>1382</v>
      </c>
      <c r="G354" s="5" t="s">
        <v>1383</v>
      </c>
      <c r="H354" s="5" t="s">
        <v>1382</v>
      </c>
      <c r="I354" s="5" t="s">
        <v>63</v>
      </c>
      <c r="J354" s="5" t="s">
        <v>76</v>
      </c>
      <c r="K354" s="5" t="s">
        <v>309</v>
      </c>
      <c r="L354" s="6" t="n">
        <v>44655</v>
      </c>
      <c r="M354" s="5" t="s">
        <v>1223</v>
      </c>
      <c r="N354" s="6" t="n">
        <v>36316</v>
      </c>
      <c r="O354" s="5" t="s">
        <v>1264</v>
      </c>
      <c r="P354" s="5" t="s">
        <v>1559</v>
      </c>
      <c r="Q354" s="5" t="s">
        <v>554</v>
      </c>
      <c r="R354" s="5" t="s">
        <v>115</v>
      </c>
      <c r="S354" s="5" t="s">
        <v>554</v>
      </c>
      <c r="T354" s="6"/>
      <c r="U354" s="6"/>
      <c r="V354" s="5"/>
      <c r="W354" s="5" t="s">
        <v>83</v>
      </c>
      <c r="X354" s="5" t="s">
        <v>141</v>
      </c>
      <c r="Y354" s="5" t="s">
        <v>141</v>
      </c>
      <c r="Z354" s="5" t="s">
        <v>83</v>
      </c>
      <c r="AA354" s="5" t="s">
        <v>1599</v>
      </c>
      <c r="AB354" s="0" t="n">
        <f aca="false">IFERROR(VALUE(R354),0)</f>
        <v>0</v>
      </c>
      <c r="AC354" s="0" t="n">
        <f aca="false">IFERROR(VALUE(M354),"")</f>
        <v>27</v>
      </c>
      <c r="AD354" s="0" t="n">
        <f aca="false">IFERROR(VALUE(Q354),"")</f>
        <v>4.2</v>
      </c>
      <c r="AE354" s="0" t="n">
        <f aca="false">IFERROR(VALUE(S354),"")</f>
        <v>4.2</v>
      </c>
      <c r="AF354" s="0" t="str">
        <f aca="false">IF(V354="","",VLOOKUP(V354,Assumptions!$B$6:$C$9,2,FALSE()))</f>
        <v/>
      </c>
      <c r="AG354" s="0" t="n">
        <f aca="false">IF(W354="","",VLOOKUP(W354,Assumptions!$B$6:$C$9,2,FALSE()))</f>
        <v>4</v>
      </c>
      <c r="AH354" s="0" t="n">
        <f aca="false">IF(X354="","",VLOOKUP(X354,Assumptions!$B$6:$C$9,2,FALSE()))</f>
        <v>3</v>
      </c>
      <c r="AI354" s="0" t="n">
        <f aca="false">IF(Y354="","",VLOOKUP(Y354,Assumptions!$B$6:$C$9,2,FALSE()))</f>
        <v>3</v>
      </c>
      <c r="AJ354" s="0" t="n">
        <f aca="false">IF(Z354="","",VLOOKUP(Z354,Assumptions!$B$6:$C$9,2,FALSE()))</f>
        <v>4</v>
      </c>
      <c r="AK354" s="7" t="n">
        <f aca="false">IFERROR(ROUND(AVERAGE(AF354:AJ354),3),"")</f>
        <v>3.5</v>
      </c>
      <c r="AL354" s="7" t="str">
        <f aca="false">IF(OR(AF354="",AJ354=""),"",AJ354-AF354)</f>
        <v/>
      </c>
      <c r="AM354" s="7" t="n">
        <f aca="false">IF(COUNT(AF354:AJ354)&gt;=2,ROUND(_xlfn.STDEV.S(AF354:AJ354),3),"")</f>
        <v>0.577</v>
      </c>
      <c r="AN354" s="7" t="n">
        <f aca="false">ROUND((IF(AF354="",0,AF354)*Assumptions!$F$15)+(IF(AG354="",0,AG354)*Assumptions!$F$16)+(IF(AH354="",0,AH354)*Assumptions!$F$17)+(IF(AI354="",0,AI354)*Assumptions!$F$18)+(IF(AJ354="",0,AJ354)*Assumptions!$F$19),3)</f>
        <v>3.15</v>
      </c>
      <c r="AO354" s="0" t="str">
        <f aca="false">IF(AC354&lt;=20,"",IF(AC354&lt;=Assumptions!$F$6,"20-30",IF(AC354&lt;=Assumptions!$F$7,"30-40",IF(AC354&lt;=Assumptions!$F$8,"40-50",IF(AC354&lt;=Assumptions!$F$9,"50-60",IF(AC354&lt;=Assumptions!$F$10,"60+",""))))))</f>
        <v>20-30</v>
      </c>
      <c r="AP354" s="0" t="str">
        <f aca="false">IFERROR(VLOOKUP(O354,Assumptions!$B$14:$C$26,2,FALSE()),"Other")</f>
        <v>Manager</v>
      </c>
      <c r="AQ354" s="0" t="n">
        <f aca="false">IF(T354="",0,1)</f>
        <v>0</v>
      </c>
      <c r="AR354" s="0" t="n">
        <f aca="false">IF(U354="",0,1)</f>
        <v>0</v>
      </c>
      <c r="AS354" s="8" t="n">
        <f aca="false">IF(AK354="","",IF(MAX($AK$2:$AK$921)=MIN($AK$2:$AK$921),50,ROUND((AK354-MIN($AK$2:$AK$921))/(MAX($AK$2:$AK$921)-MIN($AK$2:$AK$921))*100,2)))</f>
        <v>78.57</v>
      </c>
      <c r="AT354" s="8" t="n">
        <f aca="false">IF(MAX($BC$2:$BC$921)=MIN($BC$2:$BC$921),50,ROUND((BC354-MIN($BC$2:$BC$921))/(MAX($BC$2:$BC$921)-MIN($BC$2:$BC$921))*100,2))</f>
        <v>50</v>
      </c>
      <c r="AU354" s="8" t="n">
        <f aca="false">IF(MAX($BE$2:$BE$921)=MIN($BE$2:$BE$921),50,ROUND((BE354-MIN($BE$2:$BE$921))/(MAX($BE$2:$BE$921)-MIN($BE$2:$BE$921))*100,2))</f>
        <v>66.69</v>
      </c>
      <c r="AV354" s="8" t="n">
        <f aca="false">IF(MAX($AD$2:$AD$921)=MIN($AD$2:$AD$921),50,ROUND((AD354-MIN($AD$2:$AD$921))/(MAX($AD$2:$AD$921)-MIN($AD$2:$AD$921))*100,2))</f>
        <v>11.12</v>
      </c>
      <c r="AW354" s="8" t="n">
        <f aca="false">IF(MAX($AN$2:$AN$921)=MIN($AN$2:$AN$921),50,ROUND((AN354-MIN($AN$2:$AN$921))/(MAX($AN$2:$AN$921)-MIN($AN$2:$AN$921))*100,2))</f>
        <v>78.75</v>
      </c>
      <c r="AX354" s="8" t="n">
        <f aca="false">AQ354*100</f>
        <v>0</v>
      </c>
      <c r="AY354" s="8" t="n">
        <f aca="false">AR354*100</f>
        <v>0</v>
      </c>
      <c r="AZ354" s="8" t="n">
        <f aca="false">IFERROR(ROUND(AS354*Assumptions!$I$6+AW354*Assumptions!$I$7+AT354*Assumptions!$I$8+AU354*Assumptions!$I$9+AV354*Assumptions!$I$10+AX354*Assumptions!$I$11+AY354*Assumptions!$I$12,2),"")</f>
        <v>57.94</v>
      </c>
      <c r="BA354" s="0" t="str">
        <f aca="false">IF(AZ354="","",IF(AZ354&lt;=Assumptions!$I$18,"Below Expectation",IF(AZ354&lt;=Assumptions!$I$19,"Developing",IF(AZ354&lt;=Assumptions!$I$20,"Meets Expectation",IF(AZ354&lt;=Assumptions!$I$21,"Exceeds","Star Performer")))))</f>
        <v>Meets Expectation</v>
      </c>
      <c r="BB354" s="0" t="n">
        <f aca="false">IF(AZ354="",0,IF(AZ354&gt;=Assumptions!$I$26,1,0))</f>
        <v>0</v>
      </c>
      <c r="BC354" s="9" t="n">
        <f aca="false">IF(AL354="",2,AL354+2)</f>
        <v>2</v>
      </c>
      <c r="BD354" s="10" t="n">
        <f aca="false">IF(AM354="",ROUND(AVERAGE($AM$2:$AM$921),3),AM354)</f>
        <v>0.577</v>
      </c>
      <c r="BE354" s="9" t="n">
        <f aca="false">1-BD354</f>
        <v>0.423</v>
      </c>
    </row>
    <row r="355" customFormat="false" ht="14.25" hidden="true" customHeight="false" outlineLevel="0" collapsed="false">
      <c r="A355" s="4" t="n">
        <v>91</v>
      </c>
      <c r="B355" s="5" t="n">
        <v>10026768</v>
      </c>
      <c r="C355" s="5" t="s">
        <v>149</v>
      </c>
      <c r="D355" s="5" t="s">
        <v>1600</v>
      </c>
      <c r="E355" s="5" t="s">
        <v>1226</v>
      </c>
      <c r="F355" s="5" t="s">
        <v>245</v>
      </c>
      <c r="G355" s="5" t="s">
        <v>246</v>
      </c>
      <c r="H355" s="5" t="s">
        <v>245</v>
      </c>
      <c r="I355" s="5" t="s">
        <v>63</v>
      </c>
      <c r="J355" s="5" t="s">
        <v>100</v>
      </c>
      <c r="K355" s="5" t="s">
        <v>65</v>
      </c>
      <c r="L355" s="6" t="n">
        <v>39524</v>
      </c>
      <c r="M355" s="5" t="s">
        <v>1601</v>
      </c>
      <c r="N355" s="6" t="n">
        <v>30474</v>
      </c>
      <c r="O355" s="5" t="s">
        <v>262</v>
      </c>
      <c r="P355" s="5" t="s">
        <v>263</v>
      </c>
      <c r="Q355" s="5" t="s">
        <v>930</v>
      </c>
      <c r="R355" s="5" t="s">
        <v>69</v>
      </c>
      <c r="S355" s="5" t="s">
        <v>745</v>
      </c>
      <c r="T355" s="6" t="n">
        <v>40269</v>
      </c>
      <c r="U355" s="6" t="n">
        <v>44652</v>
      </c>
      <c r="V355" s="5" t="s">
        <v>141</v>
      </c>
      <c r="W355" s="5" t="s">
        <v>631</v>
      </c>
      <c r="X355" s="5" t="s">
        <v>631</v>
      </c>
      <c r="Y355" s="5" t="s">
        <v>141</v>
      </c>
      <c r="Z355" s="5" t="s">
        <v>141</v>
      </c>
      <c r="AA355" s="5" t="s">
        <v>1602</v>
      </c>
      <c r="AB355" s="0" t="n">
        <f aca="false">IFERROR(VALUE(R355),0)</f>
        <v>0.3</v>
      </c>
      <c r="AC355" s="0" t="n">
        <f aca="false">IFERROR(VALUE(M355),"")</f>
        <v>43</v>
      </c>
      <c r="AD355" s="0" t="n">
        <f aca="false">IFERROR(VALUE(Q355),"")</f>
        <v>18.2</v>
      </c>
      <c r="AE355" s="0" t="n">
        <f aca="false">IFERROR(VALUE(S355),"")</f>
        <v>18.5</v>
      </c>
      <c r="AF355" s="0" t="n">
        <f aca="false">IF(V355="","",VLOOKUP(V355,Assumptions!$B$6:$C$9,2,FALSE()))</f>
        <v>3</v>
      </c>
      <c r="AG355" s="0" t="n">
        <f aca="false">IF(W355="","",VLOOKUP(W355,Assumptions!$B$6:$C$9,2,FALSE()))</f>
        <v>2</v>
      </c>
      <c r="AH355" s="0" t="n">
        <f aca="false">IF(X355="","",VLOOKUP(X355,Assumptions!$B$6:$C$9,2,FALSE()))</f>
        <v>2</v>
      </c>
      <c r="AI355" s="0" t="n">
        <f aca="false">IF(Y355="","",VLOOKUP(Y355,Assumptions!$B$6:$C$9,2,FALSE()))</f>
        <v>3</v>
      </c>
      <c r="AJ355" s="0" t="n">
        <f aca="false">IF(Z355="","",VLOOKUP(Z355,Assumptions!$B$6:$C$9,2,FALSE()))</f>
        <v>3</v>
      </c>
      <c r="AK355" s="7" t="n">
        <f aca="false">IFERROR(ROUND(AVERAGE(AF355:AJ355),3),"")</f>
        <v>2.6</v>
      </c>
      <c r="AL355" s="7" t="n">
        <f aca="false">IF(OR(AF355="",AJ355=""),"",AJ355-AF355)</f>
        <v>0</v>
      </c>
      <c r="AM355" s="7" t="n">
        <f aca="false">IF(COUNT(AF355:AJ355)&gt;=2,ROUND(_xlfn.STDEV.S(AF355:AJ355),3),"")</f>
        <v>0.548</v>
      </c>
      <c r="AN355" s="7" t="n">
        <f aca="false">ROUND((IF(AF355="",0,AF355)*Assumptions!$F$15)+(IF(AG355="",0,AG355)*Assumptions!$F$16)+(IF(AH355="",0,AH355)*Assumptions!$F$17)+(IF(AI355="",0,AI355)*Assumptions!$F$18)+(IF(AJ355="",0,AJ355)*Assumptions!$F$19),3)</f>
        <v>2.65</v>
      </c>
      <c r="AO355" s="0" t="str">
        <f aca="false">IF(AC355&lt;=20,"",IF(AC355&lt;=Assumptions!$F$6,"20-30",IF(AC355&lt;=Assumptions!$F$7,"30-40",IF(AC355&lt;=Assumptions!$F$8,"40-50",IF(AC355&lt;=Assumptions!$F$9,"50-60",IF(AC355&lt;=Assumptions!$F$10,"60+",""))))))</f>
        <v>40-50</v>
      </c>
      <c r="AP355" s="0" t="str">
        <f aca="false">IFERROR(VLOOKUP(O355,Assumptions!$B$14:$C$26,2,FALSE()),"Other")</f>
        <v>Manager</v>
      </c>
      <c r="AQ355" s="0" t="n">
        <f aca="false">IF(T355="",0,1)</f>
        <v>1</v>
      </c>
      <c r="AR355" s="0" t="n">
        <f aca="false">IF(U355="",0,1)</f>
        <v>1</v>
      </c>
      <c r="AS355" s="8" t="n">
        <f aca="false">IF(AK355="","",IF(MAX($AK$2:$AK$921)=MIN($AK$2:$AK$921),50,ROUND((AK355-MIN($AK$2:$AK$921))/(MAX($AK$2:$AK$921)-MIN($AK$2:$AK$921))*100,2)))</f>
        <v>39.99</v>
      </c>
      <c r="AT355" s="8" t="n">
        <f aca="false">IF(MAX($BC$2:$BC$921)=MIN($BC$2:$BC$921),50,ROUND((BC355-MIN($BC$2:$BC$921))/(MAX($BC$2:$BC$921)-MIN($BC$2:$BC$921))*100,2))</f>
        <v>50</v>
      </c>
      <c r="AU355" s="8" t="n">
        <f aca="false">IF(MAX($BE$2:$BE$921)=MIN($BE$2:$BE$921),50,ROUND((BE355-MIN($BE$2:$BE$921))/(MAX($BE$2:$BE$921)-MIN($BE$2:$BE$921))*100,2))</f>
        <v>68.36</v>
      </c>
      <c r="AV355" s="8" t="n">
        <f aca="false">IF(MAX($AD$2:$AD$921)=MIN($AD$2:$AD$921),50,ROUND((AD355-MIN($AD$2:$AD$921))/(MAX($AD$2:$AD$921)-MIN($AD$2:$AD$921))*100,2))</f>
        <v>49.17</v>
      </c>
      <c r="AW355" s="8" t="n">
        <f aca="false">IF(MAX($AN$2:$AN$921)=MIN($AN$2:$AN$921),50,ROUND((AN355-MIN($AN$2:$AN$921))/(MAX($AN$2:$AN$921)-MIN($AN$2:$AN$921))*100,2))</f>
        <v>66.25</v>
      </c>
      <c r="AX355" s="8" t="n">
        <f aca="false">AQ355*100</f>
        <v>100</v>
      </c>
      <c r="AY355" s="8" t="n">
        <f aca="false">AR355*100</f>
        <v>100</v>
      </c>
      <c r="AZ355" s="8" t="n">
        <f aca="false">IFERROR(ROUND(AS355*Assumptions!$I$6+AW355*Assumptions!$I$7+AT355*Assumptions!$I$8+AU355*Assumptions!$I$9+AV355*Assumptions!$I$10+AX355*Assumptions!$I$11+AY355*Assumptions!$I$12,2),"")</f>
        <v>57.92</v>
      </c>
      <c r="BA355" s="0" t="str">
        <f aca="false">IF(AZ355="","",IF(AZ355&lt;=Assumptions!$I$18,"Below Expectation",IF(AZ355&lt;=Assumptions!$I$19,"Developing",IF(AZ355&lt;=Assumptions!$I$20,"Meets Expectation",IF(AZ355&lt;=Assumptions!$I$21,"Exceeds","Star Performer")))))</f>
        <v>Meets Expectation</v>
      </c>
      <c r="BB355" s="0" t="n">
        <f aca="false">IF(AZ355="",0,IF(AZ355&gt;=Assumptions!$I$26,1,0))</f>
        <v>0</v>
      </c>
      <c r="BC355" s="9" t="n">
        <f aca="false">IF(AL355="",2,AL355+2)</f>
        <v>2</v>
      </c>
      <c r="BD355" s="10" t="n">
        <f aca="false">IF(AM355="",ROUND(AVERAGE($AM$2:$AM$921),3),AM355)</f>
        <v>0.548</v>
      </c>
      <c r="BE355" s="9" t="n">
        <f aca="false">1-BD355</f>
        <v>0.452</v>
      </c>
    </row>
    <row r="356" customFormat="false" ht="14.25" hidden="true" customHeight="false" outlineLevel="0" collapsed="false">
      <c r="A356" s="4" t="n">
        <v>561</v>
      </c>
      <c r="B356" s="5" t="n">
        <v>55049444</v>
      </c>
      <c r="C356" s="5" t="s">
        <v>57</v>
      </c>
      <c r="D356" s="5" t="s">
        <v>1603</v>
      </c>
      <c r="E356" s="5" t="s">
        <v>456</v>
      </c>
      <c r="F356" s="5" t="s">
        <v>608</v>
      </c>
      <c r="G356" s="5" t="s">
        <v>609</v>
      </c>
      <c r="H356" s="5" t="s">
        <v>608</v>
      </c>
      <c r="I356" s="5" t="s">
        <v>63</v>
      </c>
      <c r="J356" s="5" t="s">
        <v>100</v>
      </c>
      <c r="K356" s="5" t="s">
        <v>65</v>
      </c>
      <c r="L356" s="6" t="n">
        <v>44666</v>
      </c>
      <c r="M356" s="5" t="s">
        <v>672</v>
      </c>
      <c r="N356" s="6" t="n">
        <v>32164</v>
      </c>
      <c r="O356" s="5" t="s">
        <v>365</v>
      </c>
      <c r="P356" s="5" t="s">
        <v>365</v>
      </c>
      <c r="Q356" s="5" t="s">
        <v>1534</v>
      </c>
      <c r="R356" s="5" t="s">
        <v>1094</v>
      </c>
      <c r="S356" s="5" t="s">
        <v>734</v>
      </c>
      <c r="T356" s="6"/>
      <c r="U356" s="6"/>
      <c r="V356" s="5"/>
      <c r="W356" s="5" t="s">
        <v>141</v>
      </c>
      <c r="X356" s="5" t="s">
        <v>83</v>
      </c>
      <c r="Y356" s="5" t="s">
        <v>83</v>
      </c>
      <c r="Z356" s="5" t="s">
        <v>141</v>
      </c>
      <c r="AA356" s="5" t="s">
        <v>1604</v>
      </c>
      <c r="AB356" s="0" t="n">
        <f aca="false">IFERROR(VALUE(R356),0)</f>
        <v>9.6</v>
      </c>
      <c r="AC356" s="0" t="n">
        <f aca="false">IFERROR(VALUE(M356),"")</f>
        <v>38.4</v>
      </c>
      <c r="AD356" s="0" t="n">
        <f aca="false">IFERROR(VALUE(Q356),"")</f>
        <v>4.1</v>
      </c>
      <c r="AE356" s="0" t="n">
        <f aca="false">IFERROR(VALUE(S356),"")</f>
        <v>13.7</v>
      </c>
      <c r="AF356" s="0" t="str">
        <f aca="false">IF(V356="","",VLOOKUP(V356,Assumptions!$B$6:$C$9,2,FALSE()))</f>
        <v/>
      </c>
      <c r="AG356" s="0" t="n">
        <f aca="false">IF(W356="","",VLOOKUP(W356,Assumptions!$B$6:$C$9,2,FALSE()))</f>
        <v>3</v>
      </c>
      <c r="AH356" s="0" t="n">
        <f aca="false">IF(X356="","",VLOOKUP(X356,Assumptions!$B$6:$C$9,2,FALSE()))</f>
        <v>4</v>
      </c>
      <c r="AI356" s="0" t="n">
        <f aca="false">IF(Y356="","",VLOOKUP(Y356,Assumptions!$B$6:$C$9,2,FALSE()))</f>
        <v>4</v>
      </c>
      <c r="AJ356" s="0" t="n">
        <f aca="false">IF(Z356="","",VLOOKUP(Z356,Assumptions!$B$6:$C$9,2,FALSE()))</f>
        <v>3</v>
      </c>
      <c r="AK356" s="7" t="n">
        <f aca="false">IFERROR(ROUND(AVERAGE(AF356:AJ356),3),"")</f>
        <v>3.5</v>
      </c>
      <c r="AL356" s="7" t="str">
        <f aca="false">IF(OR(AF356="",AJ356=""),"",AJ356-AF356)</f>
        <v/>
      </c>
      <c r="AM356" s="7" t="n">
        <f aca="false">IF(COUNT(AF356:AJ356)&gt;=2,ROUND(_xlfn.STDEV.S(AF356:AJ356),3),"")</f>
        <v>0.577</v>
      </c>
      <c r="AN356" s="7" t="n">
        <f aca="false">ROUND((IF(AF356="",0,AF356)*Assumptions!$F$15)+(IF(AG356="",0,AG356)*Assumptions!$F$16)+(IF(AH356="",0,AH356)*Assumptions!$F$17)+(IF(AI356="",0,AI356)*Assumptions!$F$18)+(IF(AJ356="",0,AJ356)*Assumptions!$F$19),3)</f>
        <v>3.15</v>
      </c>
      <c r="AO356" s="0" t="str">
        <f aca="false">IF(AC356&lt;=20,"",IF(AC356&lt;=Assumptions!$F$6,"20-30",IF(AC356&lt;=Assumptions!$F$7,"30-40",IF(AC356&lt;=Assumptions!$F$8,"40-50",IF(AC356&lt;=Assumptions!$F$9,"50-60",IF(AC356&lt;=Assumptions!$F$10,"60+",""))))))</f>
        <v>30-40</v>
      </c>
      <c r="AP356" s="0" t="str">
        <f aca="false">IFERROR(VLOOKUP(O356,Assumptions!$B$14:$C$26,2,FALSE()),"Other")</f>
        <v>Manager</v>
      </c>
      <c r="AQ356" s="0" t="n">
        <f aca="false">IF(T356="",0,1)</f>
        <v>0</v>
      </c>
      <c r="AR356" s="0" t="n">
        <f aca="false">IF(U356="",0,1)</f>
        <v>0</v>
      </c>
      <c r="AS356" s="8" t="n">
        <f aca="false">IF(AK356="","",IF(MAX($AK$2:$AK$921)=MIN($AK$2:$AK$921),50,ROUND((AK356-MIN($AK$2:$AK$921))/(MAX($AK$2:$AK$921)-MIN($AK$2:$AK$921))*100,2)))</f>
        <v>78.57</v>
      </c>
      <c r="AT356" s="8" t="n">
        <f aca="false">IF(MAX($BC$2:$BC$921)=MIN($BC$2:$BC$921),50,ROUND((BC356-MIN($BC$2:$BC$921))/(MAX($BC$2:$BC$921)-MIN($BC$2:$BC$921))*100,2))</f>
        <v>50</v>
      </c>
      <c r="AU356" s="8" t="n">
        <f aca="false">IF(MAX($BE$2:$BE$921)=MIN($BE$2:$BE$921),50,ROUND((BE356-MIN($BE$2:$BE$921))/(MAX($BE$2:$BE$921)-MIN($BE$2:$BE$921))*100,2))</f>
        <v>66.69</v>
      </c>
      <c r="AV356" s="8" t="n">
        <f aca="false">IF(MAX($AD$2:$AD$921)=MIN($AD$2:$AD$921),50,ROUND((AD356-MIN($AD$2:$AD$921))/(MAX($AD$2:$AD$921)-MIN($AD$2:$AD$921))*100,2))</f>
        <v>10.85</v>
      </c>
      <c r="AW356" s="8" t="n">
        <f aca="false">IF(MAX($AN$2:$AN$921)=MIN($AN$2:$AN$921),50,ROUND((AN356-MIN($AN$2:$AN$921))/(MAX($AN$2:$AN$921)-MIN($AN$2:$AN$921))*100,2))</f>
        <v>78.75</v>
      </c>
      <c r="AX356" s="8" t="n">
        <f aca="false">AQ356*100</f>
        <v>0</v>
      </c>
      <c r="AY356" s="8" t="n">
        <f aca="false">AR356*100</f>
        <v>0</v>
      </c>
      <c r="AZ356" s="8" t="n">
        <f aca="false">IFERROR(ROUND(AS356*Assumptions!$I$6+AW356*Assumptions!$I$7+AT356*Assumptions!$I$8+AU356*Assumptions!$I$9+AV356*Assumptions!$I$10+AX356*Assumptions!$I$11+AY356*Assumptions!$I$12,2),"")</f>
        <v>57.91</v>
      </c>
      <c r="BA356" s="0" t="str">
        <f aca="false">IF(AZ356="","",IF(AZ356&lt;=Assumptions!$I$18,"Below Expectation",IF(AZ356&lt;=Assumptions!$I$19,"Developing",IF(AZ356&lt;=Assumptions!$I$20,"Meets Expectation",IF(AZ356&lt;=Assumptions!$I$21,"Exceeds","Star Performer")))))</f>
        <v>Meets Expectation</v>
      </c>
      <c r="BB356" s="0" t="n">
        <f aca="false">IF(AZ356="",0,IF(AZ356&gt;=Assumptions!$I$26,1,0))</f>
        <v>0</v>
      </c>
      <c r="BC356" s="9" t="n">
        <f aca="false">IF(AL356="",2,AL356+2)</f>
        <v>2</v>
      </c>
      <c r="BD356" s="10" t="n">
        <f aca="false">IF(AM356="",ROUND(AVERAGE($AM$2:$AM$921),3),AM356)</f>
        <v>0.577</v>
      </c>
      <c r="BE356" s="9" t="n">
        <f aca="false">1-BD356</f>
        <v>0.423</v>
      </c>
    </row>
    <row r="357" customFormat="false" ht="14.25" hidden="true" customHeight="false" outlineLevel="0" collapsed="false">
      <c r="A357" s="4" t="n">
        <v>739</v>
      </c>
      <c r="B357" s="5" t="n">
        <v>55073467</v>
      </c>
      <c r="C357" s="5" t="s">
        <v>149</v>
      </c>
      <c r="D357" s="5" t="s">
        <v>1605</v>
      </c>
      <c r="E357" s="5" t="s">
        <v>1127</v>
      </c>
      <c r="F357" s="5" t="s">
        <v>1606</v>
      </c>
      <c r="G357" s="5" t="s">
        <v>1607</v>
      </c>
      <c r="H357" s="5" t="s">
        <v>1606</v>
      </c>
      <c r="I357" s="5" t="s">
        <v>63</v>
      </c>
      <c r="J357" s="5" t="s">
        <v>100</v>
      </c>
      <c r="K357" s="5" t="s">
        <v>65</v>
      </c>
      <c r="L357" s="6" t="n">
        <v>45125</v>
      </c>
      <c r="M357" s="5" t="s">
        <v>1223</v>
      </c>
      <c r="N357" s="6" t="n">
        <v>36316</v>
      </c>
      <c r="O357" s="5" t="s">
        <v>1264</v>
      </c>
      <c r="P357" s="5" t="s">
        <v>1559</v>
      </c>
      <c r="Q357" s="5" t="s">
        <v>271</v>
      </c>
      <c r="R357" s="5" t="s">
        <v>115</v>
      </c>
      <c r="S357" s="5" t="s">
        <v>271</v>
      </c>
      <c r="T357" s="6"/>
      <c r="U357" s="6"/>
      <c r="V357" s="5"/>
      <c r="W357" s="5"/>
      <c r="X357" s="5" t="s">
        <v>141</v>
      </c>
      <c r="Y357" s="5" t="s">
        <v>83</v>
      </c>
      <c r="Z357" s="5" t="s">
        <v>83</v>
      </c>
      <c r="AA357" s="5" t="s">
        <v>1608</v>
      </c>
      <c r="AB357" s="0" t="n">
        <f aca="false">IFERROR(VALUE(R357),0)</f>
        <v>0</v>
      </c>
      <c r="AC357" s="0" t="n">
        <f aca="false">IFERROR(VALUE(M357),"")</f>
        <v>27</v>
      </c>
      <c r="AD357" s="0" t="n">
        <f aca="false">IFERROR(VALUE(Q357),"")</f>
        <v>2.1</v>
      </c>
      <c r="AE357" s="0" t="n">
        <f aca="false">IFERROR(VALUE(S357),"")</f>
        <v>2.1</v>
      </c>
      <c r="AF357" s="0" t="str">
        <f aca="false">IF(V357="","",VLOOKUP(V357,Assumptions!$B$6:$C$9,2,FALSE()))</f>
        <v/>
      </c>
      <c r="AG357" s="0" t="str">
        <f aca="false">IF(W357="","",VLOOKUP(W357,Assumptions!$B$6:$C$9,2,FALSE()))</f>
        <v/>
      </c>
      <c r="AH357" s="0" t="n">
        <f aca="false">IF(X357="","",VLOOKUP(X357,Assumptions!$B$6:$C$9,2,FALSE()))</f>
        <v>3</v>
      </c>
      <c r="AI357" s="0" t="n">
        <f aca="false">IF(Y357="","",VLOOKUP(Y357,Assumptions!$B$6:$C$9,2,FALSE()))</f>
        <v>4</v>
      </c>
      <c r="AJ357" s="0" t="n">
        <f aca="false">IF(Z357="","",VLOOKUP(Z357,Assumptions!$B$6:$C$9,2,FALSE()))</f>
        <v>4</v>
      </c>
      <c r="AK357" s="7" t="n">
        <f aca="false">IFERROR(ROUND(AVERAGE(AF357:AJ357),3),"")</f>
        <v>3.667</v>
      </c>
      <c r="AL357" s="7" t="str">
        <f aca="false">IF(OR(AF357="",AJ357=""),"",AJ357-AF357)</f>
        <v/>
      </c>
      <c r="AM357" s="7" t="n">
        <f aca="false">IF(COUNT(AF357:AJ357)&gt;=2,ROUND(_xlfn.STDEV.S(AF357:AJ357),3),"")</f>
        <v>0.577</v>
      </c>
      <c r="AN357" s="7" t="n">
        <f aca="false">ROUND((IF(AF357="",0,AF357)*Assumptions!$F$15)+(IF(AG357="",0,AG357)*Assumptions!$F$16)+(IF(AH357="",0,AH357)*Assumptions!$F$17)+(IF(AI357="",0,AI357)*Assumptions!$F$18)+(IF(AJ357="",0,AJ357)*Assumptions!$F$19),3)</f>
        <v>2.8</v>
      </c>
      <c r="AO357" s="0" t="str">
        <f aca="false">IF(AC357&lt;=20,"",IF(AC357&lt;=Assumptions!$F$6,"20-30",IF(AC357&lt;=Assumptions!$F$7,"30-40",IF(AC357&lt;=Assumptions!$F$8,"40-50",IF(AC357&lt;=Assumptions!$F$9,"50-60",IF(AC357&lt;=Assumptions!$F$10,"60+",""))))))</f>
        <v>20-30</v>
      </c>
      <c r="AP357" s="0" t="str">
        <f aca="false">IFERROR(VLOOKUP(O357,Assumptions!$B$14:$C$26,2,FALSE()),"Other")</f>
        <v>Manager</v>
      </c>
      <c r="AQ357" s="0" t="n">
        <f aca="false">IF(T357="",0,1)</f>
        <v>0</v>
      </c>
      <c r="AR357" s="0" t="n">
        <f aca="false">IF(U357="",0,1)</f>
        <v>0</v>
      </c>
      <c r="AS357" s="8" t="n">
        <f aca="false">IF(AK357="","",IF(MAX($AK$2:$AK$921)=MIN($AK$2:$AK$921),50,ROUND((AK357-MIN($AK$2:$AK$921))/(MAX($AK$2:$AK$921)-MIN($AK$2:$AK$921))*100,2)))</f>
        <v>85.73</v>
      </c>
      <c r="AT357" s="8" t="n">
        <f aca="false">IF(MAX($BC$2:$BC$921)=MIN($BC$2:$BC$921),50,ROUND((BC357-MIN($BC$2:$BC$921))/(MAX($BC$2:$BC$921)-MIN($BC$2:$BC$921))*100,2))</f>
        <v>50</v>
      </c>
      <c r="AU357" s="8" t="n">
        <f aca="false">IF(MAX($BE$2:$BE$921)=MIN($BE$2:$BE$921),50,ROUND((BE357-MIN($BE$2:$BE$921))/(MAX($BE$2:$BE$921)-MIN($BE$2:$BE$921))*100,2))</f>
        <v>66.69</v>
      </c>
      <c r="AV357" s="8" t="n">
        <f aca="false">IF(MAX($AD$2:$AD$921)=MIN($AD$2:$AD$921),50,ROUND((AD357-MIN($AD$2:$AD$921))/(MAX($AD$2:$AD$921)-MIN($AD$2:$AD$921))*100,2))</f>
        <v>5.41</v>
      </c>
      <c r="AW357" s="8" t="n">
        <f aca="false">IF(MAX($AN$2:$AN$921)=MIN($AN$2:$AN$921),50,ROUND((AN357-MIN($AN$2:$AN$921))/(MAX($AN$2:$AN$921)-MIN($AN$2:$AN$921))*100,2))</f>
        <v>70</v>
      </c>
      <c r="AX357" s="8" t="n">
        <f aca="false">AQ357*100</f>
        <v>0</v>
      </c>
      <c r="AY357" s="8" t="n">
        <f aca="false">AR357*100</f>
        <v>0</v>
      </c>
      <c r="AZ357" s="8" t="n">
        <f aca="false">IFERROR(ROUND(AS357*Assumptions!$I$6+AW357*Assumptions!$I$7+AT357*Assumptions!$I$8+AU357*Assumptions!$I$9+AV357*Assumptions!$I$10+AX357*Assumptions!$I$11+AY357*Assumptions!$I$12,2),"")</f>
        <v>57.76</v>
      </c>
      <c r="BA357" s="0" t="str">
        <f aca="false">IF(AZ357="","",IF(AZ357&lt;=Assumptions!$I$18,"Below Expectation",IF(AZ357&lt;=Assumptions!$I$19,"Developing",IF(AZ357&lt;=Assumptions!$I$20,"Meets Expectation",IF(AZ357&lt;=Assumptions!$I$21,"Exceeds","Star Performer")))))</f>
        <v>Meets Expectation</v>
      </c>
      <c r="BB357" s="0" t="n">
        <f aca="false">IF(AZ357="",0,IF(AZ357&gt;=Assumptions!$I$26,1,0))</f>
        <v>0</v>
      </c>
      <c r="BC357" s="9" t="n">
        <f aca="false">IF(AL357="",2,AL357+2)</f>
        <v>2</v>
      </c>
      <c r="BD357" s="10" t="n">
        <f aca="false">IF(AM357="",ROUND(AVERAGE($AM$2:$AM$921),3),AM357)</f>
        <v>0.577</v>
      </c>
      <c r="BE357" s="9" t="n">
        <f aca="false">1-BD357</f>
        <v>0.423</v>
      </c>
    </row>
    <row r="358" customFormat="false" ht="14.25" hidden="true" customHeight="false" outlineLevel="0" collapsed="false">
      <c r="A358" s="4" t="n">
        <v>479</v>
      </c>
      <c r="B358" s="5" t="n">
        <v>55042962</v>
      </c>
      <c r="C358" s="5" t="s">
        <v>149</v>
      </c>
      <c r="D358" s="5" t="s">
        <v>1609</v>
      </c>
      <c r="E358" s="5" t="s">
        <v>1226</v>
      </c>
      <c r="F358" s="5" t="s">
        <v>1399</v>
      </c>
      <c r="G358" s="5" t="s">
        <v>1400</v>
      </c>
      <c r="H358" s="5" t="s">
        <v>1399</v>
      </c>
      <c r="I358" s="5" t="s">
        <v>63</v>
      </c>
      <c r="J358" s="5" t="s">
        <v>100</v>
      </c>
      <c r="K358" s="5" t="s">
        <v>309</v>
      </c>
      <c r="L358" s="6" t="n">
        <v>44448</v>
      </c>
      <c r="M358" s="5" t="s">
        <v>1610</v>
      </c>
      <c r="N358" s="6" t="n">
        <v>34835</v>
      </c>
      <c r="O358" s="5" t="s">
        <v>332</v>
      </c>
      <c r="P358" s="5" t="s">
        <v>333</v>
      </c>
      <c r="Q358" s="5" t="s">
        <v>496</v>
      </c>
      <c r="R358" s="5" t="s">
        <v>287</v>
      </c>
      <c r="S358" s="5" t="s">
        <v>458</v>
      </c>
      <c r="T358" s="6"/>
      <c r="U358" s="6" t="n">
        <v>45748</v>
      </c>
      <c r="V358" s="5" t="s">
        <v>631</v>
      </c>
      <c r="W358" s="5" t="s">
        <v>141</v>
      </c>
      <c r="X358" s="5" t="s">
        <v>141</v>
      </c>
      <c r="Y358" s="5" t="s">
        <v>141</v>
      </c>
      <c r="Z358" s="5" t="s">
        <v>141</v>
      </c>
      <c r="AA358" s="5" t="s">
        <v>1611</v>
      </c>
      <c r="AB358" s="0" t="n">
        <f aca="false">IFERROR(VALUE(R358),0)</f>
        <v>4</v>
      </c>
      <c r="AC358" s="0" t="n">
        <f aca="false">IFERROR(VALUE(M358),"")</f>
        <v>31</v>
      </c>
      <c r="AD358" s="0" t="n">
        <f aca="false">IFERROR(VALUE(Q358),"")</f>
        <v>4.8</v>
      </c>
      <c r="AE358" s="0" t="n">
        <f aca="false">IFERROR(VALUE(S358),"")</f>
        <v>8.8</v>
      </c>
      <c r="AF358" s="0" t="n">
        <f aca="false">IF(V358="","",VLOOKUP(V358,Assumptions!$B$6:$C$9,2,FALSE()))</f>
        <v>2</v>
      </c>
      <c r="AG358" s="0" t="n">
        <f aca="false">IF(W358="","",VLOOKUP(W358,Assumptions!$B$6:$C$9,2,FALSE()))</f>
        <v>3</v>
      </c>
      <c r="AH358" s="0" t="n">
        <f aca="false">IF(X358="","",VLOOKUP(X358,Assumptions!$B$6:$C$9,2,FALSE()))</f>
        <v>3</v>
      </c>
      <c r="AI358" s="0" t="n">
        <f aca="false">IF(Y358="","",VLOOKUP(Y358,Assumptions!$B$6:$C$9,2,FALSE()))</f>
        <v>3</v>
      </c>
      <c r="AJ358" s="0" t="n">
        <f aca="false">IF(Z358="","",VLOOKUP(Z358,Assumptions!$B$6:$C$9,2,FALSE()))</f>
        <v>3</v>
      </c>
      <c r="AK358" s="7" t="n">
        <f aca="false">IFERROR(ROUND(AVERAGE(AF358:AJ358),3),"")</f>
        <v>2.8</v>
      </c>
      <c r="AL358" s="7" t="n">
        <f aca="false">IF(OR(AF358="",AJ358=""),"",AJ358-AF358)</f>
        <v>1</v>
      </c>
      <c r="AM358" s="7" t="n">
        <f aca="false">IF(COUNT(AF358:AJ358)&gt;=2,ROUND(_xlfn.STDEV.S(AF358:AJ358),3),"")</f>
        <v>0.447</v>
      </c>
      <c r="AN358" s="7" t="n">
        <f aca="false">ROUND((IF(AF358="",0,AF358)*Assumptions!$F$15)+(IF(AG358="",0,AG358)*Assumptions!$F$16)+(IF(AH358="",0,AH358)*Assumptions!$F$17)+(IF(AI358="",0,AI358)*Assumptions!$F$18)+(IF(AJ358="",0,AJ358)*Assumptions!$F$19),3)</f>
        <v>2.9</v>
      </c>
      <c r="AO358" s="0" t="str">
        <f aca="false">IF(AC358&lt;=20,"",IF(AC358&lt;=Assumptions!$F$6,"20-30",IF(AC358&lt;=Assumptions!$F$7,"30-40",IF(AC358&lt;=Assumptions!$F$8,"40-50",IF(AC358&lt;=Assumptions!$F$9,"50-60",IF(AC358&lt;=Assumptions!$F$10,"60+",""))))))</f>
        <v>30-40</v>
      </c>
      <c r="AP358" s="0" t="str">
        <f aca="false">IFERROR(VLOOKUP(O358,Assumptions!$B$14:$C$26,2,FALSE()),"Other")</f>
        <v>Manager</v>
      </c>
      <c r="AQ358" s="0" t="n">
        <f aca="false">IF(T358="",0,1)</f>
        <v>0</v>
      </c>
      <c r="AR358" s="0" t="n">
        <f aca="false">IF(U358="",0,1)</f>
        <v>1</v>
      </c>
      <c r="AS358" s="8" t="n">
        <f aca="false">IF(AK358="","",IF(MAX($AK$2:$AK$921)=MIN($AK$2:$AK$921),50,ROUND((AK358-MIN($AK$2:$AK$921))/(MAX($AK$2:$AK$921)-MIN($AK$2:$AK$921))*100,2)))</f>
        <v>48.56</v>
      </c>
      <c r="AT358" s="8" t="n">
        <f aca="false">IF(MAX($BC$2:$BC$921)=MIN($BC$2:$BC$921),50,ROUND((BC358-MIN($BC$2:$BC$921))/(MAX($BC$2:$BC$921)-MIN($BC$2:$BC$921))*100,2))</f>
        <v>75</v>
      </c>
      <c r="AU358" s="8" t="n">
        <f aca="false">IF(MAX($BE$2:$BE$921)=MIN($BE$2:$BE$921),50,ROUND((BE358-MIN($BE$2:$BE$921))/(MAX($BE$2:$BE$921)-MIN($BE$2:$BE$921))*100,2))</f>
        <v>74.19</v>
      </c>
      <c r="AV358" s="8" t="n">
        <f aca="false">IF(MAX($AD$2:$AD$921)=MIN($AD$2:$AD$921),50,ROUND((AD358-MIN($AD$2:$AD$921))/(MAX($AD$2:$AD$921)-MIN($AD$2:$AD$921))*100,2))</f>
        <v>12.75</v>
      </c>
      <c r="AW358" s="8" t="n">
        <f aca="false">IF(MAX($AN$2:$AN$921)=MIN($AN$2:$AN$921),50,ROUND((AN358-MIN($AN$2:$AN$921))/(MAX($AN$2:$AN$921)-MIN($AN$2:$AN$921))*100,2))</f>
        <v>72.5</v>
      </c>
      <c r="AX358" s="8" t="n">
        <f aca="false">AQ358*100</f>
        <v>0</v>
      </c>
      <c r="AY358" s="8" t="n">
        <f aca="false">AR358*100</f>
        <v>100</v>
      </c>
      <c r="AZ358" s="8" t="n">
        <f aca="false">IFERROR(ROUND(AS358*Assumptions!$I$6+AW358*Assumptions!$I$7+AT358*Assumptions!$I$8+AU358*Assumptions!$I$9+AV358*Assumptions!$I$10+AX358*Assumptions!$I$11+AY358*Assumptions!$I$12,2),"")</f>
        <v>57.72</v>
      </c>
      <c r="BA358" s="0" t="str">
        <f aca="false">IF(AZ358="","",IF(AZ358&lt;=Assumptions!$I$18,"Below Expectation",IF(AZ358&lt;=Assumptions!$I$19,"Developing",IF(AZ358&lt;=Assumptions!$I$20,"Meets Expectation",IF(AZ358&lt;=Assumptions!$I$21,"Exceeds","Star Performer")))))</f>
        <v>Meets Expectation</v>
      </c>
      <c r="BB358" s="0" t="n">
        <f aca="false">IF(AZ358="",0,IF(AZ358&gt;=Assumptions!$I$26,1,0))</f>
        <v>0</v>
      </c>
      <c r="BC358" s="9" t="n">
        <f aca="false">IF(AL358="",2,AL358+2)</f>
        <v>3</v>
      </c>
      <c r="BD358" s="10" t="n">
        <f aca="false">IF(AM358="",ROUND(AVERAGE($AM$2:$AM$921),3),AM358)</f>
        <v>0.447</v>
      </c>
      <c r="BE358" s="9" t="n">
        <f aca="false">1-BD358</f>
        <v>0.553</v>
      </c>
    </row>
    <row r="359" customFormat="false" ht="14.25" hidden="true" customHeight="false" outlineLevel="0" collapsed="false">
      <c r="A359" s="4" t="n">
        <v>203</v>
      </c>
      <c r="B359" s="5" t="n">
        <v>10056003</v>
      </c>
      <c r="C359" s="5" t="s">
        <v>57</v>
      </c>
      <c r="D359" s="5" t="s">
        <v>1612</v>
      </c>
      <c r="E359" s="5" t="s">
        <v>514</v>
      </c>
      <c r="F359" s="5" t="s">
        <v>387</v>
      </c>
      <c r="G359" s="5" t="s">
        <v>388</v>
      </c>
      <c r="H359" s="5" t="s">
        <v>387</v>
      </c>
      <c r="I359" s="5" t="s">
        <v>63</v>
      </c>
      <c r="J359" s="5" t="s">
        <v>100</v>
      </c>
      <c r="K359" s="5" t="s">
        <v>65</v>
      </c>
      <c r="L359" s="6" t="n">
        <v>42688</v>
      </c>
      <c r="M359" s="5" t="s">
        <v>402</v>
      </c>
      <c r="N359" s="6" t="n">
        <v>31838</v>
      </c>
      <c r="O359" s="5" t="s">
        <v>332</v>
      </c>
      <c r="P359" s="5" t="s">
        <v>333</v>
      </c>
      <c r="Q359" s="5" t="s">
        <v>1094</v>
      </c>
      <c r="R359" s="5" t="s">
        <v>231</v>
      </c>
      <c r="S359" s="5" t="s">
        <v>296</v>
      </c>
      <c r="T359" s="6"/>
      <c r="U359" s="6" t="n">
        <v>44652</v>
      </c>
      <c r="V359" s="5" t="s">
        <v>83</v>
      </c>
      <c r="W359" s="5" t="s">
        <v>141</v>
      </c>
      <c r="X359" s="5" t="s">
        <v>141</v>
      </c>
      <c r="Y359" s="5" t="s">
        <v>141</v>
      </c>
      <c r="Z359" s="5" t="s">
        <v>141</v>
      </c>
      <c r="AA359" s="5" t="s">
        <v>1613</v>
      </c>
      <c r="AB359" s="0" t="n">
        <f aca="false">IFERROR(VALUE(R359),0)</f>
        <v>3.9</v>
      </c>
      <c r="AC359" s="0" t="n">
        <f aca="false">IFERROR(VALUE(M359),"")</f>
        <v>39.3</v>
      </c>
      <c r="AD359" s="0" t="n">
        <f aca="false">IFERROR(VALUE(Q359),"")</f>
        <v>9.6</v>
      </c>
      <c r="AE359" s="0" t="n">
        <f aca="false">IFERROR(VALUE(S359),"")</f>
        <v>13.3</v>
      </c>
      <c r="AF359" s="0" t="n">
        <f aca="false">IF(V359="","",VLOOKUP(V359,Assumptions!$B$6:$C$9,2,FALSE()))</f>
        <v>4</v>
      </c>
      <c r="AG359" s="0" t="n">
        <f aca="false">IF(W359="","",VLOOKUP(W359,Assumptions!$B$6:$C$9,2,FALSE()))</f>
        <v>3</v>
      </c>
      <c r="AH359" s="0" t="n">
        <f aca="false">IF(X359="","",VLOOKUP(X359,Assumptions!$B$6:$C$9,2,FALSE()))</f>
        <v>3</v>
      </c>
      <c r="AI359" s="0" t="n">
        <f aca="false">IF(Y359="","",VLOOKUP(Y359,Assumptions!$B$6:$C$9,2,FALSE()))</f>
        <v>3</v>
      </c>
      <c r="AJ359" s="0" t="n">
        <f aca="false">IF(Z359="","",VLOOKUP(Z359,Assumptions!$B$6:$C$9,2,FALSE()))</f>
        <v>3</v>
      </c>
      <c r="AK359" s="7" t="n">
        <f aca="false">IFERROR(ROUND(AVERAGE(AF359:AJ359),3),"")</f>
        <v>3.2</v>
      </c>
      <c r="AL359" s="7" t="n">
        <f aca="false">IF(OR(AF359="",AJ359=""),"",AJ359-AF359)</f>
        <v>-1</v>
      </c>
      <c r="AM359" s="7" t="n">
        <f aca="false">IF(COUNT(AF359:AJ359)&gt;=2,ROUND(_xlfn.STDEV.S(AF359:AJ359),3),"")</f>
        <v>0.447</v>
      </c>
      <c r="AN359" s="7" t="n">
        <f aca="false">ROUND((IF(AF359="",0,AF359)*Assumptions!$F$15)+(IF(AG359="",0,AG359)*Assumptions!$F$16)+(IF(AH359="",0,AH359)*Assumptions!$F$17)+(IF(AI359="",0,AI359)*Assumptions!$F$18)+(IF(AJ359="",0,AJ359)*Assumptions!$F$19),3)</f>
        <v>3.1</v>
      </c>
      <c r="AO359" s="0" t="str">
        <f aca="false">IF(AC359&lt;=20,"",IF(AC359&lt;=Assumptions!$F$6,"20-30",IF(AC359&lt;=Assumptions!$F$7,"30-40",IF(AC359&lt;=Assumptions!$F$8,"40-50",IF(AC359&lt;=Assumptions!$F$9,"50-60",IF(AC359&lt;=Assumptions!$F$10,"60+",""))))))</f>
        <v>30-40</v>
      </c>
      <c r="AP359" s="0" t="str">
        <f aca="false">IFERROR(VLOOKUP(O359,Assumptions!$B$14:$C$26,2,FALSE()),"Other")</f>
        <v>Manager</v>
      </c>
      <c r="AQ359" s="0" t="n">
        <f aca="false">IF(T359="",0,1)</f>
        <v>0</v>
      </c>
      <c r="AR359" s="0" t="n">
        <f aca="false">IF(U359="",0,1)</f>
        <v>1</v>
      </c>
      <c r="AS359" s="8" t="n">
        <f aca="false">IF(AK359="","",IF(MAX($AK$2:$AK$921)=MIN($AK$2:$AK$921),50,ROUND((AK359-MIN($AK$2:$AK$921))/(MAX($AK$2:$AK$921)-MIN($AK$2:$AK$921))*100,2)))</f>
        <v>65.71</v>
      </c>
      <c r="AT359" s="8" t="n">
        <f aca="false">IF(MAX($BC$2:$BC$921)=MIN($BC$2:$BC$921),50,ROUND((BC359-MIN($BC$2:$BC$921))/(MAX($BC$2:$BC$921)-MIN($BC$2:$BC$921))*100,2))</f>
        <v>25</v>
      </c>
      <c r="AU359" s="8" t="n">
        <f aca="false">IF(MAX($BE$2:$BE$921)=MIN($BE$2:$BE$921),50,ROUND((BE359-MIN($BE$2:$BE$921))/(MAX($BE$2:$BE$921)-MIN($BE$2:$BE$921))*100,2))</f>
        <v>74.19</v>
      </c>
      <c r="AV359" s="8" t="n">
        <f aca="false">IF(MAX($AD$2:$AD$921)=MIN($AD$2:$AD$921),50,ROUND((AD359-MIN($AD$2:$AD$921))/(MAX($AD$2:$AD$921)-MIN($AD$2:$AD$921))*100,2))</f>
        <v>25.8</v>
      </c>
      <c r="AW359" s="8" t="n">
        <f aca="false">IF(MAX($AN$2:$AN$921)=MIN($AN$2:$AN$921),50,ROUND((AN359-MIN($AN$2:$AN$921))/(MAX($AN$2:$AN$921)-MIN($AN$2:$AN$921))*100,2))</f>
        <v>77.5</v>
      </c>
      <c r="AX359" s="8" t="n">
        <f aca="false">AQ359*100</f>
        <v>0</v>
      </c>
      <c r="AY359" s="8" t="n">
        <f aca="false">AR359*100</f>
        <v>100</v>
      </c>
      <c r="AZ359" s="8" t="n">
        <f aca="false">IFERROR(ROUND(AS359*Assumptions!$I$6+AW359*Assumptions!$I$7+AT359*Assumptions!$I$8+AU359*Assumptions!$I$9+AV359*Assumptions!$I$10+AX359*Assumptions!$I$11+AY359*Assumptions!$I$12,2),"")</f>
        <v>57.67</v>
      </c>
      <c r="BA359" s="0" t="str">
        <f aca="false">IF(AZ359="","",IF(AZ359&lt;=Assumptions!$I$18,"Below Expectation",IF(AZ359&lt;=Assumptions!$I$19,"Developing",IF(AZ359&lt;=Assumptions!$I$20,"Meets Expectation",IF(AZ359&lt;=Assumptions!$I$21,"Exceeds","Star Performer")))))</f>
        <v>Meets Expectation</v>
      </c>
      <c r="BB359" s="0" t="n">
        <f aca="false">IF(AZ359="",0,IF(AZ359&gt;=Assumptions!$I$26,1,0))</f>
        <v>0</v>
      </c>
      <c r="BC359" s="9" t="n">
        <f aca="false">IF(AL359="",2,AL359+2)</f>
        <v>1</v>
      </c>
      <c r="BD359" s="10" t="n">
        <f aca="false">IF(AM359="",ROUND(AVERAGE($AM$2:$AM$921),3),AM359)</f>
        <v>0.447</v>
      </c>
      <c r="BE359" s="9" t="n">
        <f aca="false">1-BD359</f>
        <v>0.553</v>
      </c>
    </row>
    <row r="360" customFormat="false" ht="14.25" hidden="true" customHeight="false" outlineLevel="0" collapsed="false">
      <c r="A360" s="4" t="n">
        <v>618</v>
      </c>
      <c r="B360" s="5" t="n">
        <v>55054341</v>
      </c>
      <c r="C360" s="5" t="s">
        <v>858</v>
      </c>
      <c r="D360" s="5" t="s">
        <v>1614</v>
      </c>
      <c r="E360" s="5" t="s">
        <v>1423</v>
      </c>
      <c r="F360" s="5" t="s">
        <v>1615</v>
      </c>
      <c r="G360" s="5" t="s">
        <v>1616</v>
      </c>
      <c r="H360" s="5" t="s">
        <v>1615</v>
      </c>
      <c r="I360" s="5" t="s">
        <v>63</v>
      </c>
      <c r="J360" s="5" t="s">
        <v>100</v>
      </c>
      <c r="K360" s="5" t="s">
        <v>309</v>
      </c>
      <c r="L360" s="6" t="n">
        <v>44763</v>
      </c>
      <c r="M360" s="5" t="s">
        <v>536</v>
      </c>
      <c r="N360" s="6" t="n">
        <v>36586</v>
      </c>
      <c r="O360" s="5" t="s">
        <v>1264</v>
      </c>
      <c r="P360" s="5" t="s">
        <v>1559</v>
      </c>
      <c r="Q360" s="5" t="s">
        <v>591</v>
      </c>
      <c r="R360" s="5" t="s">
        <v>115</v>
      </c>
      <c r="S360" s="5" t="s">
        <v>591</v>
      </c>
      <c r="T360" s="6"/>
      <c r="U360" s="6"/>
      <c r="V360" s="5"/>
      <c r="W360" s="5" t="s">
        <v>141</v>
      </c>
      <c r="X360" s="5" t="s">
        <v>83</v>
      </c>
      <c r="Y360" s="5" t="s">
        <v>83</v>
      </c>
      <c r="Z360" s="5" t="s">
        <v>141</v>
      </c>
      <c r="AA360" s="5" t="s">
        <v>1617</v>
      </c>
      <c r="AB360" s="0" t="n">
        <f aca="false">IFERROR(VALUE(R360),0)</f>
        <v>0</v>
      </c>
      <c r="AC360" s="0" t="n">
        <f aca="false">IFERROR(VALUE(M360),"")</f>
        <v>26.3</v>
      </c>
      <c r="AD360" s="0" t="n">
        <f aca="false">IFERROR(VALUE(Q360),"")</f>
        <v>3.1</v>
      </c>
      <c r="AE360" s="0" t="n">
        <f aca="false">IFERROR(VALUE(S360),"")</f>
        <v>3.1</v>
      </c>
      <c r="AF360" s="0" t="str">
        <f aca="false">IF(V360="","",VLOOKUP(V360,Assumptions!$B$6:$C$9,2,FALSE()))</f>
        <v/>
      </c>
      <c r="AG360" s="0" t="n">
        <f aca="false">IF(W360="","",VLOOKUP(W360,Assumptions!$B$6:$C$9,2,FALSE()))</f>
        <v>3</v>
      </c>
      <c r="AH360" s="0" t="n">
        <f aca="false">IF(X360="","",VLOOKUP(X360,Assumptions!$B$6:$C$9,2,FALSE()))</f>
        <v>4</v>
      </c>
      <c r="AI360" s="0" t="n">
        <f aca="false">IF(Y360="","",VLOOKUP(Y360,Assumptions!$B$6:$C$9,2,FALSE()))</f>
        <v>4</v>
      </c>
      <c r="AJ360" s="0" t="n">
        <f aca="false">IF(Z360="","",VLOOKUP(Z360,Assumptions!$B$6:$C$9,2,FALSE()))</f>
        <v>3</v>
      </c>
      <c r="AK360" s="7" t="n">
        <f aca="false">IFERROR(ROUND(AVERAGE(AF360:AJ360),3),"")</f>
        <v>3.5</v>
      </c>
      <c r="AL360" s="7" t="str">
        <f aca="false">IF(OR(AF360="",AJ360=""),"",AJ360-AF360)</f>
        <v/>
      </c>
      <c r="AM360" s="7" t="n">
        <f aca="false">IF(COUNT(AF360:AJ360)&gt;=2,ROUND(_xlfn.STDEV.S(AF360:AJ360),3),"")</f>
        <v>0.577</v>
      </c>
      <c r="AN360" s="7" t="n">
        <f aca="false">ROUND((IF(AF360="",0,AF360)*Assumptions!$F$15)+(IF(AG360="",0,AG360)*Assumptions!$F$16)+(IF(AH360="",0,AH360)*Assumptions!$F$17)+(IF(AI360="",0,AI360)*Assumptions!$F$18)+(IF(AJ360="",0,AJ360)*Assumptions!$F$19),3)</f>
        <v>3.15</v>
      </c>
      <c r="AO360" s="0" t="str">
        <f aca="false">IF(AC360&lt;=20,"",IF(AC360&lt;=Assumptions!$F$6,"20-30",IF(AC360&lt;=Assumptions!$F$7,"30-40",IF(AC360&lt;=Assumptions!$F$8,"40-50",IF(AC360&lt;=Assumptions!$F$9,"50-60",IF(AC360&lt;=Assumptions!$F$10,"60+",""))))))</f>
        <v>20-30</v>
      </c>
      <c r="AP360" s="0" t="str">
        <f aca="false">IFERROR(VLOOKUP(O360,Assumptions!$B$14:$C$26,2,FALSE()),"Other")</f>
        <v>Manager</v>
      </c>
      <c r="AQ360" s="0" t="n">
        <f aca="false">IF(T360="",0,1)</f>
        <v>0</v>
      </c>
      <c r="AR360" s="0" t="n">
        <f aca="false">IF(U360="",0,1)</f>
        <v>0</v>
      </c>
      <c r="AS360" s="8" t="n">
        <f aca="false">IF(AK360="","",IF(MAX($AK$2:$AK$921)=MIN($AK$2:$AK$921),50,ROUND((AK360-MIN($AK$2:$AK$921))/(MAX($AK$2:$AK$921)-MIN($AK$2:$AK$921))*100,2)))</f>
        <v>78.57</v>
      </c>
      <c r="AT360" s="8" t="n">
        <f aca="false">IF(MAX($BC$2:$BC$921)=MIN($BC$2:$BC$921),50,ROUND((BC360-MIN($BC$2:$BC$921))/(MAX($BC$2:$BC$921)-MIN($BC$2:$BC$921))*100,2))</f>
        <v>50</v>
      </c>
      <c r="AU360" s="8" t="n">
        <f aca="false">IF(MAX($BE$2:$BE$921)=MIN($BE$2:$BE$921),50,ROUND((BE360-MIN($BE$2:$BE$921))/(MAX($BE$2:$BE$921)-MIN($BE$2:$BE$921))*100,2))</f>
        <v>66.69</v>
      </c>
      <c r="AV360" s="8" t="n">
        <f aca="false">IF(MAX($AD$2:$AD$921)=MIN($AD$2:$AD$921),50,ROUND((AD360-MIN($AD$2:$AD$921))/(MAX($AD$2:$AD$921)-MIN($AD$2:$AD$921))*100,2))</f>
        <v>8.13</v>
      </c>
      <c r="AW360" s="8" t="n">
        <f aca="false">IF(MAX($AN$2:$AN$921)=MIN($AN$2:$AN$921),50,ROUND((AN360-MIN($AN$2:$AN$921))/(MAX($AN$2:$AN$921)-MIN($AN$2:$AN$921))*100,2))</f>
        <v>78.75</v>
      </c>
      <c r="AX360" s="8" t="n">
        <f aca="false">AQ360*100</f>
        <v>0</v>
      </c>
      <c r="AY360" s="8" t="n">
        <f aca="false">AR360*100</f>
        <v>0</v>
      </c>
      <c r="AZ360" s="8" t="n">
        <f aca="false">IFERROR(ROUND(AS360*Assumptions!$I$6+AW360*Assumptions!$I$7+AT360*Assumptions!$I$8+AU360*Assumptions!$I$9+AV360*Assumptions!$I$10+AX360*Assumptions!$I$11+AY360*Assumptions!$I$12,2),"")</f>
        <v>57.64</v>
      </c>
      <c r="BA360" s="0" t="str">
        <f aca="false">IF(AZ360="","",IF(AZ360&lt;=Assumptions!$I$18,"Below Expectation",IF(AZ360&lt;=Assumptions!$I$19,"Developing",IF(AZ360&lt;=Assumptions!$I$20,"Meets Expectation",IF(AZ360&lt;=Assumptions!$I$21,"Exceeds","Star Performer")))))</f>
        <v>Meets Expectation</v>
      </c>
      <c r="BB360" s="0" t="n">
        <f aca="false">IF(AZ360="",0,IF(AZ360&gt;=Assumptions!$I$26,1,0))</f>
        <v>0</v>
      </c>
      <c r="BC360" s="9" t="n">
        <f aca="false">IF(AL360="",2,AL360+2)</f>
        <v>2</v>
      </c>
      <c r="BD360" s="10" t="n">
        <f aca="false">IF(AM360="",ROUND(AVERAGE($AM$2:$AM$921),3),AM360)</f>
        <v>0.577</v>
      </c>
      <c r="BE360" s="9" t="n">
        <f aca="false">1-BD360</f>
        <v>0.423</v>
      </c>
    </row>
    <row r="361" customFormat="false" ht="14.25" hidden="true" customHeight="false" outlineLevel="0" collapsed="false">
      <c r="A361" s="4" t="n">
        <v>221</v>
      </c>
      <c r="B361" s="5" t="n">
        <v>10057811</v>
      </c>
      <c r="C361" s="5" t="s">
        <v>85</v>
      </c>
      <c r="D361" s="5" t="s">
        <v>1618</v>
      </c>
      <c r="E361" s="5" t="s">
        <v>1459</v>
      </c>
      <c r="F361" s="5" t="s">
        <v>178</v>
      </c>
      <c r="G361" s="5" t="s">
        <v>177</v>
      </c>
      <c r="H361" s="5" t="s">
        <v>178</v>
      </c>
      <c r="I361" s="5" t="s">
        <v>63</v>
      </c>
      <c r="J361" s="5" t="s">
        <v>76</v>
      </c>
      <c r="K361" s="5" t="s">
        <v>65</v>
      </c>
      <c r="L361" s="6" t="n">
        <v>42828</v>
      </c>
      <c r="M361" s="5" t="s">
        <v>766</v>
      </c>
      <c r="N361" s="6" t="n">
        <v>26922</v>
      </c>
      <c r="O361" s="5" t="s">
        <v>122</v>
      </c>
      <c r="P361" s="5" t="s">
        <v>123</v>
      </c>
      <c r="Q361" s="5" t="s">
        <v>1619</v>
      </c>
      <c r="R361" s="5" t="s">
        <v>1043</v>
      </c>
      <c r="S361" s="5" t="s">
        <v>1610</v>
      </c>
      <c r="T361" s="6"/>
      <c r="U361" s="6" t="n">
        <v>44652</v>
      </c>
      <c r="V361" s="5" t="s">
        <v>83</v>
      </c>
      <c r="W361" s="5" t="s">
        <v>141</v>
      </c>
      <c r="X361" s="5" t="s">
        <v>141</v>
      </c>
      <c r="Y361" s="5" t="s">
        <v>141</v>
      </c>
      <c r="Z361" s="5" t="s">
        <v>141</v>
      </c>
      <c r="AA361" s="5" t="s">
        <v>1620</v>
      </c>
      <c r="AB361" s="0" t="n">
        <f aca="false">IFERROR(VALUE(R361),0)</f>
        <v>21.1</v>
      </c>
      <c r="AC361" s="0" t="n">
        <f aca="false">IFERROR(VALUE(M361),"")</f>
        <v>52.8</v>
      </c>
      <c r="AD361" s="0" t="n">
        <f aca="false">IFERROR(VALUE(Q361),"")</f>
        <v>9.2</v>
      </c>
      <c r="AE361" s="0" t="n">
        <f aca="false">IFERROR(VALUE(S361),"")</f>
        <v>31</v>
      </c>
      <c r="AF361" s="0" t="n">
        <f aca="false">IF(V361="","",VLOOKUP(V361,Assumptions!$B$6:$C$9,2,FALSE()))</f>
        <v>4</v>
      </c>
      <c r="AG361" s="0" t="n">
        <f aca="false">IF(W361="","",VLOOKUP(W361,Assumptions!$B$6:$C$9,2,FALSE()))</f>
        <v>3</v>
      </c>
      <c r="AH361" s="0" t="n">
        <f aca="false">IF(X361="","",VLOOKUP(X361,Assumptions!$B$6:$C$9,2,FALSE()))</f>
        <v>3</v>
      </c>
      <c r="AI361" s="0" t="n">
        <f aca="false">IF(Y361="","",VLOOKUP(Y361,Assumptions!$B$6:$C$9,2,FALSE()))</f>
        <v>3</v>
      </c>
      <c r="AJ361" s="0" t="n">
        <f aca="false">IF(Z361="","",VLOOKUP(Z361,Assumptions!$B$6:$C$9,2,FALSE()))</f>
        <v>3</v>
      </c>
      <c r="AK361" s="7" t="n">
        <f aca="false">IFERROR(ROUND(AVERAGE(AF361:AJ361),3),"")</f>
        <v>3.2</v>
      </c>
      <c r="AL361" s="7" t="n">
        <f aca="false">IF(OR(AF361="",AJ361=""),"",AJ361-AF361)</f>
        <v>-1</v>
      </c>
      <c r="AM361" s="7" t="n">
        <f aca="false">IF(COUNT(AF361:AJ361)&gt;=2,ROUND(_xlfn.STDEV.S(AF361:AJ361),3),"")</f>
        <v>0.447</v>
      </c>
      <c r="AN361" s="7" t="n">
        <f aca="false">ROUND((IF(AF361="",0,AF361)*Assumptions!$F$15)+(IF(AG361="",0,AG361)*Assumptions!$F$16)+(IF(AH361="",0,AH361)*Assumptions!$F$17)+(IF(AI361="",0,AI361)*Assumptions!$F$18)+(IF(AJ361="",0,AJ361)*Assumptions!$F$19),3)</f>
        <v>3.1</v>
      </c>
      <c r="AO361" s="0" t="str">
        <f aca="false">IF(AC361&lt;=20,"",IF(AC361&lt;=Assumptions!$F$6,"20-30",IF(AC361&lt;=Assumptions!$F$7,"30-40",IF(AC361&lt;=Assumptions!$F$8,"40-50",IF(AC361&lt;=Assumptions!$F$9,"50-60",IF(AC361&lt;=Assumptions!$F$10,"60+",""))))))</f>
        <v>50-60</v>
      </c>
      <c r="AP361" s="0" t="str">
        <f aca="false">IFERROR(VLOOKUP(O361,Assumptions!$B$14:$C$26,2,FALSE()),"Other")</f>
        <v>Leadership</v>
      </c>
      <c r="AQ361" s="0" t="n">
        <f aca="false">IF(T361="",0,1)</f>
        <v>0</v>
      </c>
      <c r="AR361" s="0" t="n">
        <f aca="false">IF(U361="",0,1)</f>
        <v>1</v>
      </c>
      <c r="AS361" s="8" t="n">
        <f aca="false">IF(AK361="","",IF(MAX($AK$2:$AK$921)=MIN($AK$2:$AK$921),50,ROUND((AK361-MIN($AK$2:$AK$921))/(MAX($AK$2:$AK$921)-MIN($AK$2:$AK$921))*100,2)))</f>
        <v>65.71</v>
      </c>
      <c r="AT361" s="8" t="n">
        <f aca="false">IF(MAX($BC$2:$BC$921)=MIN($BC$2:$BC$921),50,ROUND((BC361-MIN($BC$2:$BC$921))/(MAX($BC$2:$BC$921)-MIN($BC$2:$BC$921))*100,2))</f>
        <v>25</v>
      </c>
      <c r="AU361" s="8" t="n">
        <f aca="false">IF(MAX($BE$2:$BE$921)=MIN($BE$2:$BE$921),50,ROUND((BE361-MIN($BE$2:$BE$921))/(MAX($BE$2:$BE$921)-MIN($BE$2:$BE$921))*100,2))</f>
        <v>74.19</v>
      </c>
      <c r="AV361" s="8" t="n">
        <f aca="false">IF(MAX($AD$2:$AD$921)=MIN($AD$2:$AD$921),50,ROUND((AD361-MIN($AD$2:$AD$921))/(MAX($AD$2:$AD$921)-MIN($AD$2:$AD$921))*100,2))</f>
        <v>24.71</v>
      </c>
      <c r="AW361" s="8" t="n">
        <f aca="false">IF(MAX($AN$2:$AN$921)=MIN($AN$2:$AN$921),50,ROUND((AN361-MIN($AN$2:$AN$921))/(MAX($AN$2:$AN$921)-MIN($AN$2:$AN$921))*100,2))</f>
        <v>77.5</v>
      </c>
      <c r="AX361" s="8" t="n">
        <f aca="false">AQ361*100</f>
        <v>0</v>
      </c>
      <c r="AY361" s="8" t="n">
        <f aca="false">AR361*100</f>
        <v>100</v>
      </c>
      <c r="AZ361" s="8" t="n">
        <f aca="false">IFERROR(ROUND(AS361*Assumptions!$I$6+AW361*Assumptions!$I$7+AT361*Assumptions!$I$8+AU361*Assumptions!$I$9+AV361*Assumptions!$I$10+AX361*Assumptions!$I$11+AY361*Assumptions!$I$12,2),"")</f>
        <v>57.56</v>
      </c>
      <c r="BA361" s="0" t="str">
        <f aca="false">IF(AZ361="","",IF(AZ361&lt;=Assumptions!$I$18,"Below Expectation",IF(AZ361&lt;=Assumptions!$I$19,"Developing",IF(AZ361&lt;=Assumptions!$I$20,"Meets Expectation",IF(AZ361&lt;=Assumptions!$I$21,"Exceeds","Star Performer")))))</f>
        <v>Meets Expectation</v>
      </c>
      <c r="BB361" s="0" t="n">
        <f aca="false">IF(AZ361="",0,IF(AZ361&gt;=Assumptions!$I$26,1,0))</f>
        <v>0</v>
      </c>
      <c r="BC361" s="9" t="n">
        <f aca="false">IF(AL361="",2,AL361+2)</f>
        <v>1</v>
      </c>
      <c r="BD361" s="10" t="n">
        <f aca="false">IF(AM361="",ROUND(AVERAGE($AM$2:$AM$921),3),AM361)</f>
        <v>0.447</v>
      </c>
      <c r="BE361" s="9" t="n">
        <f aca="false">1-BD361</f>
        <v>0.553</v>
      </c>
    </row>
    <row r="362" customFormat="false" ht="14.25" hidden="true" customHeight="false" outlineLevel="0" collapsed="false">
      <c r="A362" s="4" t="n">
        <v>183</v>
      </c>
      <c r="B362" s="5" t="n">
        <v>10054341</v>
      </c>
      <c r="C362" s="5" t="s">
        <v>57</v>
      </c>
      <c r="D362" s="5" t="s">
        <v>1621</v>
      </c>
      <c r="E362" s="5" t="s">
        <v>456</v>
      </c>
      <c r="F362" s="5" t="s">
        <v>387</v>
      </c>
      <c r="G362" s="5" t="s">
        <v>388</v>
      </c>
      <c r="H362" s="5" t="s">
        <v>387</v>
      </c>
      <c r="I362" s="5" t="s">
        <v>63</v>
      </c>
      <c r="J362" s="5" t="s">
        <v>100</v>
      </c>
      <c r="K362" s="5" t="s">
        <v>65</v>
      </c>
      <c r="L362" s="6" t="n">
        <v>42541</v>
      </c>
      <c r="M362" s="5" t="s">
        <v>1271</v>
      </c>
      <c r="N362" s="6" t="n">
        <v>26996</v>
      </c>
      <c r="O362" s="5" t="s">
        <v>262</v>
      </c>
      <c r="P362" s="5" t="s">
        <v>263</v>
      </c>
      <c r="Q362" s="5" t="s">
        <v>599</v>
      </c>
      <c r="R362" s="5" t="s">
        <v>734</v>
      </c>
      <c r="S362" s="5" t="s">
        <v>1147</v>
      </c>
      <c r="T362" s="6"/>
      <c r="U362" s="6" t="n">
        <v>45748</v>
      </c>
      <c r="V362" s="5" t="s">
        <v>83</v>
      </c>
      <c r="W362" s="5" t="s">
        <v>141</v>
      </c>
      <c r="X362" s="5" t="s">
        <v>141</v>
      </c>
      <c r="Y362" s="5" t="s">
        <v>141</v>
      </c>
      <c r="Z362" s="5" t="s">
        <v>141</v>
      </c>
      <c r="AA362" s="5" t="s">
        <v>1622</v>
      </c>
      <c r="AB362" s="0" t="n">
        <f aca="false">IFERROR(VALUE(R362),0)</f>
        <v>13.7</v>
      </c>
      <c r="AC362" s="0" t="n">
        <f aca="false">IFERROR(VALUE(M362),"")</f>
        <v>52.6</v>
      </c>
      <c r="AD362" s="0" t="n">
        <f aca="false">IFERROR(VALUE(Q362),"")</f>
        <v>9.11</v>
      </c>
      <c r="AE362" s="0" t="n">
        <f aca="false">IFERROR(VALUE(S362),"")</f>
        <v>23.6</v>
      </c>
      <c r="AF362" s="0" t="n">
        <f aca="false">IF(V362="","",VLOOKUP(V362,Assumptions!$B$6:$C$9,2,FALSE()))</f>
        <v>4</v>
      </c>
      <c r="AG362" s="0" t="n">
        <f aca="false">IF(W362="","",VLOOKUP(W362,Assumptions!$B$6:$C$9,2,FALSE()))</f>
        <v>3</v>
      </c>
      <c r="AH362" s="0" t="n">
        <f aca="false">IF(X362="","",VLOOKUP(X362,Assumptions!$B$6:$C$9,2,FALSE()))</f>
        <v>3</v>
      </c>
      <c r="AI362" s="0" t="n">
        <f aca="false">IF(Y362="","",VLOOKUP(Y362,Assumptions!$B$6:$C$9,2,FALSE()))</f>
        <v>3</v>
      </c>
      <c r="AJ362" s="0" t="n">
        <f aca="false">IF(Z362="","",VLOOKUP(Z362,Assumptions!$B$6:$C$9,2,FALSE()))</f>
        <v>3</v>
      </c>
      <c r="AK362" s="7" t="n">
        <f aca="false">IFERROR(ROUND(AVERAGE(AF362:AJ362),3),"")</f>
        <v>3.2</v>
      </c>
      <c r="AL362" s="7" t="n">
        <f aca="false">IF(OR(AF362="",AJ362=""),"",AJ362-AF362)</f>
        <v>-1</v>
      </c>
      <c r="AM362" s="7" t="n">
        <f aca="false">IF(COUNT(AF362:AJ362)&gt;=2,ROUND(_xlfn.STDEV.S(AF362:AJ362),3),"")</f>
        <v>0.447</v>
      </c>
      <c r="AN362" s="7" t="n">
        <f aca="false">ROUND((IF(AF362="",0,AF362)*Assumptions!$F$15)+(IF(AG362="",0,AG362)*Assumptions!$F$16)+(IF(AH362="",0,AH362)*Assumptions!$F$17)+(IF(AI362="",0,AI362)*Assumptions!$F$18)+(IF(AJ362="",0,AJ362)*Assumptions!$F$19),3)</f>
        <v>3.1</v>
      </c>
      <c r="AO362" s="0" t="str">
        <f aca="false">IF(AC362&lt;=20,"",IF(AC362&lt;=Assumptions!$F$6,"20-30",IF(AC362&lt;=Assumptions!$F$7,"30-40",IF(AC362&lt;=Assumptions!$F$8,"40-50",IF(AC362&lt;=Assumptions!$F$9,"50-60",IF(AC362&lt;=Assumptions!$F$10,"60+",""))))))</f>
        <v>50-60</v>
      </c>
      <c r="AP362" s="0" t="str">
        <f aca="false">IFERROR(VLOOKUP(O362,Assumptions!$B$14:$C$26,2,FALSE()),"Other")</f>
        <v>Manager</v>
      </c>
      <c r="AQ362" s="0" t="n">
        <f aca="false">IF(T362="",0,1)</f>
        <v>0</v>
      </c>
      <c r="AR362" s="0" t="n">
        <f aca="false">IF(U362="",0,1)</f>
        <v>1</v>
      </c>
      <c r="AS362" s="8" t="n">
        <f aca="false">IF(AK362="","",IF(MAX($AK$2:$AK$921)=MIN($AK$2:$AK$921),50,ROUND((AK362-MIN($AK$2:$AK$921))/(MAX($AK$2:$AK$921)-MIN($AK$2:$AK$921))*100,2)))</f>
        <v>65.71</v>
      </c>
      <c r="AT362" s="8" t="n">
        <f aca="false">IF(MAX($BC$2:$BC$921)=MIN($BC$2:$BC$921),50,ROUND((BC362-MIN($BC$2:$BC$921))/(MAX($BC$2:$BC$921)-MIN($BC$2:$BC$921))*100,2))</f>
        <v>25</v>
      </c>
      <c r="AU362" s="8" t="n">
        <f aca="false">IF(MAX($BE$2:$BE$921)=MIN($BE$2:$BE$921),50,ROUND((BE362-MIN($BE$2:$BE$921))/(MAX($BE$2:$BE$921)-MIN($BE$2:$BE$921))*100,2))</f>
        <v>74.19</v>
      </c>
      <c r="AV362" s="8" t="n">
        <f aca="false">IF(MAX($AD$2:$AD$921)=MIN($AD$2:$AD$921),50,ROUND((AD362-MIN($AD$2:$AD$921))/(MAX($AD$2:$AD$921)-MIN($AD$2:$AD$921))*100,2))</f>
        <v>24.46</v>
      </c>
      <c r="AW362" s="8" t="n">
        <f aca="false">IF(MAX($AN$2:$AN$921)=MIN($AN$2:$AN$921),50,ROUND((AN362-MIN($AN$2:$AN$921))/(MAX($AN$2:$AN$921)-MIN($AN$2:$AN$921))*100,2))</f>
        <v>77.5</v>
      </c>
      <c r="AX362" s="8" t="n">
        <f aca="false">AQ362*100</f>
        <v>0</v>
      </c>
      <c r="AY362" s="8" t="n">
        <f aca="false">AR362*100</f>
        <v>100</v>
      </c>
      <c r="AZ362" s="8" t="n">
        <f aca="false">IFERROR(ROUND(AS362*Assumptions!$I$6+AW362*Assumptions!$I$7+AT362*Assumptions!$I$8+AU362*Assumptions!$I$9+AV362*Assumptions!$I$10+AX362*Assumptions!$I$11+AY362*Assumptions!$I$12,2),"")</f>
        <v>57.54</v>
      </c>
      <c r="BA362" s="0" t="str">
        <f aca="false">IF(AZ362="","",IF(AZ362&lt;=Assumptions!$I$18,"Below Expectation",IF(AZ362&lt;=Assumptions!$I$19,"Developing",IF(AZ362&lt;=Assumptions!$I$20,"Meets Expectation",IF(AZ362&lt;=Assumptions!$I$21,"Exceeds","Star Performer")))))</f>
        <v>Meets Expectation</v>
      </c>
      <c r="BB362" s="0" t="n">
        <f aca="false">IF(AZ362="",0,IF(AZ362&gt;=Assumptions!$I$26,1,0))</f>
        <v>0</v>
      </c>
      <c r="BC362" s="9" t="n">
        <f aca="false">IF(AL362="",2,AL362+2)</f>
        <v>1</v>
      </c>
      <c r="BD362" s="10" t="n">
        <f aca="false">IF(AM362="",ROUND(AVERAGE($AM$2:$AM$921),3),AM362)</f>
        <v>0.447</v>
      </c>
      <c r="BE362" s="9" t="n">
        <f aca="false">1-BD362</f>
        <v>0.553</v>
      </c>
    </row>
    <row r="363" customFormat="false" ht="14.25" hidden="true" customHeight="false" outlineLevel="0" collapsed="false">
      <c r="A363" s="4" t="n">
        <v>911</v>
      </c>
      <c r="B363" s="5" t="n">
        <v>67513339</v>
      </c>
      <c r="C363" s="5" t="s">
        <v>57</v>
      </c>
      <c r="D363" s="5" t="s">
        <v>1623</v>
      </c>
      <c r="E363" s="5" t="s">
        <v>252</v>
      </c>
      <c r="F363" s="5" t="s">
        <v>925</v>
      </c>
      <c r="G363" s="5" t="s">
        <v>1260</v>
      </c>
      <c r="H363" s="5" t="s">
        <v>1261</v>
      </c>
      <c r="I363" s="5" t="s">
        <v>63</v>
      </c>
      <c r="J363" s="5" t="s">
        <v>100</v>
      </c>
      <c r="K363" s="5" t="s">
        <v>65</v>
      </c>
      <c r="L363" s="6" t="n">
        <v>42303</v>
      </c>
      <c r="M363" s="5" t="s">
        <v>344</v>
      </c>
      <c r="N363" s="6" t="n">
        <v>28688</v>
      </c>
      <c r="O363" s="5" t="s">
        <v>1624</v>
      </c>
      <c r="P363" s="5" t="s">
        <v>1625</v>
      </c>
      <c r="Q363" s="5" t="s">
        <v>360</v>
      </c>
      <c r="R363" s="5" t="s">
        <v>1216</v>
      </c>
      <c r="S363" s="5" t="s">
        <v>1414</v>
      </c>
      <c r="T363" s="6"/>
      <c r="U363" s="6"/>
      <c r="V363" s="5" t="s">
        <v>141</v>
      </c>
      <c r="W363" s="5" t="s">
        <v>141</v>
      </c>
      <c r="X363" s="5" t="s">
        <v>141</v>
      </c>
      <c r="Y363" s="5" t="s">
        <v>141</v>
      </c>
      <c r="Z363" s="5" t="s">
        <v>141</v>
      </c>
      <c r="AA363" s="5" t="s">
        <v>1626</v>
      </c>
      <c r="AB363" s="0" t="n">
        <f aca="false">IFERROR(VALUE(R363),0)</f>
        <v>17.7</v>
      </c>
      <c r="AC363" s="0" t="n">
        <f aca="false">IFERROR(VALUE(M363),"")</f>
        <v>47.1</v>
      </c>
      <c r="AD363" s="0" t="n">
        <f aca="false">IFERROR(VALUE(Q363),"")</f>
        <v>10.7</v>
      </c>
      <c r="AE363" s="0" t="n">
        <f aca="false">IFERROR(VALUE(S363),"")</f>
        <v>28.2</v>
      </c>
      <c r="AF363" s="0" t="n">
        <f aca="false">IF(V363="","",VLOOKUP(V363,Assumptions!$B$6:$C$9,2,FALSE()))</f>
        <v>3</v>
      </c>
      <c r="AG363" s="0" t="n">
        <f aca="false">IF(W363="","",VLOOKUP(W363,Assumptions!$B$6:$C$9,2,FALSE()))</f>
        <v>3</v>
      </c>
      <c r="AH363" s="0" t="n">
        <f aca="false">IF(X363="","",VLOOKUP(X363,Assumptions!$B$6:$C$9,2,FALSE()))</f>
        <v>3</v>
      </c>
      <c r="AI363" s="0" t="n">
        <f aca="false">IF(Y363="","",VLOOKUP(Y363,Assumptions!$B$6:$C$9,2,FALSE()))</f>
        <v>3</v>
      </c>
      <c r="AJ363" s="0" t="n">
        <f aca="false">IF(Z363="","",VLOOKUP(Z363,Assumptions!$B$6:$C$9,2,FALSE()))</f>
        <v>3</v>
      </c>
      <c r="AK363" s="7" t="n">
        <f aca="false">IFERROR(ROUND(AVERAGE(AF363:AJ363),3),"")</f>
        <v>3</v>
      </c>
      <c r="AL363" s="7" t="n">
        <f aca="false">IF(OR(AF363="",AJ363=""),"",AJ363-AF363)</f>
        <v>0</v>
      </c>
      <c r="AM363" s="7" t="n">
        <f aca="false">IF(COUNT(AF363:AJ363)&gt;=2,ROUND(_xlfn.STDEV.S(AF363:AJ363),3),"")</f>
        <v>0</v>
      </c>
      <c r="AN363" s="7" t="n">
        <f aca="false">ROUND((IF(AF363="",0,AF363)*Assumptions!$F$15)+(IF(AG363="",0,AG363)*Assumptions!$F$16)+(IF(AH363="",0,AH363)*Assumptions!$F$17)+(IF(AI363="",0,AI363)*Assumptions!$F$18)+(IF(AJ363="",0,AJ363)*Assumptions!$F$19),3)</f>
        <v>3</v>
      </c>
      <c r="AO363" s="0" t="str">
        <f aca="false">IF(AC363&lt;=20,"",IF(AC363&lt;=Assumptions!$F$6,"20-30",IF(AC363&lt;=Assumptions!$F$7,"30-40",IF(AC363&lt;=Assumptions!$F$8,"40-50",IF(AC363&lt;=Assumptions!$F$9,"50-60",IF(AC363&lt;=Assumptions!$F$10,"60+",""))))))</f>
        <v>40-50</v>
      </c>
      <c r="AP363" s="0" t="str">
        <f aca="false">IFERROR(VLOOKUP(O363,Assumptions!$B$14:$C$26,2,FALSE()),"Other")</f>
        <v>Executive</v>
      </c>
      <c r="AQ363" s="0" t="n">
        <f aca="false">IF(T363="",0,1)</f>
        <v>0</v>
      </c>
      <c r="AR363" s="0" t="n">
        <f aca="false">IF(U363="",0,1)</f>
        <v>0</v>
      </c>
      <c r="AS363" s="8" t="n">
        <f aca="false">IF(AK363="","",IF(MAX($AK$2:$AK$921)=MIN($AK$2:$AK$921),50,ROUND((AK363-MIN($AK$2:$AK$921))/(MAX($AK$2:$AK$921)-MIN($AK$2:$AK$921))*100,2)))</f>
        <v>57.14</v>
      </c>
      <c r="AT363" s="8" t="n">
        <f aca="false">IF(MAX($BC$2:$BC$921)=MIN($BC$2:$BC$921),50,ROUND((BC363-MIN($BC$2:$BC$921))/(MAX($BC$2:$BC$921)-MIN($BC$2:$BC$921))*100,2))</f>
        <v>50</v>
      </c>
      <c r="AU363" s="8" t="n">
        <f aca="false">IF(MAX($BE$2:$BE$921)=MIN($BE$2:$BE$921),50,ROUND((BE363-MIN($BE$2:$BE$921))/(MAX($BE$2:$BE$921)-MIN($BE$2:$BE$921))*100,2))</f>
        <v>100</v>
      </c>
      <c r="AV363" s="8" t="n">
        <f aca="false">IF(MAX($AD$2:$AD$921)=MIN($AD$2:$AD$921),50,ROUND((AD363-MIN($AD$2:$AD$921))/(MAX($AD$2:$AD$921)-MIN($AD$2:$AD$921))*100,2))</f>
        <v>28.78</v>
      </c>
      <c r="AW363" s="8" t="n">
        <f aca="false">IF(MAX($AN$2:$AN$921)=MIN($AN$2:$AN$921),50,ROUND((AN363-MIN($AN$2:$AN$921))/(MAX($AN$2:$AN$921)-MIN($AN$2:$AN$921))*100,2))</f>
        <v>75</v>
      </c>
      <c r="AX363" s="8" t="n">
        <f aca="false">AQ363*100</f>
        <v>0</v>
      </c>
      <c r="AY363" s="8" t="n">
        <f aca="false">AR363*100</f>
        <v>0</v>
      </c>
      <c r="AZ363" s="8" t="n">
        <f aca="false">IFERROR(ROUND(AS363*Assumptions!$I$6+AW363*Assumptions!$I$7+AT363*Assumptions!$I$8+AU363*Assumptions!$I$9+AV363*Assumptions!$I$10+AX363*Assumptions!$I$11+AY363*Assumptions!$I$12,2),"")</f>
        <v>57.52</v>
      </c>
      <c r="BA363" s="0" t="str">
        <f aca="false">IF(AZ363="","",IF(AZ363&lt;=Assumptions!$I$18,"Below Expectation",IF(AZ363&lt;=Assumptions!$I$19,"Developing",IF(AZ363&lt;=Assumptions!$I$20,"Meets Expectation",IF(AZ363&lt;=Assumptions!$I$21,"Exceeds","Star Performer")))))</f>
        <v>Meets Expectation</v>
      </c>
      <c r="BB363" s="0" t="n">
        <f aca="false">IF(AZ363="",0,IF(AZ363&gt;=Assumptions!$I$26,1,0))</f>
        <v>0</v>
      </c>
      <c r="BC363" s="9" t="n">
        <f aca="false">IF(AL363="",2,AL363+2)</f>
        <v>2</v>
      </c>
      <c r="BD363" s="10" t="n">
        <f aca="false">IF(AM363="",ROUND(AVERAGE($AM$2:$AM$921),3),AM363)</f>
        <v>0</v>
      </c>
      <c r="BE363" s="9" t="n">
        <f aca="false">1-BD363</f>
        <v>1</v>
      </c>
    </row>
    <row r="364" customFormat="false" ht="14.25" hidden="true" customHeight="false" outlineLevel="0" collapsed="false">
      <c r="A364" s="4" t="n">
        <v>21</v>
      </c>
      <c r="B364" s="5" t="n">
        <v>668403</v>
      </c>
      <c r="C364" s="5" t="s">
        <v>85</v>
      </c>
      <c r="D364" s="5" t="s">
        <v>1627</v>
      </c>
      <c r="E364" s="5" t="s">
        <v>315</v>
      </c>
      <c r="F364" s="5" t="s">
        <v>1049</v>
      </c>
      <c r="G364" s="5" t="s">
        <v>1050</v>
      </c>
      <c r="H364" s="5" t="s">
        <v>1049</v>
      </c>
      <c r="I364" s="5" t="s">
        <v>63</v>
      </c>
      <c r="J364" s="5" t="s">
        <v>76</v>
      </c>
      <c r="K364" s="5" t="s">
        <v>65</v>
      </c>
      <c r="L364" s="6" t="n">
        <v>35419</v>
      </c>
      <c r="M364" s="5" t="s">
        <v>1628</v>
      </c>
      <c r="N364" s="6" t="n">
        <v>27344</v>
      </c>
      <c r="O364" s="5" t="s">
        <v>162</v>
      </c>
      <c r="P364" s="5" t="s">
        <v>162</v>
      </c>
      <c r="Q364" s="5" t="s">
        <v>1629</v>
      </c>
      <c r="R364" s="5" t="s">
        <v>115</v>
      </c>
      <c r="S364" s="5" t="s">
        <v>1629</v>
      </c>
      <c r="T364" s="6" t="n">
        <v>38808</v>
      </c>
      <c r="U364" s="6" t="n">
        <v>41365</v>
      </c>
      <c r="V364" s="5" t="s">
        <v>631</v>
      </c>
      <c r="W364" s="5" t="s">
        <v>631</v>
      </c>
      <c r="X364" s="5" t="s">
        <v>141</v>
      </c>
      <c r="Y364" s="5" t="s">
        <v>141</v>
      </c>
      <c r="Z364" s="5" t="s">
        <v>631</v>
      </c>
      <c r="AA364" s="5" t="s">
        <v>1630</v>
      </c>
      <c r="AB364" s="0" t="n">
        <f aca="false">IFERROR(VALUE(R364),0)</f>
        <v>0</v>
      </c>
      <c r="AC364" s="0" t="n">
        <f aca="false">IFERROR(VALUE(M364),"")</f>
        <v>51.6</v>
      </c>
      <c r="AD364" s="0" t="n">
        <f aca="false">IFERROR(VALUE(Q364),"")</f>
        <v>29.5</v>
      </c>
      <c r="AE364" s="0" t="n">
        <f aca="false">IFERROR(VALUE(S364),"")</f>
        <v>29.5</v>
      </c>
      <c r="AF364" s="0" t="n">
        <f aca="false">IF(V364="","",VLOOKUP(V364,Assumptions!$B$6:$C$9,2,FALSE()))</f>
        <v>2</v>
      </c>
      <c r="AG364" s="0" t="n">
        <f aca="false">IF(W364="","",VLOOKUP(W364,Assumptions!$B$6:$C$9,2,FALSE()))</f>
        <v>2</v>
      </c>
      <c r="AH364" s="0" t="n">
        <f aca="false">IF(X364="","",VLOOKUP(X364,Assumptions!$B$6:$C$9,2,FALSE()))</f>
        <v>3</v>
      </c>
      <c r="AI364" s="0" t="n">
        <f aca="false">IF(Y364="","",VLOOKUP(Y364,Assumptions!$B$6:$C$9,2,FALSE()))</f>
        <v>3</v>
      </c>
      <c r="AJ364" s="0" t="n">
        <f aca="false">IF(Z364="","",VLOOKUP(Z364,Assumptions!$B$6:$C$9,2,FALSE()))</f>
        <v>2</v>
      </c>
      <c r="AK364" s="7" t="n">
        <f aca="false">IFERROR(ROUND(AVERAGE(AF364:AJ364),3),"")</f>
        <v>2.4</v>
      </c>
      <c r="AL364" s="7" t="n">
        <f aca="false">IF(OR(AF364="",AJ364=""),"",AJ364-AF364)</f>
        <v>0</v>
      </c>
      <c r="AM364" s="7" t="n">
        <f aca="false">IF(COUNT(AF364:AJ364)&gt;=2,ROUND(_xlfn.STDEV.S(AF364:AJ364),3),"")</f>
        <v>0.548</v>
      </c>
      <c r="AN364" s="7" t="n">
        <f aca="false">ROUND((IF(AF364="",0,AF364)*Assumptions!$F$15)+(IF(AG364="",0,AG364)*Assumptions!$F$16)+(IF(AH364="",0,AH364)*Assumptions!$F$17)+(IF(AI364="",0,AI364)*Assumptions!$F$18)+(IF(AJ364="",0,AJ364)*Assumptions!$F$19),3)</f>
        <v>2.45</v>
      </c>
      <c r="AO364" s="0" t="str">
        <f aca="false">IF(AC364&lt;=20,"",IF(AC364&lt;=Assumptions!$F$6,"20-30",IF(AC364&lt;=Assumptions!$F$7,"30-40",IF(AC364&lt;=Assumptions!$F$8,"40-50",IF(AC364&lt;=Assumptions!$F$9,"50-60",IF(AC364&lt;=Assumptions!$F$10,"60+",""))))))</f>
        <v>50-60</v>
      </c>
      <c r="AP364" s="0" t="str">
        <f aca="false">IFERROR(VLOOKUP(O364,Assumptions!$B$14:$C$26,2,FALSE()),"Other")</f>
        <v>Manager</v>
      </c>
      <c r="AQ364" s="0" t="n">
        <f aca="false">IF(T364="",0,1)</f>
        <v>1</v>
      </c>
      <c r="AR364" s="0" t="n">
        <f aca="false">IF(U364="",0,1)</f>
        <v>1</v>
      </c>
      <c r="AS364" s="8" t="n">
        <f aca="false">IF(AK364="","",IF(MAX($AK$2:$AK$921)=MIN($AK$2:$AK$921),50,ROUND((AK364-MIN($AK$2:$AK$921))/(MAX($AK$2:$AK$921)-MIN($AK$2:$AK$921))*100,2)))</f>
        <v>31.42</v>
      </c>
      <c r="AT364" s="8" t="n">
        <f aca="false">IF(MAX($BC$2:$BC$921)=MIN($BC$2:$BC$921),50,ROUND((BC364-MIN($BC$2:$BC$921))/(MAX($BC$2:$BC$921)-MIN($BC$2:$BC$921))*100,2))</f>
        <v>50</v>
      </c>
      <c r="AU364" s="8" t="n">
        <f aca="false">IF(MAX($BE$2:$BE$921)=MIN($BE$2:$BE$921),50,ROUND((BE364-MIN($BE$2:$BE$921))/(MAX($BE$2:$BE$921)-MIN($BE$2:$BE$921))*100,2))</f>
        <v>68.36</v>
      </c>
      <c r="AV364" s="8" t="n">
        <f aca="false">IF(MAX($AD$2:$AD$921)=MIN($AD$2:$AD$921),50,ROUND((AD364-MIN($AD$2:$AD$921))/(MAX($AD$2:$AD$921)-MIN($AD$2:$AD$921))*100,2))</f>
        <v>79.89</v>
      </c>
      <c r="AW364" s="8" t="n">
        <f aca="false">IF(MAX($AN$2:$AN$921)=MIN($AN$2:$AN$921),50,ROUND((AN364-MIN($AN$2:$AN$921))/(MAX($AN$2:$AN$921)-MIN($AN$2:$AN$921))*100,2))</f>
        <v>61.25</v>
      </c>
      <c r="AX364" s="8" t="n">
        <f aca="false">AQ364*100</f>
        <v>100</v>
      </c>
      <c r="AY364" s="8" t="n">
        <f aca="false">AR364*100</f>
        <v>100</v>
      </c>
      <c r="AZ364" s="8" t="n">
        <f aca="false">IFERROR(ROUND(AS364*Assumptions!$I$6+AW364*Assumptions!$I$7+AT364*Assumptions!$I$8+AU364*Assumptions!$I$9+AV364*Assumptions!$I$10+AX364*Assumptions!$I$11+AY364*Assumptions!$I$12,2),"")</f>
        <v>57.42</v>
      </c>
      <c r="BA364" s="0" t="str">
        <f aca="false">IF(AZ364="","",IF(AZ364&lt;=Assumptions!$I$18,"Below Expectation",IF(AZ364&lt;=Assumptions!$I$19,"Developing",IF(AZ364&lt;=Assumptions!$I$20,"Meets Expectation",IF(AZ364&lt;=Assumptions!$I$21,"Exceeds","Star Performer")))))</f>
        <v>Meets Expectation</v>
      </c>
      <c r="BB364" s="0" t="n">
        <f aca="false">IF(AZ364="",0,IF(AZ364&gt;=Assumptions!$I$26,1,0))</f>
        <v>0</v>
      </c>
      <c r="BC364" s="9" t="n">
        <f aca="false">IF(AL364="",2,AL364+2)</f>
        <v>2</v>
      </c>
      <c r="BD364" s="10" t="n">
        <f aca="false">IF(AM364="",ROUND(AVERAGE($AM$2:$AM$921),3),AM364)</f>
        <v>0.548</v>
      </c>
      <c r="BE364" s="9" t="n">
        <f aca="false">1-BD364</f>
        <v>0.452</v>
      </c>
    </row>
    <row r="365" customFormat="false" ht="14.25" hidden="true" customHeight="false" outlineLevel="0" collapsed="false">
      <c r="A365" s="4" t="n">
        <v>161</v>
      </c>
      <c r="B365" s="5" t="n">
        <v>10050261</v>
      </c>
      <c r="C365" s="5" t="s">
        <v>85</v>
      </c>
      <c r="D365" s="5" t="s">
        <v>1631</v>
      </c>
      <c r="E365" s="5" t="s">
        <v>751</v>
      </c>
      <c r="F365" s="5" t="s">
        <v>236</v>
      </c>
      <c r="G365" s="5" t="s">
        <v>237</v>
      </c>
      <c r="H365" s="5" t="s">
        <v>238</v>
      </c>
      <c r="I365" s="5" t="s">
        <v>63</v>
      </c>
      <c r="J365" s="5" t="s">
        <v>76</v>
      </c>
      <c r="K365" s="5" t="s">
        <v>65</v>
      </c>
      <c r="L365" s="6" t="n">
        <v>42186</v>
      </c>
      <c r="M365" s="5" t="s">
        <v>239</v>
      </c>
      <c r="N365" s="6" t="n">
        <v>28249</v>
      </c>
      <c r="O365" s="5" t="s">
        <v>162</v>
      </c>
      <c r="P365" s="5" t="s">
        <v>162</v>
      </c>
      <c r="Q365" s="5" t="s">
        <v>497</v>
      </c>
      <c r="R365" s="5" t="s">
        <v>1396</v>
      </c>
      <c r="S365" s="5" t="s">
        <v>319</v>
      </c>
      <c r="T365" s="6"/>
      <c r="U365" s="6"/>
      <c r="V365" s="5" t="s">
        <v>141</v>
      </c>
      <c r="W365" s="5" t="s">
        <v>141</v>
      </c>
      <c r="X365" s="5" t="s">
        <v>141</v>
      </c>
      <c r="Y365" s="5" t="s">
        <v>141</v>
      </c>
      <c r="Z365" s="5" t="s">
        <v>141</v>
      </c>
      <c r="AA365" s="5" t="s">
        <v>1632</v>
      </c>
      <c r="AB365" s="0" t="n">
        <f aca="false">IFERROR(VALUE(R365),0)</f>
        <v>11.5</v>
      </c>
      <c r="AC365" s="0" t="n">
        <f aca="false">IFERROR(VALUE(M365),"")</f>
        <v>49.1</v>
      </c>
      <c r="AD365" s="0" t="n">
        <f aca="false">IFERROR(VALUE(Q365),"")</f>
        <v>10.11</v>
      </c>
      <c r="AE365" s="0" t="n">
        <f aca="false">IFERROR(VALUE(S365),"")</f>
        <v>22.4</v>
      </c>
      <c r="AF365" s="0" t="n">
        <f aca="false">IF(V365="","",VLOOKUP(V365,Assumptions!$B$6:$C$9,2,FALSE()))</f>
        <v>3</v>
      </c>
      <c r="AG365" s="0" t="n">
        <f aca="false">IF(W365="","",VLOOKUP(W365,Assumptions!$B$6:$C$9,2,FALSE()))</f>
        <v>3</v>
      </c>
      <c r="AH365" s="0" t="n">
        <f aca="false">IF(X365="","",VLOOKUP(X365,Assumptions!$B$6:$C$9,2,FALSE()))</f>
        <v>3</v>
      </c>
      <c r="AI365" s="0" t="n">
        <f aca="false">IF(Y365="","",VLOOKUP(Y365,Assumptions!$B$6:$C$9,2,FALSE()))</f>
        <v>3</v>
      </c>
      <c r="AJ365" s="0" t="n">
        <f aca="false">IF(Z365="","",VLOOKUP(Z365,Assumptions!$B$6:$C$9,2,FALSE()))</f>
        <v>3</v>
      </c>
      <c r="AK365" s="7" t="n">
        <f aca="false">IFERROR(ROUND(AVERAGE(AF365:AJ365),3),"")</f>
        <v>3</v>
      </c>
      <c r="AL365" s="7" t="n">
        <f aca="false">IF(OR(AF365="",AJ365=""),"",AJ365-AF365)</f>
        <v>0</v>
      </c>
      <c r="AM365" s="7" t="n">
        <f aca="false">IF(COUNT(AF365:AJ365)&gt;=2,ROUND(_xlfn.STDEV.S(AF365:AJ365),3),"")</f>
        <v>0</v>
      </c>
      <c r="AN365" s="7" t="n">
        <f aca="false">ROUND((IF(AF365="",0,AF365)*Assumptions!$F$15)+(IF(AG365="",0,AG365)*Assumptions!$F$16)+(IF(AH365="",0,AH365)*Assumptions!$F$17)+(IF(AI365="",0,AI365)*Assumptions!$F$18)+(IF(AJ365="",0,AJ365)*Assumptions!$F$19),3)</f>
        <v>3</v>
      </c>
      <c r="AO365" s="0" t="str">
        <f aca="false">IF(AC365&lt;=20,"",IF(AC365&lt;=Assumptions!$F$6,"20-30",IF(AC365&lt;=Assumptions!$F$7,"30-40",IF(AC365&lt;=Assumptions!$F$8,"40-50",IF(AC365&lt;=Assumptions!$F$9,"50-60",IF(AC365&lt;=Assumptions!$F$10,"60+",""))))))</f>
        <v>40-50</v>
      </c>
      <c r="AP365" s="0" t="str">
        <f aca="false">IFERROR(VLOOKUP(O365,Assumptions!$B$14:$C$26,2,FALSE()),"Other")</f>
        <v>Manager</v>
      </c>
      <c r="AQ365" s="0" t="n">
        <f aca="false">IF(T365="",0,1)</f>
        <v>0</v>
      </c>
      <c r="AR365" s="0" t="n">
        <f aca="false">IF(U365="",0,1)</f>
        <v>0</v>
      </c>
      <c r="AS365" s="8" t="n">
        <f aca="false">IF(AK365="","",IF(MAX($AK$2:$AK$921)=MIN($AK$2:$AK$921),50,ROUND((AK365-MIN($AK$2:$AK$921))/(MAX($AK$2:$AK$921)-MIN($AK$2:$AK$921))*100,2)))</f>
        <v>57.14</v>
      </c>
      <c r="AT365" s="8" t="n">
        <f aca="false">IF(MAX($BC$2:$BC$921)=MIN($BC$2:$BC$921),50,ROUND((BC365-MIN($BC$2:$BC$921))/(MAX($BC$2:$BC$921)-MIN($BC$2:$BC$921))*100,2))</f>
        <v>50</v>
      </c>
      <c r="AU365" s="8" t="n">
        <f aca="false">IF(MAX($BE$2:$BE$921)=MIN($BE$2:$BE$921),50,ROUND((BE365-MIN($BE$2:$BE$921))/(MAX($BE$2:$BE$921)-MIN($BE$2:$BE$921))*100,2))</f>
        <v>100</v>
      </c>
      <c r="AV365" s="8" t="n">
        <f aca="false">IF(MAX($AD$2:$AD$921)=MIN($AD$2:$AD$921),50,ROUND((AD365-MIN($AD$2:$AD$921))/(MAX($AD$2:$AD$921)-MIN($AD$2:$AD$921))*100,2))</f>
        <v>27.18</v>
      </c>
      <c r="AW365" s="8" t="n">
        <f aca="false">IF(MAX($AN$2:$AN$921)=MIN($AN$2:$AN$921),50,ROUND((AN365-MIN($AN$2:$AN$921))/(MAX($AN$2:$AN$921)-MIN($AN$2:$AN$921))*100,2))</f>
        <v>75</v>
      </c>
      <c r="AX365" s="8" t="n">
        <f aca="false">AQ365*100</f>
        <v>0</v>
      </c>
      <c r="AY365" s="8" t="n">
        <f aca="false">AR365*100</f>
        <v>0</v>
      </c>
      <c r="AZ365" s="8" t="n">
        <f aca="false">IFERROR(ROUND(AS365*Assumptions!$I$6+AW365*Assumptions!$I$7+AT365*Assumptions!$I$8+AU365*Assumptions!$I$9+AV365*Assumptions!$I$10+AX365*Assumptions!$I$11+AY365*Assumptions!$I$12,2),"")</f>
        <v>57.36</v>
      </c>
      <c r="BA365" s="0" t="str">
        <f aca="false">IF(AZ365="","",IF(AZ365&lt;=Assumptions!$I$18,"Below Expectation",IF(AZ365&lt;=Assumptions!$I$19,"Developing",IF(AZ365&lt;=Assumptions!$I$20,"Meets Expectation",IF(AZ365&lt;=Assumptions!$I$21,"Exceeds","Star Performer")))))</f>
        <v>Meets Expectation</v>
      </c>
      <c r="BB365" s="0" t="n">
        <f aca="false">IF(AZ365="",0,IF(AZ365&gt;=Assumptions!$I$26,1,0))</f>
        <v>0</v>
      </c>
      <c r="BC365" s="9" t="n">
        <f aca="false">IF(AL365="",2,AL365+2)</f>
        <v>2</v>
      </c>
      <c r="BD365" s="10" t="n">
        <f aca="false">IF(AM365="",ROUND(AVERAGE($AM$2:$AM$921),3),AM365)</f>
        <v>0</v>
      </c>
      <c r="BE365" s="9" t="n">
        <f aca="false">1-BD365</f>
        <v>1</v>
      </c>
    </row>
    <row r="366" customFormat="false" ht="14.25" hidden="true" customHeight="false" outlineLevel="0" collapsed="false">
      <c r="A366" s="4" t="n">
        <v>58</v>
      </c>
      <c r="B366" s="5" t="n">
        <v>10017285</v>
      </c>
      <c r="C366" s="5" t="s">
        <v>57</v>
      </c>
      <c r="D366" s="5" t="s">
        <v>1633</v>
      </c>
      <c r="E366" s="5" t="s">
        <v>607</v>
      </c>
      <c r="F366" s="5" t="s">
        <v>1406</v>
      </c>
      <c r="G366" s="5" t="s">
        <v>1405</v>
      </c>
      <c r="H366" s="5" t="s">
        <v>1406</v>
      </c>
      <c r="I366" s="5" t="s">
        <v>63</v>
      </c>
      <c r="J366" s="5" t="s">
        <v>100</v>
      </c>
      <c r="K366" s="5" t="s">
        <v>65</v>
      </c>
      <c r="L366" s="6" t="n">
        <v>38990</v>
      </c>
      <c r="M366" s="5" t="s">
        <v>1634</v>
      </c>
      <c r="N366" s="6" t="n">
        <v>28039</v>
      </c>
      <c r="O366" s="5" t="s">
        <v>332</v>
      </c>
      <c r="P366" s="5" t="s">
        <v>333</v>
      </c>
      <c r="Q366" s="5" t="s">
        <v>1019</v>
      </c>
      <c r="R366" s="5" t="s">
        <v>1086</v>
      </c>
      <c r="S366" s="5" t="s">
        <v>758</v>
      </c>
      <c r="T366" s="6" t="n">
        <v>41640</v>
      </c>
      <c r="U366" s="6"/>
      <c r="V366" s="5" t="s">
        <v>141</v>
      </c>
      <c r="W366" s="5" t="s">
        <v>141</v>
      </c>
      <c r="X366" s="5" t="s">
        <v>141</v>
      </c>
      <c r="Y366" s="5" t="s">
        <v>631</v>
      </c>
      <c r="Z366" s="5" t="s">
        <v>141</v>
      </c>
      <c r="AA366" s="5" t="s">
        <v>1635</v>
      </c>
      <c r="AB366" s="0" t="n">
        <f aca="false">IFERROR(VALUE(R366),0)</f>
        <v>8.1</v>
      </c>
      <c r="AC366" s="0" t="n">
        <f aca="false">IFERROR(VALUE(M366),"")</f>
        <v>49.8</v>
      </c>
      <c r="AD366" s="0" t="n">
        <f aca="false">IFERROR(VALUE(Q366),"")</f>
        <v>19.8</v>
      </c>
      <c r="AE366" s="0" t="n">
        <f aca="false">IFERROR(VALUE(S366),"")</f>
        <v>27.9</v>
      </c>
      <c r="AF366" s="0" t="n">
        <f aca="false">IF(V366="","",VLOOKUP(V366,Assumptions!$B$6:$C$9,2,FALSE()))</f>
        <v>3</v>
      </c>
      <c r="AG366" s="0" t="n">
        <f aca="false">IF(W366="","",VLOOKUP(W366,Assumptions!$B$6:$C$9,2,FALSE()))</f>
        <v>3</v>
      </c>
      <c r="AH366" s="0" t="n">
        <f aca="false">IF(X366="","",VLOOKUP(X366,Assumptions!$B$6:$C$9,2,FALSE()))</f>
        <v>3</v>
      </c>
      <c r="AI366" s="0" t="n">
        <f aca="false">IF(Y366="","",VLOOKUP(Y366,Assumptions!$B$6:$C$9,2,FALSE()))</f>
        <v>2</v>
      </c>
      <c r="AJ366" s="0" t="n">
        <f aca="false">IF(Z366="","",VLOOKUP(Z366,Assumptions!$B$6:$C$9,2,FALSE()))</f>
        <v>3</v>
      </c>
      <c r="AK366" s="7" t="n">
        <f aca="false">IFERROR(ROUND(AVERAGE(AF366:AJ366),3),"")</f>
        <v>2.8</v>
      </c>
      <c r="AL366" s="7" t="n">
        <f aca="false">IF(OR(AF366="",AJ366=""),"",AJ366-AF366)</f>
        <v>0</v>
      </c>
      <c r="AM366" s="7" t="n">
        <f aca="false">IF(COUNT(AF366:AJ366)&gt;=2,ROUND(_xlfn.STDEV.S(AF366:AJ366),3),"")</f>
        <v>0.447</v>
      </c>
      <c r="AN366" s="7" t="n">
        <f aca="false">ROUND((IF(AF366="",0,AF366)*Assumptions!$F$15)+(IF(AG366="",0,AG366)*Assumptions!$F$16)+(IF(AH366="",0,AH366)*Assumptions!$F$17)+(IF(AI366="",0,AI366)*Assumptions!$F$18)+(IF(AJ366="",0,AJ366)*Assumptions!$F$19),3)</f>
        <v>2.75</v>
      </c>
      <c r="AO366" s="0" t="str">
        <f aca="false">IF(AC366&lt;=20,"",IF(AC366&lt;=Assumptions!$F$6,"20-30",IF(AC366&lt;=Assumptions!$F$7,"30-40",IF(AC366&lt;=Assumptions!$F$8,"40-50",IF(AC366&lt;=Assumptions!$F$9,"50-60",IF(AC366&lt;=Assumptions!$F$10,"60+",""))))))</f>
        <v>40-50</v>
      </c>
      <c r="AP366" s="0" t="str">
        <f aca="false">IFERROR(VLOOKUP(O366,Assumptions!$B$14:$C$26,2,FALSE()),"Other")</f>
        <v>Manager</v>
      </c>
      <c r="AQ366" s="0" t="n">
        <f aca="false">IF(T366="",0,1)</f>
        <v>1</v>
      </c>
      <c r="AR366" s="0" t="n">
        <f aca="false">IF(U366="",0,1)</f>
        <v>0</v>
      </c>
      <c r="AS366" s="8" t="n">
        <f aca="false">IF(AK366="","",IF(MAX($AK$2:$AK$921)=MIN($AK$2:$AK$921),50,ROUND((AK366-MIN($AK$2:$AK$921))/(MAX($AK$2:$AK$921)-MIN($AK$2:$AK$921))*100,2)))</f>
        <v>48.56</v>
      </c>
      <c r="AT366" s="8" t="n">
        <f aca="false">IF(MAX($BC$2:$BC$921)=MIN($BC$2:$BC$921),50,ROUND((BC366-MIN($BC$2:$BC$921))/(MAX($BC$2:$BC$921)-MIN($BC$2:$BC$921))*100,2))</f>
        <v>50</v>
      </c>
      <c r="AU366" s="8" t="n">
        <f aca="false">IF(MAX($BE$2:$BE$921)=MIN($BE$2:$BE$921),50,ROUND((BE366-MIN($BE$2:$BE$921))/(MAX($BE$2:$BE$921)-MIN($BE$2:$BE$921))*100,2))</f>
        <v>74.19</v>
      </c>
      <c r="AV366" s="8" t="n">
        <f aca="false">IF(MAX($AD$2:$AD$921)=MIN($AD$2:$AD$921),50,ROUND((AD366-MIN($AD$2:$AD$921))/(MAX($AD$2:$AD$921)-MIN($AD$2:$AD$921))*100,2))</f>
        <v>53.52</v>
      </c>
      <c r="AW366" s="8" t="n">
        <f aca="false">IF(MAX($AN$2:$AN$921)=MIN($AN$2:$AN$921),50,ROUND((AN366-MIN($AN$2:$AN$921))/(MAX($AN$2:$AN$921)-MIN($AN$2:$AN$921))*100,2))</f>
        <v>68.75</v>
      </c>
      <c r="AX366" s="8" t="n">
        <f aca="false">AQ366*100</f>
        <v>100</v>
      </c>
      <c r="AY366" s="8" t="n">
        <f aca="false">AR366*100</f>
        <v>0</v>
      </c>
      <c r="AZ366" s="8" t="n">
        <f aca="false">IFERROR(ROUND(AS366*Assumptions!$I$6+AW366*Assumptions!$I$7+AT366*Assumptions!$I$8+AU366*Assumptions!$I$9+AV366*Assumptions!$I$10+AX366*Assumptions!$I$11+AY366*Assumptions!$I$12,2),"")</f>
        <v>57.3</v>
      </c>
      <c r="BA366" s="0" t="str">
        <f aca="false">IF(AZ366="","",IF(AZ366&lt;=Assumptions!$I$18,"Below Expectation",IF(AZ366&lt;=Assumptions!$I$19,"Developing",IF(AZ366&lt;=Assumptions!$I$20,"Meets Expectation",IF(AZ366&lt;=Assumptions!$I$21,"Exceeds","Star Performer")))))</f>
        <v>Meets Expectation</v>
      </c>
      <c r="BB366" s="0" t="n">
        <f aca="false">IF(AZ366="",0,IF(AZ366&gt;=Assumptions!$I$26,1,0))</f>
        <v>0</v>
      </c>
      <c r="BC366" s="9" t="n">
        <f aca="false">IF(AL366="",2,AL366+2)</f>
        <v>2</v>
      </c>
      <c r="BD366" s="10" t="n">
        <f aca="false">IF(AM366="",ROUND(AVERAGE($AM$2:$AM$921),3),AM366)</f>
        <v>0.447</v>
      </c>
      <c r="BE366" s="9" t="n">
        <f aca="false">1-BD366</f>
        <v>0.553</v>
      </c>
    </row>
    <row r="367" customFormat="false" ht="14.25" hidden="true" customHeight="false" outlineLevel="0" collapsed="false">
      <c r="A367" s="4" t="n">
        <v>375</v>
      </c>
      <c r="B367" s="5" t="n">
        <v>37200126</v>
      </c>
      <c r="C367" s="5" t="s">
        <v>57</v>
      </c>
      <c r="D367" s="5" t="s">
        <v>1636</v>
      </c>
      <c r="E367" s="5" t="s">
        <v>299</v>
      </c>
      <c r="F367" s="5" t="s">
        <v>387</v>
      </c>
      <c r="G367" s="5" t="s">
        <v>388</v>
      </c>
      <c r="H367" s="5" t="s">
        <v>387</v>
      </c>
      <c r="I367" s="5" t="s">
        <v>63</v>
      </c>
      <c r="J367" s="5" t="s">
        <v>100</v>
      </c>
      <c r="K367" s="5" t="s">
        <v>65</v>
      </c>
      <c r="L367" s="6" t="n">
        <v>39479</v>
      </c>
      <c r="M367" s="5" t="s">
        <v>1637</v>
      </c>
      <c r="N367" s="6" t="n">
        <v>28530</v>
      </c>
      <c r="O367" s="5" t="s">
        <v>332</v>
      </c>
      <c r="P367" s="5" t="s">
        <v>333</v>
      </c>
      <c r="Q367" s="5" t="s">
        <v>393</v>
      </c>
      <c r="R367" s="5" t="s">
        <v>133</v>
      </c>
      <c r="S367" s="5" t="s">
        <v>1638</v>
      </c>
      <c r="T367" s="6" t="n">
        <v>40634</v>
      </c>
      <c r="U367" s="6"/>
      <c r="V367" s="5" t="s">
        <v>141</v>
      </c>
      <c r="W367" s="5" t="s">
        <v>141</v>
      </c>
      <c r="X367" s="5" t="s">
        <v>631</v>
      </c>
      <c r="Y367" s="5" t="s">
        <v>141</v>
      </c>
      <c r="Z367" s="5" t="s">
        <v>141</v>
      </c>
      <c r="AA367" s="5" t="s">
        <v>1639</v>
      </c>
      <c r="AB367" s="0" t="n">
        <f aca="false">IFERROR(VALUE(R367),0)</f>
        <v>1</v>
      </c>
      <c r="AC367" s="0" t="n">
        <f aca="false">IFERROR(VALUE(M367),"")</f>
        <v>48.3</v>
      </c>
      <c r="AD367" s="0" t="n">
        <f aca="false">IFERROR(VALUE(Q367),"")</f>
        <v>18.6</v>
      </c>
      <c r="AE367" s="0" t="n">
        <f aca="false">IFERROR(VALUE(S367),"")</f>
        <v>19.6</v>
      </c>
      <c r="AF367" s="0" t="n">
        <f aca="false">IF(V367="","",VLOOKUP(V367,Assumptions!$B$6:$C$9,2,FALSE()))</f>
        <v>3</v>
      </c>
      <c r="AG367" s="0" t="n">
        <f aca="false">IF(W367="","",VLOOKUP(W367,Assumptions!$B$6:$C$9,2,FALSE()))</f>
        <v>3</v>
      </c>
      <c r="AH367" s="0" t="n">
        <f aca="false">IF(X367="","",VLOOKUP(X367,Assumptions!$B$6:$C$9,2,FALSE()))</f>
        <v>2</v>
      </c>
      <c r="AI367" s="0" t="n">
        <f aca="false">IF(Y367="","",VLOOKUP(Y367,Assumptions!$B$6:$C$9,2,FALSE()))</f>
        <v>3</v>
      </c>
      <c r="AJ367" s="0" t="n">
        <f aca="false">IF(Z367="","",VLOOKUP(Z367,Assumptions!$B$6:$C$9,2,FALSE()))</f>
        <v>3</v>
      </c>
      <c r="AK367" s="7" t="n">
        <f aca="false">IFERROR(ROUND(AVERAGE(AF367:AJ367),3),"")</f>
        <v>2.8</v>
      </c>
      <c r="AL367" s="7" t="n">
        <f aca="false">IF(OR(AF367="",AJ367=""),"",AJ367-AF367)</f>
        <v>0</v>
      </c>
      <c r="AM367" s="7" t="n">
        <f aca="false">IF(COUNT(AF367:AJ367)&gt;=2,ROUND(_xlfn.STDEV.S(AF367:AJ367),3),"")</f>
        <v>0.447</v>
      </c>
      <c r="AN367" s="7" t="n">
        <f aca="false">ROUND((IF(AF367="",0,AF367)*Assumptions!$F$15)+(IF(AG367="",0,AG367)*Assumptions!$F$16)+(IF(AH367="",0,AH367)*Assumptions!$F$17)+(IF(AI367="",0,AI367)*Assumptions!$F$18)+(IF(AJ367="",0,AJ367)*Assumptions!$F$19),3)</f>
        <v>2.8</v>
      </c>
      <c r="AO367" s="0" t="str">
        <f aca="false">IF(AC367&lt;=20,"",IF(AC367&lt;=Assumptions!$F$6,"20-30",IF(AC367&lt;=Assumptions!$F$7,"30-40",IF(AC367&lt;=Assumptions!$F$8,"40-50",IF(AC367&lt;=Assumptions!$F$9,"50-60",IF(AC367&lt;=Assumptions!$F$10,"60+",""))))))</f>
        <v>40-50</v>
      </c>
      <c r="AP367" s="0" t="str">
        <f aca="false">IFERROR(VLOOKUP(O367,Assumptions!$B$14:$C$26,2,FALSE()),"Other")</f>
        <v>Manager</v>
      </c>
      <c r="AQ367" s="0" t="n">
        <f aca="false">IF(T367="",0,1)</f>
        <v>1</v>
      </c>
      <c r="AR367" s="0" t="n">
        <f aca="false">IF(U367="",0,1)</f>
        <v>0</v>
      </c>
      <c r="AS367" s="8" t="n">
        <f aca="false">IF(AK367="","",IF(MAX($AK$2:$AK$921)=MIN($AK$2:$AK$921),50,ROUND((AK367-MIN($AK$2:$AK$921))/(MAX($AK$2:$AK$921)-MIN($AK$2:$AK$921))*100,2)))</f>
        <v>48.56</v>
      </c>
      <c r="AT367" s="8" t="n">
        <f aca="false">IF(MAX($BC$2:$BC$921)=MIN($BC$2:$BC$921),50,ROUND((BC367-MIN($BC$2:$BC$921))/(MAX($BC$2:$BC$921)-MIN($BC$2:$BC$921))*100,2))</f>
        <v>50</v>
      </c>
      <c r="AU367" s="8" t="n">
        <f aca="false">IF(MAX($BE$2:$BE$921)=MIN($BE$2:$BE$921),50,ROUND((BE367-MIN($BE$2:$BE$921))/(MAX($BE$2:$BE$921)-MIN($BE$2:$BE$921))*100,2))</f>
        <v>74.19</v>
      </c>
      <c r="AV367" s="8" t="n">
        <f aca="false">IF(MAX($AD$2:$AD$921)=MIN($AD$2:$AD$921),50,ROUND((AD367-MIN($AD$2:$AD$921))/(MAX($AD$2:$AD$921)-MIN($AD$2:$AD$921))*100,2))</f>
        <v>50.26</v>
      </c>
      <c r="AW367" s="8" t="n">
        <f aca="false">IF(MAX($AN$2:$AN$921)=MIN($AN$2:$AN$921),50,ROUND((AN367-MIN($AN$2:$AN$921))/(MAX($AN$2:$AN$921)-MIN($AN$2:$AN$921))*100,2))</f>
        <v>70</v>
      </c>
      <c r="AX367" s="8" t="n">
        <f aca="false">AQ367*100</f>
        <v>100</v>
      </c>
      <c r="AY367" s="8" t="n">
        <f aca="false">AR367*100</f>
        <v>0</v>
      </c>
      <c r="AZ367" s="8" t="n">
        <f aca="false">IFERROR(ROUND(AS367*Assumptions!$I$6+AW367*Assumptions!$I$7+AT367*Assumptions!$I$8+AU367*Assumptions!$I$9+AV367*Assumptions!$I$10+AX367*Assumptions!$I$11+AY367*Assumptions!$I$12,2),"")</f>
        <v>57.22</v>
      </c>
      <c r="BA367" s="0" t="str">
        <f aca="false">IF(AZ367="","",IF(AZ367&lt;=Assumptions!$I$18,"Below Expectation",IF(AZ367&lt;=Assumptions!$I$19,"Developing",IF(AZ367&lt;=Assumptions!$I$20,"Meets Expectation",IF(AZ367&lt;=Assumptions!$I$21,"Exceeds","Star Performer")))))</f>
        <v>Meets Expectation</v>
      </c>
      <c r="BB367" s="0" t="n">
        <f aca="false">IF(AZ367="",0,IF(AZ367&gt;=Assumptions!$I$26,1,0))</f>
        <v>0</v>
      </c>
      <c r="BC367" s="9" t="n">
        <f aca="false">IF(AL367="",2,AL367+2)</f>
        <v>2</v>
      </c>
      <c r="BD367" s="10" t="n">
        <f aca="false">IF(AM367="",ROUND(AVERAGE($AM$2:$AM$921),3),AM367)</f>
        <v>0.447</v>
      </c>
      <c r="BE367" s="9" t="n">
        <f aca="false">1-BD367</f>
        <v>0.553</v>
      </c>
    </row>
    <row r="368" customFormat="false" ht="14.25" hidden="true" customHeight="false" outlineLevel="0" collapsed="false">
      <c r="A368" s="4" t="n">
        <v>166</v>
      </c>
      <c r="B368" s="5" t="n">
        <v>10051522</v>
      </c>
      <c r="C368" s="5" t="s">
        <v>85</v>
      </c>
      <c r="D368" s="5" t="s">
        <v>1640</v>
      </c>
      <c r="E368" s="5" t="s">
        <v>137</v>
      </c>
      <c r="F368" s="5" t="s">
        <v>933</v>
      </c>
      <c r="G368" s="5" t="s">
        <v>934</v>
      </c>
      <c r="H368" s="5" t="s">
        <v>933</v>
      </c>
      <c r="I368" s="5" t="s">
        <v>63</v>
      </c>
      <c r="J368" s="5" t="s">
        <v>76</v>
      </c>
      <c r="K368" s="5" t="s">
        <v>65</v>
      </c>
      <c r="L368" s="6" t="n">
        <v>42254</v>
      </c>
      <c r="M368" s="5" t="s">
        <v>161</v>
      </c>
      <c r="N368" s="6" t="n">
        <v>29334</v>
      </c>
      <c r="O368" s="5" t="s">
        <v>365</v>
      </c>
      <c r="P368" s="5" t="s">
        <v>365</v>
      </c>
      <c r="Q368" s="5" t="s">
        <v>790</v>
      </c>
      <c r="R368" s="5" t="s">
        <v>807</v>
      </c>
      <c r="S368" s="5" t="s">
        <v>971</v>
      </c>
      <c r="T368" s="6"/>
      <c r="U368" s="6"/>
      <c r="V368" s="5" t="s">
        <v>141</v>
      </c>
      <c r="W368" s="5" t="s">
        <v>83</v>
      </c>
      <c r="X368" s="5" t="s">
        <v>141</v>
      </c>
      <c r="Y368" s="5" t="s">
        <v>141</v>
      </c>
      <c r="Z368" s="5" t="s">
        <v>141</v>
      </c>
      <c r="AA368" s="5" t="s">
        <v>1641</v>
      </c>
      <c r="AB368" s="0" t="n">
        <f aca="false">IFERROR(VALUE(R368),0)</f>
        <v>7.6</v>
      </c>
      <c r="AC368" s="0" t="n">
        <f aca="false">IFERROR(VALUE(M368),"")</f>
        <v>46.1</v>
      </c>
      <c r="AD368" s="0" t="n">
        <f aca="false">IFERROR(VALUE(Q368),"")</f>
        <v>10.9</v>
      </c>
      <c r="AE368" s="0" t="n">
        <f aca="false">IFERROR(VALUE(S368),"")</f>
        <v>18.3</v>
      </c>
      <c r="AF368" s="0" t="n">
        <f aca="false">IF(V368="","",VLOOKUP(V368,Assumptions!$B$6:$C$9,2,FALSE()))</f>
        <v>3</v>
      </c>
      <c r="AG368" s="0" t="n">
        <f aca="false">IF(W368="","",VLOOKUP(W368,Assumptions!$B$6:$C$9,2,FALSE()))</f>
        <v>4</v>
      </c>
      <c r="AH368" s="0" t="n">
        <f aca="false">IF(X368="","",VLOOKUP(X368,Assumptions!$B$6:$C$9,2,FALSE()))</f>
        <v>3</v>
      </c>
      <c r="AI368" s="0" t="n">
        <f aca="false">IF(Y368="","",VLOOKUP(Y368,Assumptions!$B$6:$C$9,2,FALSE()))</f>
        <v>3</v>
      </c>
      <c r="AJ368" s="0" t="n">
        <f aca="false">IF(Z368="","",VLOOKUP(Z368,Assumptions!$B$6:$C$9,2,FALSE()))</f>
        <v>3</v>
      </c>
      <c r="AK368" s="7" t="n">
        <f aca="false">IFERROR(ROUND(AVERAGE(AF368:AJ368),3),"")</f>
        <v>3.2</v>
      </c>
      <c r="AL368" s="7" t="n">
        <f aca="false">IF(OR(AF368="",AJ368=""),"",AJ368-AF368)</f>
        <v>0</v>
      </c>
      <c r="AM368" s="7" t="n">
        <f aca="false">IF(COUNT(AF368:AJ368)&gt;=2,ROUND(_xlfn.STDEV.S(AF368:AJ368),3),"")</f>
        <v>0.447</v>
      </c>
      <c r="AN368" s="7" t="n">
        <f aca="false">ROUND((IF(AF368="",0,AF368)*Assumptions!$F$15)+(IF(AG368="",0,AG368)*Assumptions!$F$16)+(IF(AH368="",0,AH368)*Assumptions!$F$17)+(IF(AI368="",0,AI368)*Assumptions!$F$18)+(IF(AJ368="",0,AJ368)*Assumptions!$F$19),3)</f>
        <v>3.15</v>
      </c>
      <c r="AO368" s="0" t="str">
        <f aca="false">IF(AC368&lt;=20,"",IF(AC368&lt;=Assumptions!$F$6,"20-30",IF(AC368&lt;=Assumptions!$F$7,"30-40",IF(AC368&lt;=Assumptions!$F$8,"40-50",IF(AC368&lt;=Assumptions!$F$9,"50-60",IF(AC368&lt;=Assumptions!$F$10,"60+",""))))))</f>
        <v>40-50</v>
      </c>
      <c r="AP368" s="0" t="str">
        <f aca="false">IFERROR(VLOOKUP(O368,Assumptions!$B$14:$C$26,2,FALSE()),"Other")</f>
        <v>Manager</v>
      </c>
      <c r="AQ368" s="0" t="n">
        <f aca="false">IF(T368="",0,1)</f>
        <v>0</v>
      </c>
      <c r="AR368" s="0" t="n">
        <f aca="false">IF(U368="",0,1)</f>
        <v>0</v>
      </c>
      <c r="AS368" s="8" t="n">
        <f aca="false">IF(AK368="","",IF(MAX($AK$2:$AK$921)=MIN($AK$2:$AK$921),50,ROUND((AK368-MIN($AK$2:$AK$921))/(MAX($AK$2:$AK$921)-MIN($AK$2:$AK$921))*100,2)))</f>
        <v>65.71</v>
      </c>
      <c r="AT368" s="8" t="n">
        <f aca="false">IF(MAX($BC$2:$BC$921)=MIN($BC$2:$BC$921),50,ROUND((BC368-MIN($BC$2:$BC$921))/(MAX($BC$2:$BC$921)-MIN($BC$2:$BC$921))*100,2))</f>
        <v>50</v>
      </c>
      <c r="AU368" s="8" t="n">
        <f aca="false">IF(MAX($BE$2:$BE$921)=MIN($BE$2:$BE$921),50,ROUND((BE368-MIN($BE$2:$BE$921))/(MAX($BE$2:$BE$921)-MIN($BE$2:$BE$921))*100,2))</f>
        <v>74.19</v>
      </c>
      <c r="AV368" s="8" t="n">
        <f aca="false">IF(MAX($AD$2:$AD$921)=MIN($AD$2:$AD$921),50,ROUND((AD368-MIN($AD$2:$AD$921))/(MAX($AD$2:$AD$921)-MIN($AD$2:$AD$921))*100,2))</f>
        <v>29.33</v>
      </c>
      <c r="AW368" s="8" t="n">
        <f aca="false">IF(MAX($AN$2:$AN$921)=MIN($AN$2:$AN$921),50,ROUND((AN368-MIN($AN$2:$AN$921))/(MAX($AN$2:$AN$921)-MIN($AN$2:$AN$921))*100,2))</f>
        <v>78.75</v>
      </c>
      <c r="AX368" s="8" t="n">
        <f aca="false">AQ368*100</f>
        <v>0</v>
      </c>
      <c r="AY368" s="8" t="n">
        <f aca="false">AR368*100</f>
        <v>0</v>
      </c>
      <c r="AZ368" s="8" t="n">
        <f aca="false">IFERROR(ROUND(AS368*Assumptions!$I$6+AW368*Assumptions!$I$7+AT368*Assumptions!$I$8+AU368*Assumptions!$I$9+AV368*Assumptions!$I$10+AX368*Assumptions!$I$11+AY368*Assumptions!$I$12,2),"")</f>
        <v>57.02</v>
      </c>
      <c r="BA368" s="0" t="str">
        <f aca="false">IF(AZ368="","",IF(AZ368&lt;=Assumptions!$I$18,"Below Expectation",IF(AZ368&lt;=Assumptions!$I$19,"Developing",IF(AZ368&lt;=Assumptions!$I$20,"Meets Expectation",IF(AZ368&lt;=Assumptions!$I$21,"Exceeds","Star Performer")))))</f>
        <v>Meets Expectation</v>
      </c>
      <c r="BB368" s="0" t="n">
        <f aca="false">IF(AZ368="",0,IF(AZ368&gt;=Assumptions!$I$26,1,0))</f>
        <v>0</v>
      </c>
      <c r="BC368" s="9" t="n">
        <f aca="false">IF(AL368="",2,AL368+2)</f>
        <v>2</v>
      </c>
      <c r="BD368" s="10" t="n">
        <f aca="false">IF(AM368="",ROUND(AVERAGE($AM$2:$AM$921),3),AM368)</f>
        <v>0.447</v>
      </c>
      <c r="BE368" s="9" t="n">
        <f aca="false">1-BD368</f>
        <v>0.553</v>
      </c>
    </row>
    <row r="369" customFormat="false" ht="14.25" hidden="true" customHeight="false" outlineLevel="0" collapsed="false">
      <c r="A369" s="4" t="n">
        <v>274</v>
      </c>
      <c r="B369" s="5" t="n">
        <v>10068050</v>
      </c>
      <c r="C369" s="5" t="s">
        <v>57</v>
      </c>
      <c r="D369" s="5" t="s">
        <v>1642</v>
      </c>
      <c r="E369" s="5" t="s">
        <v>252</v>
      </c>
      <c r="F369" s="5" t="s">
        <v>608</v>
      </c>
      <c r="G369" s="5" t="s">
        <v>609</v>
      </c>
      <c r="H369" s="5" t="s">
        <v>608</v>
      </c>
      <c r="I369" s="5" t="s">
        <v>63</v>
      </c>
      <c r="J369" s="5" t="s">
        <v>100</v>
      </c>
      <c r="K369" s="5" t="s">
        <v>309</v>
      </c>
      <c r="L369" s="6" t="n">
        <v>43600</v>
      </c>
      <c r="M369" s="5" t="s">
        <v>1418</v>
      </c>
      <c r="N369" s="6" t="n">
        <v>33160</v>
      </c>
      <c r="O369" s="5" t="s">
        <v>365</v>
      </c>
      <c r="P369" s="5" t="s">
        <v>365</v>
      </c>
      <c r="Q369" s="5" t="s">
        <v>459</v>
      </c>
      <c r="R369" s="5" t="s">
        <v>545</v>
      </c>
      <c r="S369" s="5" t="s">
        <v>1387</v>
      </c>
      <c r="T369" s="6"/>
      <c r="U369" s="6"/>
      <c r="V369" s="5" t="s">
        <v>631</v>
      </c>
      <c r="W369" s="5" t="s">
        <v>83</v>
      </c>
      <c r="X369" s="5" t="s">
        <v>83</v>
      </c>
      <c r="Y369" s="5" t="s">
        <v>141</v>
      </c>
      <c r="Z369" s="5" t="s">
        <v>141</v>
      </c>
      <c r="AA369" s="5" t="s">
        <v>1643</v>
      </c>
      <c r="AB369" s="0" t="n">
        <f aca="false">IFERROR(VALUE(R369),0)</f>
        <v>4.4</v>
      </c>
      <c r="AC369" s="0" t="n">
        <f aca="false">IFERROR(VALUE(M369),"")</f>
        <v>35.7</v>
      </c>
      <c r="AD369" s="0" t="n">
        <f aca="false">IFERROR(VALUE(Q369),"")</f>
        <v>7</v>
      </c>
      <c r="AE369" s="0" t="n">
        <f aca="false">IFERROR(VALUE(S369),"")</f>
        <v>11.4</v>
      </c>
      <c r="AF369" s="0" t="n">
        <f aca="false">IF(V369="","",VLOOKUP(V369,Assumptions!$B$6:$C$9,2,FALSE()))</f>
        <v>2</v>
      </c>
      <c r="AG369" s="0" t="n">
        <f aca="false">IF(W369="","",VLOOKUP(W369,Assumptions!$B$6:$C$9,2,FALSE()))</f>
        <v>4</v>
      </c>
      <c r="AH369" s="0" t="n">
        <f aca="false">IF(X369="","",VLOOKUP(X369,Assumptions!$B$6:$C$9,2,FALSE()))</f>
        <v>4</v>
      </c>
      <c r="AI369" s="0" t="n">
        <f aca="false">IF(Y369="","",VLOOKUP(Y369,Assumptions!$B$6:$C$9,2,FALSE()))</f>
        <v>3</v>
      </c>
      <c r="AJ369" s="0" t="n">
        <f aca="false">IF(Z369="","",VLOOKUP(Z369,Assumptions!$B$6:$C$9,2,FALSE()))</f>
        <v>3</v>
      </c>
      <c r="AK369" s="7" t="n">
        <f aca="false">IFERROR(ROUND(AVERAGE(AF369:AJ369),3),"")</f>
        <v>3.2</v>
      </c>
      <c r="AL369" s="7" t="n">
        <f aca="false">IF(OR(AF369="",AJ369=""),"",AJ369-AF369)</f>
        <v>1</v>
      </c>
      <c r="AM369" s="7" t="n">
        <f aca="false">IF(COUNT(AF369:AJ369)&gt;=2,ROUND(_xlfn.STDEV.S(AF369:AJ369),3),"")</f>
        <v>0.837</v>
      </c>
      <c r="AN369" s="7" t="n">
        <f aca="false">ROUND((IF(AF369="",0,AF369)*Assumptions!$F$15)+(IF(AG369="",0,AG369)*Assumptions!$F$16)+(IF(AH369="",0,AH369)*Assumptions!$F$17)+(IF(AI369="",0,AI369)*Assumptions!$F$18)+(IF(AJ369="",0,AJ369)*Assumptions!$F$19),3)</f>
        <v>3.25</v>
      </c>
      <c r="AO369" s="0" t="str">
        <f aca="false">IF(AC369&lt;=20,"",IF(AC369&lt;=Assumptions!$F$6,"20-30",IF(AC369&lt;=Assumptions!$F$7,"30-40",IF(AC369&lt;=Assumptions!$F$8,"40-50",IF(AC369&lt;=Assumptions!$F$9,"50-60",IF(AC369&lt;=Assumptions!$F$10,"60+",""))))))</f>
        <v>30-40</v>
      </c>
      <c r="AP369" s="0" t="str">
        <f aca="false">IFERROR(VLOOKUP(O369,Assumptions!$B$14:$C$26,2,FALSE()),"Other")</f>
        <v>Manager</v>
      </c>
      <c r="AQ369" s="0" t="n">
        <f aca="false">IF(T369="",0,1)</f>
        <v>0</v>
      </c>
      <c r="AR369" s="0" t="n">
        <f aca="false">IF(U369="",0,1)</f>
        <v>0</v>
      </c>
      <c r="AS369" s="8" t="n">
        <f aca="false">IF(AK369="","",IF(MAX($AK$2:$AK$921)=MIN($AK$2:$AK$921),50,ROUND((AK369-MIN($AK$2:$AK$921))/(MAX($AK$2:$AK$921)-MIN($AK$2:$AK$921))*100,2)))</f>
        <v>65.71</v>
      </c>
      <c r="AT369" s="8" t="n">
        <f aca="false">IF(MAX($BC$2:$BC$921)=MIN($BC$2:$BC$921),50,ROUND((BC369-MIN($BC$2:$BC$921))/(MAX($BC$2:$BC$921)-MIN($BC$2:$BC$921))*100,2))</f>
        <v>75</v>
      </c>
      <c r="AU369" s="8" t="n">
        <f aca="false">IF(MAX($BE$2:$BE$921)=MIN($BE$2:$BE$921),50,ROUND((BE369-MIN($BE$2:$BE$921))/(MAX($BE$2:$BE$921)-MIN($BE$2:$BE$921))*100,2))</f>
        <v>51.67</v>
      </c>
      <c r="AV369" s="8" t="n">
        <f aca="false">IF(MAX($AD$2:$AD$921)=MIN($AD$2:$AD$921),50,ROUND((AD369-MIN($AD$2:$AD$921))/(MAX($AD$2:$AD$921)-MIN($AD$2:$AD$921))*100,2))</f>
        <v>18.73</v>
      </c>
      <c r="AW369" s="8" t="n">
        <f aca="false">IF(MAX($AN$2:$AN$921)=MIN($AN$2:$AN$921),50,ROUND((AN369-MIN($AN$2:$AN$921))/(MAX($AN$2:$AN$921)-MIN($AN$2:$AN$921))*100,2))</f>
        <v>81.25</v>
      </c>
      <c r="AX369" s="8" t="n">
        <f aca="false">AQ369*100</f>
        <v>0</v>
      </c>
      <c r="AY369" s="8" t="n">
        <f aca="false">AR369*100</f>
        <v>0</v>
      </c>
      <c r="AZ369" s="8" t="n">
        <f aca="false">IFERROR(ROUND(AS369*Assumptions!$I$6+AW369*Assumptions!$I$7+AT369*Assumptions!$I$8+AU369*Assumptions!$I$9+AV369*Assumptions!$I$10+AX369*Assumptions!$I$11+AY369*Assumptions!$I$12,2),"")</f>
        <v>56.84</v>
      </c>
      <c r="BA369" s="0" t="str">
        <f aca="false">IF(AZ369="","",IF(AZ369&lt;=Assumptions!$I$18,"Below Expectation",IF(AZ369&lt;=Assumptions!$I$19,"Developing",IF(AZ369&lt;=Assumptions!$I$20,"Meets Expectation",IF(AZ369&lt;=Assumptions!$I$21,"Exceeds","Star Performer")))))</f>
        <v>Meets Expectation</v>
      </c>
      <c r="BB369" s="0" t="n">
        <f aca="false">IF(AZ369="",0,IF(AZ369&gt;=Assumptions!$I$26,1,0))</f>
        <v>0</v>
      </c>
      <c r="BC369" s="9" t="n">
        <f aca="false">IF(AL369="",2,AL369+2)</f>
        <v>3</v>
      </c>
      <c r="BD369" s="10" t="n">
        <f aca="false">IF(AM369="",ROUND(AVERAGE($AM$2:$AM$921),3),AM369)</f>
        <v>0.837</v>
      </c>
      <c r="BE369" s="9" t="n">
        <f aca="false">1-BD369</f>
        <v>0.163</v>
      </c>
    </row>
    <row r="370" customFormat="false" ht="14.25" hidden="true" customHeight="false" outlineLevel="0" collapsed="false">
      <c r="A370" s="4" t="n">
        <v>384</v>
      </c>
      <c r="B370" s="5" t="n">
        <v>50007742</v>
      </c>
      <c r="C370" s="5" t="s">
        <v>57</v>
      </c>
      <c r="D370" s="5" t="s">
        <v>1644</v>
      </c>
      <c r="E370" s="5" t="s">
        <v>229</v>
      </c>
      <c r="F370" s="5" t="s">
        <v>387</v>
      </c>
      <c r="G370" s="5" t="s">
        <v>388</v>
      </c>
      <c r="H370" s="5" t="s">
        <v>387</v>
      </c>
      <c r="I370" s="5" t="s">
        <v>63</v>
      </c>
      <c r="J370" s="5" t="s">
        <v>100</v>
      </c>
      <c r="K370" s="5" t="s">
        <v>65</v>
      </c>
      <c r="L370" s="6" t="n">
        <v>40413</v>
      </c>
      <c r="M370" s="5" t="s">
        <v>211</v>
      </c>
      <c r="N370" s="6" t="n">
        <v>30845</v>
      </c>
      <c r="O370" s="5" t="s">
        <v>332</v>
      </c>
      <c r="P370" s="5" t="s">
        <v>333</v>
      </c>
      <c r="Q370" s="5" t="s">
        <v>286</v>
      </c>
      <c r="R370" s="5" t="s">
        <v>1645</v>
      </c>
      <c r="S370" s="5" t="s">
        <v>1646</v>
      </c>
      <c r="T370" s="6"/>
      <c r="U370" s="6" t="n">
        <v>44652</v>
      </c>
      <c r="V370" s="5" t="s">
        <v>141</v>
      </c>
      <c r="W370" s="5" t="s">
        <v>631</v>
      </c>
      <c r="X370" s="5" t="s">
        <v>141</v>
      </c>
      <c r="Y370" s="5" t="s">
        <v>141</v>
      </c>
      <c r="Z370" s="5" t="s">
        <v>141</v>
      </c>
      <c r="AA370" s="5" t="s">
        <v>1647</v>
      </c>
      <c r="AB370" s="0" t="n">
        <f aca="false">IFERROR(VALUE(R370),0)</f>
        <v>2</v>
      </c>
      <c r="AC370" s="0" t="n">
        <f aca="false">IFERROR(VALUE(M370),"")</f>
        <v>41.11</v>
      </c>
      <c r="AD370" s="0" t="n">
        <f aca="false">IFERROR(VALUE(Q370),"")</f>
        <v>15.9</v>
      </c>
      <c r="AE370" s="0" t="n">
        <f aca="false">IFERROR(VALUE(S370),"")</f>
        <v>17.9</v>
      </c>
      <c r="AF370" s="0" t="n">
        <f aca="false">IF(V370="","",VLOOKUP(V370,Assumptions!$B$6:$C$9,2,FALSE()))</f>
        <v>3</v>
      </c>
      <c r="AG370" s="0" t="n">
        <f aca="false">IF(W370="","",VLOOKUP(W370,Assumptions!$B$6:$C$9,2,FALSE()))</f>
        <v>2</v>
      </c>
      <c r="AH370" s="0" t="n">
        <f aca="false">IF(X370="","",VLOOKUP(X370,Assumptions!$B$6:$C$9,2,FALSE()))</f>
        <v>3</v>
      </c>
      <c r="AI370" s="0" t="n">
        <f aca="false">IF(Y370="","",VLOOKUP(Y370,Assumptions!$B$6:$C$9,2,FALSE()))</f>
        <v>3</v>
      </c>
      <c r="AJ370" s="0" t="n">
        <f aca="false">IF(Z370="","",VLOOKUP(Z370,Assumptions!$B$6:$C$9,2,FALSE()))</f>
        <v>3</v>
      </c>
      <c r="AK370" s="7" t="n">
        <f aca="false">IFERROR(ROUND(AVERAGE(AF370:AJ370),3),"")</f>
        <v>2.8</v>
      </c>
      <c r="AL370" s="7" t="n">
        <f aca="false">IF(OR(AF370="",AJ370=""),"",AJ370-AF370)</f>
        <v>0</v>
      </c>
      <c r="AM370" s="7" t="n">
        <f aca="false">IF(COUNT(AF370:AJ370)&gt;=2,ROUND(_xlfn.STDEV.S(AF370:AJ370),3),"")</f>
        <v>0.447</v>
      </c>
      <c r="AN370" s="7" t="n">
        <f aca="false">ROUND((IF(AF370="",0,AF370)*Assumptions!$F$15)+(IF(AG370="",0,AG370)*Assumptions!$F$16)+(IF(AH370="",0,AH370)*Assumptions!$F$17)+(IF(AI370="",0,AI370)*Assumptions!$F$18)+(IF(AJ370="",0,AJ370)*Assumptions!$F$19),3)</f>
        <v>2.85</v>
      </c>
      <c r="AO370" s="0" t="str">
        <f aca="false">IF(AC370&lt;=20,"",IF(AC370&lt;=Assumptions!$F$6,"20-30",IF(AC370&lt;=Assumptions!$F$7,"30-40",IF(AC370&lt;=Assumptions!$F$8,"40-50",IF(AC370&lt;=Assumptions!$F$9,"50-60",IF(AC370&lt;=Assumptions!$F$10,"60+",""))))))</f>
        <v>40-50</v>
      </c>
      <c r="AP370" s="0" t="str">
        <f aca="false">IFERROR(VLOOKUP(O370,Assumptions!$B$14:$C$26,2,FALSE()),"Other")</f>
        <v>Manager</v>
      </c>
      <c r="AQ370" s="0" t="n">
        <f aca="false">IF(T370="",0,1)</f>
        <v>0</v>
      </c>
      <c r="AR370" s="0" t="n">
        <f aca="false">IF(U370="",0,1)</f>
        <v>1</v>
      </c>
      <c r="AS370" s="8" t="n">
        <f aca="false">IF(AK370="","",IF(MAX($AK$2:$AK$921)=MIN($AK$2:$AK$921),50,ROUND((AK370-MIN($AK$2:$AK$921))/(MAX($AK$2:$AK$921)-MIN($AK$2:$AK$921))*100,2)))</f>
        <v>48.56</v>
      </c>
      <c r="AT370" s="8" t="n">
        <f aca="false">IF(MAX($BC$2:$BC$921)=MIN($BC$2:$BC$921),50,ROUND((BC370-MIN($BC$2:$BC$921))/(MAX($BC$2:$BC$921)-MIN($BC$2:$BC$921))*100,2))</f>
        <v>50</v>
      </c>
      <c r="AU370" s="8" t="n">
        <f aca="false">IF(MAX($BE$2:$BE$921)=MIN($BE$2:$BE$921),50,ROUND((BE370-MIN($BE$2:$BE$921))/(MAX($BE$2:$BE$921)-MIN($BE$2:$BE$921))*100,2))</f>
        <v>74.19</v>
      </c>
      <c r="AV370" s="8" t="n">
        <f aca="false">IF(MAX($AD$2:$AD$921)=MIN($AD$2:$AD$921),50,ROUND((AD370-MIN($AD$2:$AD$921))/(MAX($AD$2:$AD$921)-MIN($AD$2:$AD$921))*100,2))</f>
        <v>42.92</v>
      </c>
      <c r="AW370" s="8" t="n">
        <f aca="false">IF(MAX($AN$2:$AN$921)=MIN($AN$2:$AN$921),50,ROUND((AN370-MIN($AN$2:$AN$921))/(MAX($AN$2:$AN$921)-MIN($AN$2:$AN$921))*100,2))</f>
        <v>71.25</v>
      </c>
      <c r="AX370" s="8" t="n">
        <f aca="false">AQ370*100</f>
        <v>0</v>
      </c>
      <c r="AY370" s="8" t="n">
        <f aca="false">AR370*100</f>
        <v>100</v>
      </c>
      <c r="AZ370" s="8" t="n">
        <f aca="false">IFERROR(ROUND(AS370*Assumptions!$I$6+AW370*Assumptions!$I$7+AT370*Assumptions!$I$8+AU370*Assumptions!$I$9+AV370*Assumptions!$I$10+AX370*Assumptions!$I$11+AY370*Assumptions!$I$12,2),"")</f>
        <v>56.74</v>
      </c>
      <c r="BA370" s="0" t="str">
        <f aca="false">IF(AZ370="","",IF(AZ370&lt;=Assumptions!$I$18,"Below Expectation",IF(AZ370&lt;=Assumptions!$I$19,"Developing",IF(AZ370&lt;=Assumptions!$I$20,"Meets Expectation",IF(AZ370&lt;=Assumptions!$I$21,"Exceeds","Star Performer")))))</f>
        <v>Meets Expectation</v>
      </c>
      <c r="BB370" s="0" t="n">
        <f aca="false">IF(AZ370="",0,IF(AZ370&gt;=Assumptions!$I$26,1,0))</f>
        <v>0</v>
      </c>
      <c r="BC370" s="9" t="n">
        <f aca="false">IF(AL370="",2,AL370+2)</f>
        <v>2</v>
      </c>
      <c r="BD370" s="10" t="n">
        <f aca="false">IF(AM370="",ROUND(AVERAGE($AM$2:$AM$921),3),AM370)</f>
        <v>0.447</v>
      </c>
      <c r="BE370" s="9" t="n">
        <f aca="false">1-BD370</f>
        <v>0.553</v>
      </c>
    </row>
    <row r="371" customFormat="false" ht="14.25" hidden="true" customHeight="false" outlineLevel="0" collapsed="false">
      <c r="A371" s="4" t="n">
        <v>249</v>
      </c>
      <c r="B371" s="5" t="n">
        <v>10065728</v>
      </c>
      <c r="C371" s="5" t="s">
        <v>85</v>
      </c>
      <c r="D371" s="5" t="s">
        <v>1648</v>
      </c>
      <c r="E371" s="5" t="s">
        <v>850</v>
      </c>
      <c r="F371" s="5" t="s">
        <v>483</v>
      </c>
      <c r="G371" s="5" t="s">
        <v>484</v>
      </c>
      <c r="H371" s="5" t="s">
        <v>483</v>
      </c>
      <c r="I371" s="5" t="s">
        <v>63</v>
      </c>
      <c r="J371" s="5" t="s">
        <v>76</v>
      </c>
      <c r="K371" s="5" t="s">
        <v>65</v>
      </c>
      <c r="L371" s="6" t="n">
        <v>43367</v>
      </c>
      <c r="M371" s="5" t="s">
        <v>211</v>
      </c>
      <c r="N371" s="6" t="n">
        <v>30864</v>
      </c>
      <c r="O371" s="5" t="s">
        <v>365</v>
      </c>
      <c r="P371" s="5" t="s">
        <v>365</v>
      </c>
      <c r="Q371" s="5" t="s">
        <v>392</v>
      </c>
      <c r="R371" s="5" t="s">
        <v>615</v>
      </c>
      <c r="S371" s="5" t="s">
        <v>296</v>
      </c>
      <c r="T371" s="6"/>
      <c r="U371" s="6"/>
      <c r="V371" s="5" t="s">
        <v>141</v>
      </c>
      <c r="W371" s="5" t="s">
        <v>141</v>
      </c>
      <c r="X371" s="5" t="s">
        <v>141</v>
      </c>
      <c r="Y371" s="5" t="s">
        <v>141</v>
      </c>
      <c r="Z371" s="5" t="s">
        <v>141</v>
      </c>
      <c r="AA371" s="5" t="s">
        <v>1649</v>
      </c>
      <c r="AB371" s="0" t="n">
        <f aca="false">IFERROR(VALUE(R371),0)</f>
        <v>5.7</v>
      </c>
      <c r="AC371" s="0" t="n">
        <f aca="false">IFERROR(VALUE(M371),"")</f>
        <v>41.11</v>
      </c>
      <c r="AD371" s="0" t="n">
        <f aca="false">IFERROR(VALUE(Q371),"")</f>
        <v>7.8</v>
      </c>
      <c r="AE371" s="0" t="n">
        <f aca="false">IFERROR(VALUE(S371),"")</f>
        <v>13.3</v>
      </c>
      <c r="AF371" s="0" t="n">
        <f aca="false">IF(V371="","",VLOOKUP(V371,Assumptions!$B$6:$C$9,2,FALSE()))</f>
        <v>3</v>
      </c>
      <c r="AG371" s="0" t="n">
        <f aca="false">IF(W371="","",VLOOKUP(W371,Assumptions!$B$6:$C$9,2,FALSE()))</f>
        <v>3</v>
      </c>
      <c r="AH371" s="0" t="n">
        <f aca="false">IF(X371="","",VLOOKUP(X371,Assumptions!$B$6:$C$9,2,FALSE()))</f>
        <v>3</v>
      </c>
      <c r="AI371" s="0" t="n">
        <f aca="false">IF(Y371="","",VLOOKUP(Y371,Assumptions!$B$6:$C$9,2,FALSE()))</f>
        <v>3</v>
      </c>
      <c r="AJ371" s="0" t="n">
        <f aca="false">IF(Z371="","",VLOOKUP(Z371,Assumptions!$B$6:$C$9,2,FALSE()))</f>
        <v>3</v>
      </c>
      <c r="AK371" s="7" t="n">
        <f aca="false">IFERROR(ROUND(AVERAGE(AF371:AJ371),3),"")</f>
        <v>3</v>
      </c>
      <c r="AL371" s="7" t="n">
        <f aca="false">IF(OR(AF371="",AJ371=""),"",AJ371-AF371)</f>
        <v>0</v>
      </c>
      <c r="AM371" s="7" t="n">
        <f aca="false">IF(COUNT(AF371:AJ371)&gt;=2,ROUND(_xlfn.STDEV.S(AF371:AJ371),3),"")</f>
        <v>0</v>
      </c>
      <c r="AN371" s="7" t="n">
        <f aca="false">ROUND((IF(AF371="",0,AF371)*Assumptions!$F$15)+(IF(AG371="",0,AG371)*Assumptions!$F$16)+(IF(AH371="",0,AH371)*Assumptions!$F$17)+(IF(AI371="",0,AI371)*Assumptions!$F$18)+(IF(AJ371="",0,AJ371)*Assumptions!$F$19),3)</f>
        <v>3</v>
      </c>
      <c r="AO371" s="0" t="str">
        <f aca="false">IF(AC371&lt;=20,"",IF(AC371&lt;=Assumptions!$F$6,"20-30",IF(AC371&lt;=Assumptions!$F$7,"30-40",IF(AC371&lt;=Assumptions!$F$8,"40-50",IF(AC371&lt;=Assumptions!$F$9,"50-60",IF(AC371&lt;=Assumptions!$F$10,"60+",""))))))</f>
        <v>40-50</v>
      </c>
      <c r="AP371" s="0" t="str">
        <f aca="false">IFERROR(VLOOKUP(O371,Assumptions!$B$14:$C$26,2,FALSE()),"Other")</f>
        <v>Manager</v>
      </c>
      <c r="AQ371" s="0" t="n">
        <f aca="false">IF(T371="",0,1)</f>
        <v>0</v>
      </c>
      <c r="AR371" s="0" t="n">
        <f aca="false">IF(U371="",0,1)</f>
        <v>0</v>
      </c>
      <c r="AS371" s="8" t="n">
        <f aca="false">IF(AK371="","",IF(MAX($AK$2:$AK$921)=MIN($AK$2:$AK$921),50,ROUND((AK371-MIN($AK$2:$AK$921))/(MAX($AK$2:$AK$921)-MIN($AK$2:$AK$921))*100,2)))</f>
        <v>57.14</v>
      </c>
      <c r="AT371" s="8" t="n">
        <f aca="false">IF(MAX($BC$2:$BC$921)=MIN($BC$2:$BC$921),50,ROUND((BC371-MIN($BC$2:$BC$921))/(MAX($BC$2:$BC$921)-MIN($BC$2:$BC$921))*100,2))</f>
        <v>50</v>
      </c>
      <c r="AU371" s="8" t="n">
        <f aca="false">IF(MAX($BE$2:$BE$921)=MIN($BE$2:$BE$921),50,ROUND((BE371-MIN($BE$2:$BE$921))/(MAX($BE$2:$BE$921)-MIN($BE$2:$BE$921))*100,2))</f>
        <v>100</v>
      </c>
      <c r="AV371" s="8" t="n">
        <f aca="false">IF(MAX($AD$2:$AD$921)=MIN($AD$2:$AD$921),50,ROUND((AD371-MIN($AD$2:$AD$921))/(MAX($AD$2:$AD$921)-MIN($AD$2:$AD$921))*100,2))</f>
        <v>20.9</v>
      </c>
      <c r="AW371" s="8" t="n">
        <f aca="false">IF(MAX($AN$2:$AN$921)=MIN($AN$2:$AN$921),50,ROUND((AN371-MIN($AN$2:$AN$921))/(MAX($AN$2:$AN$921)-MIN($AN$2:$AN$921))*100,2))</f>
        <v>75</v>
      </c>
      <c r="AX371" s="8" t="n">
        <f aca="false">AQ371*100</f>
        <v>0</v>
      </c>
      <c r="AY371" s="8" t="n">
        <f aca="false">AR371*100</f>
        <v>0</v>
      </c>
      <c r="AZ371" s="8" t="n">
        <f aca="false">IFERROR(ROUND(AS371*Assumptions!$I$6+AW371*Assumptions!$I$7+AT371*Assumptions!$I$8+AU371*Assumptions!$I$9+AV371*Assumptions!$I$10+AX371*Assumptions!$I$11+AY371*Assumptions!$I$12,2),"")</f>
        <v>56.73</v>
      </c>
      <c r="BA371" s="0" t="str">
        <f aca="false">IF(AZ371="","",IF(AZ371&lt;=Assumptions!$I$18,"Below Expectation",IF(AZ371&lt;=Assumptions!$I$19,"Developing",IF(AZ371&lt;=Assumptions!$I$20,"Meets Expectation",IF(AZ371&lt;=Assumptions!$I$21,"Exceeds","Star Performer")))))</f>
        <v>Meets Expectation</v>
      </c>
      <c r="BB371" s="0" t="n">
        <f aca="false">IF(AZ371="",0,IF(AZ371&gt;=Assumptions!$I$26,1,0))</f>
        <v>0</v>
      </c>
      <c r="BC371" s="9" t="n">
        <f aca="false">IF(AL371="",2,AL371+2)</f>
        <v>2</v>
      </c>
      <c r="BD371" s="10" t="n">
        <f aca="false">IF(AM371="",ROUND(AVERAGE($AM$2:$AM$921),3),AM371)</f>
        <v>0</v>
      </c>
      <c r="BE371" s="9" t="n">
        <f aca="false">1-BD371</f>
        <v>1</v>
      </c>
    </row>
    <row r="372" customFormat="false" ht="14.25" hidden="true" customHeight="false" outlineLevel="0" collapsed="false">
      <c r="A372" s="4" t="n">
        <v>427</v>
      </c>
      <c r="B372" s="5" t="n">
        <v>50010545</v>
      </c>
      <c r="C372" s="5" t="s">
        <v>85</v>
      </c>
      <c r="D372" s="5" t="s">
        <v>1650</v>
      </c>
      <c r="E372" s="5" t="s">
        <v>1238</v>
      </c>
      <c r="F372" s="5" t="s">
        <v>267</v>
      </c>
      <c r="G372" s="5" t="s">
        <v>268</v>
      </c>
      <c r="H372" s="5" t="s">
        <v>267</v>
      </c>
      <c r="I372" s="5" t="s">
        <v>63</v>
      </c>
      <c r="J372" s="5" t="s">
        <v>76</v>
      </c>
      <c r="K372" s="5" t="s">
        <v>309</v>
      </c>
      <c r="L372" s="6" t="n">
        <v>41045</v>
      </c>
      <c r="M372" s="5" t="s">
        <v>806</v>
      </c>
      <c r="N372" s="6" t="n">
        <v>30505</v>
      </c>
      <c r="O372" s="5" t="s">
        <v>262</v>
      </c>
      <c r="P372" s="5" t="s">
        <v>263</v>
      </c>
      <c r="Q372" s="5" t="s">
        <v>510</v>
      </c>
      <c r="R372" s="5" t="s">
        <v>820</v>
      </c>
      <c r="S372" s="5" t="s">
        <v>652</v>
      </c>
      <c r="T372" s="6" t="n">
        <v>43040</v>
      </c>
      <c r="U372" s="6" t="n">
        <v>44652</v>
      </c>
      <c r="V372" s="5" t="s">
        <v>141</v>
      </c>
      <c r="W372" s="5" t="s">
        <v>141</v>
      </c>
      <c r="X372" s="5" t="s">
        <v>141</v>
      </c>
      <c r="Y372" s="5" t="s">
        <v>141</v>
      </c>
      <c r="Z372" s="5" t="s">
        <v>631</v>
      </c>
      <c r="AA372" s="5" t="s">
        <v>1651</v>
      </c>
      <c r="AB372" s="0" t="n">
        <f aca="false">IFERROR(VALUE(R372),0)</f>
        <v>2.4</v>
      </c>
      <c r="AC372" s="0" t="n">
        <f aca="false">IFERROR(VALUE(M372),"")</f>
        <v>42.11</v>
      </c>
      <c r="AD372" s="0" t="n">
        <f aca="false">IFERROR(VALUE(Q372),"")</f>
        <v>14</v>
      </c>
      <c r="AE372" s="0" t="n">
        <f aca="false">IFERROR(VALUE(S372),"")</f>
        <v>16.4</v>
      </c>
      <c r="AF372" s="0" t="n">
        <f aca="false">IF(V372="","",VLOOKUP(V372,Assumptions!$B$6:$C$9,2,FALSE()))</f>
        <v>3</v>
      </c>
      <c r="AG372" s="0" t="n">
        <f aca="false">IF(W372="","",VLOOKUP(W372,Assumptions!$B$6:$C$9,2,FALSE()))</f>
        <v>3</v>
      </c>
      <c r="AH372" s="0" t="n">
        <f aca="false">IF(X372="","",VLOOKUP(X372,Assumptions!$B$6:$C$9,2,FALSE()))</f>
        <v>3</v>
      </c>
      <c r="AI372" s="0" t="n">
        <f aca="false">IF(Y372="","",VLOOKUP(Y372,Assumptions!$B$6:$C$9,2,FALSE()))</f>
        <v>3</v>
      </c>
      <c r="AJ372" s="0" t="n">
        <f aca="false">IF(Z372="","",VLOOKUP(Z372,Assumptions!$B$6:$C$9,2,FALSE()))</f>
        <v>2</v>
      </c>
      <c r="AK372" s="7" t="n">
        <f aca="false">IFERROR(ROUND(AVERAGE(AF372:AJ372),3),"")</f>
        <v>2.8</v>
      </c>
      <c r="AL372" s="7" t="n">
        <f aca="false">IF(OR(AF372="",AJ372=""),"",AJ372-AF372)</f>
        <v>-1</v>
      </c>
      <c r="AM372" s="7" t="n">
        <f aca="false">IF(COUNT(AF372:AJ372)&gt;=2,ROUND(_xlfn.STDEV.S(AF372:AJ372),3),"")</f>
        <v>0.447</v>
      </c>
      <c r="AN372" s="7" t="n">
        <f aca="false">ROUND((IF(AF372="",0,AF372)*Assumptions!$F$15)+(IF(AG372="",0,AG372)*Assumptions!$F$16)+(IF(AH372="",0,AH372)*Assumptions!$F$17)+(IF(AI372="",0,AI372)*Assumptions!$F$18)+(IF(AJ372="",0,AJ372)*Assumptions!$F$19),3)</f>
        <v>2.7</v>
      </c>
      <c r="AO372" s="0" t="str">
        <f aca="false">IF(AC372&lt;=20,"",IF(AC372&lt;=Assumptions!$F$6,"20-30",IF(AC372&lt;=Assumptions!$F$7,"30-40",IF(AC372&lt;=Assumptions!$F$8,"40-50",IF(AC372&lt;=Assumptions!$F$9,"50-60",IF(AC372&lt;=Assumptions!$F$10,"60+",""))))))</f>
        <v>40-50</v>
      </c>
      <c r="AP372" s="0" t="str">
        <f aca="false">IFERROR(VLOOKUP(O372,Assumptions!$B$14:$C$26,2,FALSE()),"Other")</f>
        <v>Manager</v>
      </c>
      <c r="AQ372" s="0" t="n">
        <f aca="false">IF(T372="",0,1)</f>
        <v>1</v>
      </c>
      <c r="AR372" s="0" t="n">
        <f aca="false">IF(U372="",0,1)</f>
        <v>1</v>
      </c>
      <c r="AS372" s="8" t="n">
        <f aca="false">IF(AK372="","",IF(MAX($AK$2:$AK$921)=MIN($AK$2:$AK$921),50,ROUND((AK372-MIN($AK$2:$AK$921))/(MAX($AK$2:$AK$921)-MIN($AK$2:$AK$921))*100,2)))</f>
        <v>48.56</v>
      </c>
      <c r="AT372" s="8" t="n">
        <f aca="false">IF(MAX($BC$2:$BC$921)=MIN($BC$2:$BC$921),50,ROUND((BC372-MIN($BC$2:$BC$921))/(MAX($BC$2:$BC$921)-MIN($BC$2:$BC$921))*100,2))</f>
        <v>25</v>
      </c>
      <c r="AU372" s="8" t="n">
        <f aca="false">IF(MAX($BE$2:$BE$921)=MIN($BE$2:$BE$921),50,ROUND((BE372-MIN($BE$2:$BE$921))/(MAX($BE$2:$BE$921)-MIN($BE$2:$BE$921))*100,2))</f>
        <v>74.19</v>
      </c>
      <c r="AV372" s="8" t="n">
        <f aca="false">IF(MAX($AD$2:$AD$921)=MIN($AD$2:$AD$921),50,ROUND((AD372-MIN($AD$2:$AD$921))/(MAX($AD$2:$AD$921)-MIN($AD$2:$AD$921))*100,2))</f>
        <v>37.75</v>
      </c>
      <c r="AW372" s="8" t="n">
        <f aca="false">IF(MAX($AN$2:$AN$921)=MIN($AN$2:$AN$921),50,ROUND((AN372-MIN($AN$2:$AN$921))/(MAX($AN$2:$AN$921)-MIN($AN$2:$AN$921))*100,2))</f>
        <v>67.5</v>
      </c>
      <c r="AX372" s="8" t="n">
        <f aca="false">AQ372*100</f>
        <v>100</v>
      </c>
      <c r="AY372" s="8" t="n">
        <f aca="false">AR372*100</f>
        <v>100</v>
      </c>
      <c r="AZ372" s="8" t="n">
        <f aca="false">IFERROR(ROUND(AS372*Assumptions!$I$6+AW372*Assumptions!$I$7+AT372*Assumptions!$I$8+AU372*Assumptions!$I$9+AV372*Assumptions!$I$10+AX372*Assumptions!$I$11+AY372*Assumptions!$I$12,2),"")</f>
        <v>56.72</v>
      </c>
      <c r="BA372" s="0" t="str">
        <f aca="false">IF(AZ372="","",IF(AZ372&lt;=Assumptions!$I$18,"Below Expectation",IF(AZ372&lt;=Assumptions!$I$19,"Developing",IF(AZ372&lt;=Assumptions!$I$20,"Meets Expectation",IF(AZ372&lt;=Assumptions!$I$21,"Exceeds","Star Performer")))))</f>
        <v>Meets Expectation</v>
      </c>
      <c r="BB372" s="0" t="n">
        <f aca="false">IF(AZ372="",0,IF(AZ372&gt;=Assumptions!$I$26,1,0))</f>
        <v>0</v>
      </c>
      <c r="BC372" s="9" t="n">
        <f aca="false">IF(AL372="",2,AL372+2)</f>
        <v>1</v>
      </c>
      <c r="BD372" s="10" t="n">
        <f aca="false">IF(AM372="",ROUND(AVERAGE($AM$2:$AM$921),3),AM372)</f>
        <v>0.447</v>
      </c>
      <c r="BE372" s="9" t="n">
        <f aca="false">1-BD372</f>
        <v>0.553</v>
      </c>
    </row>
    <row r="373" customFormat="false" ht="14.25" hidden="true" customHeight="false" outlineLevel="0" collapsed="false">
      <c r="A373" s="4" t="n">
        <v>262</v>
      </c>
      <c r="B373" s="5" t="n">
        <v>10067083</v>
      </c>
      <c r="C373" s="5" t="s">
        <v>57</v>
      </c>
      <c r="D373" s="5" t="s">
        <v>1652</v>
      </c>
      <c r="E373" s="5" t="s">
        <v>208</v>
      </c>
      <c r="F373" s="5" t="s">
        <v>608</v>
      </c>
      <c r="G373" s="5" t="s">
        <v>609</v>
      </c>
      <c r="H373" s="5" t="s">
        <v>608</v>
      </c>
      <c r="I373" s="5" t="s">
        <v>63</v>
      </c>
      <c r="J373" s="5" t="s">
        <v>100</v>
      </c>
      <c r="K373" s="5" t="s">
        <v>65</v>
      </c>
      <c r="L373" s="6" t="n">
        <v>43500</v>
      </c>
      <c r="M373" s="5" t="s">
        <v>769</v>
      </c>
      <c r="N373" s="6" t="n">
        <v>33372</v>
      </c>
      <c r="O373" s="5" t="s">
        <v>365</v>
      </c>
      <c r="P373" s="5" t="s">
        <v>365</v>
      </c>
      <c r="Q373" s="5" t="s">
        <v>656</v>
      </c>
      <c r="R373" s="5" t="s">
        <v>568</v>
      </c>
      <c r="S373" s="5" t="s">
        <v>843</v>
      </c>
      <c r="T373" s="6"/>
      <c r="U373" s="6"/>
      <c r="V373" s="5" t="s">
        <v>141</v>
      </c>
      <c r="W373" s="5" t="s">
        <v>141</v>
      </c>
      <c r="X373" s="5" t="s">
        <v>141</v>
      </c>
      <c r="Y373" s="5" t="s">
        <v>141</v>
      </c>
      <c r="Z373" s="5" t="s">
        <v>141</v>
      </c>
      <c r="AA373" s="5" t="s">
        <v>1653</v>
      </c>
      <c r="AB373" s="0" t="n">
        <f aca="false">IFERROR(VALUE(R373),0)</f>
        <v>1.3</v>
      </c>
      <c r="AC373" s="0" t="n">
        <f aca="false">IFERROR(VALUE(M373),"")</f>
        <v>35</v>
      </c>
      <c r="AD373" s="0" t="n">
        <f aca="false">IFERROR(VALUE(Q373),"")</f>
        <v>7.4</v>
      </c>
      <c r="AE373" s="0" t="n">
        <f aca="false">IFERROR(VALUE(S373),"")</f>
        <v>8.7</v>
      </c>
      <c r="AF373" s="0" t="n">
        <f aca="false">IF(V373="","",VLOOKUP(V373,Assumptions!$B$6:$C$9,2,FALSE()))</f>
        <v>3</v>
      </c>
      <c r="AG373" s="0" t="n">
        <f aca="false">IF(W373="","",VLOOKUP(W373,Assumptions!$B$6:$C$9,2,FALSE()))</f>
        <v>3</v>
      </c>
      <c r="AH373" s="0" t="n">
        <f aca="false">IF(X373="","",VLOOKUP(X373,Assumptions!$B$6:$C$9,2,FALSE()))</f>
        <v>3</v>
      </c>
      <c r="AI373" s="0" t="n">
        <f aca="false">IF(Y373="","",VLOOKUP(Y373,Assumptions!$B$6:$C$9,2,FALSE()))</f>
        <v>3</v>
      </c>
      <c r="AJ373" s="0" t="n">
        <f aca="false">IF(Z373="","",VLOOKUP(Z373,Assumptions!$B$6:$C$9,2,FALSE()))</f>
        <v>3</v>
      </c>
      <c r="AK373" s="7" t="n">
        <f aca="false">IFERROR(ROUND(AVERAGE(AF373:AJ373),3),"")</f>
        <v>3</v>
      </c>
      <c r="AL373" s="7" t="n">
        <f aca="false">IF(OR(AF373="",AJ373=""),"",AJ373-AF373)</f>
        <v>0</v>
      </c>
      <c r="AM373" s="7" t="n">
        <f aca="false">IF(COUNT(AF373:AJ373)&gt;=2,ROUND(_xlfn.STDEV.S(AF373:AJ373),3),"")</f>
        <v>0</v>
      </c>
      <c r="AN373" s="7" t="n">
        <f aca="false">ROUND((IF(AF373="",0,AF373)*Assumptions!$F$15)+(IF(AG373="",0,AG373)*Assumptions!$F$16)+(IF(AH373="",0,AH373)*Assumptions!$F$17)+(IF(AI373="",0,AI373)*Assumptions!$F$18)+(IF(AJ373="",0,AJ373)*Assumptions!$F$19),3)</f>
        <v>3</v>
      </c>
      <c r="AO373" s="0" t="str">
        <f aca="false">IF(AC373&lt;=20,"",IF(AC373&lt;=Assumptions!$F$6,"20-30",IF(AC373&lt;=Assumptions!$F$7,"30-40",IF(AC373&lt;=Assumptions!$F$8,"40-50",IF(AC373&lt;=Assumptions!$F$9,"50-60",IF(AC373&lt;=Assumptions!$F$10,"60+",""))))))</f>
        <v>30-40</v>
      </c>
      <c r="AP373" s="0" t="str">
        <f aca="false">IFERROR(VLOOKUP(O373,Assumptions!$B$14:$C$26,2,FALSE()),"Other")</f>
        <v>Manager</v>
      </c>
      <c r="AQ373" s="0" t="n">
        <f aca="false">IF(T373="",0,1)</f>
        <v>0</v>
      </c>
      <c r="AR373" s="0" t="n">
        <f aca="false">IF(U373="",0,1)</f>
        <v>0</v>
      </c>
      <c r="AS373" s="8" t="n">
        <f aca="false">IF(AK373="","",IF(MAX($AK$2:$AK$921)=MIN($AK$2:$AK$921),50,ROUND((AK373-MIN($AK$2:$AK$921))/(MAX($AK$2:$AK$921)-MIN($AK$2:$AK$921))*100,2)))</f>
        <v>57.14</v>
      </c>
      <c r="AT373" s="8" t="n">
        <f aca="false">IF(MAX($BC$2:$BC$921)=MIN($BC$2:$BC$921),50,ROUND((BC373-MIN($BC$2:$BC$921))/(MAX($BC$2:$BC$921)-MIN($BC$2:$BC$921))*100,2))</f>
        <v>50</v>
      </c>
      <c r="AU373" s="8" t="n">
        <f aca="false">IF(MAX($BE$2:$BE$921)=MIN($BE$2:$BE$921),50,ROUND((BE373-MIN($BE$2:$BE$921))/(MAX($BE$2:$BE$921)-MIN($BE$2:$BE$921))*100,2))</f>
        <v>100</v>
      </c>
      <c r="AV373" s="8" t="n">
        <f aca="false">IF(MAX($AD$2:$AD$921)=MIN($AD$2:$AD$921),50,ROUND((AD373-MIN($AD$2:$AD$921))/(MAX($AD$2:$AD$921)-MIN($AD$2:$AD$921))*100,2))</f>
        <v>19.82</v>
      </c>
      <c r="AW373" s="8" t="n">
        <f aca="false">IF(MAX($AN$2:$AN$921)=MIN($AN$2:$AN$921),50,ROUND((AN373-MIN($AN$2:$AN$921))/(MAX($AN$2:$AN$921)-MIN($AN$2:$AN$921))*100,2))</f>
        <v>75</v>
      </c>
      <c r="AX373" s="8" t="n">
        <f aca="false">AQ373*100</f>
        <v>0</v>
      </c>
      <c r="AY373" s="8" t="n">
        <f aca="false">AR373*100</f>
        <v>0</v>
      </c>
      <c r="AZ373" s="8" t="n">
        <f aca="false">IFERROR(ROUND(AS373*Assumptions!$I$6+AW373*Assumptions!$I$7+AT373*Assumptions!$I$8+AU373*Assumptions!$I$9+AV373*Assumptions!$I$10+AX373*Assumptions!$I$11+AY373*Assumptions!$I$12,2),"")</f>
        <v>56.62</v>
      </c>
      <c r="BA373" s="0" t="str">
        <f aca="false">IF(AZ373="","",IF(AZ373&lt;=Assumptions!$I$18,"Below Expectation",IF(AZ373&lt;=Assumptions!$I$19,"Developing",IF(AZ373&lt;=Assumptions!$I$20,"Meets Expectation",IF(AZ373&lt;=Assumptions!$I$21,"Exceeds","Star Performer")))))</f>
        <v>Meets Expectation</v>
      </c>
      <c r="BB373" s="0" t="n">
        <f aca="false">IF(AZ373="",0,IF(AZ373&gt;=Assumptions!$I$26,1,0))</f>
        <v>0</v>
      </c>
      <c r="BC373" s="9" t="n">
        <f aca="false">IF(AL373="",2,AL373+2)</f>
        <v>2</v>
      </c>
      <c r="BD373" s="10" t="n">
        <f aca="false">IF(AM373="",ROUND(AVERAGE($AM$2:$AM$921),3),AM373)</f>
        <v>0</v>
      </c>
      <c r="BE373" s="9" t="n">
        <f aca="false">1-BD373</f>
        <v>1</v>
      </c>
    </row>
    <row r="374" customFormat="false" ht="14.25" hidden="true" customHeight="false" outlineLevel="0" collapsed="false">
      <c r="A374" s="4" t="n">
        <v>216</v>
      </c>
      <c r="B374" s="5" t="n">
        <v>10057016</v>
      </c>
      <c r="C374" s="5" t="s">
        <v>57</v>
      </c>
      <c r="D374" s="5" t="s">
        <v>1654</v>
      </c>
      <c r="E374" s="5" t="s">
        <v>208</v>
      </c>
      <c r="F374" s="5" t="s">
        <v>608</v>
      </c>
      <c r="G374" s="5" t="s">
        <v>609</v>
      </c>
      <c r="H374" s="5" t="s">
        <v>608</v>
      </c>
      <c r="I374" s="5" t="s">
        <v>63</v>
      </c>
      <c r="J374" s="5" t="s">
        <v>100</v>
      </c>
      <c r="K374" s="5" t="s">
        <v>65</v>
      </c>
      <c r="L374" s="6" t="n">
        <v>42779</v>
      </c>
      <c r="M374" s="5" t="s">
        <v>625</v>
      </c>
      <c r="N374" s="6" t="n">
        <v>33571</v>
      </c>
      <c r="O374" s="5" t="s">
        <v>365</v>
      </c>
      <c r="P374" s="5" t="s">
        <v>365</v>
      </c>
      <c r="Q374" s="5" t="s">
        <v>569</v>
      </c>
      <c r="R374" s="5" t="s">
        <v>115</v>
      </c>
      <c r="S374" s="5" t="s">
        <v>569</v>
      </c>
      <c r="T374" s="6"/>
      <c r="U374" s="6"/>
      <c r="V374" s="5" t="s">
        <v>141</v>
      </c>
      <c r="W374" s="5" t="s">
        <v>83</v>
      </c>
      <c r="X374" s="5" t="s">
        <v>141</v>
      </c>
      <c r="Y374" s="5" t="s">
        <v>141</v>
      </c>
      <c r="Z374" s="5" t="s">
        <v>141</v>
      </c>
      <c r="AA374" s="5" t="s">
        <v>1655</v>
      </c>
      <c r="AB374" s="0" t="n">
        <f aca="false">IFERROR(VALUE(R374),0)</f>
        <v>0</v>
      </c>
      <c r="AC374" s="0" t="n">
        <f aca="false">IFERROR(VALUE(M374),"")</f>
        <v>34.6</v>
      </c>
      <c r="AD374" s="0" t="n">
        <f aca="false">IFERROR(VALUE(Q374),"")</f>
        <v>9.3</v>
      </c>
      <c r="AE374" s="0" t="n">
        <f aca="false">IFERROR(VALUE(S374),"")</f>
        <v>9.3</v>
      </c>
      <c r="AF374" s="0" t="n">
        <f aca="false">IF(V374="","",VLOOKUP(V374,Assumptions!$B$6:$C$9,2,FALSE()))</f>
        <v>3</v>
      </c>
      <c r="AG374" s="0" t="n">
        <f aca="false">IF(W374="","",VLOOKUP(W374,Assumptions!$B$6:$C$9,2,FALSE()))</f>
        <v>4</v>
      </c>
      <c r="AH374" s="0" t="n">
        <f aca="false">IF(X374="","",VLOOKUP(X374,Assumptions!$B$6:$C$9,2,FALSE()))</f>
        <v>3</v>
      </c>
      <c r="AI374" s="0" t="n">
        <f aca="false">IF(Y374="","",VLOOKUP(Y374,Assumptions!$B$6:$C$9,2,FALSE()))</f>
        <v>3</v>
      </c>
      <c r="AJ374" s="0" t="n">
        <f aca="false">IF(Z374="","",VLOOKUP(Z374,Assumptions!$B$6:$C$9,2,FALSE()))</f>
        <v>3</v>
      </c>
      <c r="AK374" s="7" t="n">
        <f aca="false">IFERROR(ROUND(AVERAGE(AF374:AJ374),3),"")</f>
        <v>3.2</v>
      </c>
      <c r="AL374" s="7" t="n">
        <f aca="false">IF(OR(AF374="",AJ374=""),"",AJ374-AF374)</f>
        <v>0</v>
      </c>
      <c r="AM374" s="7" t="n">
        <f aca="false">IF(COUNT(AF374:AJ374)&gt;=2,ROUND(_xlfn.STDEV.S(AF374:AJ374),3),"")</f>
        <v>0.447</v>
      </c>
      <c r="AN374" s="7" t="n">
        <f aca="false">ROUND((IF(AF374="",0,AF374)*Assumptions!$F$15)+(IF(AG374="",0,AG374)*Assumptions!$F$16)+(IF(AH374="",0,AH374)*Assumptions!$F$17)+(IF(AI374="",0,AI374)*Assumptions!$F$18)+(IF(AJ374="",0,AJ374)*Assumptions!$F$19),3)</f>
        <v>3.15</v>
      </c>
      <c r="AO374" s="0" t="str">
        <f aca="false">IF(AC374&lt;=20,"",IF(AC374&lt;=Assumptions!$F$6,"20-30",IF(AC374&lt;=Assumptions!$F$7,"30-40",IF(AC374&lt;=Assumptions!$F$8,"40-50",IF(AC374&lt;=Assumptions!$F$9,"50-60",IF(AC374&lt;=Assumptions!$F$10,"60+",""))))))</f>
        <v>30-40</v>
      </c>
      <c r="AP374" s="0" t="str">
        <f aca="false">IFERROR(VLOOKUP(O374,Assumptions!$B$14:$C$26,2,FALSE()),"Other")</f>
        <v>Manager</v>
      </c>
      <c r="AQ374" s="0" t="n">
        <f aca="false">IF(T374="",0,1)</f>
        <v>0</v>
      </c>
      <c r="AR374" s="0" t="n">
        <f aca="false">IF(U374="",0,1)</f>
        <v>0</v>
      </c>
      <c r="AS374" s="8" t="n">
        <f aca="false">IF(AK374="","",IF(MAX($AK$2:$AK$921)=MIN($AK$2:$AK$921),50,ROUND((AK374-MIN($AK$2:$AK$921))/(MAX($AK$2:$AK$921)-MIN($AK$2:$AK$921))*100,2)))</f>
        <v>65.71</v>
      </c>
      <c r="AT374" s="8" t="n">
        <f aca="false">IF(MAX($BC$2:$BC$921)=MIN($BC$2:$BC$921),50,ROUND((BC374-MIN($BC$2:$BC$921))/(MAX($BC$2:$BC$921)-MIN($BC$2:$BC$921))*100,2))</f>
        <v>50</v>
      </c>
      <c r="AU374" s="8" t="n">
        <f aca="false">IF(MAX($BE$2:$BE$921)=MIN($BE$2:$BE$921),50,ROUND((BE374-MIN($BE$2:$BE$921))/(MAX($BE$2:$BE$921)-MIN($BE$2:$BE$921))*100,2))</f>
        <v>74.19</v>
      </c>
      <c r="AV374" s="8" t="n">
        <f aca="false">IF(MAX($AD$2:$AD$921)=MIN($AD$2:$AD$921),50,ROUND((AD374-MIN($AD$2:$AD$921))/(MAX($AD$2:$AD$921)-MIN($AD$2:$AD$921))*100,2))</f>
        <v>24.98</v>
      </c>
      <c r="AW374" s="8" t="n">
        <f aca="false">IF(MAX($AN$2:$AN$921)=MIN($AN$2:$AN$921),50,ROUND((AN374-MIN($AN$2:$AN$921))/(MAX($AN$2:$AN$921)-MIN($AN$2:$AN$921))*100,2))</f>
        <v>78.75</v>
      </c>
      <c r="AX374" s="8" t="n">
        <f aca="false">AQ374*100</f>
        <v>0</v>
      </c>
      <c r="AY374" s="8" t="n">
        <f aca="false">AR374*100</f>
        <v>0</v>
      </c>
      <c r="AZ374" s="8" t="n">
        <f aca="false">IFERROR(ROUND(AS374*Assumptions!$I$6+AW374*Assumptions!$I$7+AT374*Assumptions!$I$8+AU374*Assumptions!$I$9+AV374*Assumptions!$I$10+AX374*Assumptions!$I$11+AY374*Assumptions!$I$12,2),"")</f>
        <v>56.59</v>
      </c>
      <c r="BA374" s="0" t="str">
        <f aca="false">IF(AZ374="","",IF(AZ374&lt;=Assumptions!$I$18,"Below Expectation",IF(AZ374&lt;=Assumptions!$I$19,"Developing",IF(AZ374&lt;=Assumptions!$I$20,"Meets Expectation",IF(AZ374&lt;=Assumptions!$I$21,"Exceeds","Star Performer")))))</f>
        <v>Meets Expectation</v>
      </c>
      <c r="BB374" s="0" t="n">
        <f aca="false">IF(AZ374="",0,IF(AZ374&gt;=Assumptions!$I$26,1,0))</f>
        <v>0</v>
      </c>
      <c r="BC374" s="9" t="n">
        <f aca="false">IF(AL374="",2,AL374+2)</f>
        <v>2</v>
      </c>
      <c r="BD374" s="10" t="n">
        <f aca="false">IF(AM374="",ROUND(AVERAGE($AM$2:$AM$921),3),AM374)</f>
        <v>0.447</v>
      </c>
      <c r="BE374" s="9" t="n">
        <f aca="false">1-BD374</f>
        <v>0.553</v>
      </c>
    </row>
    <row r="375" customFormat="false" ht="14.25" hidden="true" customHeight="false" outlineLevel="0" collapsed="false">
      <c r="A375" s="4" t="n">
        <v>269</v>
      </c>
      <c r="B375" s="5" t="n">
        <v>10067725</v>
      </c>
      <c r="C375" s="5" t="s">
        <v>85</v>
      </c>
      <c r="D375" s="5" t="s">
        <v>1656</v>
      </c>
      <c r="E375" s="5" t="s">
        <v>137</v>
      </c>
      <c r="F375" s="5" t="s">
        <v>380</v>
      </c>
      <c r="G375" s="5" t="s">
        <v>379</v>
      </c>
      <c r="H375" s="5" t="s">
        <v>380</v>
      </c>
      <c r="I375" s="5" t="s">
        <v>63</v>
      </c>
      <c r="J375" s="5" t="s">
        <v>76</v>
      </c>
      <c r="K375" s="5" t="s">
        <v>65</v>
      </c>
      <c r="L375" s="6" t="n">
        <v>43563</v>
      </c>
      <c r="M375" s="5" t="s">
        <v>785</v>
      </c>
      <c r="N375" s="6" t="n">
        <v>30248</v>
      </c>
      <c r="O375" s="5" t="s">
        <v>332</v>
      </c>
      <c r="P375" s="5" t="s">
        <v>333</v>
      </c>
      <c r="Q375" s="5" t="s">
        <v>541</v>
      </c>
      <c r="R375" s="5" t="s">
        <v>497</v>
      </c>
      <c r="S375" s="5" t="s">
        <v>471</v>
      </c>
      <c r="T375" s="6"/>
      <c r="U375" s="6"/>
      <c r="V375" s="5" t="s">
        <v>141</v>
      </c>
      <c r="W375" s="5" t="s">
        <v>141</v>
      </c>
      <c r="X375" s="5" t="s">
        <v>141</v>
      </c>
      <c r="Y375" s="5" t="s">
        <v>141</v>
      </c>
      <c r="Z375" s="5" t="s">
        <v>141</v>
      </c>
      <c r="AA375" s="5" t="s">
        <v>1657</v>
      </c>
      <c r="AB375" s="0" t="n">
        <f aca="false">IFERROR(VALUE(R375),0)</f>
        <v>10.11</v>
      </c>
      <c r="AC375" s="0" t="n">
        <f aca="false">IFERROR(VALUE(M375),"")</f>
        <v>43.7</v>
      </c>
      <c r="AD375" s="0" t="n">
        <f aca="false">IFERROR(VALUE(Q375),"")</f>
        <v>7.2</v>
      </c>
      <c r="AE375" s="0" t="n">
        <f aca="false">IFERROR(VALUE(S375),"")</f>
        <v>18.1</v>
      </c>
      <c r="AF375" s="0" t="n">
        <f aca="false">IF(V375="","",VLOOKUP(V375,Assumptions!$B$6:$C$9,2,FALSE()))</f>
        <v>3</v>
      </c>
      <c r="AG375" s="0" t="n">
        <f aca="false">IF(W375="","",VLOOKUP(W375,Assumptions!$B$6:$C$9,2,FALSE()))</f>
        <v>3</v>
      </c>
      <c r="AH375" s="0" t="n">
        <f aca="false">IF(X375="","",VLOOKUP(X375,Assumptions!$B$6:$C$9,2,FALSE()))</f>
        <v>3</v>
      </c>
      <c r="AI375" s="0" t="n">
        <f aca="false">IF(Y375="","",VLOOKUP(Y375,Assumptions!$B$6:$C$9,2,FALSE()))</f>
        <v>3</v>
      </c>
      <c r="AJ375" s="0" t="n">
        <f aca="false">IF(Z375="","",VLOOKUP(Z375,Assumptions!$B$6:$C$9,2,FALSE()))</f>
        <v>3</v>
      </c>
      <c r="AK375" s="7" t="n">
        <f aca="false">IFERROR(ROUND(AVERAGE(AF375:AJ375),3),"")</f>
        <v>3</v>
      </c>
      <c r="AL375" s="7" t="n">
        <f aca="false">IF(OR(AF375="",AJ375=""),"",AJ375-AF375)</f>
        <v>0</v>
      </c>
      <c r="AM375" s="7" t="n">
        <f aca="false">IF(COUNT(AF375:AJ375)&gt;=2,ROUND(_xlfn.STDEV.S(AF375:AJ375),3),"")</f>
        <v>0</v>
      </c>
      <c r="AN375" s="7" t="n">
        <f aca="false">ROUND((IF(AF375="",0,AF375)*Assumptions!$F$15)+(IF(AG375="",0,AG375)*Assumptions!$F$16)+(IF(AH375="",0,AH375)*Assumptions!$F$17)+(IF(AI375="",0,AI375)*Assumptions!$F$18)+(IF(AJ375="",0,AJ375)*Assumptions!$F$19),3)</f>
        <v>3</v>
      </c>
      <c r="AO375" s="0" t="str">
        <f aca="false">IF(AC375&lt;=20,"",IF(AC375&lt;=Assumptions!$F$6,"20-30",IF(AC375&lt;=Assumptions!$F$7,"30-40",IF(AC375&lt;=Assumptions!$F$8,"40-50",IF(AC375&lt;=Assumptions!$F$9,"50-60",IF(AC375&lt;=Assumptions!$F$10,"60+",""))))))</f>
        <v>40-50</v>
      </c>
      <c r="AP375" s="0" t="str">
        <f aca="false">IFERROR(VLOOKUP(O375,Assumptions!$B$14:$C$26,2,FALSE()),"Other")</f>
        <v>Manager</v>
      </c>
      <c r="AQ375" s="0" t="n">
        <f aca="false">IF(T375="",0,1)</f>
        <v>0</v>
      </c>
      <c r="AR375" s="0" t="n">
        <f aca="false">IF(U375="",0,1)</f>
        <v>0</v>
      </c>
      <c r="AS375" s="8" t="n">
        <f aca="false">IF(AK375="","",IF(MAX($AK$2:$AK$921)=MIN($AK$2:$AK$921),50,ROUND((AK375-MIN($AK$2:$AK$921))/(MAX($AK$2:$AK$921)-MIN($AK$2:$AK$921))*100,2)))</f>
        <v>57.14</v>
      </c>
      <c r="AT375" s="8" t="n">
        <f aca="false">IF(MAX($BC$2:$BC$921)=MIN($BC$2:$BC$921),50,ROUND((BC375-MIN($BC$2:$BC$921))/(MAX($BC$2:$BC$921)-MIN($BC$2:$BC$921))*100,2))</f>
        <v>50</v>
      </c>
      <c r="AU375" s="8" t="n">
        <f aca="false">IF(MAX($BE$2:$BE$921)=MIN($BE$2:$BE$921),50,ROUND((BE375-MIN($BE$2:$BE$921))/(MAX($BE$2:$BE$921)-MIN($BE$2:$BE$921))*100,2))</f>
        <v>100</v>
      </c>
      <c r="AV375" s="8" t="n">
        <f aca="false">IF(MAX($AD$2:$AD$921)=MIN($AD$2:$AD$921),50,ROUND((AD375-MIN($AD$2:$AD$921))/(MAX($AD$2:$AD$921)-MIN($AD$2:$AD$921))*100,2))</f>
        <v>19.27</v>
      </c>
      <c r="AW375" s="8" t="n">
        <f aca="false">IF(MAX($AN$2:$AN$921)=MIN($AN$2:$AN$921),50,ROUND((AN375-MIN($AN$2:$AN$921))/(MAX($AN$2:$AN$921)-MIN($AN$2:$AN$921))*100,2))</f>
        <v>75</v>
      </c>
      <c r="AX375" s="8" t="n">
        <f aca="false">AQ375*100</f>
        <v>0</v>
      </c>
      <c r="AY375" s="8" t="n">
        <f aca="false">AR375*100</f>
        <v>0</v>
      </c>
      <c r="AZ375" s="8" t="n">
        <f aca="false">IFERROR(ROUND(AS375*Assumptions!$I$6+AW375*Assumptions!$I$7+AT375*Assumptions!$I$8+AU375*Assumptions!$I$9+AV375*Assumptions!$I$10+AX375*Assumptions!$I$11+AY375*Assumptions!$I$12,2),"")</f>
        <v>56.57</v>
      </c>
      <c r="BA375" s="0" t="str">
        <f aca="false">IF(AZ375="","",IF(AZ375&lt;=Assumptions!$I$18,"Below Expectation",IF(AZ375&lt;=Assumptions!$I$19,"Developing",IF(AZ375&lt;=Assumptions!$I$20,"Meets Expectation",IF(AZ375&lt;=Assumptions!$I$21,"Exceeds","Star Performer")))))</f>
        <v>Meets Expectation</v>
      </c>
      <c r="BB375" s="0" t="n">
        <f aca="false">IF(AZ375="",0,IF(AZ375&gt;=Assumptions!$I$26,1,0))</f>
        <v>0</v>
      </c>
      <c r="BC375" s="9" t="n">
        <f aca="false">IF(AL375="",2,AL375+2)</f>
        <v>2</v>
      </c>
      <c r="BD375" s="10" t="n">
        <f aca="false">IF(AM375="",ROUND(AVERAGE($AM$2:$AM$921),3),AM375)</f>
        <v>0</v>
      </c>
      <c r="BE375" s="9" t="n">
        <f aca="false">1-BD375</f>
        <v>1</v>
      </c>
    </row>
    <row r="376" customFormat="false" ht="14.25" hidden="true" customHeight="false" outlineLevel="0" collapsed="false">
      <c r="A376" s="4" t="n">
        <v>266</v>
      </c>
      <c r="B376" s="5" t="n">
        <v>10067631</v>
      </c>
      <c r="C376" s="5" t="s">
        <v>57</v>
      </c>
      <c r="D376" s="5" t="s">
        <v>1658</v>
      </c>
      <c r="E376" s="5" t="s">
        <v>275</v>
      </c>
      <c r="F376" s="5" t="s">
        <v>608</v>
      </c>
      <c r="G376" s="5" t="s">
        <v>609</v>
      </c>
      <c r="H376" s="5" t="s">
        <v>608</v>
      </c>
      <c r="I376" s="5" t="s">
        <v>63</v>
      </c>
      <c r="J376" s="5" t="s">
        <v>100</v>
      </c>
      <c r="K376" s="5" t="s">
        <v>65</v>
      </c>
      <c r="L376" s="6" t="n">
        <v>43556</v>
      </c>
      <c r="M376" s="5" t="s">
        <v>1659</v>
      </c>
      <c r="N376" s="6" t="n">
        <v>31564</v>
      </c>
      <c r="O376" s="5" t="s">
        <v>365</v>
      </c>
      <c r="P376" s="5" t="s">
        <v>365</v>
      </c>
      <c r="Q376" s="5" t="s">
        <v>541</v>
      </c>
      <c r="R376" s="5" t="s">
        <v>940</v>
      </c>
      <c r="S376" s="5" t="s">
        <v>1120</v>
      </c>
      <c r="T376" s="6"/>
      <c r="U376" s="6"/>
      <c r="V376" s="5" t="s">
        <v>141</v>
      </c>
      <c r="W376" s="5" t="s">
        <v>141</v>
      </c>
      <c r="X376" s="5" t="s">
        <v>141</v>
      </c>
      <c r="Y376" s="5" t="s">
        <v>83</v>
      </c>
      <c r="Z376" s="5" t="s">
        <v>141</v>
      </c>
      <c r="AA376" s="5" t="s">
        <v>1660</v>
      </c>
      <c r="AB376" s="0" t="n">
        <f aca="false">IFERROR(VALUE(R376),0)</f>
        <v>7.1</v>
      </c>
      <c r="AC376" s="0" t="n">
        <f aca="false">IFERROR(VALUE(M376),"")</f>
        <v>40</v>
      </c>
      <c r="AD376" s="0" t="n">
        <f aca="false">IFERROR(VALUE(Q376),"")</f>
        <v>7.2</v>
      </c>
      <c r="AE376" s="0" t="n">
        <f aca="false">IFERROR(VALUE(S376),"")</f>
        <v>15</v>
      </c>
      <c r="AF376" s="0" t="n">
        <f aca="false">IF(V376="","",VLOOKUP(V376,Assumptions!$B$6:$C$9,2,FALSE()))</f>
        <v>3</v>
      </c>
      <c r="AG376" s="0" t="n">
        <f aca="false">IF(W376="","",VLOOKUP(W376,Assumptions!$B$6:$C$9,2,FALSE()))</f>
        <v>3</v>
      </c>
      <c r="AH376" s="0" t="n">
        <f aca="false">IF(X376="","",VLOOKUP(X376,Assumptions!$B$6:$C$9,2,FALSE()))</f>
        <v>3</v>
      </c>
      <c r="AI376" s="0" t="n">
        <f aca="false">IF(Y376="","",VLOOKUP(Y376,Assumptions!$B$6:$C$9,2,FALSE()))</f>
        <v>4</v>
      </c>
      <c r="AJ376" s="0" t="n">
        <f aca="false">IF(Z376="","",VLOOKUP(Z376,Assumptions!$B$6:$C$9,2,FALSE()))</f>
        <v>3</v>
      </c>
      <c r="AK376" s="7" t="n">
        <f aca="false">IFERROR(ROUND(AVERAGE(AF376:AJ376),3),"")</f>
        <v>3.2</v>
      </c>
      <c r="AL376" s="7" t="n">
        <f aca="false">IF(OR(AF376="",AJ376=""),"",AJ376-AF376)</f>
        <v>0</v>
      </c>
      <c r="AM376" s="7" t="n">
        <f aca="false">IF(COUNT(AF376:AJ376)&gt;=2,ROUND(_xlfn.STDEV.S(AF376:AJ376),3),"")</f>
        <v>0.447</v>
      </c>
      <c r="AN376" s="7" t="n">
        <f aca="false">ROUND((IF(AF376="",0,AF376)*Assumptions!$F$15)+(IF(AG376="",0,AG376)*Assumptions!$F$16)+(IF(AH376="",0,AH376)*Assumptions!$F$17)+(IF(AI376="",0,AI376)*Assumptions!$F$18)+(IF(AJ376="",0,AJ376)*Assumptions!$F$19),3)</f>
        <v>3.25</v>
      </c>
      <c r="AO376" s="0" t="str">
        <f aca="false">IF(AC376&lt;=20,"",IF(AC376&lt;=Assumptions!$F$6,"20-30",IF(AC376&lt;=Assumptions!$F$7,"30-40",IF(AC376&lt;=Assumptions!$F$8,"40-50",IF(AC376&lt;=Assumptions!$F$9,"50-60",IF(AC376&lt;=Assumptions!$F$10,"60+",""))))))</f>
        <v>30-40</v>
      </c>
      <c r="AP376" s="0" t="str">
        <f aca="false">IFERROR(VLOOKUP(O376,Assumptions!$B$14:$C$26,2,FALSE()),"Other")</f>
        <v>Manager</v>
      </c>
      <c r="AQ376" s="0" t="n">
        <f aca="false">IF(T376="",0,1)</f>
        <v>0</v>
      </c>
      <c r="AR376" s="0" t="n">
        <f aca="false">IF(U376="",0,1)</f>
        <v>0</v>
      </c>
      <c r="AS376" s="8" t="n">
        <f aca="false">IF(AK376="","",IF(MAX($AK$2:$AK$921)=MIN($AK$2:$AK$921),50,ROUND((AK376-MIN($AK$2:$AK$921))/(MAX($AK$2:$AK$921)-MIN($AK$2:$AK$921))*100,2)))</f>
        <v>65.71</v>
      </c>
      <c r="AT376" s="8" t="n">
        <f aca="false">IF(MAX($BC$2:$BC$921)=MIN($BC$2:$BC$921),50,ROUND((BC376-MIN($BC$2:$BC$921))/(MAX($BC$2:$BC$921)-MIN($BC$2:$BC$921))*100,2))</f>
        <v>50</v>
      </c>
      <c r="AU376" s="8" t="n">
        <f aca="false">IF(MAX($BE$2:$BE$921)=MIN($BE$2:$BE$921),50,ROUND((BE376-MIN($BE$2:$BE$921))/(MAX($BE$2:$BE$921)-MIN($BE$2:$BE$921))*100,2))</f>
        <v>74.19</v>
      </c>
      <c r="AV376" s="8" t="n">
        <f aca="false">IF(MAX($AD$2:$AD$921)=MIN($AD$2:$AD$921),50,ROUND((AD376-MIN($AD$2:$AD$921))/(MAX($AD$2:$AD$921)-MIN($AD$2:$AD$921))*100,2))</f>
        <v>19.27</v>
      </c>
      <c r="AW376" s="8" t="n">
        <f aca="false">IF(MAX($AN$2:$AN$921)=MIN($AN$2:$AN$921),50,ROUND((AN376-MIN($AN$2:$AN$921))/(MAX($AN$2:$AN$921)-MIN($AN$2:$AN$921))*100,2))</f>
        <v>81.25</v>
      </c>
      <c r="AX376" s="8" t="n">
        <f aca="false">AQ376*100</f>
        <v>0</v>
      </c>
      <c r="AY376" s="8" t="n">
        <f aca="false">AR376*100</f>
        <v>0</v>
      </c>
      <c r="AZ376" s="8" t="n">
        <f aca="false">IFERROR(ROUND(AS376*Assumptions!$I$6+AW376*Assumptions!$I$7+AT376*Assumptions!$I$8+AU376*Assumptions!$I$9+AV376*Assumptions!$I$10+AX376*Assumptions!$I$11+AY376*Assumptions!$I$12,2),"")</f>
        <v>56.52</v>
      </c>
      <c r="BA376" s="0" t="str">
        <f aca="false">IF(AZ376="","",IF(AZ376&lt;=Assumptions!$I$18,"Below Expectation",IF(AZ376&lt;=Assumptions!$I$19,"Developing",IF(AZ376&lt;=Assumptions!$I$20,"Meets Expectation",IF(AZ376&lt;=Assumptions!$I$21,"Exceeds","Star Performer")))))</f>
        <v>Meets Expectation</v>
      </c>
      <c r="BB376" s="0" t="n">
        <f aca="false">IF(AZ376="",0,IF(AZ376&gt;=Assumptions!$I$26,1,0))</f>
        <v>0</v>
      </c>
      <c r="BC376" s="9" t="n">
        <f aca="false">IF(AL376="",2,AL376+2)</f>
        <v>2</v>
      </c>
      <c r="BD376" s="10" t="n">
        <f aca="false">IF(AM376="",ROUND(AVERAGE($AM$2:$AM$921),3),AM376)</f>
        <v>0.447</v>
      </c>
      <c r="BE376" s="9" t="n">
        <f aca="false">1-BD376</f>
        <v>0.553</v>
      </c>
    </row>
    <row r="377" customFormat="false" ht="14.25" hidden="true" customHeight="false" outlineLevel="0" collapsed="false">
      <c r="A377" s="4" t="n">
        <v>303</v>
      </c>
      <c r="B377" s="5" t="n">
        <v>10071810</v>
      </c>
      <c r="C377" s="5" t="s">
        <v>57</v>
      </c>
      <c r="D377" s="5" t="s">
        <v>1661</v>
      </c>
      <c r="E377" s="5" t="s">
        <v>456</v>
      </c>
      <c r="F377" s="5" t="s">
        <v>608</v>
      </c>
      <c r="G377" s="5" t="s">
        <v>609</v>
      </c>
      <c r="H377" s="5" t="s">
        <v>608</v>
      </c>
      <c r="I377" s="5" t="s">
        <v>63</v>
      </c>
      <c r="J377" s="5" t="s">
        <v>100</v>
      </c>
      <c r="K377" s="5" t="s">
        <v>65</v>
      </c>
      <c r="L377" s="6" t="n">
        <v>43864</v>
      </c>
      <c r="M377" s="5" t="s">
        <v>359</v>
      </c>
      <c r="N377" s="6" t="n">
        <v>34298</v>
      </c>
      <c r="O377" s="5" t="s">
        <v>365</v>
      </c>
      <c r="P377" s="5" t="s">
        <v>365</v>
      </c>
      <c r="Q377" s="5" t="s">
        <v>487</v>
      </c>
      <c r="R377" s="5" t="s">
        <v>591</v>
      </c>
      <c r="S377" s="5" t="s">
        <v>318</v>
      </c>
      <c r="T377" s="6"/>
      <c r="U377" s="6"/>
      <c r="V377" s="5" t="s">
        <v>141</v>
      </c>
      <c r="W377" s="5" t="s">
        <v>141</v>
      </c>
      <c r="X377" s="5" t="s">
        <v>141</v>
      </c>
      <c r="Y377" s="5" t="s">
        <v>141</v>
      </c>
      <c r="Z377" s="5" t="s">
        <v>141</v>
      </c>
      <c r="AA377" s="5" t="s">
        <v>1662</v>
      </c>
      <c r="AB377" s="0" t="n">
        <f aca="false">IFERROR(VALUE(R377),0)</f>
        <v>3.1</v>
      </c>
      <c r="AC377" s="0" t="n">
        <f aca="false">IFERROR(VALUE(M377),"")</f>
        <v>32.6</v>
      </c>
      <c r="AD377" s="0" t="n">
        <f aca="false">IFERROR(VALUE(Q377),"")</f>
        <v>6.4</v>
      </c>
      <c r="AE377" s="0" t="n">
        <f aca="false">IFERROR(VALUE(S377),"")</f>
        <v>10.2</v>
      </c>
      <c r="AF377" s="0" t="n">
        <f aca="false">IF(V377="","",VLOOKUP(V377,Assumptions!$B$6:$C$9,2,FALSE()))</f>
        <v>3</v>
      </c>
      <c r="AG377" s="0" t="n">
        <f aca="false">IF(W377="","",VLOOKUP(W377,Assumptions!$B$6:$C$9,2,FALSE()))</f>
        <v>3</v>
      </c>
      <c r="AH377" s="0" t="n">
        <f aca="false">IF(X377="","",VLOOKUP(X377,Assumptions!$B$6:$C$9,2,FALSE()))</f>
        <v>3</v>
      </c>
      <c r="AI377" s="0" t="n">
        <f aca="false">IF(Y377="","",VLOOKUP(Y377,Assumptions!$B$6:$C$9,2,FALSE()))</f>
        <v>3</v>
      </c>
      <c r="AJ377" s="0" t="n">
        <f aca="false">IF(Z377="","",VLOOKUP(Z377,Assumptions!$B$6:$C$9,2,FALSE()))</f>
        <v>3</v>
      </c>
      <c r="AK377" s="7" t="n">
        <f aca="false">IFERROR(ROUND(AVERAGE(AF377:AJ377),3),"")</f>
        <v>3</v>
      </c>
      <c r="AL377" s="7" t="n">
        <f aca="false">IF(OR(AF377="",AJ377=""),"",AJ377-AF377)</f>
        <v>0</v>
      </c>
      <c r="AM377" s="7" t="n">
        <f aca="false">IF(COUNT(AF377:AJ377)&gt;=2,ROUND(_xlfn.STDEV.S(AF377:AJ377),3),"")</f>
        <v>0</v>
      </c>
      <c r="AN377" s="7" t="n">
        <f aca="false">ROUND((IF(AF377="",0,AF377)*Assumptions!$F$15)+(IF(AG377="",0,AG377)*Assumptions!$F$16)+(IF(AH377="",0,AH377)*Assumptions!$F$17)+(IF(AI377="",0,AI377)*Assumptions!$F$18)+(IF(AJ377="",0,AJ377)*Assumptions!$F$19),3)</f>
        <v>3</v>
      </c>
      <c r="AO377" s="0" t="str">
        <f aca="false">IF(AC377&lt;=20,"",IF(AC377&lt;=Assumptions!$F$6,"20-30",IF(AC377&lt;=Assumptions!$F$7,"30-40",IF(AC377&lt;=Assumptions!$F$8,"40-50",IF(AC377&lt;=Assumptions!$F$9,"50-60",IF(AC377&lt;=Assumptions!$F$10,"60+",""))))))</f>
        <v>30-40</v>
      </c>
      <c r="AP377" s="0" t="str">
        <f aca="false">IFERROR(VLOOKUP(O377,Assumptions!$B$14:$C$26,2,FALSE()),"Other")</f>
        <v>Manager</v>
      </c>
      <c r="AQ377" s="0" t="n">
        <f aca="false">IF(T377="",0,1)</f>
        <v>0</v>
      </c>
      <c r="AR377" s="0" t="n">
        <f aca="false">IF(U377="",0,1)</f>
        <v>0</v>
      </c>
      <c r="AS377" s="8" t="n">
        <f aca="false">IF(AK377="","",IF(MAX($AK$2:$AK$921)=MIN($AK$2:$AK$921),50,ROUND((AK377-MIN($AK$2:$AK$921))/(MAX($AK$2:$AK$921)-MIN($AK$2:$AK$921))*100,2)))</f>
        <v>57.14</v>
      </c>
      <c r="AT377" s="8" t="n">
        <f aca="false">IF(MAX($BC$2:$BC$921)=MIN($BC$2:$BC$921),50,ROUND((BC377-MIN($BC$2:$BC$921))/(MAX($BC$2:$BC$921)-MIN($BC$2:$BC$921))*100,2))</f>
        <v>50</v>
      </c>
      <c r="AU377" s="8" t="n">
        <f aca="false">IF(MAX($BE$2:$BE$921)=MIN($BE$2:$BE$921),50,ROUND((BE377-MIN($BE$2:$BE$921))/(MAX($BE$2:$BE$921)-MIN($BE$2:$BE$921))*100,2))</f>
        <v>100</v>
      </c>
      <c r="AV377" s="8" t="n">
        <f aca="false">IF(MAX($AD$2:$AD$921)=MIN($AD$2:$AD$921),50,ROUND((AD377-MIN($AD$2:$AD$921))/(MAX($AD$2:$AD$921)-MIN($AD$2:$AD$921))*100,2))</f>
        <v>17.1</v>
      </c>
      <c r="AW377" s="8" t="n">
        <f aca="false">IF(MAX($AN$2:$AN$921)=MIN($AN$2:$AN$921),50,ROUND((AN377-MIN($AN$2:$AN$921))/(MAX($AN$2:$AN$921)-MIN($AN$2:$AN$921))*100,2))</f>
        <v>75</v>
      </c>
      <c r="AX377" s="8" t="n">
        <f aca="false">AQ377*100</f>
        <v>0</v>
      </c>
      <c r="AY377" s="8" t="n">
        <f aca="false">AR377*100</f>
        <v>0</v>
      </c>
      <c r="AZ377" s="8" t="n">
        <f aca="false">IFERROR(ROUND(AS377*Assumptions!$I$6+AW377*Assumptions!$I$7+AT377*Assumptions!$I$8+AU377*Assumptions!$I$9+AV377*Assumptions!$I$10+AX377*Assumptions!$I$11+AY377*Assumptions!$I$12,2),"")</f>
        <v>56.35</v>
      </c>
      <c r="BA377" s="0" t="str">
        <f aca="false">IF(AZ377="","",IF(AZ377&lt;=Assumptions!$I$18,"Below Expectation",IF(AZ377&lt;=Assumptions!$I$19,"Developing",IF(AZ377&lt;=Assumptions!$I$20,"Meets Expectation",IF(AZ377&lt;=Assumptions!$I$21,"Exceeds","Star Performer")))))</f>
        <v>Meets Expectation</v>
      </c>
      <c r="BB377" s="0" t="n">
        <f aca="false">IF(AZ377="",0,IF(AZ377&gt;=Assumptions!$I$26,1,0))</f>
        <v>0</v>
      </c>
      <c r="BC377" s="9" t="n">
        <f aca="false">IF(AL377="",2,AL377+2)</f>
        <v>2</v>
      </c>
      <c r="BD377" s="10" t="n">
        <f aca="false">IF(AM377="",ROUND(AVERAGE($AM$2:$AM$921),3),AM377)</f>
        <v>0</v>
      </c>
      <c r="BE377" s="9" t="n">
        <f aca="false">1-BD377</f>
        <v>1</v>
      </c>
    </row>
    <row r="378" customFormat="false" ht="14.25" hidden="true" customHeight="false" outlineLevel="0" collapsed="false">
      <c r="A378" s="4" t="n">
        <v>304</v>
      </c>
      <c r="B378" s="5" t="n">
        <v>10071843</v>
      </c>
      <c r="C378" s="5" t="s">
        <v>85</v>
      </c>
      <c r="D378" s="5" t="s">
        <v>1663</v>
      </c>
      <c r="E378" s="5" t="s">
        <v>315</v>
      </c>
      <c r="F378" s="5" t="s">
        <v>602</v>
      </c>
      <c r="G378" s="5" t="s">
        <v>603</v>
      </c>
      <c r="H378" s="5" t="s">
        <v>602</v>
      </c>
      <c r="I378" s="5" t="s">
        <v>63</v>
      </c>
      <c r="J378" s="5" t="s">
        <v>76</v>
      </c>
      <c r="K378" s="5" t="s">
        <v>65</v>
      </c>
      <c r="L378" s="6" t="n">
        <v>43864</v>
      </c>
      <c r="M378" s="5" t="s">
        <v>902</v>
      </c>
      <c r="N378" s="6" t="n">
        <v>29303</v>
      </c>
      <c r="O378" s="5" t="s">
        <v>365</v>
      </c>
      <c r="P378" s="5" t="s">
        <v>365</v>
      </c>
      <c r="Q378" s="5" t="s">
        <v>487</v>
      </c>
      <c r="R378" s="5" t="s">
        <v>471</v>
      </c>
      <c r="S378" s="5" t="s">
        <v>1664</v>
      </c>
      <c r="T378" s="6"/>
      <c r="U378" s="6"/>
      <c r="V378" s="5" t="s">
        <v>141</v>
      </c>
      <c r="W378" s="5" t="s">
        <v>141</v>
      </c>
      <c r="X378" s="5" t="s">
        <v>141</v>
      </c>
      <c r="Y378" s="5" t="s">
        <v>141</v>
      </c>
      <c r="Z378" s="5" t="s">
        <v>141</v>
      </c>
      <c r="AA378" s="5" t="s">
        <v>1665</v>
      </c>
      <c r="AB378" s="0" t="n">
        <f aca="false">IFERROR(VALUE(R378),0)</f>
        <v>18.1</v>
      </c>
      <c r="AC378" s="0" t="n">
        <f aca="false">IFERROR(VALUE(M378),"")</f>
        <v>46.2</v>
      </c>
      <c r="AD378" s="0" t="n">
        <f aca="false">IFERROR(VALUE(Q378),"")</f>
        <v>6.4</v>
      </c>
      <c r="AE378" s="0" t="n">
        <f aca="false">IFERROR(VALUE(S378),"")</f>
        <v>24.5</v>
      </c>
      <c r="AF378" s="0" t="n">
        <f aca="false">IF(V378="","",VLOOKUP(V378,Assumptions!$B$6:$C$9,2,FALSE()))</f>
        <v>3</v>
      </c>
      <c r="AG378" s="0" t="n">
        <f aca="false">IF(W378="","",VLOOKUP(W378,Assumptions!$B$6:$C$9,2,FALSE()))</f>
        <v>3</v>
      </c>
      <c r="AH378" s="0" t="n">
        <f aca="false">IF(X378="","",VLOOKUP(X378,Assumptions!$B$6:$C$9,2,FALSE()))</f>
        <v>3</v>
      </c>
      <c r="AI378" s="0" t="n">
        <f aca="false">IF(Y378="","",VLOOKUP(Y378,Assumptions!$B$6:$C$9,2,FALSE()))</f>
        <v>3</v>
      </c>
      <c r="AJ378" s="0" t="n">
        <f aca="false">IF(Z378="","",VLOOKUP(Z378,Assumptions!$B$6:$C$9,2,FALSE()))</f>
        <v>3</v>
      </c>
      <c r="AK378" s="7" t="n">
        <f aca="false">IFERROR(ROUND(AVERAGE(AF378:AJ378),3),"")</f>
        <v>3</v>
      </c>
      <c r="AL378" s="7" t="n">
        <f aca="false">IF(OR(AF378="",AJ378=""),"",AJ378-AF378)</f>
        <v>0</v>
      </c>
      <c r="AM378" s="7" t="n">
        <f aca="false">IF(COUNT(AF378:AJ378)&gt;=2,ROUND(_xlfn.STDEV.S(AF378:AJ378),3),"")</f>
        <v>0</v>
      </c>
      <c r="AN378" s="7" t="n">
        <f aca="false">ROUND((IF(AF378="",0,AF378)*Assumptions!$F$15)+(IF(AG378="",0,AG378)*Assumptions!$F$16)+(IF(AH378="",0,AH378)*Assumptions!$F$17)+(IF(AI378="",0,AI378)*Assumptions!$F$18)+(IF(AJ378="",0,AJ378)*Assumptions!$F$19),3)</f>
        <v>3</v>
      </c>
      <c r="AO378" s="0" t="str">
        <f aca="false">IF(AC378&lt;=20,"",IF(AC378&lt;=Assumptions!$F$6,"20-30",IF(AC378&lt;=Assumptions!$F$7,"30-40",IF(AC378&lt;=Assumptions!$F$8,"40-50",IF(AC378&lt;=Assumptions!$F$9,"50-60",IF(AC378&lt;=Assumptions!$F$10,"60+",""))))))</f>
        <v>40-50</v>
      </c>
      <c r="AP378" s="0" t="str">
        <f aca="false">IFERROR(VLOOKUP(O378,Assumptions!$B$14:$C$26,2,FALSE()),"Other")</f>
        <v>Manager</v>
      </c>
      <c r="AQ378" s="0" t="n">
        <f aca="false">IF(T378="",0,1)</f>
        <v>0</v>
      </c>
      <c r="AR378" s="0" t="n">
        <f aca="false">IF(U378="",0,1)</f>
        <v>0</v>
      </c>
      <c r="AS378" s="8" t="n">
        <f aca="false">IF(AK378="","",IF(MAX($AK$2:$AK$921)=MIN($AK$2:$AK$921),50,ROUND((AK378-MIN($AK$2:$AK$921))/(MAX($AK$2:$AK$921)-MIN($AK$2:$AK$921))*100,2)))</f>
        <v>57.14</v>
      </c>
      <c r="AT378" s="8" t="n">
        <f aca="false">IF(MAX($BC$2:$BC$921)=MIN($BC$2:$BC$921),50,ROUND((BC378-MIN($BC$2:$BC$921))/(MAX($BC$2:$BC$921)-MIN($BC$2:$BC$921))*100,2))</f>
        <v>50</v>
      </c>
      <c r="AU378" s="8" t="n">
        <f aca="false">IF(MAX($BE$2:$BE$921)=MIN($BE$2:$BE$921),50,ROUND((BE378-MIN($BE$2:$BE$921))/(MAX($BE$2:$BE$921)-MIN($BE$2:$BE$921))*100,2))</f>
        <v>100</v>
      </c>
      <c r="AV378" s="8" t="n">
        <f aca="false">IF(MAX($AD$2:$AD$921)=MIN($AD$2:$AD$921),50,ROUND((AD378-MIN($AD$2:$AD$921))/(MAX($AD$2:$AD$921)-MIN($AD$2:$AD$921))*100,2))</f>
        <v>17.1</v>
      </c>
      <c r="AW378" s="8" t="n">
        <f aca="false">IF(MAX($AN$2:$AN$921)=MIN($AN$2:$AN$921),50,ROUND((AN378-MIN($AN$2:$AN$921))/(MAX($AN$2:$AN$921)-MIN($AN$2:$AN$921))*100,2))</f>
        <v>75</v>
      </c>
      <c r="AX378" s="8" t="n">
        <f aca="false">AQ378*100</f>
        <v>0</v>
      </c>
      <c r="AY378" s="8" t="n">
        <f aca="false">AR378*100</f>
        <v>0</v>
      </c>
      <c r="AZ378" s="8" t="n">
        <f aca="false">IFERROR(ROUND(AS378*Assumptions!$I$6+AW378*Assumptions!$I$7+AT378*Assumptions!$I$8+AU378*Assumptions!$I$9+AV378*Assumptions!$I$10+AX378*Assumptions!$I$11+AY378*Assumptions!$I$12,2),"")</f>
        <v>56.35</v>
      </c>
      <c r="BA378" s="0" t="str">
        <f aca="false">IF(AZ378="","",IF(AZ378&lt;=Assumptions!$I$18,"Below Expectation",IF(AZ378&lt;=Assumptions!$I$19,"Developing",IF(AZ378&lt;=Assumptions!$I$20,"Meets Expectation",IF(AZ378&lt;=Assumptions!$I$21,"Exceeds","Star Performer")))))</f>
        <v>Meets Expectation</v>
      </c>
      <c r="BB378" s="0" t="n">
        <f aca="false">IF(AZ378="",0,IF(AZ378&gt;=Assumptions!$I$26,1,0))</f>
        <v>0</v>
      </c>
      <c r="BC378" s="9" t="n">
        <f aca="false">IF(AL378="",2,AL378+2)</f>
        <v>2</v>
      </c>
      <c r="BD378" s="10" t="n">
        <f aca="false">IF(AM378="",ROUND(AVERAGE($AM$2:$AM$921),3),AM378)</f>
        <v>0</v>
      </c>
      <c r="BE378" s="9" t="n">
        <f aca="false">1-BD378</f>
        <v>1</v>
      </c>
    </row>
    <row r="379" customFormat="false" ht="14.25" hidden="true" customHeight="false" outlineLevel="0" collapsed="false">
      <c r="A379" s="4" t="n">
        <v>480</v>
      </c>
      <c r="B379" s="5" t="n">
        <v>55043000</v>
      </c>
      <c r="C379" s="5" t="s">
        <v>57</v>
      </c>
      <c r="D379" s="5" t="s">
        <v>1666</v>
      </c>
      <c r="E379" s="5" t="s">
        <v>520</v>
      </c>
      <c r="F379" s="5" t="s">
        <v>608</v>
      </c>
      <c r="G379" s="5" t="s">
        <v>609</v>
      </c>
      <c r="H379" s="5" t="s">
        <v>608</v>
      </c>
      <c r="I379" s="5" t="s">
        <v>63</v>
      </c>
      <c r="J379" s="5" t="s">
        <v>100</v>
      </c>
      <c r="K379" s="5" t="s">
        <v>65</v>
      </c>
      <c r="L379" s="6" t="n">
        <v>44452</v>
      </c>
      <c r="M379" s="5" t="s">
        <v>457</v>
      </c>
      <c r="N379" s="6" t="n">
        <v>32301</v>
      </c>
      <c r="O379" s="5" t="s">
        <v>365</v>
      </c>
      <c r="P379" s="5" t="s">
        <v>365</v>
      </c>
      <c r="Q379" s="5" t="s">
        <v>496</v>
      </c>
      <c r="R379" s="5" t="s">
        <v>147</v>
      </c>
      <c r="S379" s="5" t="s">
        <v>318</v>
      </c>
      <c r="T379" s="6"/>
      <c r="U379" s="6"/>
      <c r="V379" s="5" t="s">
        <v>631</v>
      </c>
      <c r="W379" s="5" t="s">
        <v>83</v>
      </c>
      <c r="X379" s="5" t="s">
        <v>83</v>
      </c>
      <c r="Y379" s="5" t="s">
        <v>141</v>
      </c>
      <c r="Z379" s="5" t="s">
        <v>141</v>
      </c>
      <c r="AA379" s="5" t="s">
        <v>1667</v>
      </c>
      <c r="AB379" s="0" t="n">
        <f aca="false">IFERROR(VALUE(R379),0)</f>
        <v>5.6</v>
      </c>
      <c r="AC379" s="0" t="n">
        <f aca="false">IFERROR(VALUE(M379),"")</f>
        <v>38</v>
      </c>
      <c r="AD379" s="0" t="n">
        <f aca="false">IFERROR(VALUE(Q379),"")</f>
        <v>4.8</v>
      </c>
      <c r="AE379" s="0" t="n">
        <f aca="false">IFERROR(VALUE(S379),"")</f>
        <v>10.2</v>
      </c>
      <c r="AF379" s="0" t="n">
        <f aca="false">IF(V379="","",VLOOKUP(V379,Assumptions!$B$6:$C$9,2,FALSE()))</f>
        <v>2</v>
      </c>
      <c r="AG379" s="0" t="n">
        <f aca="false">IF(W379="","",VLOOKUP(W379,Assumptions!$B$6:$C$9,2,FALSE()))</f>
        <v>4</v>
      </c>
      <c r="AH379" s="0" t="n">
        <f aca="false">IF(X379="","",VLOOKUP(X379,Assumptions!$B$6:$C$9,2,FALSE()))</f>
        <v>4</v>
      </c>
      <c r="AI379" s="0" t="n">
        <f aca="false">IF(Y379="","",VLOOKUP(Y379,Assumptions!$B$6:$C$9,2,FALSE()))</f>
        <v>3</v>
      </c>
      <c r="AJ379" s="0" t="n">
        <f aca="false">IF(Z379="","",VLOOKUP(Z379,Assumptions!$B$6:$C$9,2,FALSE()))</f>
        <v>3</v>
      </c>
      <c r="AK379" s="7" t="n">
        <f aca="false">IFERROR(ROUND(AVERAGE(AF379:AJ379),3),"")</f>
        <v>3.2</v>
      </c>
      <c r="AL379" s="7" t="n">
        <f aca="false">IF(OR(AF379="",AJ379=""),"",AJ379-AF379)</f>
        <v>1</v>
      </c>
      <c r="AM379" s="7" t="n">
        <f aca="false">IF(COUNT(AF379:AJ379)&gt;=2,ROUND(_xlfn.STDEV.S(AF379:AJ379),3),"")</f>
        <v>0.837</v>
      </c>
      <c r="AN379" s="7" t="n">
        <f aca="false">ROUND((IF(AF379="",0,AF379)*Assumptions!$F$15)+(IF(AG379="",0,AG379)*Assumptions!$F$16)+(IF(AH379="",0,AH379)*Assumptions!$F$17)+(IF(AI379="",0,AI379)*Assumptions!$F$18)+(IF(AJ379="",0,AJ379)*Assumptions!$F$19),3)</f>
        <v>3.25</v>
      </c>
      <c r="AO379" s="0" t="str">
        <f aca="false">IF(AC379&lt;=20,"",IF(AC379&lt;=Assumptions!$F$6,"20-30",IF(AC379&lt;=Assumptions!$F$7,"30-40",IF(AC379&lt;=Assumptions!$F$8,"40-50",IF(AC379&lt;=Assumptions!$F$9,"50-60",IF(AC379&lt;=Assumptions!$F$10,"60+",""))))))</f>
        <v>30-40</v>
      </c>
      <c r="AP379" s="0" t="str">
        <f aca="false">IFERROR(VLOOKUP(O379,Assumptions!$B$14:$C$26,2,FALSE()),"Other")</f>
        <v>Manager</v>
      </c>
      <c r="AQ379" s="0" t="n">
        <f aca="false">IF(T379="",0,1)</f>
        <v>0</v>
      </c>
      <c r="AR379" s="0" t="n">
        <f aca="false">IF(U379="",0,1)</f>
        <v>0</v>
      </c>
      <c r="AS379" s="8" t="n">
        <f aca="false">IF(AK379="","",IF(MAX($AK$2:$AK$921)=MIN($AK$2:$AK$921),50,ROUND((AK379-MIN($AK$2:$AK$921))/(MAX($AK$2:$AK$921)-MIN($AK$2:$AK$921))*100,2)))</f>
        <v>65.71</v>
      </c>
      <c r="AT379" s="8" t="n">
        <f aca="false">IF(MAX($BC$2:$BC$921)=MIN($BC$2:$BC$921),50,ROUND((BC379-MIN($BC$2:$BC$921))/(MAX($BC$2:$BC$921)-MIN($BC$2:$BC$921))*100,2))</f>
        <v>75</v>
      </c>
      <c r="AU379" s="8" t="n">
        <f aca="false">IF(MAX($BE$2:$BE$921)=MIN($BE$2:$BE$921),50,ROUND((BE379-MIN($BE$2:$BE$921))/(MAX($BE$2:$BE$921)-MIN($BE$2:$BE$921))*100,2))</f>
        <v>51.67</v>
      </c>
      <c r="AV379" s="8" t="n">
        <f aca="false">IF(MAX($AD$2:$AD$921)=MIN($AD$2:$AD$921),50,ROUND((AD379-MIN($AD$2:$AD$921))/(MAX($AD$2:$AD$921)-MIN($AD$2:$AD$921))*100,2))</f>
        <v>12.75</v>
      </c>
      <c r="AW379" s="8" t="n">
        <f aca="false">IF(MAX($AN$2:$AN$921)=MIN($AN$2:$AN$921),50,ROUND((AN379-MIN($AN$2:$AN$921))/(MAX($AN$2:$AN$921)-MIN($AN$2:$AN$921))*100,2))</f>
        <v>81.25</v>
      </c>
      <c r="AX379" s="8" t="n">
        <f aca="false">AQ379*100</f>
        <v>0</v>
      </c>
      <c r="AY379" s="8" t="n">
        <f aca="false">AR379*100</f>
        <v>0</v>
      </c>
      <c r="AZ379" s="8" t="n">
        <f aca="false">IFERROR(ROUND(AS379*Assumptions!$I$6+AW379*Assumptions!$I$7+AT379*Assumptions!$I$8+AU379*Assumptions!$I$9+AV379*Assumptions!$I$10+AX379*Assumptions!$I$11+AY379*Assumptions!$I$12,2),"")</f>
        <v>56.24</v>
      </c>
      <c r="BA379" s="0" t="str">
        <f aca="false">IF(AZ379="","",IF(AZ379&lt;=Assumptions!$I$18,"Below Expectation",IF(AZ379&lt;=Assumptions!$I$19,"Developing",IF(AZ379&lt;=Assumptions!$I$20,"Meets Expectation",IF(AZ379&lt;=Assumptions!$I$21,"Exceeds","Star Performer")))))</f>
        <v>Meets Expectation</v>
      </c>
      <c r="BB379" s="0" t="n">
        <f aca="false">IF(AZ379="",0,IF(AZ379&gt;=Assumptions!$I$26,1,0))</f>
        <v>0</v>
      </c>
      <c r="BC379" s="9" t="n">
        <f aca="false">IF(AL379="",2,AL379+2)</f>
        <v>3</v>
      </c>
      <c r="BD379" s="10" t="n">
        <f aca="false">IF(AM379="",ROUND(AVERAGE($AM$2:$AM$921),3),AM379)</f>
        <v>0.837</v>
      </c>
      <c r="BE379" s="9" t="n">
        <f aca="false">1-BD379</f>
        <v>0.163</v>
      </c>
    </row>
    <row r="380" customFormat="false" ht="14.25" hidden="true" customHeight="false" outlineLevel="0" collapsed="false">
      <c r="A380" s="4" t="n">
        <v>405</v>
      </c>
      <c r="B380" s="5" t="n">
        <v>50008559</v>
      </c>
      <c r="C380" s="5" t="s">
        <v>57</v>
      </c>
      <c r="D380" s="5" t="s">
        <v>1668</v>
      </c>
      <c r="E380" s="5" t="s">
        <v>520</v>
      </c>
      <c r="F380" s="5" t="s">
        <v>387</v>
      </c>
      <c r="G380" s="5" t="s">
        <v>388</v>
      </c>
      <c r="H380" s="5" t="s">
        <v>387</v>
      </c>
      <c r="I380" s="5" t="s">
        <v>63</v>
      </c>
      <c r="J380" s="5" t="s">
        <v>100</v>
      </c>
      <c r="K380" s="5" t="s">
        <v>65</v>
      </c>
      <c r="L380" s="6" t="n">
        <v>40624</v>
      </c>
      <c r="M380" s="5" t="s">
        <v>1669</v>
      </c>
      <c r="N380" s="6" t="n">
        <v>31303</v>
      </c>
      <c r="O380" s="5" t="s">
        <v>332</v>
      </c>
      <c r="P380" s="5" t="s">
        <v>333</v>
      </c>
      <c r="Q380" s="5" t="s">
        <v>516</v>
      </c>
      <c r="R380" s="5" t="s">
        <v>981</v>
      </c>
      <c r="S380" s="5" t="s">
        <v>1670</v>
      </c>
      <c r="T380" s="6"/>
      <c r="U380" s="6" t="n">
        <v>44470</v>
      </c>
      <c r="V380" s="5" t="s">
        <v>141</v>
      </c>
      <c r="W380" s="5" t="s">
        <v>141</v>
      </c>
      <c r="X380" s="5" t="s">
        <v>141</v>
      </c>
      <c r="Y380" s="5" t="s">
        <v>631</v>
      </c>
      <c r="Z380" s="5" t="s">
        <v>141</v>
      </c>
      <c r="AA380" s="5" t="s">
        <v>1671</v>
      </c>
      <c r="AB380" s="0" t="n">
        <f aca="false">IFERROR(VALUE(R380),0)</f>
        <v>0.11</v>
      </c>
      <c r="AC380" s="0" t="n">
        <f aca="false">IFERROR(VALUE(M380),"")</f>
        <v>40.8</v>
      </c>
      <c r="AD380" s="0" t="n">
        <f aca="false">IFERROR(VALUE(Q380),"")</f>
        <v>15.2</v>
      </c>
      <c r="AE380" s="0" t="n">
        <f aca="false">IFERROR(VALUE(S380),"")</f>
        <v>16.1</v>
      </c>
      <c r="AF380" s="0" t="n">
        <f aca="false">IF(V380="","",VLOOKUP(V380,Assumptions!$B$6:$C$9,2,FALSE()))</f>
        <v>3</v>
      </c>
      <c r="AG380" s="0" t="n">
        <f aca="false">IF(W380="","",VLOOKUP(W380,Assumptions!$B$6:$C$9,2,FALSE()))</f>
        <v>3</v>
      </c>
      <c r="AH380" s="0" t="n">
        <f aca="false">IF(X380="","",VLOOKUP(X380,Assumptions!$B$6:$C$9,2,FALSE()))</f>
        <v>3</v>
      </c>
      <c r="AI380" s="0" t="n">
        <f aca="false">IF(Y380="","",VLOOKUP(Y380,Assumptions!$B$6:$C$9,2,FALSE()))</f>
        <v>2</v>
      </c>
      <c r="AJ380" s="0" t="n">
        <f aca="false">IF(Z380="","",VLOOKUP(Z380,Assumptions!$B$6:$C$9,2,FALSE()))</f>
        <v>3</v>
      </c>
      <c r="AK380" s="7" t="n">
        <f aca="false">IFERROR(ROUND(AVERAGE(AF380:AJ380),3),"")</f>
        <v>2.8</v>
      </c>
      <c r="AL380" s="7" t="n">
        <f aca="false">IF(OR(AF380="",AJ380=""),"",AJ380-AF380)</f>
        <v>0</v>
      </c>
      <c r="AM380" s="7" t="n">
        <f aca="false">IF(COUNT(AF380:AJ380)&gt;=2,ROUND(_xlfn.STDEV.S(AF380:AJ380),3),"")</f>
        <v>0.447</v>
      </c>
      <c r="AN380" s="7" t="n">
        <f aca="false">ROUND((IF(AF380="",0,AF380)*Assumptions!$F$15)+(IF(AG380="",0,AG380)*Assumptions!$F$16)+(IF(AH380="",0,AH380)*Assumptions!$F$17)+(IF(AI380="",0,AI380)*Assumptions!$F$18)+(IF(AJ380="",0,AJ380)*Assumptions!$F$19),3)</f>
        <v>2.75</v>
      </c>
      <c r="AO380" s="0" t="str">
        <f aca="false">IF(AC380&lt;=20,"",IF(AC380&lt;=Assumptions!$F$6,"20-30",IF(AC380&lt;=Assumptions!$F$7,"30-40",IF(AC380&lt;=Assumptions!$F$8,"40-50",IF(AC380&lt;=Assumptions!$F$9,"50-60",IF(AC380&lt;=Assumptions!$F$10,"60+",""))))))</f>
        <v>40-50</v>
      </c>
      <c r="AP380" s="0" t="str">
        <f aca="false">IFERROR(VLOOKUP(O380,Assumptions!$B$14:$C$26,2,FALSE()),"Other")</f>
        <v>Manager</v>
      </c>
      <c r="AQ380" s="0" t="n">
        <f aca="false">IF(T380="",0,1)</f>
        <v>0</v>
      </c>
      <c r="AR380" s="0" t="n">
        <f aca="false">IF(U380="",0,1)</f>
        <v>1</v>
      </c>
      <c r="AS380" s="8" t="n">
        <f aca="false">IF(AK380="","",IF(MAX($AK$2:$AK$921)=MIN($AK$2:$AK$921),50,ROUND((AK380-MIN($AK$2:$AK$921))/(MAX($AK$2:$AK$921)-MIN($AK$2:$AK$921))*100,2)))</f>
        <v>48.56</v>
      </c>
      <c r="AT380" s="8" t="n">
        <f aca="false">IF(MAX($BC$2:$BC$921)=MIN($BC$2:$BC$921),50,ROUND((BC380-MIN($BC$2:$BC$921))/(MAX($BC$2:$BC$921)-MIN($BC$2:$BC$921))*100,2))</f>
        <v>50</v>
      </c>
      <c r="AU380" s="8" t="n">
        <f aca="false">IF(MAX($BE$2:$BE$921)=MIN($BE$2:$BE$921),50,ROUND((BE380-MIN($BE$2:$BE$921))/(MAX($BE$2:$BE$921)-MIN($BE$2:$BE$921))*100,2))</f>
        <v>74.19</v>
      </c>
      <c r="AV380" s="8" t="n">
        <f aca="false">IF(MAX($AD$2:$AD$921)=MIN($AD$2:$AD$921),50,ROUND((AD380-MIN($AD$2:$AD$921))/(MAX($AD$2:$AD$921)-MIN($AD$2:$AD$921))*100,2))</f>
        <v>41.02</v>
      </c>
      <c r="AW380" s="8" t="n">
        <f aca="false">IF(MAX($AN$2:$AN$921)=MIN($AN$2:$AN$921),50,ROUND((AN380-MIN($AN$2:$AN$921))/(MAX($AN$2:$AN$921)-MIN($AN$2:$AN$921))*100,2))</f>
        <v>68.75</v>
      </c>
      <c r="AX380" s="8" t="n">
        <f aca="false">AQ380*100</f>
        <v>0</v>
      </c>
      <c r="AY380" s="8" t="n">
        <f aca="false">AR380*100</f>
        <v>100</v>
      </c>
      <c r="AZ380" s="8" t="n">
        <f aca="false">IFERROR(ROUND(AS380*Assumptions!$I$6+AW380*Assumptions!$I$7+AT380*Assumptions!$I$8+AU380*Assumptions!$I$9+AV380*Assumptions!$I$10+AX380*Assumptions!$I$11+AY380*Assumptions!$I$12,2),"")</f>
        <v>56.05</v>
      </c>
      <c r="BA380" s="0" t="str">
        <f aca="false">IF(AZ380="","",IF(AZ380&lt;=Assumptions!$I$18,"Below Expectation",IF(AZ380&lt;=Assumptions!$I$19,"Developing",IF(AZ380&lt;=Assumptions!$I$20,"Meets Expectation",IF(AZ380&lt;=Assumptions!$I$21,"Exceeds","Star Performer")))))</f>
        <v>Meets Expectation</v>
      </c>
      <c r="BB380" s="0" t="n">
        <f aca="false">IF(AZ380="",0,IF(AZ380&gt;=Assumptions!$I$26,1,0))</f>
        <v>0</v>
      </c>
      <c r="BC380" s="9" t="n">
        <f aca="false">IF(AL380="",2,AL380+2)</f>
        <v>2</v>
      </c>
      <c r="BD380" s="10" t="n">
        <f aca="false">IF(AM380="",ROUND(AVERAGE($AM$2:$AM$921),3),AM380)</f>
        <v>0.447</v>
      </c>
      <c r="BE380" s="9" t="n">
        <f aca="false">1-BD380</f>
        <v>0.553</v>
      </c>
    </row>
    <row r="381" customFormat="false" ht="14.25" hidden="true" customHeight="false" outlineLevel="0" collapsed="false">
      <c r="A381" s="4" t="n">
        <v>337</v>
      </c>
      <c r="B381" s="5" t="n">
        <v>30503297</v>
      </c>
      <c r="C381" s="5"/>
      <c r="D381" s="5" t="s">
        <v>1672</v>
      </c>
      <c r="E381" s="5" t="s">
        <v>257</v>
      </c>
      <c r="F381" s="5" t="s">
        <v>465</v>
      </c>
      <c r="G381" s="5" t="s">
        <v>464</v>
      </c>
      <c r="H381" s="5" t="s">
        <v>465</v>
      </c>
      <c r="I381" s="5" t="s">
        <v>63</v>
      </c>
      <c r="J381" s="5" t="s">
        <v>76</v>
      </c>
      <c r="K381" s="5" t="s">
        <v>65</v>
      </c>
      <c r="L381" s="6" t="n">
        <v>40665</v>
      </c>
      <c r="M381" s="5" t="s">
        <v>1673</v>
      </c>
      <c r="N381" s="6" t="n">
        <v>30053</v>
      </c>
      <c r="O381" s="5" t="s">
        <v>585</v>
      </c>
      <c r="P381" s="5" t="s">
        <v>586</v>
      </c>
      <c r="Q381" s="5" t="s">
        <v>1060</v>
      </c>
      <c r="R381" s="5" t="s">
        <v>1534</v>
      </c>
      <c r="S381" s="5" t="s">
        <v>792</v>
      </c>
      <c r="T381" s="6"/>
      <c r="U381" s="6" t="n">
        <v>43556</v>
      </c>
      <c r="V381" s="5" t="s">
        <v>141</v>
      </c>
      <c r="W381" s="5" t="s">
        <v>141</v>
      </c>
      <c r="X381" s="5" t="s">
        <v>141</v>
      </c>
      <c r="Y381" s="5" t="s">
        <v>631</v>
      </c>
      <c r="Z381" s="5" t="s">
        <v>141</v>
      </c>
      <c r="AA381" s="5"/>
      <c r="AB381" s="0" t="n">
        <f aca="false">IFERROR(VALUE(R381),0)</f>
        <v>4.1</v>
      </c>
      <c r="AC381" s="0" t="n">
        <f aca="false">IFERROR(VALUE(M381),"")</f>
        <v>44.1</v>
      </c>
      <c r="AD381" s="0" t="n">
        <f aca="false">IFERROR(VALUE(Q381),"")</f>
        <v>15.1</v>
      </c>
      <c r="AE381" s="0" t="n">
        <f aca="false">IFERROR(VALUE(S381),"")</f>
        <v>19.2</v>
      </c>
      <c r="AF381" s="0" t="n">
        <f aca="false">IF(V381="","",VLOOKUP(V381,Assumptions!$B$6:$C$9,2,FALSE()))</f>
        <v>3</v>
      </c>
      <c r="AG381" s="0" t="n">
        <f aca="false">IF(W381="","",VLOOKUP(W381,Assumptions!$B$6:$C$9,2,FALSE()))</f>
        <v>3</v>
      </c>
      <c r="AH381" s="0" t="n">
        <f aca="false">IF(X381="","",VLOOKUP(X381,Assumptions!$B$6:$C$9,2,FALSE()))</f>
        <v>3</v>
      </c>
      <c r="AI381" s="0" t="n">
        <f aca="false">IF(Y381="","",VLOOKUP(Y381,Assumptions!$B$6:$C$9,2,FALSE()))</f>
        <v>2</v>
      </c>
      <c r="AJ381" s="0" t="n">
        <f aca="false">IF(Z381="","",VLOOKUP(Z381,Assumptions!$B$6:$C$9,2,FALSE()))</f>
        <v>3</v>
      </c>
      <c r="AK381" s="7" t="n">
        <f aca="false">IFERROR(ROUND(AVERAGE(AF381:AJ381),3),"")</f>
        <v>2.8</v>
      </c>
      <c r="AL381" s="7" t="n">
        <f aca="false">IF(OR(AF381="",AJ381=""),"",AJ381-AF381)</f>
        <v>0</v>
      </c>
      <c r="AM381" s="7" t="n">
        <f aca="false">IF(COUNT(AF381:AJ381)&gt;=2,ROUND(_xlfn.STDEV.S(AF381:AJ381),3),"")</f>
        <v>0.447</v>
      </c>
      <c r="AN381" s="7" t="n">
        <f aca="false">ROUND((IF(AF381="",0,AF381)*Assumptions!$F$15)+(IF(AG381="",0,AG381)*Assumptions!$F$16)+(IF(AH381="",0,AH381)*Assumptions!$F$17)+(IF(AI381="",0,AI381)*Assumptions!$F$18)+(IF(AJ381="",0,AJ381)*Assumptions!$F$19),3)</f>
        <v>2.75</v>
      </c>
      <c r="AO381" s="0" t="str">
        <f aca="false">IF(AC381&lt;=20,"",IF(AC381&lt;=Assumptions!$F$6,"20-30",IF(AC381&lt;=Assumptions!$F$7,"30-40",IF(AC381&lt;=Assumptions!$F$8,"40-50",IF(AC381&lt;=Assumptions!$F$9,"50-60",IF(AC381&lt;=Assumptions!$F$10,"60+",""))))))</f>
        <v>40-50</v>
      </c>
      <c r="AP381" s="0" t="str">
        <f aca="false">IFERROR(VLOOKUP(O381,Assumptions!$B$14:$C$26,2,FALSE()),"Other")</f>
        <v>Manager</v>
      </c>
      <c r="AQ381" s="0" t="n">
        <f aca="false">IF(T381="",0,1)</f>
        <v>0</v>
      </c>
      <c r="AR381" s="0" t="n">
        <f aca="false">IF(U381="",0,1)</f>
        <v>1</v>
      </c>
      <c r="AS381" s="8" t="n">
        <f aca="false">IF(AK381="","",IF(MAX($AK$2:$AK$921)=MIN($AK$2:$AK$921),50,ROUND((AK381-MIN($AK$2:$AK$921))/(MAX($AK$2:$AK$921)-MIN($AK$2:$AK$921))*100,2)))</f>
        <v>48.56</v>
      </c>
      <c r="AT381" s="8" t="n">
        <f aca="false">IF(MAX($BC$2:$BC$921)=MIN($BC$2:$BC$921),50,ROUND((BC381-MIN($BC$2:$BC$921))/(MAX($BC$2:$BC$921)-MIN($BC$2:$BC$921))*100,2))</f>
        <v>50</v>
      </c>
      <c r="AU381" s="8" t="n">
        <f aca="false">IF(MAX($BE$2:$BE$921)=MIN($BE$2:$BE$921),50,ROUND((BE381-MIN($BE$2:$BE$921))/(MAX($BE$2:$BE$921)-MIN($BE$2:$BE$921))*100,2))</f>
        <v>74.19</v>
      </c>
      <c r="AV381" s="8" t="n">
        <f aca="false">IF(MAX($AD$2:$AD$921)=MIN($AD$2:$AD$921),50,ROUND((AD381-MIN($AD$2:$AD$921))/(MAX($AD$2:$AD$921)-MIN($AD$2:$AD$921))*100,2))</f>
        <v>40.74</v>
      </c>
      <c r="AW381" s="8" t="n">
        <f aca="false">IF(MAX($AN$2:$AN$921)=MIN($AN$2:$AN$921),50,ROUND((AN381-MIN($AN$2:$AN$921))/(MAX($AN$2:$AN$921)-MIN($AN$2:$AN$921))*100,2))</f>
        <v>68.75</v>
      </c>
      <c r="AX381" s="8" t="n">
        <f aca="false">AQ381*100</f>
        <v>0</v>
      </c>
      <c r="AY381" s="8" t="n">
        <f aca="false">AR381*100</f>
        <v>100</v>
      </c>
      <c r="AZ381" s="8" t="n">
        <f aca="false">IFERROR(ROUND(AS381*Assumptions!$I$6+AW381*Assumptions!$I$7+AT381*Assumptions!$I$8+AU381*Assumptions!$I$9+AV381*Assumptions!$I$10+AX381*Assumptions!$I$11+AY381*Assumptions!$I$12,2),"")</f>
        <v>56.02</v>
      </c>
      <c r="BA381" s="0" t="str">
        <f aca="false">IF(AZ381="","",IF(AZ381&lt;=Assumptions!$I$18,"Below Expectation",IF(AZ381&lt;=Assumptions!$I$19,"Developing",IF(AZ381&lt;=Assumptions!$I$20,"Meets Expectation",IF(AZ381&lt;=Assumptions!$I$21,"Exceeds","Star Performer")))))</f>
        <v>Meets Expectation</v>
      </c>
      <c r="BB381" s="0" t="n">
        <f aca="false">IF(AZ381="",0,IF(AZ381&gt;=Assumptions!$I$26,1,0))</f>
        <v>0</v>
      </c>
      <c r="BC381" s="9" t="n">
        <f aca="false">IF(AL381="",2,AL381+2)</f>
        <v>2</v>
      </c>
      <c r="BD381" s="10" t="n">
        <f aca="false">IF(AM381="",ROUND(AVERAGE($AM$2:$AM$921),3),AM381)</f>
        <v>0.447</v>
      </c>
      <c r="BE381" s="9" t="n">
        <f aca="false">1-BD381</f>
        <v>0.553</v>
      </c>
    </row>
    <row r="382" customFormat="false" ht="14.25" hidden="true" customHeight="false" outlineLevel="0" collapsed="false">
      <c r="A382" s="4" t="n">
        <v>279</v>
      </c>
      <c r="B382" s="5" t="n">
        <v>10068258</v>
      </c>
      <c r="C382" s="5" t="s">
        <v>85</v>
      </c>
      <c r="D382" s="5" t="s">
        <v>1674</v>
      </c>
      <c r="E382" s="5" t="s">
        <v>137</v>
      </c>
      <c r="F382" s="5" t="s">
        <v>1675</v>
      </c>
      <c r="G382" s="5" t="s">
        <v>1676</v>
      </c>
      <c r="H382" s="5" t="s">
        <v>1675</v>
      </c>
      <c r="I382" s="5" t="s">
        <v>63</v>
      </c>
      <c r="J382" s="5" t="s">
        <v>76</v>
      </c>
      <c r="K382" s="5" t="s">
        <v>65</v>
      </c>
      <c r="L382" s="6" t="n">
        <v>43619</v>
      </c>
      <c r="M382" s="5" t="s">
        <v>310</v>
      </c>
      <c r="N382" s="6" t="n">
        <v>32979</v>
      </c>
      <c r="O382" s="5" t="s">
        <v>365</v>
      </c>
      <c r="P382" s="5" t="s">
        <v>365</v>
      </c>
      <c r="Q382" s="5" t="s">
        <v>459</v>
      </c>
      <c r="R382" s="5" t="s">
        <v>1677</v>
      </c>
      <c r="S382" s="5" t="s">
        <v>1619</v>
      </c>
      <c r="T382" s="6"/>
      <c r="U382" s="6"/>
      <c r="V382" s="5" t="s">
        <v>141</v>
      </c>
      <c r="W382" s="5" t="s">
        <v>83</v>
      </c>
      <c r="X382" s="5" t="s">
        <v>141</v>
      </c>
      <c r="Y382" s="5" t="s">
        <v>141</v>
      </c>
      <c r="Z382" s="5" t="s">
        <v>141</v>
      </c>
      <c r="AA382" s="5" t="s">
        <v>781</v>
      </c>
      <c r="AB382" s="0" t="n">
        <f aca="false">IFERROR(VALUE(R382),0)</f>
        <v>2.2</v>
      </c>
      <c r="AC382" s="0" t="n">
        <f aca="false">IFERROR(VALUE(M382),"")</f>
        <v>36.1</v>
      </c>
      <c r="AD382" s="0" t="n">
        <f aca="false">IFERROR(VALUE(Q382),"")</f>
        <v>7</v>
      </c>
      <c r="AE382" s="0" t="n">
        <f aca="false">IFERROR(VALUE(S382),"")</f>
        <v>9.2</v>
      </c>
      <c r="AF382" s="0" t="n">
        <f aca="false">IF(V382="","",VLOOKUP(V382,Assumptions!$B$6:$C$9,2,FALSE()))</f>
        <v>3</v>
      </c>
      <c r="AG382" s="0" t="n">
        <f aca="false">IF(W382="","",VLOOKUP(W382,Assumptions!$B$6:$C$9,2,FALSE()))</f>
        <v>4</v>
      </c>
      <c r="AH382" s="0" t="n">
        <f aca="false">IF(X382="","",VLOOKUP(X382,Assumptions!$B$6:$C$9,2,FALSE()))</f>
        <v>3</v>
      </c>
      <c r="AI382" s="0" t="n">
        <f aca="false">IF(Y382="","",VLOOKUP(Y382,Assumptions!$B$6:$C$9,2,FALSE()))</f>
        <v>3</v>
      </c>
      <c r="AJ382" s="0" t="n">
        <f aca="false">IF(Z382="","",VLOOKUP(Z382,Assumptions!$B$6:$C$9,2,FALSE()))</f>
        <v>3</v>
      </c>
      <c r="AK382" s="7" t="n">
        <f aca="false">IFERROR(ROUND(AVERAGE(AF382:AJ382),3),"")</f>
        <v>3.2</v>
      </c>
      <c r="AL382" s="7" t="n">
        <f aca="false">IF(OR(AF382="",AJ382=""),"",AJ382-AF382)</f>
        <v>0</v>
      </c>
      <c r="AM382" s="7" t="n">
        <f aca="false">IF(COUNT(AF382:AJ382)&gt;=2,ROUND(_xlfn.STDEV.S(AF382:AJ382),3),"")</f>
        <v>0.447</v>
      </c>
      <c r="AN382" s="7" t="n">
        <f aca="false">ROUND((IF(AF382="",0,AF382)*Assumptions!$F$15)+(IF(AG382="",0,AG382)*Assumptions!$F$16)+(IF(AH382="",0,AH382)*Assumptions!$F$17)+(IF(AI382="",0,AI382)*Assumptions!$F$18)+(IF(AJ382="",0,AJ382)*Assumptions!$F$19),3)</f>
        <v>3.15</v>
      </c>
      <c r="AO382" s="0" t="str">
        <f aca="false">IF(AC382&lt;=20,"",IF(AC382&lt;=Assumptions!$F$6,"20-30",IF(AC382&lt;=Assumptions!$F$7,"30-40",IF(AC382&lt;=Assumptions!$F$8,"40-50",IF(AC382&lt;=Assumptions!$F$9,"50-60",IF(AC382&lt;=Assumptions!$F$10,"60+",""))))))</f>
        <v>30-40</v>
      </c>
      <c r="AP382" s="0" t="str">
        <f aca="false">IFERROR(VLOOKUP(O382,Assumptions!$B$14:$C$26,2,FALSE()),"Other")</f>
        <v>Manager</v>
      </c>
      <c r="AQ382" s="0" t="n">
        <f aca="false">IF(T382="",0,1)</f>
        <v>0</v>
      </c>
      <c r="AR382" s="0" t="n">
        <f aca="false">IF(U382="",0,1)</f>
        <v>0</v>
      </c>
      <c r="AS382" s="8" t="n">
        <f aca="false">IF(AK382="","",IF(MAX($AK$2:$AK$921)=MIN($AK$2:$AK$921),50,ROUND((AK382-MIN($AK$2:$AK$921))/(MAX($AK$2:$AK$921)-MIN($AK$2:$AK$921))*100,2)))</f>
        <v>65.71</v>
      </c>
      <c r="AT382" s="8" t="n">
        <f aca="false">IF(MAX($BC$2:$BC$921)=MIN($BC$2:$BC$921),50,ROUND((BC382-MIN($BC$2:$BC$921))/(MAX($BC$2:$BC$921)-MIN($BC$2:$BC$921))*100,2))</f>
        <v>50</v>
      </c>
      <c r="AU382" s="8" t="n">
        <f aca="false">IF(MAX($BE$2:$BE$921)=MIN($BE$2:$BE$921),50,ROUND((BE382-MIN($BE$2:$BE$921))/(MAX($BE$2:$BE$921)-MIN($BE$2:$BE$921))*100,2))</f>
        <v>74.19</v>
      </c>
      <c r="AV382" s="8" t="n">
        <f aca="false">IF(MAX($AD$2:$AD$921)=MIN($AD$2:$AD$921),50,ROUND((AD382-MIN($AD$2:$AD$921))/(MAX($AD$2:$AD$921)-MIN($AD$2:$AD$921))*100,2))</f>
        <v>18.73</v>
      </c>
      <c r="AW382" s="8" t="n">
        <f aca="false">IF(MAX($AN$2:$AN$921)=MIN($AN$2:$AN$921),50,ROUND((AN382-MIN($AN$2:$AN$921))/(MAX($AN$2:$AN$921)-MIN($AN$2:$AN$921))*100,2))</f>
        <v>78.75</v>
      </c>
      <c r="AX382" s="8" t="n">
        <f aca="false">AQ382*100</f>
        <v>0</v>
      </c>
      <c r="AY382" s="8" t="n">
        <f aca="false">AR382*100</f>
        <v>0</v>
      </c>
      <c r="AZ382" s="8" t="n">
        <f aca="false">IFERROR(ROUND(AS382*Assumptions!$I$6+AW382*Assumptions!$I$7+AT382*Assumptions!$I$8+AU382*Assumptions!$I$9+AV382*Assumptions!$I$10+AX382*Assumptions!$I$11+AY382*Assumptions!$I$12,2),"")</f>
        <v>55.96</v>
      </c>
      <c r="BA382" s="0" t="str">
        <f aca="false">IF(AZ382="","",IF(AZ382&lt;=Assumptions!$I$18,"Below Expectation",IF(AZ382&lt;=Assumptions!$I$19,"Developing",IF(AZ382&lt;=Assumptions!$I$20,"Meets Expectation",IF(AZ382&lt;=Assumptions!$I$21,"Exceeds","Star Performer")))))</f>
        <v>Meets Expectation</v>
      </c>
      <c r="BB382" s="0" t="n">
        <f aca="false">IF(AZ382="",0,IF(AZ382&gt;=Assumptions!$I$26,1,0))</f>
        <v>0</v>
      </c>
      <c r="BC382" s="9" t="n">
        <f aca="false">IF(AL382="",2,AL382+2)</f>
        <v>2</v>
      </c>
      <c r="BD382" s="10" t="n">
        <f aca="false">IF(AM382="",ROUND(AVERAGE($AM$2:$AM$921),3),AM382)</f>
        <v>0.447</v>
      </c>
      <c r="BE382" s="9" t="n">
        <f aca="false">1-BD382</f>
        <v>0.553</v>
      </c>
    </row>
    <row r="383" customFormat="false" ht="14.25" hidden="false" customHeight="false" outlineLevel="0" collapsed="false">
      <c r="A383" s="4" t="n">
        <v>488</v>
      </c>
      <c r="B383" s="5" t="n">
        <v>55043481</v>
      </c>
      <c r="C383" s="5" t="s">
        <v>106</v>
      </c>
      <c r="D383" s="5" t="s">
        <v>1678</v>
      </c>
      <c r="E383" s="5" t="s">
        <v>108</v>
      </c>
      <c r="F383" s="5" t="s">
        <v>463</v>
      </c>
      <c r="G383" s="5" t="s">
        <v>464</v>
      </c>
      <c r="H383" s="5" t="s">
        <v>465</v>
      </c>
      <c r="I383" s="5" t="s">
        <v>63</v>
      </c>
      <c r="J383" s="5" t="s">
        <v>112</v>
      </c>
      <c r="K383" s="5" t="s">
        <v>65</v>
      </c>
      <c r="L383" s="6" t="n">
        <v>44476</v>
      </c>
      <c r="M383" s="5" t="s">
        <v>1679</v>
      </c>
      <c r="N383" s="6" t="n">
        <v>31488</v>
      </c>
      <c r="O383" s="5" t="s">
        <v>585</v>
      </c>
      <c r="P383" s="5" t="s">
        <v>586</v>
      </c>
      <c r="Q383" s="5" t="s">
        <v>496</v>
      </c>
      <c r="R383" s="5" t="s">
        <v>1086</v>
      </c>
      <c r="S383" s="5" t="s">
        <v>446</v>
      </c>
      <c r="T383" s="6"/>
      <c r="U383" s="6"/>
      <c r="V383" s="5" t="s">
        <v>141</v>
      </c>
      <c r="W383" s="5" t="s">
        <v>141</v>
      </c>
      <c r="X383" s="5" t="s">
        <v>141</v>
      </c>
      <c r="Y383" s="5" t="s">
        <v>141</v>
      </c>
      <c r="Z383" s="5" t="s">
        <v>141</v>
      </c>
      <c r="AA383" s="5" t="s">
        <v>1680</v>
      </c>
      <c r="AB383" s="0" t="n">
        <f aca="false">IFERROR(VALUE(R383),0)</f>
        <v>8.1</v>
      </c>
      <c r="AC383" s="0" t="n">
        <f aca="false">IFERROR(VALUE(M383),"")</f>
        <v>40.2</v>
      </c>
      <c r="AD383" s="0" t="n">
        <f aca="false">IFERROR(VALUE(Q383),"")</f>
        <v>4.8</v>
      </c>
      <c r="AE383" s="0" t="n">
        <f aca="false">IFERROR(VALUE(S383),"")</f>
        <v>12.9</v>
      </c>
      <c r="AF383" s="0" t="n">
        <f aca="false">IF(V383="","",VLOOKUP(V383,Assumptions!$B$6:$C$9,2,FALSE()))</f>
        <v>3</v>
      </c>
      <c r="AG383" s="0" t="n">
        <f aca="false">IF(W383="","",VLOOKUP(W383,Assumptions!$B$6:$C$9,2,FALSE()))</f>
        <v>3</v>
      </c>
      <c r="AH383" s="0" t="n">
        <f aca="false">IF(X383="","",VLOOKUP(X383,Assumptions!$B$6:$C$9,2,FALSE()))</f>
        <v>3</v>
      </c>
      <c r="AI383" s="0" t="n">
        <f aca="false">IF(Y383="","",VLOOKUP(Y383,Assumptions!$B$6:$C$9,2,FALSE()))</f>
        <v>3</v>
      </c>
      <c r="AJ383" s="0" t="n">
        <f aca="false">IF(Z383="","",VLOOKUP(Z383,Assumptions!$B$6:$C$9,2,FALSE()))</f>
        <v>3</v>
      </c>
      <c r="AK383" s="7" t="n">
        <f aca="false">IFERROR(ROUND(AVERAGE(AF383:AJ383),3),"")</f>
        <v>3</v>
      </c>
      <c r="AL383" s="7" t="n">
        <f aca="false">IF(OR(AF383="",AJ383=""),"",AJ383-AF383)</f>
        <v>0</v>
      </c>
      <c r="AM383" s="7" t="n">
        <f aca="false">IF(COUNT(AF383:AJ383)&gt;=2,ROUND(_xlfn.STDEV.S(AF383:AJ383),3),"")</f>
        <v>0</v>
      </c>
      <c r="AN383" s="7" t="n">
        <f aca="false">ROUND((IF(AF383="",0,AF383)*Assumptions!$F$15)+(IF(AG383="",0,AG383)*Assumptions!$F$16)+(IF(AH383="",0,AH383)*Assumptions!$F$17)+(IF(AI383="",0,AI383)*Assumptions!$F$18)+(IF(AJ383="",0,AJ383)*Assumptions!$F$19),3)</f>
        <v>3</v>
      </c>
      <c r="AO383" s="0" t="str">
        <f aca="false">IF(AC383&lt;=20,"",IF(AC383&lt;=Assumptions!$F$6,"20-30",IF(AC383&lt;=Assumptions!$F$7,"30-40",IF(AC383&lt;=Assumptions!$F$8,"40-50",IF(AC383&lt;=Assumptions!$F$9,"50-60",IF(AC383&lt;=Assumptions!$F$10,"60+",""))))))</f>
        <v>40-50</v>
      </c>
      <c r="AP383" s="0" t="str">
        <f aca="false">IFERROR(VLOOKUP(O383,Assumptions!$B$14:$C$26,2,FALSE()),"Other")</f>
        <v>Manager</v>
      </c>
      <c r="AQ383" s="0" t="n">
        <f aca="false">IF(T383="",0,1)</f>
        <v>0</v>
      </c>
      <c r="AR383" s="0" t="n">
        <f aca="false">IF(U383="",0,1)</f>
        <v>0</v>
      </c>
      <c r="AS383" s="8" t="n">
        <f aca="false">IF(AK383="","",IF(MAX($AK$2:$AK$921)=MIN($AK$2:$AK$921),50,ROUND((AK383-MIN($AK$2:$AK$921))/(MAX($AK$2:$AK$921)-MIN($AK$2:$AK$921))*100,2)))</f>
        <v>57.14</v>
      </c>
      <c r="AT383" s="8" t="n">
        <f aca="false">IF(MAX($BC$2:$BC$921)=MIN($BC$2:$BC$921),50,ROUND((BC383-MIN($BC$2:$BC$921))/(MAX($BC$2:$BC$921)-MIN($BC$2:$BC$921))*100,2))</f>
        <v>50</v>
      </c>
      <c r="AU383" s="8" t="n">
        <f aca="false">IF(MAX($BE$2:$BE$921)=MIN($BE$2:$BE$921),50,ROUND((BE383-MIN($BE$2:$BE$921))/(MAX($BE$2:$BE$921)-MIN($BE$2:$BE$921))*100,2))</f>
        <v>100</v>
      </c>
      <c r="AV383" s="8" t="n">
        <f aca="false">IF(MAX($AD$2:$AD$921)=MIN($AD$2:$AD$921),50,ROUND((AD383-MIN($AD$2:$AD$921))/(MAX($AD$2:$AD$921)-MIN($AD$2:$AD$921))*100,2))</f>
        <v>12.75</v>
      </c>
      <c r="AW383" s="8" t="n">
        <f aca="false">IF(MAX($AN$2:$AN$921)=MIN($AN$2:$AN$921),50,ROUND((AN383-MIN($AN$2:$AN$921))/(MAX($AN$2:$AN$921)-MIN($AN$2:$AN$921))*100,2))</f>
        <v>75</v>
      </c>
      <c r="AX383" s="8" t="n">
        <f aca="false">AQ383*100</f>
        <v>0</v>
      </c>
      <c r="AY383" s="8" t="n">
        <f aca="false">AR383*100</f>
        <v>0</v>
      </c>
      <c r="AZ383" s="8" t="n">
        <f aca="false">IFERROR(ROUND(AS383*Assumptions!$I$6+AW383*Assumptions!$I$7+AT383*Assumptions!$I$8+AU383*Assumptions!$I$9+AV383*Assumptions!$I$10+AX383*Assumptions!$I$11+AY383*Assumptions!$I$12,2),"")</f>
        <v>55.92</v>
      </c>
      <c r="BA383" s="0" t="str">
        <f aca="false">IF(AZ383="","",IF(AZ383&lt;=Assumptions!$I$18,"Below Expectation",IF(AZ383&lt;=Assumptions!$I$19,"Developing",IF(AZ383&lt;=Assumptions!$I$20,"Meets Expectation",IF(AZ383&lt;=Assumptions!$I$21,"Exceeds","Star Performer")))))</f>
        <v>Meets Expectation</v>
      </c>
      <c r="BB383" s="0" t="n">
        <f aca="false">IF(AZ383="",0,IF(AZ383&gt;=Assumptions!$I$26,1,0))</f>
        <v>0</v>
      </c>
      <c r="BC383" s="9" t="n">
        <f aca="false">IF(AL383="",2,AL383+2)</f>
        <v>2</v>
      </c>
      <c r="BD383" s="10" t="n">
        <f aca="false">IF(AM383="",ROUND(AVERAGE($AM$2:$AM$921),3),AM383)</f>
        <v>0</v>
      </c>
      <c r="BE383" s="9" t="n">
        <f aca="false">1-BD383</f>
        <v>1</v>
      </c>
    </row>
    <row r="384" customFormat="false" ht="14.25" hidden="false" customHeight="false" outlineLevel="0" collapsed="false">
      <c r="A384" s="4" t="n">
        <v>323</v>
      </c>
      <c r="B384" s="5" t="n">
        <v>10084251</v>
      </c>
      <c r="C384" s="5" t="s">
        <v>106</v>
      </c>
      <c r="D384" s="5" t="s">
        <v>1681</v>
      </c>
      <c r="E384" s="5" t="s">
        <v>1494</v>
      </c>
      <c r="F384" s="5" t="s">
        <v>925</v>
      </c>
      <c r="G384" s="5" t="s">
        <v>1260</v>
      </c>
      <c r="H384" s="5" t="s">
        <v>1261</v>
      </c>
      <c r="I384" s="5" t="s">
        <v>63</v>
      </c>
      <c r="J384" s="5" t="s">
        <v>112</v>
      </c>
      <c r="K384" s="5" t="s">
        <v>65</v>
      </c>
      <c r="L384" s="6" t="n">
        <v>44547</v>
      </c>
      <c r="M384" s="5" t="s">
        <v>744</v>
      </c>
      <c r="N384" s="6" t="n">
        <v>29887</v>
      </c>
      <c r="O384" s="5" t="s">
        <v>1264</v>
      </c>
      <c r="P384" s="5" t="s">
        <v>1264</v>
      </c>
      <c r="Q384" s="5" t="s">
        <v>81</v>
      </c>
      <c r="R384" s="5" t="s">
        <v>727</v>
      </c>
      <c r="S384" s="5" t="s">
        <v>163</v>
      </c>
      <c r="T384" s="6"/>
      <c r="U384" s="6"/>
      <c r="V384" s="5" t="s">
        <v>141</v>
      </c>
      <c r="W384" s="5" t="s">
        <v>141</v>
      </c>
      <c r="X384" s="5" t="s">
        <v>141</v>
      </c>
      <c r="Y384" s="5" t="s">
        <v>141</v>
      </c>
      <c r="Z384" s="5" t="s">
        <v>141</v>
      </c>
      <c r="AA384" s="5" t="s">
        <v>1682</v>
      </c>
      <c r="AB384" s="0" t="n">
        <f aca="false">IFERROR(VALUE(R384),0)</f>
        <v>17.2</v>
      </c>
      <c r="AC384" s="0" t="n">
        <f aca="false">IFERROR(VALUE(M384),"")</f>
        <v>44.7</v>
      </c>
      <c r="AD384" s="0" t="n">
        <f aca="false">IFERROR(VALUE(Q384),"")</f>
        <v>4.5</v>
      </c>
      <c r="AE384" s="0" t="n">
        <f aca="false">IFERROR(VALUE(S384),"")</f>
        <v>21.7</v>
      </c>
      <c r="AF384" s="0" t="n">
        <f aca="false">IF(V384="","",VLOOKUP(V384,Assumptions!$B$6:$C$9,2,FALSE()))</f>
        <v>3</v>
      </c>
      <c r="AG384" s="0" t="n">
        <f aca="false">IF(W384="","",VLOOKUP(W384,Assumptions!$B$6:$C$9,2,FALSE()))</f>
        <v>3</v>
      </c>
      <c r="AH384" s="0" t="n">
        <f aca="false">IF(X384="","",VLOOKUP(X384,Assumptions!$B$6:$C$9,2,FALSE()))</f>
        <v>3</v>
      </c>
      <c r="AI384" s="0" t="n">
        <f aca="false">IF(Y384="","",VLOOKUP(Y384,Assumptions!$B$6:$C$9,2,FALSE()))</f>
        <v>3</v>
      </c>
      <c r="AJ384" s="0" t="n">
        <f aca="false">IF(Z384="","",VLOOKUP(Z384,Assumptions!$B$6:$C$9,2,FALSE()))</f>
        <v>3</v>
      </c>
      <c r="AK384" s="7" t="n">
        <f aca="false">IFERROR(ROUND(AVERAGE(AF384:AJ384),3),"")</f>
        <v>3</v>
      </c>
      <c r="AL384" s="7" t="n">
        <f aca="false">IF(OR(AF384="",AJ384=""),"",AJ384-AF384)</f>
        <v>0</v>
      </c>
      <c r="AM384" s="7" t="n">
        <f aca="false">IF(COUNT(AF384:AJ384)&gt;=2,ROUND(_xlfn.STDEV.S(AF384:AJ384),3),"")</f>
        <v>0</v>
      </c>
      <c r="AN384" s="7" t="n">
        <f aca="false">ROUND((IF(AF384="",0,AF384)*Assumptions!$F$15)+(IF(AG384="",0,AG384)*Assumptions!$F$16)+(IF(AH384="",0,AH384)*Assumptions!$F$17)+(IF(AI384="",0,AI384)*Assumptions!$F$18)+(IF(AJ384="",0,AJ384)*Assumptions!$F$19),3)</f>
        <v>3</v>
      </c>
      <c r="AO384" s="0" t="str">
        <f aca="false">IF(AC384&lt;=20,"",IF(AC384&lt;=Assumptions!$F$6,"20-30",IF(AC384&lt;=Assumptions!$F$7,"30-40",IF(AC384&lt;=Assumptions!$F$8,"40-50",IF(AC384&lt;=Assumptions!$F$9,"50-60",IF(AC384&lt;=Assumptions!$F$10,"60+",""))))))</f>
        <v>40-50</v>
      </c>
      <c r="AP384" s="0" t="str">
        <f aca="false">IFERROR(VLOOKUP(O384,Assumptions!$B$14:$C$26,2,FALSE()),"Other")</f>
        <v>Manager</v>
      </c>
      <c r="AQ384" s="0" t="n">
        <f aca="false">IF(T384="",0,1)</f>
        <v>0</v>
      </c>
      <c r="AR384" s="0" t="n">
        <f aca="false">IF(U384="",0,1)</f>
        <v>0</v>
      </c>
      <c r="AS384" s="8" t="n">
        <f aca="false">IF(AK384="","",IF(MAX($AK$2:$AK$921)=MIN($AK$2:$AK$921),50,ROUND((AK384-MIN($AK$2:$AK$921))/(MAX($AK$2:$AK$921)-MIN($AK$2:$AK$921))*100,2)))</f>
        <v>57.14</v>
      </c>
      <c r="AT384" s="8" t="n">
        <f aca="false">IF(MAX($BC$2:$BC$921)=MIN($BC$2:$BC$921),50,ROUND((BC384-MIN($BC$2:$BC$921))/(MAX($BC$2:$BC$921)-MIN($BC$2:$BC$921))*100,2))</f>
        <v>50</v>
      </c>
      <c r="AU384" s="8" t="n">
        <f aca="false">IF(MAX($BE$2:$BE$921)=MIN($BE$2:$BE$921),50,ROUND((BE384-MIN($BE$2:$BE$921))/(MAX($BE$2:$BE$921)-MIN($BE$2:$BE$921))*100,2))</f>
        <v>100</v>
      </c>
      <c r="AV384" s="8" t="n">
        <f aca="false">IF(MAX($AD$2:$AD$921)=MIN($AD$2:$AD$921),50,ROUND((AD384-MIN($AD$2:$AD$921))/(MAX($AD$2:$AD$921)-MIN($AD$2:$AD$921))*100,2))</f>
        <v>11.93</v>
      </c>
      <c r="AW384" s="8" t="n">
        <f aca="false">IF(MAX($AN$2:$AN$921)=MIN($AN$2:$AN$921),50,ROUND((AN384-MIN($AN$2:$AN$921))/(MAX($AN$2:$AN$921)-MIN($AN$2:$AN$921))*100,2))</f>
        <v>75</v>
      </c>
      <c r="AX384" s="8" t="n">
        <f aca="false">AQ384*100</f>
        <v>0</v>
      </c>
      <c r="AY384" s="8" t="n">
        <f aca="false">AR384*100</f>
        <v>0</v>
      </c>
      <c r="AZ384" s="8" t="n">
        <f aca="false">IFERROR(ROUND(AS384*Assumptions!$I$6+AW384*Assumptions!$I$7+AT384*Assumptions!$I$8+AU384*Assumptions!$I$9+AV384*Assumptions!$I$10+AX384*Assumptions!$I$11+AY384*Assumptions!$I$12,2),"")</f>
        <v>55.84</v>
      </c>
      <c r="BA384" s="0" t="str">
        <f aca="false">IF(AZ384="","",IF(AZ384&lt;=Assumptions!$I$18,"Below Expectation",IF(AZ384&lt;=Assumptions!$I$19,"Developing",IF(AZ384&lt;=Assumptions!$I$20,"Meets Expectation",IF(AZ384&lt;=Assumptions!$I$21,"Exceeds","Star Performer")))))</f>
        <v>Meets Expectation</v>
      </c>
      <c r="BB384" s="0" t="n">
        <f aca="false">IF(AZ384="",0,IF(AZ384&gt;=Assumptions!$I$26,1,0))</f>
        <v>0</v>
      </c>
      <c r="BC384" s="9" t="n">
        <f aca="false">IF(AL384="",2,AL384+2)</f>
        <v>2</v>
      </c>
      <c r="BD384" s="10" t="n">
        <f aca="false">IF(AM384="",ROUND(AVERAGE($AM$2:$AM$921),3),AM384)</f>
        <v>0</v>
      </c>
      <c r="BE384" s="9" t="n">
        <f aca="false">1-BD384</f>
        <v>1</v>
      </c>
    </row>
    <row r="385" customFormat="false" ht="14.25" hidden="true" customHeight="false" outlineLevel="0" collapsed="false">
      <c r="A385" s="4" t="n">
        <v>464</v>
      </c>
      <c r="B385" s="5" t="n">
        <v>55037722</v>
      </c>
      <c r="C385" s="5" t="s">
        <v>858</v>
      </c>
      <c r="D385" s="5" t="s">
        <v>1683</v>
      </c>
      <c r="E385" s="5" t="s">
        <v>1080</v>
      </c>
      <c r="F385" s="5" t="s">
        <v>1684</v>
      </c>
      <c r="G385" s="5" t="s">
        <v>1685</v>
      </c>
      <c r="H385" s="5" t="s">
        <v>1684</v>
      </c>
      <c r="I385" s="5" t="s">
        <v>63</v>
      </c>
      <c r="J385" s="5" t="s">
        <v>100</v>
      </c>
      <c r="K385" s="5" t="s">
        <v>65</v>
      </c>
      <c r="L385" s="6" t="n">
        <v>44095</v>
      </c>
      <c r="M385" s="5" t="s">
        <v>1634</v>
      </c>
      <c r="N385" s="6" t="n">
        <v>28022</v>
      </c>
      <c r="O385" s="5" t="s">
        <v>89</v>
      </c>
      <c r="P385" s="5" t="s">
        <v>90</v>
      </c>
      <c r="Q385" s="5" t="s">
        <v>302</v>
      </c>
      <c r="R385" s="5" t="s">
        <v>286</v>
      </c>
      <c r="S385" s="5" t="s">
        <v>1163</v>
      </c>
      <c r="T385" s="6"/>
      <c r="U385" s="6" t="n">
        <v>44652</v>
      </c>
      <c r="V385" s="5" t="s">
        <v>83</v>
      </c>
      <c r="W385" s="5" t="s">
        <v>83</v>
      </c>
      <c r="X385" s="5" t="s">
        <v>83</v>
      </c>
      <c r="Y385" s="5" t="s">
        <v>631</v>
      </c>
      <c r="Z385" s="5" t="s">
        <v>141</v>
      </c>
      <c r="AA385" s="5" t="s">
        <v>1686</v>
      </c>
      <c r="AB385" s="0" t="n">
        <f aca="false">IFERROR(VALUE(R385),0)</f>
        <v>15.9</v>
      </c>
      <c r="AC385" s="0" t="n">
        <f aca="false">IFERROR(VALUE(M385),"")</f>
        <v>49.8</v>
      </c>
      <c r="AD385" s="0" t="n">
        <f aca="false">IFERROR(VALUE(Q385),"")</f>
        <v>5.8</v>
      </c>
      <c r="AE385" s="0" t="n">
        <f aca="false">IFERROR(VALUE(S385),"")</f>
        <v>21.5</v>
      </c>
      <c r="AF385" s="0" t="n">
        <f aca="false">IF(V385="","",VLOOKUP(V385,Assumptions!$B$6:$C$9,2,FALSE()))</f>
        <v>4</v>
      </c>
      <c r="AG385" s="0" t="n">
        <f aca="false">IF(W385="","",VLOOKUP(W385,Assumptions!$B$6:$C$9,2,FALSE()))</f>
        <v>4</v>
      </c>
      <c r="AH385" s="0" t="n">
        <f aca="false">IF(X385="","",VLOOKUP(X385,Assumptions!$B$6:$C$9,2,FALSE()))</f>
        <v>4</v>
      </c>
      <c r="AI385" s="0" t="n">
        <f aca="false">IF(Y385="","",VLOOKUP(Y385,Assumptions!$B$6:$C$9,2,FALSE()))</f>
        <v>2</v>
      </c>
      <c r="AJ385" s="0" t="n">
        <f aca="false">IF(Z385="","",VLOOKUP(Z385,Assumptions!$B$6:$C$9,2,FALSE()))</f>
        <v>3</v>
      </c>
      <c r="AK385" s="7" t="n">
        <f aca="false">IFERROR(ROUND(AVERAGE(AF385:AJ385),3),"")</f>
        <v>3.4</v>
      </c>
      <c r="AL385" s="7" t="n">
        <f aca="false">IF(OR(AF385="",AJ385=""),"",AJ385-AF385)</f>
        <v>-1</v>
      </c>
      <c r="AM385" s="7" t="n">
        <f aca="false">IF(COUNT(AF385:AJ385)&gt;=2,ROUND(_xlfn.STDEV.S(AF385:AJ385),3),"")</f>
        <v>0.894</v>
      </c>
      <c r="AN385" s="7" t="n">
        <f aca="false">ROUND((IF(AF385="",0,AF385)*Assumptions!$F$15)+(IF(AG385="",0,AG385)*Assumptions!$F$16)+(IF(AH385="",0,AH385)*Assumptions!$F$17)+(IF(AI385="",0,AI385)*Assumptions!$F$18)+(IF(AJ385="",0,AJ385)*Assumptions!$F$19),3)</f>
        <v>3.2</v>
      </c>
      <c r="AO385" s="0" t="str">
        <f aca="false">IF(AC385&lt;=20,"",IF(AC385&lt;=Assumptions!$F$6,"20-30",IF(AC385&lt;=Assumptions!$F$7,"30-40",IF(AC385&lt;=Assumptions!$F$8,"40-50",IF(AC385&lt;=Assumptions!$F$9,"50-60",IF(AC385&lt;=Assumptions!$F$10,"60+",""))))))</f>
        <v>40-50</v>
      </c>
      <c r="AP385" s="0" t="str">
        <f aca="false">IFERROR(VLOOKUP(O385,Assumptions!$B$14:$C$26,2,FALSE()),"Other")</f>
        <v>Leadership</v>
      </c>
      <c r="AQ385" s="0" t="n">
        <f aca="false">IF(T385="",0,1)</f>
        <v>0</v>
      </c>
      <c r="AR385" s="0" t="n">
        <f aca="false">IF(U385="",0,1)</f>
        <v>1</v>
      </c>
      <c r="AS385" s="8" t="n">
        <f aca="false">IF(AK385="","",IF(MAX($AK$2:$AK$921)=MIN($AK$2:$AK$921),50,ROUND((AK385-MIN($AK$2:$AK$921))/(MAX($AK$2:$AK$921)-MIN($AK$2:$AK$921))*100,2)))</f>
        <v>74.28</v>
      </c>
      <c r="AT385" s="8" t="n">
        <f aca="false">IF(MAX($BC$2:$BC$921)=MIN($BC$2:$BC$921),50,ROUND((BC385-MIN($BC$2:$BC$921))/(MAX($BC$2:$BC$921)-MIN($BC$2:$BC$921))*100,2))</f>
        <v>25</v>
      </c>
      <c r="AU385" s="8" t="n">
        <f aca="false">IF(MAX($BE$2:$BE$921)=MIN($BE$2:$BE$921),50,ROUND((BE385-MIN($BE$2:$BE$921))/(MAX($BE$2:$BE$921)-MIN($BE$2:$BE$921))*100,2))</f>
        <v>48.38</v>
      </c>
      <c r="AV385" s="8" t="n">
        <f aca="false">IF(MAX($AD$2:$AD$921)=MIN($AD$2:$AD$921),50,ROUND((AD385-MIN($AD$2:$AD$921))/(MAX($AD$2:$AD$921)-MIN($AD$2:$AD$921))*100,2))</f>
        <v>15.47</v>
      </c>
      <c r="AW385" s="8" t="n">
        <f aca="false">IF(MAX($AN$2:$AN$921)=MIN($AN$2:$AN$921),50,ROUND((AN385-MIN($AN$2:$AN$921))/(MAX($AN$2:$AN$921)-MIN($AN$2:$AN$921))*100,2))</f>
        <v>80</v>
      </c>
      <c r="AX385" s="8" t="n">
        <f aca="false">AQ385*100</f>
        <v>0</v>
      </c>
      <c r="AY385" s="8" t="n">
        <f aca="false">AR385*100</f>
        <v>100</v>
      </c>
      <c r="AZ385" s="8" t="n">
        <f aca="false">IFERROR(ROUND(AS385*Assumptions!$I$6+AW385*Assumptions!$I$7+AT385*Assumptions!$I$8+AU385*Assumptions!$I$9+AV385*Assumptions!$I$10+AX385*Assumptions!$I$11+AY385*Assumptions!$I$12,2),"")</f>
        <v>55.84</v>
      </c>
      <c r="BA385" s="0" t="str">
        <f aca="false">IF(AZ385="","",IF(AZ385&lt;=Assumptions!$I$18,"Below Expectation",IF(AZ385&lt;=Assumptions!$I$19,"Developing",IF(AZ385&lt;=Assumptions!$I$20,"Meets Expectation",IF(AZ385&lt;=Assumptions!$I$21,"Exceeds","Star Performer")))))</f>
        <v>Meets Expectation</v>
      </c>
      <c r="BB385" s="0" t="n">
        <f aca="false">IF(AZ385="",0,IF(AZ385&gt;=Assumptions!$I$26,1,0))</f>
        <v>0</v>
      </c>
      <c r="BC385" s="9" t="n">
        <f aca="false">IF(AL385="",2,AL385+2)</f>
        <v>1</v>
      </c>
      <c r="BD385" s="10" t="n">
        <f aca="false">IF(AM385="",ROUND(AVERAGE($AM$2:$AM$921),3),AM385)</f>
        <v>0.894</v>
      </c>
      <c r="BE385" s="9" t="n">
        <f aca="false">1-BD385</f>
        <v>0.106</v>
      </c>
    </row>
    <row r="386" customFormat="false" ht="14.25" hidden="true" customHeight="false" outlineLevel="0" collapsed="false">
      <c r="A386" s="4" t="n">
        <v>112</v>
      </c>
      <c r="B386" s="5" t="n">
        <v>10034992</v>
      </c>
      <c r="C386" s="5" t="s">
        <v>85</v>
      </c>
      <c r="D386" s="5" t="s">
        <v>1687</v>
      </c>
      <c r="E386" s="5" t="s">
        <v>865</v>
      </c>
      <c r="F386" s="5" t="s">
        <v>370</v>
      </c>
      <c r="G386" s="5" t="s">
        <v>371</v>
      </c>
      <c r="H386" s="5" t="s">
        <v>370</v>
      </c>
      <c r="I386" s="5" t="s">
        <v>63</v>
      </c>
      <c r="J386" s="5" t="s">
        <v>76</v>
      </c>
      <c r="K386" s="5" t="s">
        <v>309</v>
      </c>
      <c r="L386" s="6" t="n">
        <v>41195</v>
      </c>
      <c r="M386" s="5" t="s">
        <v>1241</v>
      </c>
      <c r="N386" s="6" t="n">
        <v>28787</v>
      </c>
      <c r="O386" s="5" t="s">
        <v>262</v>
      </c>
      <c r="P386" s="5" t="s">
        <v>263</v>
      </c>
      <c r="Q386" s="5" t="s">
        <v>734</v>
      </c>
      <c r="R386" s="5" t="s">
        <v>660</v>
      </c>
      <c r="S386" s="5" t="s">
        <v>621</v>
      </c>
      <c r="T386" s="6" t="n">
        <v>43647</v>
      </c>
      <c r="U386" s="6"/>
      <c r="V386" s="5" t="s">
        <v>141</v>
      </c>
      <c r="W386" s="5" t="s">
        <v>141</v>
      </c>
      <c r="X386" s="5" t="s">
        <v>141</v>
      </c>
      <c r="Y386" s="5" t="s">
        <v>631</v>
      </c>
      <c r="Z386" s="5" t="s">
        <v>141</v>
      </c>
      <c r="AA386" s="5" t="s">
        <v>1688</v>
      </c>
      <c r="AB386" s="0" t="n">
        <f aca="false">IFERROR(VALUE(R386),0)</f>
        <v>10.6</v>
      </c>
      <c r="AC386" s="0" t="n">
        <f aca="false">IFERROR(VALUE(M386),"")</f>
        <v>47.7</v>
      </c>
      <c r="AD386" s="0" t="n">
        <f aca="false">IFERROR(VALUE(Q386),"")</f>
        <v>13.7</v>
      </c>
      <c r="AE386" s="0" t="n">
        <f aca="false">IFERROR(VALUE(S386),"")</f>
        <v>24.1</v>
      </c>
      <c r="AF386" s="0" t="n">
        <f aca="false">IF(V386="","",VLOOKUP(V386,Assumptions!$B$6:$C$9,2,FALSE()))</f>
        <v>3</v>
      </c>
      <c r="AG386" s="0" t="n">
        <f aca="false">IF(W386="","",VLOOKUP(W386,Assumptions!$B$6:$C$9,2,FALSE()))</f>
        <v>3</v>
      </c>
      <c r="AH386" s="0" t="n">
        <f aca="false">IF(X386="","",VLOOKUP(X386,Assumptions!$B$6:$C$9,2,FALSE()))</f>
        <v>3</v>
      </c>
      <c r="AI386" s="0" t="n">
        <f aca="false">IF(Y386="","",VLOOKUP(Y386,Assumptions!$B$6:$C$9,2,FALSE()))</f>
        <v>2</v>
      </c>
      <c r="AJ386" s="0" t="n">
        <f aca="false">IF(Z386="","",VLOOKUP(Z386,Assumptions!$B$6:$C$9,2,FALSE()))</f>
        <v>3</v>
      </c>
      <c r="AK386" s="7" t="n">
        <f aca="false">IFERROR(ROUND(AVERAGE(AF386:AJ386),3),"")</f>
        <v>2.8</v>
      </c>
      <c r="AL386" s="7" t="n">
        <f aca="false">IF(OR(AF386="",AJ386=""),"",AJ386-AF386)</f>
        <v>0</v>
      </c>
      <c r="AM386" s="7" t="n">
        <f aca="false">IF(COUNT(AF386:AJ386)&gt;=2,ROUND(_xlfn.STDEV.S(AF386:AJ386),3),"")</f>
        <v>0.447</v>
      </c>
      <c r="AN386" s="7" t="n">
        <f aca="false">ROUND((IF(AF386="",0,AF386)*Assumptions!$F$15)+(IF(AG386="",0,AG386)*Assumptions!$F$16)+(IF(AH386="",0,AH386)*Assumptions!$F$17)+(IF(AI386="",0,AI386)*Assumptions!$F$18)+(IF(AJ386="",0,AJ386)*Assumptions!$F$19),3)</f>
        <v>2.75</v>
      </c>
      <c r="AO386" s="0" t="str">
        <f aca="false">IF(AC386&lt;=20,"",IF(AC386&lt;=Assumptions!$F$6,"20-30",IF(AC386&lt;=Assumptions!$F$7,"30-40",IF(AC386&lt;=Assumptions!$F$8,"40-50",IF(AC386&lt;=Assumptions!$F$9,"50-60",IF(AC386&lt;=Assumptions!$F$10,"60+",""))))))</f>
        <v>40-50</v>
      </c>
      <c r="AP386" s="0" t="str">
        <f aca="false">IFERROR(VLOOKUP(O386,Assumptions!$B$14:$C$26,2,FALSE()),"Other")</f>
        <v>Manager</v>
      </c>
      <c r="AQ386" s="0" t="n">
        <f aca="false">IF(T386="",0,1)</f>
        <v>1</v>
      </c>
      <c r="AR386" s="0" t="n">
        <f aca="false">IF(U386="",0,1)</f>
        <v>0</v>
      </c>
      <c r="AS386" s="8" t="n">
        <f aca="false">IF(AK386="","",IF(MAX($AK$2:$AK$921)=MIN($AK$2:$AK$921),50,ROUND((AK386-MIN($AK$2:$AK$921))/(MAX($AK$2:$AK$921)-MIN($AK$2:$AK$921))*100,2)))</f>
        <v>48.56</v>
      </c>
      <c r="AT386" s="8" t="n">
        <f aca="false">IF(MAX($BC$2:$BC$921)=MIN($BC$2:$BC$921),50,ROUND((BC386-MIN($BC$2:$BC$921))/(MAX($BC$2:$BC$921)-MIN($BC$2:$BC$921))*100,2))</f>
        <v>50</v>
      </c>
      <c r="AU386" s="8" t="n">
        <f aca="false">IF(MAX($BE$2:$BE$921)=MIN($BE$2:$BE$921),50,ROUND((BE386-MIN($BE$2:$BE$921))/(MAX($BE$2:$BE$921)-MIN($BE$2:$BE$921))*100,2))</f>
        <v>74.19</v>
      </c>
      <c r="AV386" s="8" t="n">
        <f aca="false">IF(MAX($AD$2:$AD$921)=MIN($AD$2:$AD$921),50,ROUND((AD386-MIN($AD$2:$AD$921))/(MAX($AD$2:$AD$921)-MIN($AD$2:$AD$921))*100,2))</f>
        <v>36.94</v>
      </c>
      <c r="AW386" s="8" t="n">
        <f aca="false">IF(MAX($AN$2:$AN$921)=MIN($AN$2:$AN$921),50,ROUND((AN386-MIN($AN$2:$AN$921))/(MAX($AN$2:$AN$921)-MIN($AN$2:$AN$921))*100,2))</f>
        <v>68.75</v>
      </c>
      <c r="AX386" s="8" t="n">
        <f aca="false">AQ386*100</f>
        <v>100</v>
      </c>
      <c r="AY386" s="8" t="n">
        <f aca="false">AR386*100</f>
        <v>0</v>
      </c>
      <c r="AZ386" s="8" t="n">
        <f aca="false">IFERROR(ROUND(AS386*Assumptions!$I$6+AW386*Assumptions!$I$7+AT386*Assumptions!$I$8+AU386*Assumptions!$I$9+AV386*Assumptions!$I$10+AX386*Assumptions!$I$11+AY386*Assumptions!$I$12,2),"")</f>
        <v>55.64</v>
      </c>
      <c r="BA386" s="0" t="str">
        <f aca="false">IF(AZ386="","",IF(AZ386&lt;=Assumptions!$I$18,"Below Expectation",IF(AZ386&lt;=Assumptions!$I$19,"Developing",IF(AZ386&lt;=Assumptions!$I$20,"Meets Expectation",IF(AZ386&lt;=Assumptions!$I$21,"Exceeds","Star Performer")))))</f>
        <v>Meets Expectation</v>
      </c>
      <c r="BB386" s="0" t="n">
        <f aca="false">IF(AZ386="",0,IF(AZ386&gt;=Assumptions!$I$26,1,0))</f>
        <v>0</v>
      </c>
      <c r="BC386" s="9" t="n">
        <f aca="false">IF(AL386="",2,AL386+2)</f>
        <v>2</v>
      </c>
      <c r="BD386" s="10" t="n">
        <f aca="false">IF(AM386="",ROUND(AVERAGE($AM$2:$AM$921),3),AM386)</f>
        <v>0.447</v>
      </c>
      <c r="BE386" s="9" t="n">
        <f aca="false">1-BD386</f>
        <v>0.553</v>
      </c>
    </row>
    <row r="387" customFormat="false" ht="14.25" hidden="true" customHeight="false" outlineLevel="0" collapsed="false">
      <c r="A387" s="4" t="n">
        <v>600</v>
      </c>
      <c r="B387" s="5" t="n">
        <v>55052417</v>
      </c>
      <c r="C387" s="5"/>
      <c r="D387" s="5" t="s">
        <v>1689</v>
      </c>
      <c r="E387" s="5" t="s">
        <v>257</v>
      </c>
      <c r="F387" s="5" t="s">
        <v>581</v>
      </c>
      <c r="G387" s="5" t="s">
        <v>582</v>
      </c>
      <c r="H387" s="5" t="s">
        <v>583</v>
      </c>
      <c r="I387" s="5" t="s">
        <v>63</v>
      </c>
      <c r="J387" s="5" t="s">
        <v>76</v>
      </c>
      <c r="K387" s="5" t="s">
        <v>65</v>
      </c>
      <c r="L387" s="6" t="n">
        <v>44732</v>
      </c>
      <c r="M387" s="5" t="s">
        <v>1690</v>
      </c>
      <c r="N387" s="6" t="n">
        <v>36554</v>
      </c>
      <c r="O387" s="5" t="s">
        <v>585</v>
      </c>
      <c r="P387" s="5" t="s">
        <v>586</v>
      </c>
      <c r="Q387" s="5" t="s">
        <v>345</v>
      </c>
      <c r="R387" s="5" t="s">
        <v>115</v>
      </c>
      <c r="S387" s="5" t="s">
        <v>345</v>
      </c>
      <c r="T387" s="6"/>
      <c r="U387" s="6" t="n">
        <v>45108</v>
      </c>
      <c r="V387" s="5"/>
      <c r="W387" s="5" t="s">
        <v>631</v>
      </c>
      <c r="X387" s="5" t="s">
        <v>83</v>
      </c>
      <c r="Y387" s="5" t="s">
        <v>141</v>
      </c>
      <c r="Z387" s="5" t="s">
        <v>83</v>
      </c>
      <c r="AA387" s="5" t="s">
        <v>1691</v>
      </c>
      <c r="AB387" s="0" t="n">
        <f aca="false">IFERROR(VALUE(R387),0)</f>
        <v>0</v>
      </c>
      <c r="AC387" s="0" t="n">
        <f aca="false">IFERROR(VALUE(M387),"")</f>
        <v>26.4</v>
      </c>
      <c r="AD387" s="0" t="n">
        <f aca="false">IFERROR(VALUE(Q387),"")</f>
        <v>3.11</v>
      </c>
      <c r="AE387" s="0" t="n">
        <f aca="false">IFERROR(VALUE(S387),"")</f>
        <v>3.11</v>
      </c>
      <c r="AF387" s="0" t="str">
        <f aca="false">IF(V387="","",VLOOKUP(V387,Assumptions!$B$6:$C$9,2,FALSE()))</f>
        <v/>
      </c>
      <c r="AG387" s="0" t="n">
        <f aca="false">IF(W387="","",VLOOKUP(W387,Assumptions!$B$6:$C$9,2,FALSE()))</f>
        <v>2</v>
      </c>
      <c r="AH387" s="0" t="n">
        <f aca="false">IF(X387="","",VLOOKUP(X387,Assumptions!$B$6:$C$9,2,FALSE()))</f>
        <v>4</v>
      </c>
      <c r="AI387" s="0" t="n">
        <f aca="false">IF(Y387="","",VLOOKUP(Y387,Assumptions!$B$6:$C$9,2,FALSE()))</f>
        <v>3</v>
      </c>
      <c r="AJ387" s="0" t="n">
        <f aca="false">IF(Z387="","",VLOOKUP(Z387,Assumptions!$B$6:$C$9,2,FALSE()))</f>
        <v>4</v>
      </c>
      <c r="AK387" s="7" t="n">
        <f aca="false">IFERROR(ROUND(AVERAGE(AF387:AJ387),3),"")</f>
        <v>3.25</v>
      </c>
      <c r="AL387" s="7" t="str">
        <f aca="false">IF(OR(AF387="",AJ387=""),"",AJ387-AF387)</f>
        <v/>
      </c>
      <c r="AM387" s="7" t="n">
        <f aca="false">IF(COUNT(AF387:AJ387)&gt;=2,ROUND(_xlfn.STDEV.S(AF387:AJ387),3),"")</f>
        <v>0.957</v>
      </c>
      <c r="AN387" s="7" t="n">
        <f aca="false">ROUND((IF(AF387="",0,AF387)*Assumptions!$F$15)+(IF(AG387="",0,AG387)*Assumptions!$F$16)+(IF(AH387="",0,AH387)*Assumptions!$F$17)+(IF(AI387="",0,AI387)*Assumptions!$F$18)+(IF(AJ387="",0,AJ387)*Assumptions!$F$19),3)</f>
        <v>3.05</v>
      </c>
      <c r="AO387" s="0" t="str">
        <f aca="false">IF(AC387&lt;=20,"",IF(AC387&lt;=Assumptions!$F$6,"20-30",IF(AC387&lt;=Assumptions!$F$7,"30-40",IF(AC387&lt;=Assumptions!$F$8,"40-50",IF(AC387&lt;=Assumptions!$F$9,"50-60",IF(AC387&lt;=Assumptions!$F$10,"60+",""))))))</f>
        <v>20-30</v>
      </c>
      <c r="AP387" s="0" t="str">
        <f aca="false">IFERROR(VLOOKUP(O387,Assumptions!$B$14:$C$26,2,FALSE()),"Other")</f>
        <v>Manager</v>
      </c>
      <c r="AQ387" s="0" t="n">
        <f aca="false">IF(T387="",0,1)</f>
        <v>0</v>
      </c>
      <c r="AR387" s="0" t="n">
        <f aca="false">IF(U387="",0,1)</f>
        <v>1</v>
      </c>
      <c r="AS387" s="8" t="n">
        <f aca="false">IF(AK387="","",IF(MAX($AK$2:$AK$921)=MIN($AK$2:$AK$921),50,ROUND((AK387-MIN($AK$2:$AK$921))/(MAX($AK$2:$AK$921)-MIN($AK$2:$AK$921))*100,2)))</f>
        <v>67.85</v>
      </c>
      <c r="AT387" s="8" t="n">
        <f aca="false">IF(MAX($BC$2:$BC$921)=MIN($BC$2:$BC$921),50,ROUND((BC387-MIN($BC$2:$BC$921))/(MAX($BC$2:$BC$921)-MIN($BC$2:$BC$921))*100,2))</f>
        <v>50</v>
      </c>
      <c r="AU387" s="8" t="n">
        <f aca="false">IF(MAX($BE$2:$BE$921)=MIN($BE$2:$BE$921),50,ROUND((BE387-MIN($BE$2:$BE$921))/(MAX($BE$2:$BE$921)-MIN($BE$2:$BE$921))*100,2))</f>
        <v>44.75</v>
      </c>
      <c r="AV387" s="8" t="n">
        <f aca="false">IF(MAX($AD$2:$AD$921)=MIN($AD$2:$AD$921),50,ROUND((AD387-MIN($AD$2:$AD$921))/(MAX($AD$2:$AD$921)-MIN($AD$2:$AD$921))*100,2))</f>
        <v>8.15</v>
      </c>
      <c r="AW387" s="8" t="n">
        <f aca="false">IF(MAX($AN$2:$AN$921)=MIN($AN$2:$AN$921),50,ROUND((AN387-MIN($AN$2:$AN$921))/(MAX($AN$2:$AN$921)-MIN($AN$2:$AN$921))*100,2))</f>
        <v>76.25</v>
      </c>
      <c r="AX387" s="8" t="n">
        <f aca="false">AQ387*100</f>
        <v>0</v>
      </c>
      <c r="AY387" s="8" t="n">
        <f aca="false">AR387*100</f>
        <v>100</v>
      </c>
      <c r="AZ387" s="8" t="n">
        <f aca="false">IFERROR(ROUND(AS387*Assumptions!$I$6+AW387*Assumptions!$I$7+AT387*Assumptions!$I$8+AU387*Assumptions!$I$9+AV387*Assumptions!$I$10+AX387*Assumptions!$I$11+AY387*Assumptions!$I$12,2),"")</f>
        <v>55.63</v>
      </c>
      <c r="BA387" s="0" t="str">
        <f aca="false">IF(AZ387="","",IF(AZ387&lt;=Assumptions!$I$18,"Below Expectation",IF(AZ387&lt;=Assumptions!$I$19,"Developing",IF(AZ387&lt;=Assumptions!$I$20,"Meets Expectation",IF(AZ387&lt;=Assumptions!$I$21,"Exceeds","Star Performer")))))</f>
        <v>Meets Expectation</v>
      </c>
      <c r="BB387" s="0" t="n">
        <f aca="false">IF(AZ387="",0,IF(AZ387&gt;=Assumptions!$I$26,1,0))</f>
        <v>0</v>
      </c>
      <c r="BC387" s="9" t="n">
        <f aca="false">IF(AL387="",2,AL387+2)</f>
        <v>2</v>
      </c>
      <c r="BD387" s="10" t="n">
        <f aca="false">IF(AM387="",ROUND(AVERAGE($AM$2:$AM$921),3),AM387)</f>
        <v>0.957</v>
      </c>
      <c r="BE387" s="9" t="n">
        <f aca="false">1-BD387</f>
        <v>0.043</v>
      </c>
    </row>
    <row r="388" customFormat="false" ht="14.25" hidden="false" customHeight="false" outlineLevel="0" collapsed="false">
      <c r="A388" s="4" t="n">
        <v>476</v>
      </c>
      <c r="B388" s="5" t="n">
        <v>55042519</v>
      </c>
      <c r="C388" s="5" t="s">
        <v>106</v>
      </c>
      <c r="D388" s="5" t="s">
        <v>1692</v>
      </c>
      <c r="E388" s="5" t="s">
        <v>108</v>
      </c>
      <c r="F388" s="5" t="s">
        <v>356</v>
      </c>
      <c r="G388" s="5" t="s">
        <v>963</v>
      </c>
      <c r="H388" s="5" t="s">
        <v>964</v>
      </c>
      <c r="I388" s="5" t="s">
        <v>63</v>
      </c>
      <c r="J388" s="5" t="s">
        <v>112</v>
      </c>
      <c r="K388" s="5" t="s">
        <v>309</v>
      </c>
      <c r="L388" s="6" t="n">
        <v>44424</v>
      </c>
      <c r="M388" s="5" t="s">
        <v>1693</v>
      </c>
      <c r="N388" s="6" t="n">
        <v>36663</v>
      </c>
      <c r="O388" s="5" t="s">
        <v>1264</v>
      </c>
      <c r="P388" s="5" t="s">
        <v>1559</v>
      </c>
      <c r="Q388" s="5" t="s">
        <v>1297</v>
      </c>
      <c r="R388" s="5" t="s">
        <v>115</v>
      </c>
      <c r="S388" s="5" t="s">
        <v>1297</v>
      </c>
      <c r="T388" s="6"/>
      <c r="U388" s="6"/>
      <c r="V388" s="5" t="s">
        <v>631</v>
      </c>
      <c r="W388" s="5" t="s">
        <v>83</v>
      </c>
      <c r="X388" s="5" t="s">
        <v>631</v>
      </c>
      <c r="Y388" s="5" t="s">
        <v>141</v>
      </c>
      <c r="Z388" s="5" t="s">
        <v>83</v>
      </c>
      <c r="AA388" s="5" t="s">
        <v>1694</v>
      </c>
      <c r="AB388" s="0" t="n">
        <f aca="false">IFERROR(VALUE(R388),0)</f>
        <v>0</v>
      </c>
      <c r="AC388" s="0" t="n">
        <f aca="false">IFERROR(VALUE(M388),"")</f>
        <v>26</v>
      </c>
      <c r="AD388" s="0" t="n">
        <f aca="false">IFERROR(VALUE(Q388),"")</f>
        <v>4.9</v>
      </c>
      <c r="AE388" s="0" t="n">
        <f aca="false">IFERROR(VALUE(S388),"")</f>
        <v>4.9</v>
      </c>
      <c r="AF388" s="0" t="n">
        <f aca="false">IF(V388="","",VLOOKUP(V388,Assumptions!$B$6:$C$9,2,FALSE()))</f>
        <v>2</v>
      </c>
      <c r="AG388" s="0" t="n">
        <f aca="false">IF(W388="","",VLOOKUP(W388,Assumptions!$B$6:$C$9,2,FALSE()))</f>
        <v>4</v>
      </c>
      <c r="AH388" s="0" t="n">
        <f aca="false">IF(X388="","",VLOOKUP(X388,Assumptions!$B$6:$C$9,2,FALSE()))</f>
        <v>2</v>
      </c>
      <c r="AI388" s="0" t="n">
        <f aca="false">IF(Y388="","",VLOOKUP(Y388,Assumptions!$B$6:$C$9,2,FALSE()))</f>
        <v>3</v>
      </c>
      <c r="AJ388" s="0" t="n">
        <f aca="false">IF(Z388="","",VLOOKUP(Z388,Assumptions!$B$6:$C$9,2,FALSE()))</f>
        <v>4</v>
      </c>
      <c r="AK388" s="7" t="n">
        <f aca="false">IFERROR(ROUND(AVERAGE(AF388:AJ388),3),"")</f>
        <v>3</v>
      </c>
      <c r="AL388" s="7" t="n">
        <f aca="false">IF(OR(AF388="",AJ388=""),"",AJ388-AF388)</f>
        <v>2</v>
      </c>
      <c r="AM388" s="7" t="n">
        <f aca="false">IF(COUNT(AF388:AJ388)&gt;=2,ROUND(_xlfn.STDEV.S(AF388:AJ388),3),"")</f>
        <v>1</v>
      </c>
      <c r="AN388" s="7" t="n">
        <f aca="false">ROUND((IF(AF388="",0,AF388)*Assumptions!$F$15)+(IF(AG388="",0,AG388)*Assumptions!$F$16)+(IF(AH388="",0,AH388)*Assumptions!$F$17)+(IF(AI388="",0,AI388)*Assumptions!$F$18)+(IF(AJ388="",0,AJ388)*Assumptions!$F$19),3)</f>
        <v>3.15</v>
      </c>
      <c r="AO388" s="0" t="str">
        <f aca="false">IF(AC388&lt;=20,"",IF(AC388&lt;=Assumptions!$F$6,"20-30",IF(AC388&lt;=Assumptions!$F$7,"30-40",IF(AC388&lt;=Assumptions!$F$8,"40-50",IF(AC388&lt;=Assumptions!$F$9,"50-60",IF(AC388&lt;=Assumptions!$F$10,"60+",""))))))</f>
        <v>20-30</v>
      </c>
      <c r="AP388" s="0" t="str">
        <f aca="false">IFERROR(VLOOKUP(O388,Assumptions!$B$14:$C$26,2,FALSE()),"Other")</f>
        <v>Manager</v>
      </c>
      <c r="AQ388" s="0" t="n">
        <f aca="false">IF(T388="",0,1)</f>
        <v>0</v>
      </c>
      <c r="AR388" s="0" t="n">
        <f aca="false">IF(U388="",0,1)</f>
        <v>0</v>
      </c>
      <c r="AS388" s="8" t="n">
        <f aca="false">IF(AK388="","",IF(MAX($AK$2:$AK$921)=MIN($AK$2:$AK$921),50,ROUND((AK388-MIN($AK$2:$AK$921))/(MAX($AK$2:$AK$921)-MIN($AK$2:$AK$921))*100,2)))</f>
        <v>57.14</v>
      </c>
      <c r="AT388" s="8" t="n">
        <f aca="false">IF(MAX($BC$2:$BC$921)=MIN($BC$2:$BC$921),50,ROUND((BC388-MIN($BC$2:$BC$921))/(MAX($BC$2:$BC$921)-MIN($BC$2:$BC$921))*100,2))</f>
        <v>100</v>
      </c>
      <c r="AU388" s="8" t="n">
        <f aca="false">IF(MAX($BE$2:$BE$921)=MIN($BE$2:$BE$921),50,ROUND((BE388-MIN($BE$2:$BE$921))/(MAX($BE$2:$BE$921)-MIN($BE$2:$BE$921))*100,2))</f>
        <v>42.26</v>
      </c>
      <c r="AV388" s="8" t="n">
        <f aca="false">IF(MAX($AD$2:$AD$921)=MIN($AD$2:$AD$921),50,ROUND((AD388-MIN($AD$2:$AD$921))/(MAX($AD$2:$AD$921)-MIN($AD$2:$AD$921))*100,2))</f>
        <v>13.02</v>
      </c>
      <c r="AW388" s="8" t="n">
        <f aca="false">IF(MAX($AN$2:$AN$921)=MIN($AN$2:$AN$921),50,ROUND((AN388-MIN($AN$2:$AN$921))/(MAX($AN$2:$AN$921)-MIN($AN$2:$AN$921))*100,2))</f>
        <v>78.75</v>
      </c>
      <c r="AX388" s="8" t="n">
        <f aca="false">AQ388*100</f>
        <v>0</v>
      </c>
      <c r="AY388" s="8" t="n">
        <f aca="false">AR388*100</f>
        <v>0</v>
      </c>
      <c r="AZ388" s="8" t="n">
        <f aca="false">IFERROR(ROUND(AS388*Assumptions!$I$6+AW388*Assumptions!$I$7+AT388*Assumptions!$I$8+AU388*Assumptions!$I$9+AV388*Assumptions!$I$10+AX388*Assumptions!$I$11+AY388*Assumptions!$I$12,2),"")</f>
        <v>55.53</v>
      </c>
      <c r="BA388" s="0" t="str">
        <f aca="false">IF(AZ388="","",IF(AZ388&lt;=Assumptions!$I$18,"Below Expectation",IF(AZ388&lt;=Assumptions!$I$19,"Developing",IF(AZ388&lt;=Assumptions!$I$20,"Meets Expectation",IF(AZ388&lt;=Assumptions!$I$21,"Exceeds","Star Performer")))))</f>
        <v>Meets Expectation</v>
      </c>
      <c r="BB388" s="0" t="n">
        <f aca="false">IF(AZ388="",0,IF(AZ388&gt;=Assumptions!$I$26,1,0))</f>
        <v>0</v>
      </c>
      <c r="BC388" s="9" t="n">
        <f aca="false">IF(AL388="",2,AL388+2)</f>
        <v>4</v>
      </c>
      <c r="BD388" s="10" t="n">
        <f aca="false">IF(AM388="",ROUND(AVERAGE($AM$2:$AM$921),3),AM388)</f>
        <v>1</v>
      </c>
      <c r="BE388" s="9" t="n">
        <f aca="false">1-BD388</f>
        <v>0</v>
      </c>
    </row>
    <row r="389" customFormat="false" ht="14.25" hidden="true" customHeight="false" outlineLevel="0" collapsed="false">
      <c r="A389" s="4" t="n">
        <v>218</v>
      </c>
      <c r="B389" s="5" t="n">
        <v>10057149</v>
      </c>
      <c r="C389" s="5" t="s">
        <v>57</v>
      </c>
      <c r="D389" s="5" t="s">
        <v>1695</v>
      </c>
      <c r="E389" s="5" t="s">
        <v>514</v>
      </c>
      <c r="F389" s="5" t="s">
        <v>608</v>
      </c>
      <c r="G389" s="5" t="s">
        <v>609</v>
      </c>
      <c r="H389" s="5" t="s">
        <v>608</v>
      </c>
      <c r="I389" s="5" t="s">
        <v>63</v>
      </c>
      <c r="J389" s="5" t="s">
        <v>100</v>
      </c>
      <c r="K389" s="5" t="s">
        <v>389</v>
      </c>
      <c r="L389" s="6" t="n">
        <v>42793</v>
      </c>
      <c r="M389" s="5" t="s">
        <v>1455</v>
      </c>
      <c r="N389" s="6" t="n">
        <v>31922</v>
      </c>
      <c r="O389" s="5" t="s">
        <v>365</v>
      </c>
      <c r="P389" s="5" t="s">
        <v>365</v>
      </c>
      <c r="Q389" s="5" t="s">
        <v>569</v>
      </c>
      <c r="R389" s="5" t="s">
        <v>248</v>
      </c>
      <c r="S389" s="5" t="s">
        <v>696</v>
      </c>
      <c r="T389" s="6"/>
      <c r="U389" s="6"/>
      <c r="V389" s="5" t="s">
        <v>141</v>
      </c>
      <c r="W389" s="5" t="s">
        <v>631</v>
      </c>
      <c r="X389" s="5" t="s">
        <v>141</v>
      </c>
      <c r="Y389" s="5" t="s">
        <v>141</v>
      </c>
      <c r="Z389" s="5" t="s">
        <v>83</v>
      </c>
      <c r="AA389" s="5" t="s">
        <v>1696</v>
      </c>
      <c r="AB389" s="0" t="n">
        <f aca="false">IFERROR(VALUE(R389),0)</f>
        <v>5</v>
      </c>
      <c r="AC389" s="0" t="n">
        <f aca="false">IFERROR(VALUE(M389),"")</f>
        <v>39</v>
      </c>
      <c r="AD389" s="0" t="n">
        <f aca="false">IFERROR(VALUE(Q389),"")</f>
        <v>9.3</v>
      </c>
      <c r="AE389" s="0" t="n">
        <f aca="false">IFERROR(VALUE(S389),"")</f>
        <v>14.3</v>
      </c>
      <c r="AF389" s="0" t="n">
        <f aca="false">IF(V389="","",VLOOKUP(V389,Assumptions!$B$6:$C$9,2,FALSE()))</f>
        <v>3</v>
      </c>
      <c r="AG389" s="0" t="n">
        <f aca="false">IF(W389="","",VLOOKUP(W389,Assumptions!$B$6:$C$9,2,FALSE()))</f>
        <v>2</v>
      </c>
      <c r="AH389" s="0" t="n">
        <f aca="false">IF(X389="","",VLOOKUP(X389,Assumptions!$B$6:$C$9,2,FALSE()))</f>
        <v>3</v>
      </c>
      <c r="AI389" s="0" t="n">
        <f aca="false">IF(Y389="","",VLOOKUP(Y389,Assumptions!$B$6:$C$9,2,FALSE()))</f>
        <v>3</v>
      </c>
      <c r="AJ389" s="0" t="n">
        <f aca="false">IF(Z389="","",VLOOKUP(Z389,Assumptions!$B$6:$C$9,2,FALSE()))</f>
        <v>4</v>
      </c>
      <c r="AK389" s="7" t="n">
        <f aca="false">IFERROR(ROUND(AVERAGE(AF389:AJ389),3),"")</f>
        <v>3</v>
      </c>
      <c r="AL389" s="7" t="n">
        <f aca="false">IF(OR(AF389="",AJ389=""),"",AJ389-AF389)</f>
        <v>1</v>
      </c>
      <c r="AM389" s="7" t="n">
        <f aca="false">IF(COUNT(AF389:AJ389)&gt;=2,ROUND(_xlfn.STDEV.S(AF389:AJ389),3),"")</f>
        <v>0.707</v>
      </c>
      <c r="AN389" s="7" t="n">
        <f aca="false">ROUND((IF(AF389="",0,AF389)*Assumptions!$F$15)+(IF(AG389="",0,AG389)*Assumptions!$F$16)+(IF(AH389="",0,AH389)*Assumptions!$F$17)+(IF(AI389="",0,AI389)*Assumptions!$F$18)+(IF(AJ389="",0,AJ389)*Assumptions!$F$19),3)</f>
        <v>3.15</v>
      </c>
      <c r="AO389" s="0" t="str">
        <f aca="false">IF(AC389&lt;=20,"",IF(AC389&lt;=Assumptions!$F$6,"20-30",IF(AC389&lt;=Assumptions!$F$7,"30-40",IF(AC389&lt;=Assumptions!$F$8,"40-50",IF(AC389&lt;=Assumptions!$F$9,"50-60",IF(AC389&lt;=Assumptions!$F$10,"60+",""))))))</f>
        <v>30-40</v>
      </c>
      <c r="AP389" s="0" t="str">
        <f aca="false">IFERROR(VLOOKUP(O389,Assumptions!$B$14:$C$26,2,FALSE()),"Other")</f>
        <v>Manager</v>
      </c>
      <c r="AQ389" s="0" t="n">
        <f aca="false">IF(T389="",0,1)</f>
        <v>0</v>
      </c>
      <c r="AR389" s="0" t="n">
        <f aca="false">IF(U389="",0,1)</f>
        <v>0</v>
      </c>
      <c r="AS389" s="8" t="n">
        <f aca="false">IF(AK389="","",IF(MAX($AK$2:$AK$921)=MIN($AK$2:$AK$921),50,ROUND((AK389-MIN($AK$2:$AK$921))/(MAX($AK$2:$AK$921)-MIN($AK$2:$AK$921))*100,2)))</f>
        <v>57.14</v>
      </c>
      <c r="AT389" s="8" t="n">
        <f aca="false">IF(MAX($BC$2:$BC$921)=MIN($BC$2:$BC$921),50,ROUND((BC389-MIN($BC$2:$BC$921))/(MAX($BC$2:$BC$921)-MIN($BC$2:$BC$921))*100,2))</f>
        <v>75</v>
      </c>
      <c r="AU389" s="8" t="n">
        <f aca="false">IF(MAX($BE$2:$BE$921)=MIN($BE$2:$BE$921),50,ROUND((BE389-MIN($BE$2:$BE$921))/(MAX($BE$2:$BE$921)-MIN($BE$2:$BE$921))*100,2))</f>
        <v>59.18</v>
      </c>
      <c r="AV389" s="8" t="n">
        <f aca="false">IF(MAX($AD$2:$AD$921)=MIN($AD$2:$AD$921),50,ROUND((AD389-MIN($AD$2:$AD$921))/(MAX($AD$2:$AD$921)-MIN($AD$2:$AD$921))*100,2))</f>
        <v>24.98</v>
      </c>
      <c r="AW389" s="8" t="n">
        <f aca="false">IF(MAX($AN$2:$AN$921)=MIN($AN$2:$AN$921),50,ROUND((AN389-MIN($AN$2:$AN$921))/(MAX($AN$2:$AN$921)-MIN($AN$2:$AN$921))*100,2))</f>
        <v>78.75</v>
      </c>
      <c r="AX389" s="8" t="n">
        <f aca="false">AQ389*100</f>
        <v>0</v>
      </c>
      <c r="AY389" s="8" t="n">
        <f aca="false">AR389*100</f>
        <v>0</v>
      </c>
      <c r="AZ389" s="8" t="n">
        <f aca="false">IFERROR(ROUND(AS389*Assumptions!$I$6+AW389*Assumptions!$I$7+AT389*Assumptions!$I$8+AU389*Assumptions!$I$9+AV389*Assumptions!$I$10+AX389*Assumptions!$I$11+AY389*Assumptions!$I$12,2),"")</f>
        <v>55.52</v>
      </c>
      <c r="BA389" s="0" t="str">
        <f aca="false">IF(AZ389="","",IF(AZ389&lt;=Assumptions!$I$18,"Below Expectation",IF(AZ389&lt;=Assumptions!$I$19,"Developing",IF(AZ389&lt;=Assumptions!$I$20,"Meets Expectation",IF(AZ389&lt;=Assumptions!$I$21,"Exceeds","Star Performer")))))</f>
        <v>Meets Expectation</v>
      </c>
      <c r="BB389" s="0" t="n">
        <f aca="false">IF(AZ389="",0,IF(AZ389&gt;=Assumptions!$I$26,1,0))</f>
        <v>0</v>
      </c>
      <c r="BC389" s="9" t="n">
        <f aca="false">IF(AL389="",2,AL389+2)</f>
        <v>3</v>
      </c>
      <c r="BD389" s="10" t="n">
        <f aca="false">IF(AM389="",ROUND(AVERAGE($AM$2:$AM$921),3),AM389)</f>
        <v>0.707</v>
      </c>
      <c r="BE389" s="9" t="n">
        <f aca="false">1-BD389</f>
        <v>0.293</v>
      </c>
    </row>
    <row r="390" customFormat="false" ht="14.25" hidden="true" customHeight="false" outlineLevel="0" collapsed="false">
      <c r="A390" s="4" t="n">
        <v>407</v>
      </c>
      <c r="B390" s="5" t="n">
        <v>50008677</v>
      </c>
      <c r="C390" s="5" t="s">
        <v>57</v>
      </c>
      <c r="D390" s="5" t="s">
        <v>1697</v>
      </c>
      <c r="E390" s="5" t="s">
        <v>208</v>
      </c>
      <c r="F390" s="5" t="s">
        <v>608</v>
      </c>
      <c r="G390" s="5" t="s">
        <v>609</v>
      </c>
      <c r="H390" s="5" t="s">
        <v>608</v>
      </c>
      <c r="I390" s="5" t="s">
        <v>63</v>
      </c>
      <c r="J390" s="5" t="s">
        <v>100</v>
      </c>
      <c r="K390" s="5" t="s">
        <v>65</v>
      </c>
      <c r="L390" s="6" t="n">
        <v>40651</v>
      </c>
      <c r="M390" s="5" t="s">
        <v>1601</v>
      </c>
      <c r="N390" s="6" t="n">
        <v>30461</v>
      </c>
      <c r="O390" s="5" t="s">
        <v>365</v>
      </c>
      <c r="P390" s="5" t="s">
        <v>365</v>
      </c>
      <c r="Q390" s="5" t="s">
        <v>1060</v>
      </c>
      <c r="R390" s="5" t="s">
        <v>335</v>
      </c>
      <c r="S390" s="5" t="s">
        <v>573</v>
      </c>
      <c r="T390" s="6"/>
      <c r="U390" s="6"/>
      <c r="V390" s="5" t="s">
        <v>631</v>
      </c>
      <c r="W390" s="5" t="s">
        <v>141</v>
      </c>
      <c r="X390" s="5" t="s">
        <v>141</v>
      </c>
      <c r="Y390" s="5" t="s">
        <v>141</v>
      </c>
      <c r="Z390" s="5" t="s">
        <v>141</v>
      </c>
      <c r="AA390" s="5" t="s">
        <v>1698</v>
      </c>
      <c r="AB390" s="0" t="n">
        <f aca="false">IFERROR(VALUE(R390),0)</f>
        <v>3.7</v>
      </c>
      <c r="AC390" s="0" t="n">
        <f aca="false">IFERROR(VALUE(M390),"")</f>
        <v>43</v>
      </c>
      <c r="AD390" s="0" t="n">
        <f aca="false">IFERROR(VALUE(Q390),"")</f>
        <v>15.1</v>
      </c>
      <c r="AE390" s="0" t="n">
        <f aca="false">IFERROR(VALUE(S390),"")</f>
        <v>18.8</v>
      </c>
      <c r="AF390" s="0" t="n">
        <f aca="false">IF(V390="","",VLOOKUP(V390,Assumptions!$B$6:$C$9,2,FALSE()))</f>
        <v>2</v>
      </c>
      <c r="AG390" s="0" t="n">
        <f aca="false">IF(W390="","",VLOOKUP(W390,Assumptions!$B$6:$C$9,2,FALSE()))</f>
        <v>3</v>
      </c>
      <c r="AH390" s="0" t="n">
        <f aca="false">IF(X390="","",VLOOKUP(X390,Assumptions!$B$6:$C$9,2,FALSE()))</f>
        <v>3</v>
      </c>
      <c r="AI390" s="0" t="n">
        <f aca="false">IF(Y390="","",VLOOKUP(Y390,Assumptions!$B$6:$C$9,2,FALSE()))</f>
        <v>3</v>
      </c>
      <c r="AJ390" s="0" t="n">
        <f aca="false">IF(Z390="","",VLOOKUP(Z390,Assumptions!$B$6:$C$9,2,FALSE()))</f>
        <v>3</v>
      </c>
      <c r="AK390" s="7" t="n">
        <f aca="false">IFERROR(ROUND(AVERAGE(AF390:AJ390),3),"")</f>
        <v>2.8</v>
      </c>
      <c r="AL390" s="7" t="n">
        <f aca="false">IF(OR(AF390="",AJ390=""),"",AJ390-AF390)</f>
        <v>1</v>
      </c>
      <c r="AM390" s="7" t="n">
        <f aca="false">IF(COUNT(AF390:AJ390)&gt;=2,ROUND(_xlfn.STDEV.S(AF390:AJ390),3),"")</f>
        <v>0.447</v>
      </c>
      <c r="AN390" s="7" t="n">
        <f aca="false">ROUND((IF(AF390="",0,AF390)*Assumptions!$F$15)+(IF(AG390="",0,AG390)*Assumptions!$F$16)+(IF(AH390="",0,AH390)*Assumptions!$F$17)+(IF(AI390="",0,AI390)*Assumptions!$F$18)+(IF(AJ390="",0,AJ390)*Assumptions!$F$19),3)</f>
        <v>2.9</v>
      </c>
      <c r="AO390" s="0" t="str">
        <f aca="false">IF(AC390&lt;=20,"",IF(AC390&lt;=Assumptions!$F$6,"20-30",IF(AC390&lt;=Assumptions!$F$7,"30-40",IF(AC390&lt;=Assumptions!$F$8,"40-50",IF(AC390&lt;=Assumptions!$F$9,"50-60",IF(AC390&lt;=Assumptions!$F$10,"60+",""))))))</f>
        <v>40-50</v>
      </c>
      <c r="AP390" s="0" t="str">
        <f aca="false">IFERROR(VLOOKUP(O390,Assumptions!$B$14:$C$26,2,FALSE()),"Other")</f>
        <v>Manager</v>
      </c>
      <c r="AQ390" s="0" t="n">
        <f aca="false">IF(T390="",0,1)</f>
        <v>0</v>
      </c>
      <c r="AR390" s="0" t="n">
        <f aca="false">IF(U390="",0,1)</f>
        <v>0</v>
      </c>
      <c r="AS390" s="8" t="n">
        <f aca="false">IF(AK390="","",IF(MAX($AK$2:$AK$921)=MIN($AK$2:$AK$921),50,ROUND((AK390-MIN($AK$2:$AK$921))/(MAX($AK$2:$AK$921)-MIN($AK$2:$AK$921))*100,2)))</f>
        <v>48.56</v>
      </c>
      <c r="AT390" s="8" t="n">
        <f aca="false">IF(MAX($BC$2:$BC$921)=MIN($BC$2:$BC$921),50,ROUND((BC390-MIN($BC$2:$BC$921))/(MAX($BC$2:$BC$921)-MIN($BC$2:$BC$921))*100,2))</f>
        <v>75</v>
      </c>
      <c r="AU390" s="8" t="n">
        <f aca="false">IF(MAX($BE$2:$BE$921)=MIN($BE$2:$BE$921),50,ROUND((BE390-MIN($BE$2:$BE$921))/(MAX($BE$2:$BE$921)-MIN($BE$2:$BE$921))*100,2))</f>
        <v>74.19</v>
      </c>
      <c r="AV390" s="8" t="n">
        <f aca="false">IF(MAX($AD$2:$AD$921)=MIN($AD$2:$AD$921),50,ROUND((AD390-MIN($AD$2:$AD$921))/(MAX($AD$2:$AD$921)-MIN($AD$2:$AD$921))*100,2))</f>
        <v>40.74</v>
      </c>
      <c r="AW390" s="8" t="n">
        <f aca="false">IF(MAX($AN$2:$AN$921)=MIN($AN$2:$AN$921),50,ROUND((AN390-MIN($AN$2:$AN$921))/(MAX($AN$2:$AN$921)-MIN($AN$2:$AN$921))*100,2))</f>
        <v>72.5</v>
      </c>
      <c r="AX390" s="8" t="n">
        <f aca="false">AQ390*100</f>
        <v>0</v>
      </c>
      <c r="AY390" s="8" t="n">
        <f aca="false">AR390*100</f>
        <v>0</v>
      </c>
      <c r="AZ390" s="8" t="n">
        <f aca="false">IFERROR(ROUND(AS390*Assumptions!$I$6+AW390*Assumptions!$I$7+AT390*Assumptions!$I$8+AU390*Assumptions!$I$9+AV390*Assumptions!$I$10+AX390*Assumptions!$I$11+AY390*Assumptions!$I$12,2),"")</f>
        <v>55.52</v>
      </c>
      <c r="BA390" s="0" t="str">
        <f aca="false">IF(AZ390="","",IF(AZ390&lt;=Assumptions!$I$18,"Below Expectation",IF(AZ390&lt;=Assumptions!$I$19,"Developing",IF(AZ390&lt;=Assumptions!$I$20,"Meets Expectation",IF(AZ390&lt;=Assumptions!$I$21,"Exceeds","Star Performer")))))</f>
        <v>Meets Expectation</v>
      </c>
      <c r="BB390" s="0" t="n">
        <f aca="false">IF(AZ390="",0,IF(AZ390&gt;=Assumptions!$I$26,1,0))</f>
        <v>0</v>
      </c>
      <c r="BC390" s="9" t="n">
        <f aca="false">IF(AL390="",2,AL390+2)</f>
        <v>3</v>
      </c>
      <c r="BD390" s="10" t="n">
        <f aca="false">IF(AM390="",ROUND(AVERAGE($AM$2:$AM$921),3),AM390)</f>
        <v>0.447</v>
      </c>
      <c r="BE390" s="9" t="n">
        <f aca="false">1-BD390</f>
        <v>0.553</v>
      </c>
    </row>
    <row r="391" customFormat="false" ht="14.25" hidden="true" customHeight="false" outlineLevel="0" collapsed="false">
      <c r="A391" s="4" t="n">
        <v>156</v>
      </c>
      <c r="B391" s="5" t="n">
        <v>10048224</v>
      </c>
      <c r="C391" s="5" t="s">
        <v>85</v>
      </c>
      <c r="D391" s="5" t="s">
        <v>1699</v>
      </c>
      <c r="E391" s="5" t="s">
        <v>1070</v>
      </c>
      <c r="F391" s="5" t="s">
        <v>349</v>
      </c>
      <c r="G391" s="5" t="s">
        <v>350</v>
      </c>
      <c r="H391" s="5" t="s">
        <v>349</v>
      </c>
      <c r="I391" s="5" t="s">
        <v>63</v>
      </c>
      <c r="J391" s="5" t="s">
        <v>76</v>
      </c>
      <c r="K391" s="5" t="s">
        <v>65</v>
      </c>
      <c r="L391" s="6" t="n">
        <v>42051</v>
      </c>
      <c r="M391" s="5" t="s">
        <v>802</v>
      </c>
      <c r="N391" s="6" t="n">
        <v>32390</v>
      </c>
      <c r="O391" s="5" t="s">
        <v>332</v>
      </c>
      <c r="P391" s="5" t="s">
        <v>333</v>
      </c>
      <c r="Q391" s="5" t="s">
        <v>334</v>
      </c>
      <c r="R391" s="5" t="s">
        <v>820</v>
      </c>
      <c r="S391" s="5" t="s">
        <v>734</v>
      </c>
      <c r="T391" s="6" t="n">
        <v>43009</v>
      </c>
      <c r="U391" s="6"/>
      <c r="V391" s="5" t="s">
        <v>141</v>
      </c>
      <c r="W391" s="5" t="s">
        <v>631</v>
      </c>
      <c r="X391" s="5" t="s">
        <v>141</v>
      </c>
      <c r="Y391" s="5" t="s">
        <v>141</v>
      </c>
      <c r="Z391" s="5" t="s">
        <v>141</v>
      </c>
      <c r="AA391" s="5" t="s">
        <v>1010</v>
      </c>
      <c r="AB391" s="0" t="n">
        <f aca="false">IFERROR(VALUE(R391),0)</f>
        <v>2.4</v>
      </c>
      <c r="AC391" s="0" t="n">
        <f aca="false">IFERROR(VALUE(M391),"")</f>
        <v>37.9</v>
      </c>
      <c r="AD391" s="0" t="n">
        <f aca="false">IFERROR(VALUE(Q391),"")</f>
        <v>11.3</v>
      </c>
      <c r="AE391" s="0" t="n">
        <f aca="false">IFERROR(VALUE(S391),"")</f>
        <v>13.7</v>
      </c>
      <c r="AF391" s="0" t="n">
        <f aca="false">IF(V391="","",VLOOKUP(V391,Assumptions!$B$6:$C$9,2,FALSE()))</f>
        <v>3</v>
      </c>
      <c r="AG391" s="0" t="n">
        <f aca="false">IF(W391="","",VLOOKUP(W391,Assumptions!$B$6:$C$9,2,FALSE()))</f>
        <v>2</v>
      </c>
      <c r="AH391" s="0" t="n">
        <f aca="false">IF(X391="","",VLOOKUP(X391,Assumptions!$B$6:$C$9,2,FALSE()))</f>
        <v>3</v>
      </c>
      <c r="AI391" s="0" t="n">
        <f aca="false">IF(Y391="","",VLOOKUP(Y391,Assumptions!$B$6:$C$9,2,FALSE()))</f>
        <v>3</v>
      </c>
      <c r="AJ391" s="0" t="n">
        <f aca="false">IF(Z391="","",VLOOKUP(Z391,Assumptions!$B$6:$C$9,2,FALSE()))</f>
        <v>3</v>
      </c>
      <c r="AK391" s="7" t="n">
        <f aca="false">IFERROR(ROUND(AVERAGE(AF391:AJ391),3),"")</f>
        <v>2.8</v>
      </c>
      <c r="AL391" s="7" t="n">
        <f aca="false">IF(OR(AF391="",AJ391=""),"",AJ391-AF391)</f>
        <v>0</v>
      </c>
      <c r="AM391" s="7" t="n">
        <f aca="false">IF(COUNT(AF391:AJ391)&gt;=2,ROUND(_xlfn.STDEV.S(AF391:AJ391),3),"")</f>
        <v>0.447</v>
      </c>
      <c r="AN391" s="7" t="n">
        <f aca="false">ROUND((IF(AF391="",0,AF391)*Assumptions!$F$15)+(IF(AG391="",0,AG391)*Assumptions!$F$16)+(IF(AH391="",0,AH391)*Assumptions!$F$17)+(IF(AI391="",0,AI391)*Assumptions!$F$18)+(IF(AJ391="",0,AJ391)*Assumptions!$F$19),3)</f>
        <v>2.85</v>
      </c>
      <c r="AO391" s="0" t="str">
        <f aca="false">IF(AC391&lt;=20,"",IF(AC391&lt;=Assumptions!$F$6,"20-30",IF(AC391&lt;=Assumptions!$F$7,"30-40",IF(AC391&lt;=Assumptions!$F$8,"40-50",IF(AC391&lt;=Assumptions!$F$9,"50-60",IF(AC391&lt;=Assumptions!$F$10,"60+",""))))))</f>
        <v>30-40</v>
      </c>
      <c r="AP391" s="0" t="str">
        <f aca="false">IFERROR(VLOOKUP(O391,Assumptions!$B$14:$C$26,2,FALSE()),"Other")</f>
        <v>Manager</v>
      </c>
      <c r="AQ391" s="0" t="n">
        <f aca="false">IF(T391="",0,1)</f>
        <v>1</v>
      </c>
      <c r="AR391" s="0" t="n">
        <f aca="false">IF(U391="",0,1)</f>
        <v>0</v>
      </c>
      <c r="AS391" s="8" t="n">
        <f aca="false">IF(AK391="","",IF(MAX($AK$2:$AK$921)=MIN($AK$2:$AK$921),50,ROUND((AK391-MIN($AK$2:$AK$921))/(MAX($AK$2:$AK$921)-MIN($AK$2:$AK$921))*100,2)))</f>
        <v>48.56</v>
      </c>
      <c r="AT391" s="8" t="n">
        <f aca="false">IF(MAX($BC$2:$BC$921)=MIN($BC$2:$BC$921),50,ROUND((BC391-MIN($BC$2:$BC$921))/(MAX($BC$2:$BC$921)-MIN($BC$2:$BC$921))*100,2))</f>
        <v>50</v>
      </c>
      <c r="AU391" s="8" t="n">
        <f aca="false">IF(MAX($BE$2:$BE$921)=MIN($BE$2:$BE$921),50,ROUND((BE391-MIN($BE$2:$BE$921))/(MAX($BE$2:$BE$921)-MIN($BE$2:$BE$921))*100,2))</f>
        <v>74.19</v>
      </c>
      <c r="AV391" s="8" t="n">
        <f aca="false">IF(MAX($AD$2:$AD$921)=MIN($AD$2:$AD$921),50,ROUND((AD391-MIN($AD$2:$AD$921))/(MAX($AD$2:$AD$921)-MIN($AD$2:$AD$921))*100,2))</f>
        <v>30.42</v>
      </c>
      <c r="AW391" s="8" t="n">
        <f aca="false">IF(MAX($AN$2:$AN$921)=MIN($AN$2:$AN$921),50,ROUND((AN391-MIN($AN$2:$AN$921))/(MAX($AN$2:$AN$921)-MIN($AN$2:$AN$921))*100,2))</f>
        <v>71.25</v>
      </c>
      <c r="AX391" s="8" t="n">
        <f aca="false">AQ391*100</f>
        <v>100</v>
      </c>
      <c r="AY391" s="8" t="n">
        <f aca="false">AR391*100</f>
        <v>0</v>
      </c>
      <c r="AZ391" s="8" t="n">
        <f aca="false">IFERROR(ROUND(AS391*Assumptions!$I$6+AW391*Assumptions!$I$7+AT391*Assumptions!$I$8+AU391*Assumptions!$I$9+AV391*Assumptions!$I$10+AX391*Assumptions!$I$11+AY391*Assumptions!$I$12,2),"")</f>
        <v>55.49</v>
      </c>
      <c r="BA391" s="0" t="str">
        <f aca="false">IF(AZ391="","",IF(AZ391&lt;=Assumptions!$I$18,"Below Expectation",IF(AZ391&lt;=Assumptions!$I$19,"Developing",IF(AZ391&lt;=Assumptions!$I$20,"Meets Expectation",IF(AZ391&lt;=Assumptions!$I$21,"Exceeds","Star Performer")))))</f>
        <v>Meets Expectation</v>
      </c>
      <c r="BB391" s="0" t="n">
        <f aca="false">IF(AZ391="",0,IF(AZ391&gt;=Assumptions!$I$26,1,0))</f>
        <v>0</v>
      </c>
      <c r="BC391" s="9" t="n">
        <f aca="false">IF(AL391="",2,AL391+2)</f>
        <v>2</v>
      </c>
      <c r="BD391" s="10" t="n">
        <f aca="false">IF(AM391="",ROUND(AVERAGE($AM$2:$AM$921),3),AM391)</f>
        <v>0.447</v>
      </c>
      <c r="BE391" s="9" t="n">
        <f aca="false">1-BD391</f>
        <v>0.553</v>
      </c>
    </row>
    <row r="392" customFormat="false" ht="14.25" hidden="true" customHeight="false" outlineLevel="0" collapsed="false">
      <c r="A392" s="4" t="n">
        <v>226</v>
      </c>
      <c r="B392" s="5" t="n">
        <v>10058613</v>
      </c>
      <c r="C392" s="5" t="s">
        <v>57</v>
      </c>
      <c r="D392" s="5" t="s">
        <v>1700</v>
      </c>
      <c r="E392" s="5" t="s">
        <v>208</v>
      </c>
      <c r="F392" s="5" t="s">
        <v>608</v>
      </c>
      <c r="G392" s="5" t="s">
        <v>609</v>
      </c>
      <c r="H392" s="5" t="s">
        <v>608</v>
      </c>
      <c r="I392" s="5" t="s">
        <v>63</v>
      </c>
      <c r="J392" s="5" t="s">
        <v>100</v>
      </c>
      <c r="K392" s="5" t="s">
        <v>65</v>
      </c>
      <c r="L392" s="6" t="n">
        <v>42884</v>
      </c>
      <c r="M392" s="5" t="s">
        <v>1701</v>
      </c>
      <c r="N392" s="6" t="n">
        <v>31236</v>
      </c>
      <c r="O392" s="5" t="s">
        <v>365</v>
      </c>
      <c r="P392" s="5" t="s">
        <v>365</v>
      </c>
      <c r="Q392" s="5" t="s">
        <v>451</v>
      </c>
      <c r="R392" s="5" t="s">
        <v>893</v>
      </c>
      <c r="S392" s="5" t="s">
        <v>696</v>
      </c>
      <c r="T392" s="6"/>
      <c r="U392" s="6"/>
      <c r="V392" s="5" t="s">
        <v>631</v>
      </c>
      <c r="W392" s="5" t="s">
        <v>141</v>
      </c>
      <c r="X392" s="5" t="s">
        <v>141</v>
      </c>
      <c r="Y392" s="5" t="s">
        <v>83</v>
      </c>
      <c r="Z392" s="5" t="s">
        <v>141</v>
      </c>
      <c r="AA392" s="5" t="s">
        <v>1702</v>
      </c>
      <c r="AB392" s="0" t="n">
        <f aca="false">IFERROR(VALUE(R392),0)</f>
        <v>5.3</v>
      </c>
      <c r="AC392" s="0" t="n">
        <f aca="false">IFERROR(VALUE(M392),"")</f>
        <v>40.11</v>
      </c>
      <c r="AD392" s="0" t="n">
        <f aca="false">IFERROR(VALUE(Q392),"")</f>
        <v>9</v>
      </c>
      <c r="AE392" s="0" t="n">
        <f aca="false">IFERROR(VALUE(S392),"")</f>
        <v>14.3</v>
      </c>
      <c r="AF392" s="0" t="n">
        <f aca="false">IF(V392="","",VLOOKUP(V392,Assumptions!$B$6:$C$9,2,FALSE()))</f>
        <v>2</v>
      </c>
      <c r="AG392" s="0" t="n">
        <f aca="false">IF(W392="","",VLOOKUP(W392,Assumptions!$B$6:$C$9,2,FALSE()))</f>
        <v>3</v>
      </c>
      <c r="AH392" s="0" t="n">
        <f aca="false">IF(X392="","",VLOOKUP(X392,Assumptions!$B$6:$C$9,2,FALSE()))</f>
        <v>3</v>
      </c>
      <c r="AI392" s="0" t="n">
        <f aca="false">IF(Y392="","",VLOOKUP(Y392,Assumptions!$B$6:$C$9,2,FALSE()))</f>
        <v>4</v>
      </c>
      <c r="AJ392" s="0" t="n">
        <f aca="false">IF(Z392="","",VLOOKUP(Z392,Assumptions!$B$6:$C$9,2,FALSE()))</f>
        <v>3</v>
      </c>
      <c r="AK392" s="7" t="n">
        <f aca="false">IFERROR(ROUND(AVERAGE(AF392:AJ392),3),"")</f>
        <v>3</v>
      </c>
      <c r="AL392" s="7" t="n">
        <f aca="false">IF(OR(AF392="",AJ392=""),"",AJ392-AF392)</f>
        <v>1</v>
      </c>
      <c r="AM392" s="7" t="n">
        <f aca="false">IF(COUNT(AF392:AJ392)&gt;=2,ROUND(_xlfn.STDEV.S(AF392:AJ392),3),"")</f>
        <v>0.707</v>
      </c>
      <c r="AN392" s="7" t="n">
        <f aca="false">ROUND((IF(AF392="",0,AF392)*Assumptions!$F$15)+(IF(AG392="",0,AG392)*Assumptions!$F$16)+(IF(AH392="",0,AH392)*Assumptions!$F$17)+(IF(AI392="",0,AI392)*Assumptions!$F$18)+(IF(AJ392="",0,AJ392)*Assumptions!$F$19),3)</f>
        <v>3.15</v>
      </c>
      <c r="AO392" s="0" t="str">
        <f aca="false">IF(AC392&lt;=20,"",IF(AC392&lt;=Assumptions!$F$6,"20-30",IF(AC392&lt;=Assumptions!$F$7,"30-40",IF(AC392&lt;=Assumptions!$F$8,"40-50",IF(AC392&lt;=Assumptions!$F$9,"50-60",IF(AC392&lt;=Assumptions!$F$10,"60+",""))))))</f>
        <v>40-50</v>
      </c>
      <c r="AP392" s="0" t="str">
        <f aca="false">IFERROR(VLOOKUP(O392,Assumptions!$B$14:$C$26,2,FALSE()),"Other")</f>
        <v>Manager</v>
      </c>
      <c r="AQ392" s="0" t="n">
        <f aca="false">IF(T392="",0,1)</f>
        <v>0</v>
      </c>
      <c r="AR392" s="0" t="n">
        <f aca="false">IF(U392="",0,1)</f>
        <v>0</v>
      </c>
      <c r="AS392" s="8" t="n">
        <f aca="false">IF(AK392="","",IF(MAX($AK$2:$AK$921)=MIN($AK$2:$AK$921),50,ROUND((AK392-MIN($AK$2:$AK$921))/(MAX($AK$2:$AK$921)-MIN($AK$2:$AK$921))*100,2)))</f>
        <v>57.14</v>
      </c>
      <c r="AT392" s="8" t="n">
        <f aca="false">IF(MAX($BC$2:$BC$921)=MIN($BC$2:$BC$921),50,ROUND((BC392-MIN($BC$2:$BC$921))/(MAX($BC$2:$BC$921)-MIN($BC$2:$BC$921))*100,2))</f>
        <v>75</v>
      </c>
      <c r="AU392" s="8" t="n">
        <f aca="false">IF(MAX($BE$2:$BE$921)=MIN($BE$2:$BE$921),50,ROUND((BE392-MIN($BE$2:$BE$921))/(MAX($BE$2:$BE$921)-MIN($BE$2:$BE$921))*100,2))</f>
        <v>59.18</v>
      </c>
      <c r="AV392" s="8" t="n">
        <f aca="false">IF(MAX($AD$2:$AD$921)=MIN($AD$2:$AD$921),50,ROUND((AD392-MIN($AD$2:$AD$921))/(MAX($AD$2:$AD$921)-MIN($AD$2:$AD$921))*100,2))</f>
        <v>24.16</v>
      </c>
      <c r="AW392" s="8" t="n">
        <f aca="false">IF(MAX($AN$2:$AN$921)=MIN($AN$2:$AN$921),50,ROUND((AN392-MIN($AN$2:$AN$921))/(MAX($AN$2:$AN$921)-MIN($AN$2:$AN$921))*100,2))</f>
        <v>78.75</v>
      </c>
      <c r="AX392" s="8" t="n">
        <f aca="false">AQ392*100</f>
        <v>0</v>
      </c>
      <c r="AY392" s="8" t="n">
        <f aca="false">AR392*100</f>
        <v>0</v>
      </c>
      <c r="AZ392" s="8" t="n">
        <f aca="false">IFERROR(ROUND(AS392*Assumptions!$I$6+AW392*Assumptions!$I$7+AT392*Assumptions!$I$8+AU392*Assumptions!$I$9+AV392*Assumptions!$I$10+AX392*Assumptions!$I$11+AY392*Assumptions!$I$12,2),"")</f>
        <v>55.44</v>
      </c>
      <c r="BA392" s="0" t="str">
        <f aca="false">IF(AZ392="","",IF(AZ392&lt;=Assumptions!$I$18,"Below Expectation",IF(AZ392&lt;=Assumptions!$I$19,"Developing",IF(AZ392&lt;=Assumptions!$I$20,"Meets Expectation",IF(AZ392&lt;=Assumptions!$I$21,"Exceeds","Star Performer")))))</f>
        <v>Meets Expectation</v>
      </c>
      <c r="BB392" s="0" t="n">
        <f aca="false">IF(AZ392="",0,IF(AZ392&gt;=Assumptions!$I$26,1,0))</f>
        <v>0</v>
      </c>
      <c r="BC392" s="9" t="n">
        <f aca="false">IF(AL392="",2,AL392+2)</f>
        <v>3</v>
      </c>
      <c r="BD392" s="10" t="n">
        <f aca="false">IF(AM392="",ROUND(AVERAGE($AM$2:$AM$921),3),AM392)</f>
        <v>0.707</v>
      </c>
      <c r="BE392" s="9" t="n">
        <f aca="false">1-BD392</f>
        <v>0.293</v>
      </c>
    </row>
    <row r="393" customFormat="false" ht="14.25" hidden="false" customHeight="false" outlineLevel="0" collapsed="false">
      <c r="A393" s="4" t="n">
        <v>917</v>
      </c>
      <c r="B393" s="5" t="n">
        <v>67571265</v>
      </c>
      <c r="C393" s="5" t="s">
        <v>106</v>
      </c>
      <c r="D393" s="5" t="s">
        <v>1703</v>
      </c>
      <c r="E393" s="5" t="s">
        <v>1494</v>
      </c>
      <c r="F393" s="5" t="s">
        <v>563</v>
      </c>
      <c r="G393" s="5" t="s">
        <v>924</v>
      </c>
      <c r="H393" s="5" t="s">
        <v>925</v>
      </c>
      <c r="I393" s="5" t="s">
        <v>63</v>
      </c>
      <c r="J393" s="5" t="s">
        <v>112</v>
      </c>
      <c r="K393" s="5" t="s">
        <v>65</v>
      </c>
      <c r="L393" s="6" t="n">
        <v>43724</v>
      </c>
      <c r="M393" s="5" t="s">
        <v>1704</v>
      </c>
      <c r="N393" s="6" t="n">
        <v>30721</v>
      </c>
      <c r="O393" s="5" t="s">
        <v>1264</v>
      </c>
      <c r="P393" s="5" t="s">
        <v>1264</v>
      </c>
      <c r="Q393" s="5" t="s">
        <v>711</v>
      </c>
      <c r="R393" s="5" t="s">
        <v>656</v>
      </c>
      <c r="S393" s="5" t="s">
        <v>1500</v>
      </c>
      <c r="T393" s="6"/>
      <c r="U393" s="6" t="n">
        <v>46082</v>
      </c>
      <c r="V393" s="5" t="s">
        <v>631</v>
      </c>
      <c r="W393" s="5" t="s">
        <v>631</v>
      </c>
      <c r="X393" s="5" t="s">
        <v>141</v>
      </c>
      <c r="Y393" s="5" t="s">
        <v>83</v>
      </c>
      <c r="Z393" s="5" t="s">
        <v>141</v>
      </c>
      <c r="AA393" s="5" t="s">
        <v>1705</v>
      </c>
      <c r="AB393" s="0" t="n">
        <f aca="false">IFERROR(VALUE(R393),0)</f>
        <v>7.4</v>
      </c>
      <c r="AC393" s="0" t="n">
        <f aca="false">IFERROR(VALUE(M393),"")</f>
        <v>42.3</v>
      </c>
      <c r="AD393" s="0" t="n">
        <f aca="false">IFERROR(VALUE(Q393),"")</f>
        <v>6.8</v>
      </c>
      <c r="AE393" s="0" t="n">
        <f aca="false">IFERROR(VALUE(S393),"")</f>
        <v>14</v>
      </c>
      <c r="AF393" s="0" t="n">
        <f aca="false">IF(V393="","",VLOOKUP(V393,Assumptions!$B$6:$C$9,2,FALSE()))</f>
        <v>2</v>
      </c>
      <c r="AG393" s="0" t="n">
        <f aca="false">IF(W393="","",VLOOKUP(W393,Assumptions!$B$6:$C$9,2,FALSE()))</f>
        <v>2</v>
      </c>
      <c r="AH393" s="0" t="n">
        <f aca="false">IF(X393="","",VLOOKUP(X393,Assumptions!$B$6:$C$9,2,FALSE()))</f>
        <v>3</v>
      </c>
      <c r="AI393" s="0" t="n">
        <f aca="false">IF(Y393="","",VLOOKUP(Y393,Assumptions!$B$6:$C$9,2,FALSE()))</f>
        <v>4</v>
      </c>
      <c r="AJ393" s="0" t="n">
        <f aca="false">IF(Z393="","",VLOOKUP(Z393,Assumptions!$B$6:$C$9,2,FALSE()))</f>
        <v>3</v>
      </c>
      <c r="AK393" s="7" t="n">
        <f aca="false">IFERROR(ROUND(AVERAGE(AF393:AJ393),3),"")</f>
        <v>2.8</v>
      </c>
      <c r="AL393" s="7" t="n">
        <f aca="false">IF(OR(AF393="",AJ393=""),"",AJ393-AF393)</f>
        <v>1</v>
      </c>
      <c r="AM393" s="7" t="n">
        <f aca="false">IF(COUNT(AF393:AJ393)&gt;=2,ROUND(_xlfn.STDEV.S(AF393:AJ393),3),"")</f>
        <v>0.837</v>
      </c>
      <c r="AN393" s="7" t="n">
        <f aca="false">ROUND((IF(AF393="",0,AF393)*Assumptions!$F$15)+(IF(AG393="",0,AG393)*Assumptions!$F$16)+(IF(AH393="",0,AH393)*Assumptions!$F$17)+(IF(AI393="",0,AI393)*Assumptions!$F$18)+(IF(AJ393="",0,AJ393)*Assumptions!$F$19),3)</f>
        <v>3</v>
      </c>
      <c r="AO393" s="0" t="str">
        <f aca="false">IF(AC393&lt;=20,"",IF(AC393&lt;=Assumptions!$F$6,"20-30",IF(AC393&lt;=Assumptions!$F$7,"30-40",IF(AC393&lt;=Assumptions!$F$8,"40-50",IF(AC393&lt;=Assumptions!$F$9,"50-60",IF(AC393&lt;=Assumptions!$F$10,"60+",""))))))</f>
        <v>40-50</v>
      </c>
      <c r="AP393" s="0" t="str">
        <f aca="false">IFERROR(VLOOKUP(O393,Assumptions!$B$14:$C$26,2,FALSE()),"Other")</f>
        <v>Manager</v>
      </c>
      <c r="AQ393" s="0" t="n">
        <f aca="false">IF(T393="",0,1)</f>
        <v>0</v>
      </c>
      <c r="AR393" s="0" t="n">
        <f aca="false">IF(U393="",0,1)</f>
        <v>1</v>
      </c>
      <c r="AS393" s="8" t="n">
        <f aca="false">IF(AK393="","",IF(MAX($AK$2:$AK$921)=MIN($AK$2:$AK$921),50,ROUND((AK393-MIN($AK$2:$AK$921))/(MAX($AK$2:$AK$921)-MIN($AK$2:$AK$921))*100,2)))</f>
        <v>48.56</v>
      </c>
      <c r="AT393" s="8" t="n">
        <f aca="false">IF(MAX($BC$2:$BC$921)=MIN($BC$2:$BC$921),50,ROUND((BC393-MIN($BC$2:$BC$921))/(MAX($BC$2:$BC$921)-MIN($BC$2:$BC$921))*100,2))</f>
        <v>75</v>
      </c>
      <c r="AU393" s="8" t="n">
        <f aca="false">IF(MAX($BE$2:$BE$921)=MIN($BE$2:$BE$921),50,ROUND((BE393-MIN($BE$2:$BE$921))/(MAX($BE$2:$BE$921)-MIN($BE$2:$BE$921))*100,2))</f>
        <v>51.67</v>
      </c>
      <c r="AV393" s="8" t="n">
        <f aca="false">IF(MAX($AD$2:$AD$921)=MIN($AD$2:$AD$921),50,ROUND((AD393-MIN($AD$2:$AD$921))/(MAX($AD$2:$AD$921)-MIN($AD$2:$AD$921))*100,2))</f>
        <v>18.18</v>
      </c>
      <c r="AW393" s="8" t="n">
        <f aca="false">IF(MAX($AN$2:$AN$921)=MIN($AN$2:$AN$921),50,ROUND((AN393-MIN($AN$2:$AN$921))/(MAX($AN$2:$AN$921)-MIN($AN$2:$AN$921))*100,2))</f>
        <v>75</v>
      </c>
      <c r="AX393" s="8" t="n">
        <f aca="false">AQ393*100</f>
        <v>0</v>
      </c>
      <c r="AY393" s="8" t="n">
        <f aca="false">AR393*100</f>
        <v>100</v>
      </c>
      <c r="AZ393" s="8" t="n">
        <f aca="false">IFERROR(ROUND(AS393*Assumptions!$I$6+AW393*Assumptions!$I$7+AT393*Assumptions!$I$8+AU393*Assumptions!$I$9+AV393*Assumptions!$I$10+AX393*Assumptions!$I$11+AY393*Assumptions!$I$12,2),"")</f>
        <v>55.39</v>
      </c>
      <c r="BA393" s="0" t="str">
        <f aca="false">IF(AZ393="","",IF(AZ393&lt;=Assumptions!$I$18,"Below Expectation",IF(AZ393&lt;=Assumptions!$I$19,"Developing",IF(AZ393&lt;=Assumptions!$I$20,"Meets Expectation",IF(AZ393&lt;=Assumptions!$I$21,"Exceeds","Star Performer")))))</f>
        <v>Meets Expectation</v>
      </c>
      <c r="BB393" s="0" t="n">
        <f aca="false">IF(AZ393="",0,IF(AZ393&gt;=Assumptions!$I$26,1,0))</f>
        <v>0</v>
      </c>
      <c r="BC393" s="9" t="n">
        <f aca="false">IF(AL393="",2,AL393+2)</f>
        <v>3</v>
      </c>
      <c r="BD393" s="10" t="n">
        <f aca="false">IF(AM393="",ROUND(AVERAGE($AM$2:$AM$921),3),AM393)</f>
        <v>0.837</v>
      </c>
      <c r="BE393" s="9" t="n">
        <f aca="false">1-BD393</f>
        <v>0.163</v>
      </c>
    </row>
    <row r="394" customFormat="false" ht="14.25" hidden="true" customHeight="false" outlineLevel="0" collapsed="false">
      <c r="A394" s="4" t="n">
        <v>179</v>
      </c>
      <c r="B394" s="5" t="n">
        <v>10053786</v>
      </c>
      <c r="C394" s="5" t="s">
        <v>57</v>
      </c>
      <c r="D394" s="5" t="s">
        <v>1706</v>
      </c>
      <c r="E394" s="5" t="s">
        <v>607</v>
      </c>
      <c r="F394" s="5" t="s">
        <v>608</v>
      </c>
      <c r="G394" s="5" t="s">
        <v>609</v>
      </c>
      <c r="H394" s="5" t="s">
        <v>608</v>
      </c>
      <c r="I394" s="5" t="s">
        <v>63</v>
      </c>
      <c r="J394" s="5" t="s">
        <v>100</v>
      </c>
      <c r="K394" s="5" t="s">
        <v>65</v>
      </c>
      <c r="L394" s="6" t="n">
        <v>42494</v>
      </c>
      <c r="M394" s="5" t="s">
        <v>722</v>
      </c>
      <c r="N394" s="6" t="n">
        <v>29411</v>
      </c>
      <c r="O394" s="5" t="s">
        <v>365</v>
      </c>
      <c r="P394" s="5" t="s">
        <v>365</v>
      </c>
      <c r="Q394" s="5" t="s">
        <v>399</v>
      </c>
      <c r="R394" s="5" t="s">
        <v>1467</v>
      </c>
      <c r="S394" s="5" t="s">
        <v>577</v>
      </c>
      <c r="T394" s="6"/>
      <c r="U394" s="6"/>
      <c r="V394" s="5" t="s">
        <v>631</v>
      </c>
      <c r="W394" s="5" t="s">
        <v>631</v>
      </c>
      <c r="X394" s="5" t="s">
        <v>141</v>
      </c>
      <c r="Y394" s="5" t="s">
        <v>141</v>
      </c>
      <c r="Z394" s="5" t="s">
        <v>83</v>
      </c>
      <c r="AA394" s="5" t="s">
        <v>1707</v>
      </c>
      <c r="AB394" s="0" t="n">
        <f aca="false">IFERROR(VALUE(R394),0)</f>
        <v>10.4</v>
      </c>
      <c r="AC394" s="0" t="n">
        <f aca="false">IFERROR(VALUE(M394),"")</f>
        <v>45.1</v>
      </c>
      <c r="AD394" s="0" t="n">
        <f aca="false">IFERROR(VALUE(Q394),"")</f>
        <v>10.1</v>
      </c>
      <c r="AE394" s="0" t="n">
        <f aca="false">IFERROR(VALUE(S394),"")</f>
        <v>20.5</v>
      </c>
      <c r="AF394" s="0" t="n">
        <f aca="false">IF(V394="","",VLOOKUP(V394,Assumptions!$B$6:$C$9,2,FALSE()))</f>
        <v>2</v>
      </c>
      <c r="AG394" s="0" t="n">
        <f aca="false">IF(W394="","",VLOOKUP(W394,Assumptions!$B$6:$C$9,2,FALSE()))</f>
        <v>2</v>
      </c>
      <c r="AH394" s="0" t="n">
        <f aca="false">IF(X394="","",VLOOKUP(X394,Assumptions!$B$6:$C$9,2,FALSE()))</f>
        <v>3</v>
      </c>
      <c r="AI394" s="0" t="n">
        <f aca="false">IF(Y394="","",VLOOKUP(Y394,Assumptions!$B$6:$C$9,2,FALSE()))</f>
        <v>3</v>
      </c>
      <c r="AJ394" s="0" t="n">
        <f aca="false">IF(Z394="","",VLOOKUP(Z394,Assumptions!$B$6:$C$9,2,FALSE()))</f>
        <v>4</v>
      </c>
      <c r="AK394" s="7" t="n">
        <f aca="false">IFERROR(ROUND(AVERAGE(AF394:AJ394),3),"")</f>
        <v>2.8</v>
      </c>
      <c r="AL394" s="7" t="n">
        <f aca="false">IF(OR(AF394="",AJ394=""),"",AJ394-AF394)</f>
        <v>2</v>
      </c>
      <c r="AM394" s="7" t="n">
        <f aca="false">IF(COUNT(AF394:AJ394)&gt;=2,ROUND(_xlfn.STDEV.S(AF394:AJ394),3),"")</f>
        <v>0.837</v>
      </c>
      <c r="AN394" s="7" t="n">
        <f aca="false">ROUND((IF(AF394="",0,AF394)*Assumptions!$F$15)+(IF(AG394="",0,AG394)*Assumptions!$F$16)+(IF(AH394="",0,AH394)*Assumptions!$F$17)+(IF(AI394="",0,AI394)*Assumptions!$F$18)+(IF(AJ394="",0,AJ394)*Assumptions!$F$19),3)</f>
        <v>3.05</v>
      </c>
      <c r="AO394" s="0" t="str">
        <f aca="false">IF(AC394&lt;=20,"",IF(AC394&lt;=Assumptions!$F$6,"20-30",IF(AC394&lt;=Assumptions!$F$7,"30-40",IF(AC394&lt;=Assumptions!$F$8,"40-50",IF(AC394&lt;=Assumptions!$F$9,"50-60",IF(AC394&lt;=Assumptions!$F$10,"60+",""))))))</f>
        <v>40-50</v>
      </c>
      <c r="AP394" s="0" t="str">
        <f aca="false">IFERROR(VLOOKUP(O394,Assumptions!$B$14:$C$26,2,FALSE()),"Other")</f>
        <v>Manager</v>
      </c>
      <c r="AQ394" s="0" t="n">
        <f aca="false">IF(T394="",0,1)</f>
        <v>0</v>
      </c>
      <c r="AR394" s="0" t="n">
        <f aca="false">IF(U394="",0,1)</f>
        <v>0</v>
      </c>
      <c r="AS394" s="8" t="n">
        <f aca="false">IF(AK394="","",IF(MAX($AK$2:$AK$921)=MIN($AK$2:$AK$921),50,ROUND((AK394-MIN($AK$2:$AK$921))/(MAX($AK$2:$AK$921)-MIN($AK$2:$AK$921))*100,2)))</f>
        <v>48.56</v>
      </c>
      <c r="AT394" s="8" t="n">
        <f aca="false">IF(MAX($BC$2:$BC$921)=MIN($BC$2:$BC$921),50,ROUND((BC394-MIN($BC$2:$BC$921))/(MAX($BC$2:$BC$921)-MIN($BC$2:$BC$921))*100,2))</f>
        <v>100</v>
      </c>
      <c r="AU394" s="8" t="n">
        <f aca="false">IF(MAX($BE$2:$BE$921)=MIN($BE$2:$BE$921),50,ROUND((BE394-MIN($BE$2:$BE$921))/(MAX($BE$2:$BE$921)-MIN($BE$2:$BE$921))*100,2))</f>
        <v>51.67</v>
      </c>
      <c r="AV394" s="8" t="n">
        <f aca="false">IF(MAX($AD$2:$AD$921)=MIN($AD$2:$AD$921),50,ROUND((AD394-MIN($AD$2:$AD$921))/(MAX($AD$2:$AD$921)-MIN($AD$2:$AD$921))*100,2))</f>
        <v>27.15</v>
      </c>
      <c r="AW394" s="8" t="n">
        <f aca="false">IF(MAX($AN$2:$AN$921)=MIN($AN$2:$AN$921),50,ROUND((AN394-MIN($AN$2:$AN$921))/(MAX($AN$2:$AN$921)-MIN($AN$2:$AN$921))*100,2))</f>
        <v>76.25</v>
      </c>
      <c r="AX394" s="8" t="n">
        <f aca="false">AQ394*100</f>
        <v>0</v>
      </c>
      <c r="AY394" s="8" t="n">
        <f aca="false">AR394*100</f>
        <v>0</v>
      </c>
      <c r="AZ394" s="8" t="n">
        <f aca="false">IFERROR(ROUND(AS394*Assumptions!$I$6+AW394*Assumptions!$I$7+AT394*Assumptions!$I$8+AU394*Assumptions!$I$9+AV394*Assumptions!$I$10+AX394*Assumptions!$I$11+AY394*Assumptions!$I$12,2),"")</f>
        <v>55.28</v>
      </c>
      <c r="BA394" s="0" t="str">
        <f aca="false">IF(AZ394="","",IF(AZ394&lt;=Assumptions!$I$18,"Below Expectation",IF(AZ394&lt;=Assumptions!$I$19,"Developing",IF(AZ394&lt;=Assumptions!$I$20,"Meets Expectation",IF(AZ394&lt;=Assumptions!$I$21,"Exceeds","Star Performer")))))</f>
        <v>Meets Expectation</v>
      </c>
      <c r="BB394" s="0" t="n">
        <f aca="false">IF(AZ394="",0,IF(AZ394&gt;=Assumptions!$I$26,1,0))</f>
        <v>0</v>
      </c>
      <c r="BC394" s="9" t="n">
        <f aca="false">IF(AL394="",2,AL394+2)</f>
        <v>4</v>
      </c>
      <c r="BD394" s="10" t="n">
        <f aca="false">IF(AM394="",ROUND(AVERAGE($AM$2:$AM$921),3),AM394)</f>
        <v>0.837</v>
      </c>
      <c r="BE394" s="9" t="n">
        <f aca="false">1-BD394</f>
        <v>0.163</v>
      </c>
    </row>
    <row r="395" customFormat="false" ht="14.25" hidden="true" customHeight="false" outlineLevel="0" collapsed="false">
      <c r="A395" s="4" t="n">
        <v>148</v>
      </c>
      <c r="B395" s="5" t="n">
        <v>10046535</v>
      </c>
      <c r="C395" s="5" t="s">
        <v>85</v>
      </c>
      <c r="D395" s="5" t="s">
        <v>1708</v>
      </c>
      <c r="E395" s="5" t="s">
        <v>185</v>
      </c>
      <c r="F395" s="5" t="s">
        <v>349</v>
      </c>
      <c r="G395" s="5" t="s">
        <v>350</v>
      </c>
      <c r="H395" s="5" t="s">
        <v>349</v>
      </c>
      <c r="I395" s="5" t="s">
        <v>63</v>
      </c>
      <c r="J395" s="5" t="s">
        <v>76</v>
      </c>
      <c r="K395" s="5" t="s">
        <v>65</v>
      </c>
      <c r="L395" s="6" t="n">
        <v>41932</v>
      </c>
      <c r="M395" s="5" t="s">
        <v>1709</v>
      </c>
      <c r="N395" s="6" t="n">
        <v>33960</v>
      </c>
      <c r="O395" s="5" t="s">
        <v>332</v>
      </c>
      <c r="P395" s="5" t="s">
        <v>333</v>
      </c>
      <c r="Q395" s="5" t="s">
        <v>172</v>
      </c>
      <c r="R395" s="5" t="s">
        <v>115</v>
      </c>
      <c r="S395" s="5" t="s">
        <v>172</v>
      </c>
      <c r="T395" s="6"/>
      <c r="U395" s="6" t="n">
        <v>44652</v>
      </c>
      <c r="V395" s="5" t="s">
        <v>141</v>
      </c>
      <c r="W395" s="5" t="s">
        <v>141</v>
      </c>
      <c r="X395" s="5" t="s">
        <v>83</v>
      </c>
      <c r="Y395" s="5" t="s">
        <v>83</v>
      </c>
      <c r="Z395" s="5" t="s">
        <v>631</v>
      </c>
      <c r="AA395" s="5" t="s">
        <v>1710</v>
      </c>
      <c r="AB395" s="0" t="n">
        <f aca="false">IFERROR(VALUE(R395),0)</f>
        <v>0</v>
      </c>
      <c r="AC395" s="0" t="n">
        <f aca="false">IFERROR(VALUE(M395),"")</f>
        <v>33.5</v>
      </c>
      <c r="AD395" s="0" t="n">
        <f aca="false">IFERROR(VALUE(Q395),"")</f>
        <v>11.7</v>
      </c>
      <c r="AE395" s="0" t="n">
        <f aca="false">IFERROR(VALUE(S395),"")</f>
        <v>11.7</v>
      </c>
      <c r="AF395" s="0" t="n">
        <f aca="false">IF(V395="","",VLOOKUP(V395,Assumptions!$B$6:$C$9,2,FALSE()))</f>
        <v>3</v>
      </c>
      <c r="AG395" s="0" t="n">
        <f aca="false">IF(W395="","",VLOOKUP(W395,Assumptions!$B$6:$C$9,2,FALSE()))</f>
        <v>3</v>
      </c>
      <c r="AH395" s="0" t="n">
        <f aca="false">IF(X395="","",VLOOKUP(X395,Assumptions!$B$6:$C$9,2,FALSE()))</f>
        <v>4</v>
      </c>
      <c r="AI395" s="0" t="n">
        <f aca="false">IF(Y395="","",VLOOKUP(Y395,Assumptions!$B$6:$C$9,2,FALSE()))</f>
        <v>4</v>
      </c>
      <c r="AJ395" s="0" t="n">
        <f aca="false">IF(Z395="","",VLOOKUP(Z395,Assumptions!$B$6:$C$9,2,FALSE()))</f>
        <v>2</v>
      </c>
      <c r="AK395" s="7" t="n">
        <f aca="false">IFERROR(ROUND(AVERAGE(AF395:AJ395),3),"")</f>
        <v>3.2</v>
      </c>
      <c r="AL395" s="7" t="n">
        <f aca="false">IF(OR(AF395="",AJ395=""),"",AJ395-AF395)</f>
        <v>-1</v>
      </c>
      <c r="AM395" s="7" t="n">
        <f aca="false">IF(COUNT(AF395:AJ395)&gt;=2,ROUND(_xlfn.STDEV.S(AF395:AJ395),3),"")</f>
        <v>0.837</v>
      </c>
      <c r="AN395" s="7" t="n">
        <f aca="false">ROUND((IF(AF395="",0,AF395)*Assumptions!$F$15)+(IF(AG395="",0,AG395)*Assumptions!$F$16)+(IF(AH395="",0,AH395)*Assumptions!$F$17)+(IF(AI395="",0,AI395)*Assumptions!$F$18)+(IF(AJ395="",0,AJ395)*Assumptions!$F$19),3)</f>
        <v>3.15</v>
      </c>
      <c r="AO395" s="0" t="str">
        <f aca="false">IF(AC395&lt;=20,"",IF(AC395&lt;=Assumptions!$F$6,"20-30",IF(AC395&lt;=Assumptions!$F$7,"30-40",IF(AC395&lt;=Assumptions!$F$8,"40-50",IF(AC395&lt;=Assumptions!$F$9,"50-60",IF(AC395&lt;=Assumptions!$F$10,"60+",""))))))</f>
        <v>30-40</v>
      </c>
      <c r="AP395" s="0" t="str">
        <f aca="false">IFERROR(VLOOKUP(O395,Assumptions!$B$14:$C$26,2,FALSE()),"Other")</f>
        <v>Manager</v>
      </c>
      <c r="AQ395" s="0" t="n">
        <f aca="false">IF(T395="",0,1)</f>
        <v>0</v>
      </c>
      <c r="AR395" s="0" t="n">
        <f aca="false">IF(U395="",0,1)</f>
        <v>1</v>
      </c>
      <c r="AS395" s="8" t="n">
        <f aca="false">IF(AK395="","",IF(MAX($AK$2:$AK$921)=MIN($AK$2:$AK$921),50,ROUND((AK395-MIN($AK$2:$AK$921))/(MAX($AK$2:$AK$921)-MIN($AK$2:$AK$921))*100,2)))</f>
        <v>65.71</v>
      </c>
      <c r="AT395" s="8" t="n">
        <f aca="false">IF(MAX($BC$2:$BC$921)=MIN($BC$2:$BC$921),50,ROUND((BC395-MIN($BC$2:$BC$921))/(MAX($BC$2:$BC$921)-MIN($BC$2:$BC$921))*100,2))</f>
        <v>25</v>
      </c>
      <c r="AU395" s="8" t="n">
        <f aca="false">IF(MAX($BE$2:$BE$921)=MIN($BE$2:$BE$921),50,ROUND((BE395-MIN($BE$2:$BE$921))/(MAX($BE$2:$BE$921)-MIN($BE$2:$BE$921))*100,2))</f>
        <v>51.67</v>
      </c>
      <c r="AV395" s="8" t="n">
        <f aca="false">IF(MAX($AD$2:$AD$921)=MIN($AD$2:$AD$921),50,ROUND((AD395-MIN($AD$2:$AD$921))/(MAX($AD$2:$AD$921)-MIN($AD$2:$AD$921))*100,2))</f>
        <v>31.5</v>
      </c>
      <c r="AW395" s="8" t="n">
        <f aca="false">IF(MAX($AN$2:$AN$921)=MIN($AN$2:$AN$921),50,ROUND((AN395-MIN($AN$2:$AN$921))/(MAX($AN$2:$AN$921)-MIN($AN$2:$AN$921))*100,2))</f>
        <v>78.75</v>
      </c>
      <c r="AX395" s="8" t="n">
        <f aca="false">AQ395*100</f>
        <v>0</v>
      </c>
      <c r="AY395" s="8" t="n">
        <f aca="false">AR395*100</f>
        <v>100</v>
      </c>
      <c r="AZ395" s="8" t="n">
        <f aca="false">IFERROR(ROUND(AS395*Assumptions!$I$6+AW395*Assumptions!$I$7+AT395*Assumptions!$I$8+AU395*Assumptions!$I$9+AV395*Assumptions!$I$10+AX395*Assumptions!$I$11+AY395*Assumptions!$I$12,2),"")</f>
        <v>55.11</v>
      </c>
      <c r="BA395" s="0" t="str">
        <f aca="false">IF(AZ395="","",IF(AZ395&lt;=Assumptions!$I$18,"Below Expectation",IF(AZ395&lt;=Assumptions!$I$19,"Developing",IF(AZ395&lt;=Assumptions!$I$20,"Meets Expectation",IF(AZ395&lt;=Assumptions!$I$21,"Exceeds","Star Performer")))))</f>
        <v>Meets Expectation</v>
      </c>
      <c r="BB395" s="0" t="n">
        <f aca="false">IF(AZ395="",0,IF(AZ395&gt;=Assumptions!$I$26,1,0))</f>
        <v>0</v>
      </c>
      <c r="BC395" s="9" t="n">
        <f aca="false">IF(AL395="",2,AL395+2)</f>
        <v>1</v>
      </c>
      <c r="BD395" s="10" t="n">
        <f aca="false">IF(AM395="",ROUND(AVERAGE($AM$2:$AM$921),3),AM395)</f>
        <v>0.837</v>
      </c>
      <c r="BE395" s="9" t="n">
        <f aca="false">1-BD395</f>
        <v>0.163</v>
      </c>
    </row>
    <row r="396" customFormat="false" ht="14.25" hidden="false" customHeight="false" outlineLevel="0" collapsed="false">
      <c r="A396" s="4" t="n">
        <v>915</v>
      </c>
      <c r="B396" s="5" t="n">
        <v>67546439</v>
      </c>
      <c r="C396" s="5" t="s">
        <v>106</v>
      </c>
      <c r="D396" s="5" t="s">
        <v>1711</v>
      </c>
      <c r="E396" s="5" t="s">
        <v>305</v>
      </c>
      <c r="F396" s="5" t="s">
        <v>925</v>
      </c>
      <c r="G396" s="5" t="s">
        <v>1260</v>
      </c>
      <c r="H396" s="5" t="s">
        <v>1261</v>
      </c>
      <c r="I396" s="5" t="s">
        <v>63</v>
      </c>
      <c r="J396" s="5" t="s">
        <v>112</v>
      </c>
      <c r="K396" s="5" t="s">
        <v>309</v>
      </c>
      <c r="L396" s="6" t="n">
        <v>43083</v>
      </c>
      <c r="M396" s="5" t="s">
        <v>1077</v>
      </c>
      <c r="N396" s="6" t="n">
        <v>33873</v>
      </c>
      <c r="O396" s="5" t="s">
        <v>585</v>
      </c>
      <c r="P396" s="5" t="s">
        <v>585</v>
      </c>
      <c r="Q396" s="5" t="s">
        <v>791</v>
      </c>
      <c r="R396" s="5" t="s">
        <v>115</v>
      </c>
      <c r="S396" s="5" t="s">
        <v>791</v>
      </c>
      <c r="T396" s="6"/>
      <c r="U396" s="6" t="n">
        <v>45992</v>
      </c>
      <c r="V396" s="5" t="s">
        <v>631</v>
      </c>
      <c r="W396" s="5" t="s">
        <v>141</v>
      </c>
      <c r="X396" s="5" t="s">
        <v>83</v>
      </c>
      <c r="Y396" s="5" t="s">
        <v>631</v>
      </c>
      <c r="Z396" s="5" t="s">
        <v>141</v>
      </c>
      <c r="AA396" s="5" t="s">
        <v>1712</v>
      </c>
      <c r="AB396" s="0" t="n">
        <f aca="false">IFERROR(VALUE(R396),0)</f>
        <v>0</v>
      </c>
      <c r="AC396" s="0" t="n">
        <f aca="false">IFERROR(VALUE(M396),"")</f>
        <v>33.8</v>
      </c>
      <c r="AD396" s="0" t="n">
        <f aca="false">IFERROR(VALUE(Q396),"")</f>
        <v>8.5</v>
      </c>
      <c r="AE396" s="0" t="n">
        <f aca="false">IFERROR(VALUE(S396),"")</f>
        <v>8.5</v>
      </c>
      <c r="AF396" s="0" t="n">
        <f aca="false">IF(V396="","",VLOOKUP(V396,Assumptions!$B$6:$C$9,2,FALSE()))</f>
        <v>2</v>
      </c>
      <c r="AG396" s="0" t="n">
        <f aca="false">IF(W396="","",VLOOKUP(W396,Assumptions!$B$6:$C$9,2,FALSE()))</f>
        <v>3</v>
      </c>
      <c r="AH396" s="0" t="n">
        <f aca="false">IF(X396="","",VLOOKUP(X396,Assumptions!$B$6:$C$9,2,FALSE()))</f>
        <v>4</v>
      </c>
      <c r="AI396" s="0" t="n">
        <f aca="false">IF(Y396="","",VLOOKUP(Y396,Assumptions!$B$6:$C$9,2,FALSE()))</f>
        <v>2</v>
      </c>
      <c r="AJ396" s="0" t="n">
        <f aca="false">IF(Z396="","",VLOOKUP(Z396,Assumptions!$B$6:$C$9,2,FALSE()))</f>
        <v>3</v>
      </c>
      <c r="AK396" s="7" t="n">
        <f aca="false">IFERROR(ROUND(AVERAGE(AF396:AJ396),3),"")</f>
        <v>2.8</v>
      </c>
      <c r="AL396" s="7" t="n">
        <f aca="false">IF(OR(AF396="",AJ396=""),"",AJ396-AF396)</f>
        <v>1</v>
      </c>
      <c r="AM396" s="7" t="n">
        <f aca="false">IF(COUNT(AF396:AJ396)&gt;=2,ROUND(_xlfn.STDEV.S(AF396:AJ396),3),"")</f>
        <v>0.837</v>
      </c>
      <c r="AN396" s="7" t="n">
        <f aca="false">ROUND((IF(AF396="",0,AF396)*Assumptions!$F$15)+(IF(AG396="",0,AG396)*Assumptions!$F$16)+(IF(AH396="",0,AH396)*Assumptions!$F$17)+(IF(AI396="",0,AI396)*Assumptions!$F$18)+(IF(AJ396="",0,AJ396)*Assumptions!$F$19),3)</f>
        <v>2.85</v>
      </c>
      <c r="AO396" s="0" t="str">
        <f aca="false">IF(AC396&lt;=20,"",IF(AC396&lt;=Assumptions!$F$6,"20-30",IF(AC396&lt;=Assumptions!$F$7,"30-40",IF(AC396&lt;=Assumptions!$F$8,"40-50",IF(AC396&lt;=Assumptions!$F$9,"50-60",IF(AC396&lt;=Assumptions!$F$10,"60+",""))))))</f>
        <v>30-40</v>
      </c>
      <c r="AP396" s="0" t="str">
        <f aca="false">IFERROR(VLOOKUP(O396,Assumptions!$B$14:$C$26,2,FALSE()),"Other")</f>
        <v>Manager</v>
      </c>
      <c r="AQ396" s="0" t="n">
        <f aca="false">IF(T396="",0,1)</f>
        <v>0</v>
      </c>
      <c r="AR396" s="0" t="n">
        <f aca="false">IF(U396="",0,1)</f>
        <v>1</v>
      </c>
      <c r="AS396" s="8" t="n">
        <f aca="false">IF(AK396="","",IF(MAX($AK$2:$AK$921)=MIN($AK$2:$AK$921),50,ROUND((AK396-MIN($AK$2:$AK$921))/(MAX($AK$2:$AK$921)-MIN($AK$2:$AK$921))*100,2)))</f>
        <v>48.56</v>
      </c>
      <c r="AT396" s="8" t="n">
        <f aca="false">IF(MAX($BC$2:$BC$921)=MIN($BC$2:$BC$921),50,ROUND((BC396-MIN($BC$2:$BC$921))/(MAX($BC$2:$BC$921)-MIN($BC$2:$BC$921))*100,2))</f>
        <v>75</v>
      </c>
      <c r="AU396" s="8" t="n">
        <f aca="false">IF(MAX($BE$2:$BE$921)=MIN($BE$2:$BE$921),50,ROUND((BE396-MIN($BE$2:$BE$921))/(MAX($BE$2:$BE$921)-MIN($BE$2:$BE$921))*100,2))</f>
        <v>51.67</v>
      </c>
      <c r="AV396" s="8" t="n">
        <f aca="false">IF(MAX($AD$2:$AD$921)=MIN($AD$2:$AD$921),50,ROUND((AD396-MIN($AD$2:$AD$921))/(MAX($AD$2:$AD$921)-MIN($AD$2:$AD$921))*100,2))</f>
        <v>22.81</v>
      </c>
      <c r="AW396" s="8" t="n">
        <f aca="false">IF(MAX($AN$2:$AN$921)=MIN($AN$2:$AN$921),50,ROUND((AN396-MIN($AN$2:$AN$921))/(MAX($AN$2:$AN$921)-MIN($AN$2:$AN$921))*100,2))</f>
        <v>71.25</v>
      </c>
      <c r="AX396" s="8" t="n">
        <f aca="false">AQ396*100</f>
        <v>0</v>
      </c>
      <c r="AY396" s="8" t="n">
        <f aca="false">AR396*100</f>
        <v>100</v>
      </c>
      <c r="AZ396" s="8" t="n">
        <f aca="false">IFERROR(ROUND(AS396*Assumptions!$I$6+AW396*Assumptions!$I$7+AT396*Assumptions!$I$8+AU396*Assumptions!$I$9+AV396*Assumptions!$I$10+AX396*Assumptions!$I$11+AY396*Assumptions!$I$12,2),"")</f>
        <v>55.1</v>
      </c>
      <c r="BA396" s="0" t="str">
        <f aca="false">IF(AZ396="","",IF(AZ396&lt;=Assumptions!$I$18,"Below Expectation",IF(AZ396&lt;=Assumptions!$I$19,"Developing",IF(AZ396&lt;=Assumptions!$I$20,"Meets Expectation",IF(AZ396&lt;=Assumptions!$I$21,"Exceeds","Star Performer")))))</f>
        <v>Meets Expectation</v>
      </c>
      <c r="BB396" s="0" t="n">
        <f aca="false">IF(AZ396="",0,IF(AZ396&gt;=Assumptions!$I$26,1,0))</f>
        <v>0</v>
      </c>
      <c r="BC396" s="9" t="n">
        <f aca="false">IF(AL396="",2,AL396+2)</f>
        <v>3</v>
      </c>
      <c r="BD396" s="10" t="n">
        <f aca="false">IF(AM396="",ROUND(AVERAGE($AM$2:$AM$921),3),AM396)</f>
        <v>0.837</v>
      </c>
      <c r="BE396" s="9" t="n">
        <f aca="false">1-BD396</f>
        <v>0.163</v>
      </c>
    </row>
    <row r="397" customFormat="false" ht="14.25" hidden="true" customHeight="false" outlineLevel="0" collapsed="false">
      <c r="A397" s="4" t="n">
        <v>219</v>
      </c>
      <c r="B397" s="5" t="n">
        <v>10057150</v>
      </c>
      <c r="C397" s="5" t="s">
        <v>57</v>
      </c>
      <c r="D397" s="5" t="s">
        <v>1713</v>
      </c>
      <c r="E397" s="5" t="s">
        <v>456</v>
      </c>
      <c r="F397" s="5" t="s">
        <v>608</v>
      </c>
      <c r="G397" s="5" t="s">
        <v>609</v>
      </c>
      <c r="H397" s="5" t="s">
        <v>608</v>
      </c>
      <c r="I397" s="5" t="s">
        <v>63</v>
      </c>
      <c r="J397" s="5" t="s">
        <v>100</v>
      </c>
      <c r="K397" s="5" t="s">
        <v>65</v>
      </c>
      <c r="L397" s="6" t="n">
        <v>42793</v>
      </c>
      <c r="M397" s="5" t="s">
        <v>800</v>
      </c>
      <c r="N397" s="6" t="n">
        <v>32890</v>
      </c>
      <c r="O397" s="5" t="s">
        <v>365</v>
      </c>
      <c r="P397" s="5" t="s">
        <v>365</v>
      </c>
      <c r="Q397" s="5" t="s">
        <v>569</v>
      </c>
      <c r="R397" s="5" t="s">
        <v>1714</v>
      </c>
      <c r="S397" s="5" t="s">
        <v>714</v>
      </c>
      <c r="T397" s="6"/>
      <c r="U397" s="6"/>
      <c r="V397" s="5" t="s">
        <v>631</v>
      </c>
      <c r="W397" s="5" t="s">
        <v>631</v>
      </c>
      <c r="X397" s="5" t="s">
        <v>141</v>
      </c>
      <c r="Y397" s="5" t="s">
        <v>141</v>
      </c>
      <c r="Z397" s="5" t="s">
        <v>83</v>
      </c>
      <c r="AA397" s="5" t="s">
        <v>814</v>
      </c>
      <c r="AB397" s="0" t="n">
        <f aca="false">IFERROR(VALUE(R397),0)</f>
        <v>2.5</v>
      </c>
      <c r="AC397" s="0" t="n">
        <f aca="false">IFERROR(VALUE(M397),"")</f>
        <v>36.4</v>
      </c>
      <c r="AD397" s="0" t="n">
        <f aca="false">IFERROR(VALUE(Q397),"")</f>
        <v>9.3</v>
      </c>
      <c r="AE397" s="0" t="n">
        <f aca="false">IFERROR(VALUE(S397),"")</f>
        <v>11.8</v>
      </c>
      <c r="AF397" s="0" t="n">
        <f aca="false">IF(V397="","",VLOOKUP(V397,Assumptions!$B$6:$C$9,2,FALSE()))</f>
        <v>2</v>
      </c>
      <c r="AG397" s="0" t="n">
        <f aca="false">IF(W397="","",VLOOKUP(W397,Assumptions!$B$6:$C$9,2,FALSE()))</f>
        <v>2</v>
      </c>
      <c r="AH397" s="0" t="n">
        <f aca="false">IF(X397="","",VLOOKUP(X397,Assumptions!$B$6:$C$9,2,FALSE()))</f>
        <v>3</v>
      </c>
      <c r="AI397" s="0" t="n">
        <f aca="false">IF(Y397="","",VLOOKUP(Y397,Assumptions!$B$6:$C$9,2,FALSE()))</f>
        <v>3</v>
      </c>
      <c r="AJ397" s="0" t="n">
        <f aca="false">IF(Z397="","",VLOOKUP(Z397,Assumptions!$B$6:$C$9,2,FALSE()))</f>
        <v>4</v>
      </c>
      <c r="AK397" s="7" t="n">
        <f aca="false">IFERROR(ROUND(AVERAGE(AF397:AJ397),3),"")</f>
        <v>2.8</v>
      </c>
      <c r="AL397" s="7" t="n">
        <f aca="false">IF(OR(AF397="",AJ397=""),"",AJ397-AF397)</f>
        <v>2</v>
      </c>
      <c r="AM397" s="7" t="n">
        <f aca="false">IF(COUNT(AF397:AJ397)&gt;=2,ROUND(_xlfn.STDEV.S(AF397:AJ397),3),"")</f>
        <v>0.837</v>
      </c>
      <c r="AN397" s="7" t="n">
        <f aca="false">ROUND((IF(AF397="",0,AF397)*Assumptions!$F$15)+(IF(AG397="",0,AG397)*Assumptions!$F$16)+(IF(AH397="",0,AH397)*Assumptions!$F$17)+(IF(AI397="",0,AI397)*Assumptions!$F$18)+(IF(AJ397="",0,AJ397)*Assumptions!$F$19),3)</f>
        <v>3.05</v>
      </c>
      <c r="AO397" s="0" t="str">
        <f aca="false">IF(AC397&lt;=20,"",IF(AC397&lt;=Assumptions!$F$6,"20-30",IF(AC397&lt;=Assumptions!$F$7,"30-40",IF(AC397&lt;=Assumptions!$F$8,"40-50",IF(AC397&lt;=Assumptions!$F$9,"50-60",IF(AC397&lt;=Assumptions!$F$10,"60+",""))))))</f>
        <v>30-40</v>
      </c>
      <c r="AP397" s="0" t="str">
        <f aca="false">IFERROR(VLOOKUP(O397,Assumptions!$B$14:$C$26,2,FALSE()),"Other")</f>
        <v>Manager</v>
      </c>
      <c r="AQ397" s="0" t="n">
        <f aca="false">IF(T397="",0,1)</f>
        <v>0</v>
      </c>
      <c r="AR397" s="0" t="n">
        <f aca="false">IF(U397="",0,1)</f>
        <v>0</v>
      </c>
      <c r="AS397" s="8" t="n">
        <f aca="false">IF(AK397="","",IF(MAX($AK$2:$AK$921)=MIN($AK$2:$AK$921),50,ROUND((AK397-MIN($AK$2:$AK$921))/(MAX($AK$2:$AK$921)-MIN($AK$2:$AK$921))*100,2)))</f>
        <v>48.56</v>
      </c>
      <c r="AT397" s="8" t="n">
        <f aca="false">IF(MAX($BC$2:$BC$921)=MIN($BC$2:$BC$921),50,ROUND((BC397-MIN($BC$2:$BC$921))/(MAX($BC$2:$BC$921)-MIN($BC$2:$BC$921))*100,2))</f>
        <v>100</v>
      </c>
      <c r="AU397" s="8" t="n">
        <f aca="false">IF(MAX($BE$2:$BE$921)=MIN($BE$2:$BE$921),50,ROUND((BE397-MIN($BE$2:$BE$921))/(MAX($BE$2:$BE$921)-MIN($BE$2:$BE$921))*100,2))</f>
        <v>51.67</v>
      </c>
      <c r="AV397" s="8" t="n">
        <f aca="false">IF(MAX($AD$2:$AD$921)=MIN($AD$2:$AD$921),50,ROUND((AD397-MIN($AD$2:$AD$921))/(MAX($AD$2:$AD$921)-MIN($AD$2:$AD$921))*100,2))</f>
        <v>24.98</v>
      </c>
      <c r="AW397" s="8" t="n">
        <f aca="false">IF(MAX($AN$2:$AN$921)=MIN($AN$2:$AN$921),50,ROUND((AN397-MIN($AN$2:$AN$921))/(MAX($AN$2:$AN$921)-MIN($AN$2:$AN$921))*100,2))</f>
        <v>76.25</v>
      </c>
      <c r="AX397" s="8" t="n">
        <f aca="false">AQ397*100</f>
        <v>0</v>
      </c>
      <c r="AY397" s="8" t="n">
        <f aca="false">AR397*100</f>
        <v>0</v>
      </c>
      <c r="AZ397" s="8" t="n">
        <f aca="false">IFERROR(ROUND(AS397*Assumptions!$I$6+AW397*Assumptions!$I$7+AT397*Assumptions!$I$8+AU397*Assumptions!$I$9+AV397*Assumptions!$I$10+AX397*Assumptions!$I$11+AY397*Assumptions!$I$12,2),"")</f>
        <v>55.07</v>
      </c>
      <c r="BA397" s="0" t="str">
        <f aca="false">IF(AZ397="","",IF(AZ397&lt;=Assumptions!$I$18,"Below Expectation",IF(AZ397&lt;=Assumptions!$I$19,"Developing",IF(AZ397&lt;=Assumptions!$I$20,"Meets Expectation",IF(AZ397&lt;=Assumptions!$I$21,"Exceeds","Star Performer")))))</f>
        <v>Meets Expectation</v>
      </c>
      <c r="BB397" s="0" t="n">
        <f aca="false">IF(AZ397="",0,IF(AZ397&gt;=Assumptions!$I$26,1,0))</f>
        <v>0</v>
      </c>
      <c r="BC397" s="9" t="n">
        <f aca="false">IF(AL397="",2,AL397+2)</f>
        <v>4</v>
      </c>
      <c r="BD397" s="10" t="n">
        <f aca="false">IF(AM397="",ROUND(AVERAGE($AM$2:$AM$921),3),AM397)</f>
        <v>0.837</v>
      </c>
      <c r="BE397" s="9" t="n">
        <f aca="false">1-BD397</f>
        <v>0.163</v>
      </c>
    </row>
    <row r="398" customFormat="false" ht="14.25" hidden="true" customHeight="false" outlineLevel="0" collapsed="false">
      <c r="A398" s="4" t="n">
        <v>364</v>
      </c>
      <c r="B398" s="5" t="n">
        <v>37101749</v>
      </c>
      <c r="C398" s="5" t="s">
        <v>85</v>
      </c>
      <c r="D398" s="5" t="s">
        <v>1715</v>
      </c>
      <c r="E398" s="5" t="s">
        <v>1292</v>
      </c>
      <c r="F398" s="5" t="s">
        <v>258</v>
      </c>
      <c r="G398" s="5" t="s">
        <v>259</v>
      </c>
      <c r="H398" s="5" t="s">
        <v>260</v>
      </c>
      <c r="I398" s="5" t="s">
        <v>63</v>
      </c>
      <c r="J398" s="5" t="s">
        <v>76</v>
      </c>
      <c r="K398" s="5" t="s">
        <v>65</v>
      </c>
      <c r="L398" s="6" t="n">
        <v>39290</v>
      </c>
      <c r="M398" s="5" t="s">
        <v>1716</v>
      </c>
      <c r="N398" s="6" t="n">
        <v>30941</v>
      </c>
      <c r="O398" s="5" t="s">
        <v>262</v>
      </c>
      <c r="P398" s="5" t="s">
        <v>263</v>
      </c>
      <c r="Q398" s="5" t="s">
        <v>655</v>
      </c>
      <c r="R398" s="5" t="s">
        <v>115</v>
      </c>
      <c r="S398" s="5" t="s">
        <v>655</v>
      </c>
      <c r="T398" s="6" t="n">
        <v>41000</v>
      </c>
      <c r="U398" s="6" t="n">
        <v>44440</v>
      </c>
      <c r="V398" s="5" t="s">
        <v>83</v>
      </c>
      <c r="W398" s="5" t="s">
        <v>141</v>
      </c>
      <c r="X398" s="5" t="s">
        <v>141</v>
      </c>
      <c r="Y398" s="5" t="s">
        <v>141</v>
      </c>
      <c r="Z398" s="5" t="s">
        <v>631</v>
      </c>
      <c r="AA398" s="5" t="s">
        <v>1717</v>
      </c>
      <c r="AB398" s="0" t="n">
        <f aca="false">IFERROR(VALUE(R398),0)</f>
        <v>0</v>
      </c>
      <c r="AC398" s="0" t="n">
        <f aca="false">IFERROR(VALUE(M398),"")</f>
        <v>41.8</v>
      </c>
      <c r="AD398" s="0" t="n">
        <f aca="false">IFERROR(VALUE(Q398),"")</f>
        <v>18.1</v>
      </c>
      <c r="AE398" s="0" t="n">
        <f aca="false">IFERROR(VALUE(S398),"")</f>
        <v>18.1</v>
      </c>
      <c r="AF398" s="0" t="n">
        <f aca="false">IF(V398="","",VLOOKUP(V398,Assumptions!$B$6:$C$9,2,FALSE()))</f>
        <v>4</v>
      </c>
      <c r="AG398" s="0" t="n">
        <f aca="false">IF(W398="","",VLOOKUP(W398,Assumptions!$B$6:$C$9,2,FALSE()))</f>
        <v>3</v>
      </c>
      <c r="AH398" s="0" t="n">
        <f aca="false">IF(X398="","",VLOOKUP(X398,Assumptions!$B$6:$C$9,2,FALSE()))</f>
        <v>3</v>
      </c>
      <c r="AI398" s="0" t="n">
        <f aca="false">IF(Y398="","",VLOOKUP(Y398,Assumptions!$B$6:$C$9,2,FALSE()))</f>
        <v>3</v>
      </c>
      <c r="AJ398" s="0" t="n">
        <f aca="false">IF(Z398="","",VLOOKUP(Z398,Assumptions!$B$6:$C$9,2,FALSE()))</f>
        <v>2</v>
      </c>
      <c r="AK398" s="7" t="n">
        <f aca="false">IFERROR(ROUND(AVERAGE(AF398:AJ398),3),"")</f>
        <v>3</v>
      </c>
      <c r="AL398" s="7" t="n">
        <f aca="false">IF(OR(AF398="",AJ398=""),"",AJ398-AF398)</f>
        <v>-2</v>
      </c>
      <c r="AM398" s="7" t="n">
        <f aca="false">IF(COUNT(AF398:AJ398)&gt;=2,ROUND(_xlfn.STDEV.S(AF398:AJ398),3),"")</f>
        <v>0.707</v>
      </c>
      <c r="AN398" s="7" t="n">
        <f aca="false">ROUND((IF(AF398="",0,AF398)*Assumptions!$F$15)+(IF(AG398="",0,AG398)*Assumptions!$F$16)+(IF(AH398="",0,AH398)*Assumptions!$F$17)+(IF(AI398="",0,AI398)*Assumptions!$F$18)+(IF(AJ398="",0,AJ398)*Assumptions!$F$19),3)</f>
        <v>2.8</v>
      </c>
      <c r="AO398" s="0" t="str">
        <f aca="false">IF(AC398&lt;=20,"",IF(AC398&lt;=Assumptions!$F$6,"20-30",IF(AC398&lt;=Assumptions!$F$7,"30-40",IF(AC398&lt;=Assumptions!$F$8,"40-50",IF(AC398&lt;=Assumptions!$F$9,"50-60",IF(AC398&lt;=Assumptions!$F$10,"60+",""))))))</f>
        <v>40-50</v>
      </c>
      <c r="AP398" s="0" t="str">
        <f aca="false">IFERROR(VLOOKUP(O398,Assumptions!$B$14:$C$26,2,FALSE()),"Other")</f>
        <v>Manager</v>
      </c>
      <c r="AQ398" s="0" t="n">
        <f aca="false">IF(T398="",0,1)</f>
        <v>1</v>
      </c>
      <c r="AR398" s="0" t="n">
        <f aca="false">IF(U398="",0,1)</f>
        <v>1</v>
      </c>
      <c r="AS398" s="8" t="n">
        <f aca="false">IF(AK398="","",IF(MAX($AK$2:$AK$921)=MIN($AK$2:$AK$921),50,ROUND((AK398-MIN($AK$2:$AK$921))/(MAX($AK$2:$AK$921)-MIN($AK$2:$AK$921))*100,2)))</f>
        <v>57.14</v>
      </c>
      <c r="AT398" s="8" t="n">
        <f aca="false">IF(MAX($BC$2:$BC$921)=MIN($BC$2:$BC$921),50,ROUND((BC398-MIN($BC$2:$BC$921))/(MAX($BC$2:$BC$921)-MIN($BC$2:$BC$921))*100,2))</f>
        <v>0</v>
      </c>
      <c r="AU398" s="8" t="n">
        <f aca="false">IF(MAX($BE$2:$BE$921)=MIN($BE$2:$BE$921),50,ROUND((BE398-MIN($BE$2:$BE$921))/(MAX($BE$2:$BE$921)-MIN($BE$2:$BE$921))*100,2))</f>
        <v>59.18</v>
      </c>
      <c r="AV398" s="8" t="n">
        <f aca="false">IF(MAX($AD$2:$AD$921)=MIN($AD$2:$AD$921),50,ROUND((AD398-MIN($AD$2:$AD$921))/(MAX($AD$2:$AD$921)-MIN($AD$2:$AD$921))*100,2))</f>
        <v>48.9</v>
      </c>
      <c r="AW398" s="8" t="n">
        <f aca="false">IF(MAX($AN$2:$AN$921)=MIN($AN$2:$AN$921),50,ROUND((AN398-MIN($AN$2:$AN$921))/(MAX($AN$2:$AN$921)-MIN($AN$2:$AN$921))*100,2))</f>
        <v>70</v>
      </c>
      <c r="AX398" s="8" t="n">
        <f aca="false">AQ398*100</f>
        <v>100</v>
      </c>
      <c r="AY398" s="8" t="n">
        <f aca="false">AR398*100</f>
        <v>100</v>
      </c>
      <c r="AZ398" s="8" t="n">
        <f aca="false">IFERROR(ROUND(AS398*Assumptions!$I$6+AW398*Assumptions!$I$7+AT398*Assumptions!$I$8+AU398*Assumptions!$I$9+AV398*Assumptions!$I$10+AX398*Assumptions!$I$11+AY398*Assumptions!$I$12,2),"")</f>
        <v>54.91</v>
      </c>
      <c r="BA398" s="0" t="str">
        <f aca="false">IF(AZ398="","",IF(AZ398&lt;=Assumptions!$I$18,"Below Expectation",IF(AZ398&lt;=Assumptions!$I$19,"Developing",IF(AZ398&lt;=Assumptions!$I$20,"Meets Expectation",IF(AZ398&lt;=Assumptions!$I$21,"Exceeds","Star Performer")))))</f>
        <v>Developing</v>
      </c>
      <c r="BB398" s="0" t="n">
        <f aca="false">IF(AZ398="",0,IF(AZ398&gt;=Assumptions!$I$26,1,0))</f>
        <v>0</v>
      </c>
      <c r="BC398" s="9" t="n">
        <f aca="false">IF(AL398="",2,AL398+2)</f>
        <v>0</v>
      </c>
      <c r="BD398" s="10" t="n">
        <f aca="false">IF(AM398="",ROUND(AVERAGE($AM$2:$AM$921),3),AM398)</f>
        <v>0.707</v>
      </c>
      <c r="BE398" s="9" t="n">
        <f aca="false">1-BD398</f>
        <v>0.293</v>
      </c>
    </row>
    <row r="399" customFormat="false" ht="14.25" hidden="false" customHeight="false" outlineLevel="0" collapsed="false">
      <c r="A399" s="4" t="n">
        <v>676</v>
      </c>
      <c r="B399" s="5" t="n">
        <v>55059473</v>
      </c>
      <c r="C399" s="5" t="s">
        <v>106</v>
      </c>
      <c r="D399" s="5" t="s">
        <v>1718</v>
      </c>
      <c r="E399" s="5" t="s">
        <v>108</v>
      </c>
      <c r="F399" s="5" t="s">
        <v>463</v>
      </c>
      <c r="G399" s="5" t="s">
        <v>589</v>
      </c>
      <c r="H399" s="5" t="s">
        <v>590</v>
      </c>
      <c r="I399" s="5" t="s">
        <v>63</v>
      </c>
      <c r="J399" s="5" t="s">
        <v>112</v>
      </c>
      <c r="K399" s="5" t="s">
        <v>309</v>
      </c>
      <c r="L399" s="6" t="n">
        <v>44851</v>
      </c>
      <c r="M399" s="5" t="s">
        <v>124</v>
      </c>
      <c r="N399" s="6" t="n">
        <v>36816</v>
      </c>
      <c r="O399" s="5" t="s">
        <v>1264</v>
      </c>
      <c r="P399" s="5" t="s">
        <v>1559</v>
      </c>
      <c r="Q399" s="5" t="s">
        <v>335</v>
      </c>
      <c r="R399" s="5" t="s">
        <v>115</v>
      </c>
      <c r="S399" s="5" t="s">
        <v>335</v>
      </c>
      <c r="T399" s="6"/>
      <c r="U399" s="6"/>
      <c r="V399" s="5"/>
      <c r="W399" s="5" t="s">
        <v>631</v>
      </c>
      <c r="X399" s="5" t="s">
        <v>83</v>
      </c>
      <c r="Y399" s="5" t="s">
        <v>83</v>
      </c>
      <c r="Z399" s="5" t="s">
        <v>83</v>
      </c>
      <c r="AA399" s="5" t="s">
        <v>1719</v>
      </c>
      <c r="AB399" s="0" t="n">
        <f aca="false">IFERROR(VALUE(R399),0)</f>
        <v>0</v>
      </c>
      <c r="AC399" s="0" t="n">
        <f aca="false">IFERROR(VALUE(M399),"")</f>
        <v>25.7</v>
      </c>
      <c r="AD399" s="0" t="n">
        <f aca="false">IFERROR(VALUE(Q399),"")</f>
        <v>3.7</v>
      </c>
      <c r="AE399" s="0" t="n">
        <f aca="false">IFERROR(VALUE(S399),"")</f>
        <v>3.7</v>
      </c>
      <c r="AF399" s="0" t="str">
        <f aca="false">IF(V399="","",VLOOKUP(V399,Assumptions!$B$6:$C$9,2,FALSE()))</f>
        <v/>
      </c>
      <c r="AG399" s="0" t="n">
        <f aca="false">IF(W399="","",VLOOKUP(W399,Assumptions!$B$6:$C$9,2,FALSE()))</f>
        <v>2</v>
      </c>
      <c r="AH399" s="0" t="n">
        <f aca="false">IF(X399="","",VLOOKUP(X399,Assumptions!$B$6:$C$9,2,FALSE()))</f>
        <v>4</v>
      </c>
      <c r="AI399" s="0" t="n">
        <f aca="false">IF(Y399="","",VLOOKUP(Y399,Assumptions!$B$6:$C$9,2,FALSE()))</f>
        <v>4</v>
      </c>
      <c r="AJ399" s="0" t="n">
        <f aca="false">IF(Z399="","",VLOOKUP(Z399,Assumptions!$B$6:$C$9,2,FALSE()))</f>
        <v>4</v>
      </c>
      <c r="AK399" s="7" t="n">
        <f aca="false">IFERROR(ROUND(AVERAGE(AF399:AJ399),3),"")</f>
        <v>3.5</v>
      </c>
      <c r="AL399" s="7" t="str">
        <f aca="false">IF(OR(AF399="",AJ399=""),"",AJ399-AF399)</f>
        <v/>
      </c>
      <c r="AM399" s="7" t="n">
        <f aca="false">IF(COUNT(AF399:AJ399)&gt;=2,ROUND(_xlfn.STDEV.S(AF399:AJ399),3),"")</f>
        <v>1</v>
      </c>
      <c r="AN399" s="7" t="n">
        <f aca="false">ROUND((IF(AF399="",0,AF399)*Assumptions!$F$15)+(IF(AG399="",0,AG399)*Assumptions!$F$16)+(IF(AH399="",0,AH399)*Assumptions!$F$17)+(IF(AI399="",0,AI399)*Assumptions!$F$18)+(IF(AJ399="",0,AJ399)*Assumptions!$F$19),3)</f>
        <v>3.3</v>
      </c>
      <c r="AO399" s="0" t="str">
        <f aca="false">IF(AC399&lt;=20,"",IF(AC399&lt;=Assumptions!$F$6,"20-30",IF(AC399&lt;=Assumptions!$F$7,"30-40",IF(AC399&lt;=Assumptions!$F$8,"40-50",IF(AC399&lt;=Assumptions!$F$9,"50-60",IF(AC399&lt;=Assumptions!$F$10,"60+",""))))))</f>
        <v>20-30</v>
      </c>
      <c r="AP399" s="0" t="str">
        <f aca="false">IFERROR(VLOOKUP(O399,Assumptions!$B$14:$C$26,2,FALSE()),"Other")</f>
        <v>Manager</v>
      </c>
      <c r="AQ399" s="0" t="n">
        <f aca="false">IF(T399="",0,1)</f>
        <v>0</v>
      </c>
      <c r="AR399" s="0" t="n">
        <f aca="false">IF(U399="",0,1)</f>
        <v>0</v>
      </c>
      <c r="AS399" s="8" t="n">
        <f aca="false">IF(AK399="","",IF(MAX($AK$2:$AK$921)=MIN($AK$2:$AK$921),50,ROUND((AK399-MIN($AK$2:$AK$921))/(MAX($AK$2:$AK$921)-MIN($AK$2:$AK$921))*100,2)))</f>
        <v>78.57</v>
      </c>
      <c r="AT399" s="8" t="n">
        <f aca="false">IF(MAX($BC$2:$BC$921)=MIN($BC$2:$BC$921),50,ROUND((BC399-MIN($BC$2:$BC$921))/(MAX($BC$2:$BC$921)-MIN($BC$2:$BC$921))*100,2))</f>
        <v>50</v>
      </c>
      <c r="AU399" s="8" t="n">
        <f aca="false">IF(MAX($BE$2:$BE$921)=MIN($BE$2:$BE$921),50,ROUND((BE399-MIN($BE$2:$BE$921))/(MAX($BE$2:$BE$921)-MIN($BE$2:$BE$921))*100,2))</f>
        <v>42.26</v>
      </c>
      <c r="AV399" s="8" t="n">
        <f aca="false">IF(MAX($AD$2:$AD$921)=MIN($AD$2:$AD$921),50,ROUND((AD399-MIN($AD$2:$AD$921))/(MAX($AD$2:$AD$921)-MIN($AD$2:$AD$921))*100,2))</f>
        <v>9.76</v>
      </c>
      <c r="AW399" s="8" t="n">
        <f aca="false">IF(MAX($AN$2:$AN$921)=MIN($AN$2:$AN$921),50,ROUND((AN399-MIN($AN$2:$AN$921))/(MAX($AN$2:$AN$921)-MIN($AN$2:$AN$921))*100,2))</f>
        <v>82.5</v>
      </c>
      <c r="AX399" s="8" t="n">
        <f aca="false">AQ399*100</f>
        <v>0</v>
      </c>
      <c r="AY399" s="8" t="n">
        <f aca="false">AR399*100</f>
        <v>0</v>
      </c>
      <c r="AZ399" s="8" t="n">
        <f aca="false">IFERROR(ROUND(AS399*Assumptions!$I$6+AW399*Assumptions!$I$7+AT399*Assumptions!$I$8+AU399*Assumptions!$I$9+AV399*Assumptions!$I$10+AX399*Assumptions!$I$11+AY399*Assumptions!$I$12,2),"")</f>
        <v>54.89</v>
      </c>
      <c r="BA399" s="0" t="str">
        <f aca="false">IF(AZ399="","",IF(AZ399&lt;=Assumptions!$I$18,"Below Expectation",IF(AZ399&lt;=Assumptions!$I$19,"Developing",IF(AZ399&lt;=Assumptions!$I$20,"Meets Expectation",IF(AZ399&lt;=Assumptions!$I$21,"Exceeds","Star Performer")))))</f>
        <v>Developing</v>
      </c>
      <c r="BB399" s="0" t="n">
        <f aca="false">IF(AZ399="",0,IF(AZ399&gt;=Assumptions!$I$26,1,0))</f>
        <v>0</v>
      </c>
      <c r="BC399" s="9" t="n">
        <f aca="false">IF(AL399="",2,AL399+2)</f>
        <v>2</v>
      </c>
      <c r="BD399" s="10" t="n">
        <f aca="false">IF(AM399="",ROUND(AVERAGE($AM$2:$AM$921),3),AM399)</f>
        <v>1</v>
      </c>
      <c r="BE399" s="9" t="n">
        <f aca="false">1-BD399</f>
        <v>0</v>
      </c>
    </row>
    <row r="400" customFormat="false" ht="14.25" hidden="true" customHeight="false" outlineLevel="0" collapsed="false">
      <c r="A400" s="4" t="n">
        <v>908</v>
      </c>
      <c r="B400" s="5" t="n">
        <v>55149429</v>
      </c>
      <c r="C400" s="5"/>
      <c r="D400" s="5" t="s">
        <v>1720</v>
      </c>
      <c r="E400" s="5" t="s">
        <v>1721</v>
      </c>
      <c r="F400" s="5" t="s">
        <v>1722</v>
      </c>
      <c r="G400" s="5" t="s">
        <v>1723</v>
      </c>
      <c r="H400" s="5" t="s">
        <v>1724</v>
      </c>
      <c r="I400" s="5" t="s">
        <v>63</v>
      </c>
      <c r="J400" s="5" t="s">
        <v>76</v>
      </c>
      <c r="K400" s="5" t="s">
        <v>65</v>
      </c>
      <c r="L400" s="6" t="n">
        <v>45824</v>
      </c>
      <c r="M400" s="5" t="s">
        <v>1725</v>
      </c>
      <c r="N400" s="6" t="n">
        <v>27820</v>
      </c>
      <c r="O400" s="5" t="s">
        <v>78</v>
      </c>
      <c r="P400" s="5" t="s">
        <v>79</v>
      </c>
      <c r="Q400" s="5" t="s">
        <v>981</v>
      </c>
      <c r="R400" s="5" t="s">
        <v>910</v>
      </c>
      <c r="S400" s="5" t="s">
        <v>1726</v>
      </c>
      <c r="T400" s="6"/>
      <c r="U400" s="6"/>
      <c r="V400" s="5"/>
      <c r="W400" s="5"/>
      <c r="X400" s="5"/>
      <c r="Y400" s="5"/>
      <c r="Z400" s="5" t="s">
        <v>83</v>
      </c>
      <c r="AA400" s="5" t="s">
        <v>1727</v>
      </c>
      <c r="AB400" s="0" t="n">
        <f aca="false">IFERROR(VALUE(R400),0)</f>
        <v>24.11</v>
      </c>
      <c r="AC400" s="0" t="n">
        <f aca="false">IFERROR(VALUE(M400),"")</f>
        <v>50.3</v>
      </c>
      <c r="AD400" s="0" t="n">
        <f aca="false">IFERROR(VALUE(Q400),"")</f>
        <v>0.11</v>
      </c>
      <c r="AE400" s="0" t="n">
        <f aca="false">IFERROR(VALUE(S400),"")</f>
        <v>25.1</v>
      </c>
      <c r="AF400" s="0" t="str">
        <f aca="false">IF(V400="","",VLOOKUP(V400,Assumptions!$B$6:$C$9,2,FALSE()))</f>
        <v/>
      </c>
      <c r="AG400" s="0" t="str">
        <f aca="false">IF(W400="","",VLOOKUP(W400,Assumptions!$B$6:$C$9,2,FALSE()))</f>
        <v/>
      </c>
      <c r="AH400" s="0" t="str">
        <f aca="false">IF(X400="","",VLOOKUP(X400,Assumptions!$B$6:$C$9,2,FALSE()))</f>
        <v/>
      </c>
      <c r="AI400" s="0" t="str">
        <f aca="false">IF(Y400="","",VLOOKUP(Y400,Assumptions!$B$6:$C$9,2,FALSE()))</f>
        <v/>
      </c>
      <c r="AJ400" s="0" t="n">
        <f aca="false">IF(Z400="","",VLOOKUP(Z400,Assumptions!$B$6:$C$9,2,FALSE()))</f>
        <v>4</v>
      </c>
      <c r="AK400" s="7" t="n">
        <f aca="false">IFERROR(ROUND(AVERAGE(AF400:AJ400),3),"")</f>
        <v>4</v>
      </c>
      <c r="AL400" s="7" t="str">
        <f aca="false">IF(OR(AF400="",AJ400=""),"",AJ400-AF400)</f>
        <v/>
      </c>
      <c r="AM400" s="7" t="str">
        <f aca="false">IF(COUNT(AF400:AJ400)&gt;=2,ROUND(_xlfn.STDEV.S(AF400:AJ400),3),"")</f>
        <v/>
      </c>
      <c r="AN400" s="7" t="n">
        <f aca="false">ROUND((IF(AF400="",0,AF400)*Assumptions!$F$15)+(IF(AG400="",0,AG400)*Assumptions!$F$16)+(IF(AH400="",0,AH400)*Assumptions!$F$17)+(IF(AI400="",0,AI400)*Assumptions!$F$18)+(IF(AJ400="",0,AJ400)*Assumptions!$F$19),3)</f>
        <v>1.2</v>
      </c>
      <c r="AO400" s="0" t="str">
        <f aca="false">IF(AC400&lt;=20,"",IF(AC400&lt;=Assumptions!$F$6,"20-30",IF(AC400&lt;=Assumptions!$F$7,"30-40",IF(AC400&lt;=Assumptions!$F$8,"40-50",IF(AC400&lt;=Assumptions!$F$9,"50-60",IF(AC400&lt;=Assumptions!$F$10,"60+",""))))))</f>
        <v>50-60</v>
      </c>
      <c r="AP400" s="0" t="str">
        <f aca="false">IFERROR(VLOOKUP(O400,Assumptions!$B$14:$C$26,2,FALSE()),"Other")</f>
        <v>Leadership</v>
      </c>
      <c r="AQ400" s="0" t="n">
        <f aca="false">IF(T400="",0,1)</f>
        <v>0</v>
      </c>
      <c r="AR400" s="0" t="n">
        <f aca="false">IF(U400="",0,1)</f>
        <v>0</v>
      </c>
      <c r="AS400" s="8" t="n">
        <f aca="false">IF(AK400="","",IF(MAX($AK$2:$AK$921)=MIN($AK$2:$AK$921),50,ROUND((AK400-MIN($AK$2:$AK$921))/(MAX($AK$2:$AK$921)-MIN($AK$2:$AK$921))*100,2)))</f>
        <v>100</v>
      </c>
      <c r="AT400" s="8" t="n">
        <f aca="false">IF(MAX($BC$2:$BC$921)=MIN($BC$2:$BC$921),50,ROUND((BC400-MIN($BC$2:$BC$921))/(MAX($BC$2:$BC$921)-MIN($BC$2:$BC$921))*100,2))</f>
        <v>50</v>
      </c>
      <c r="AU400" s="8" t="n">
        <f aca="false">IF(MAX($BE$2:$BE$921)=MIN($BE$2:$BE$921),50,ROUND((BE400-MIN($BE$2:$BE$921))/(MAX($BE$2:$BE$921)-MIN($BE$2:$BE$921))*100,2))</f>
        <v>75.4</v>
      </c>
      <c r="AV400" s="8" t="n">
        <f aca="false">IF(MAX($AD$2:$AD$921)=MIN($AD$2:$AD$921),50,ROUND((AD400-MIN($AD$2:$AD$921))/(MAX($AD$2:$AD$921)-MIN($AD$2:$AD$921))*100,2))</f>
        <v>0</v>
      </c>
      <c r="AW400" s="8" t="n">
        <f aca="false">IF(MAX($AN$2:$AN$921)=MIN($AN$2:$AN$921),50,ROUND((AN400-MIN($AN$2:$AN$921))/(MAX($AN$2:$AN$921)-MIN($AN$2:$AN$921))*100,2))</f>
        <v>30</v>
      </c>
      <c r="AX400" s="8" t="n">
        <f aca="false">AQ400*100</f>
        <v>0</v>
      </c>
      <c r="AY400" s="8" t="n">
        <f aca="false">AR400*100</f>
        <v>0</v>
      </c>
      <c r="AZ400" s="8" t="n">
        <f aca="false">IFERROR(ROUND(AS400*Assumptions!$I$6+AW400*Assumptions!$I$7+AT400*Assumptions!$I$8+AU400*Assumptions!$I$9+AV400*Assumptions!$I$10+AX400*Assumptions!$I$11+AY400*Assumptions!$I$12,2),"")</f>
        <v>54.81</v>
      </c>
      <c r="BA400" s="0" t="str">
        <f aca="false">IF(AZ400="","",IF(AZ400&lt;=Assumptions!$I$18,"Below Expectation",IF(AZ400&lt;=Assumptions!$I$19,"Developing",IF(AZ400&lt;=Assumptions!$I$20,"Meets Expectation",IF(AZ400&lt;=Assumptions!$I$21,"Exceeds","Star Performer")))))</f>
        <v>Developing</v>
      </c>
      <c r="BB400" s="0" t="n">
        <f aca="false">IF(AZ400="",0,IF(AZ400&gt;=Assumptions!$I$26,1,0))</f>
        <v>0</v>
      </c>
      <c r="BC400" s="9" t="n">
        <f aca="false">IF(AL400="",2,AL400+2)</f>
        <v>2</v>
      </c>
      <c r="BD400" s="9" t="n">
        <f aca="false">IF(AM400="",ROUND(AVERAGE($AM$2:$AM$921),3),AM400)</f>
        <v>0.426</v>
      </c>
      <c r="BE400" s="9" t="n">
        <f aca="false">1-BD400</f>
        <v>0.574</v>
      </c>
    </row>
    <row r="401" customFormat="false" ht="14.25" hidden="true" customHeight="false" outlineLevel="0" collapsed="false">
      <c r="A401" s="4" t="n">
        <v>302</v>
      </c>
      <c r="B401" s="5" t="n">
        <v>10071792</v>
      </c>
      <c r="C401" s="5" t="s">
        <v>57</v>
      </c>
      <c r="D401" s="5" t="s">
        <v>1728</v>
      </c>
      <c r="E401" s="5" t="s">
        <v>456</v>
      </c>
      <c r="F401" s="5" t="s">
        <v>608</v>
      </c>
      <c r="G401" s="5" t="s">
        <v>609</v>
      </c>
      <c r="H401" s="5" t="s">
        <v>608</v>
      </c>
      <c r="I401" s="5" t="s">
        <v>63</v>
      </c>
      <c r="J401" s="5" t="s">
        <v>100</v>
      </c>
      <c r="K401" s="5" t="s">
        <v>65</v>
      </c>
      <c r="L401" s="6" t="n">
        <v>43859</v>
      </c>
      <c r="M401" s="5" t="s">
        <v>826</v>
      </c>
      <c r="N401" s="6" t="n">
        <v>33238</v>
      </c>
      <c r="O401" s="5" t="s">
        <v>365</v>
      </c>
      <c r="P401" s="5" t="s">
        <v>365</v>
      </c>
      <c r="Q401" s="5" t="s">
        <v>487</v>
      </c>
      <c r="R401" s="5" t="s">
        <v>1297</v>
      </c>
      <c r="S401" s="5" t="s">
        <v>502</v>
      </c>
      <c r="T401" s="6"/>
      <c r="U401" s="6"/>
      <c r="V401" s="5" t="s">
        <v>83</v>
      </c>
      <c r="W401" s="5" t="s">
        <v>141</v>
      </c>
      <c r="X401" s="5" t="s">
        <v>141</v>
      </c>
      <c r="Y401" s="5" t="s">
        <v>83</v>
      </c>
      <c r="Z401" s="5" t="s">
        <v>141</v>
      </c>
      <c r="AA401" s="5" t="s">
        <v>1729</v>
      </c>
      <c r="AB401" s="0" t="n">
        <f aca="false">IFERROR(VALUE(R401),0)</f>
        <v>4.9</v>
      </c>
      <c r="AC401" s="0" t="n">
        <f aca="false">IFERROR(VALUE(M401),"")</f>
        <v>35.5</v>
      </c>
      <c r="AD401" s="0" t="n">
        <f aca="false">IFERROR(VALUE(Q401),"")</f>
        <v>6.4</v>
      </c>
      <c r="AE401" s="0" t="n">
        <f aca="false">IFERROR(VALUE(S401),"")</f>
        <v>11.1</v>
      </c>
      <c r="AF401" s="0" t="n">
        <f aca="false">IF(V401="","",VLOOKUP(V401,Assumptions!$B$6:$C$9,2,FALSE()))</f>
        <v>4</v>
      </c>
      <c r="AG401" s="0" t="n">
        <f aca="false">IF(W401="","",VLOOKUP(W401,Assumptions!$B$6:$C$9,2,FALSE()))</f>
        <v>3</v>
      </c>
      <c r="AH401" s="0" t="n">
        <f aca="false">IF(X401="","",VLOOKUP(X401,Assumptions!$B$6:$C$9,2,FALSE()))</f>
        <v>3</v>
      </c>
      <c r="AI401" s="0" t="n">
        <f aca="false">IF(Y401="","",VLOOKUP(Y401,Assumptions!$B$6:$C$9,2,FALSE()))</f>
        <v>4</v>
      </c>
      <c r="AJ401" s="0" t="n">
        <f aca="false">IF(Z401="","",VLOOKUP(Z401,Assumptions!$B$6:$C$9,2,FALSE()))</f>
        <v>3</v>
      </c>
      <c r="AK401" s="7" t="n">
        <f aca="false">IFERROR(ROUND(AVERAGE(AF401:AJ401),3),"")</f>
        <v>3.4</v>
      </c>
      <c r="AL401" s="7" t="n">
        <f aca="false">IF(OR(AF401="",AJ401=""),"",AJ401-AF401)</f>
        <v>-1</v>
      </c>
      <c r="AM401" s="7" t="n">
        <f aca="false">IF(COUNT(AF401:AJ401)&gt;=2,ROUND(_xlfn.STDEV.S(AF401:AJ401),3),"")</f>
        <v>0.548</v>
      </c>
      <c r="AN401" s="7" t="n">
        <f aca="false">ROUND((IF(AF401="",0,AF401)*Assumptions!$F$15)+(IF(AG401="",0,AG401)*Assumptions!$F$16)+(IF(AH401="",0,AH401)*Assumptions!$F$17)+(IF(AI401="",0,AI401)*Assumptions!$F$18)+(IF(AJ401="",0,AJ401)*Assumptions!$F$19),3)</f>
        <v>3.35</v>
      </c>
      <c r="AO401" s="0" t="str">
        <f aca="false">IF(AC401&lt;=20,"",IF(AC401&lt;=Assumptions!$F$6,"20-30",IF(AC401&lt;=Assumptions!$F$7,"30-40",IF(AC401&lt;=Assumptions!$F$8,"40-50",IF(AC401&lt;=Assumptions!$F$9,"50-60",IF(AC401&lt;=Assumptions!$F$10,"60+",""))))))</f>
        <v>30-40</v>
      </c>
      <c r="AP401" s="0" t="str">
        <f aca="false">IFERROR(VLOOKUP(O401,Assumptions!$B$14:$C$26,2,FALSE()),"Other")</f>
        <v>Manager</v>
      </c>
      <c r="AQ401" s="0" t="n">
        <f aca="false">IF(T401="",0,1)</f>
        <v>0</v>
      </c>
      <c r="AR401" s="0" t="n">
        <f aca="false">IF(U401="",0,1)</f>
        <v>0</v>
      </c>
      <c r="AS401" s="8" t="n">
        <f aca="false">IF(AK401="","",IF(MAX($AK$2:$AK$921)=MIN($AK$2:$AK$921),50,ROUND((AK401-MIN($AK$2:$AK$921))/(MAX($AK$2:$AK$921)-MIN($AK$2:$AK$921))*100,2)))</f>
        <v>74.28</v>
      </c>
      <c r="AT401" s="8" t="n">
        <f aca="false">IF(MAX($BC$2:$BC$921)=MIN($BC$2:$BC$921),50,ROUND((BC401-MIN($BC$2:$BC$921))/(MAX($BC$2:$BC$921)-MIN($BC$2:$BC$921))*100,2))</f>
        <v>25</v>
      </c>
      <c r="AU401" s="8" t="n">
        <f aca="false">IF(MAX($BE$2:$BE$921)=MIN($BE$2:$BE$921),50,ROUND((BE401-MIN($BE$2:$BE$921))/(MAX($BE$2:$BE$921)-MIN($BE$2:$BE$921))*100,2))</f>
        <v>68.36</v>
      </c>
      <c r="AV401" s="8" t="n">
        <f aca="false">IF(MAX($AD$2:$AD$921)=MIN($AD$2:$AD$921),50,ROUND((AD401-MIN($AD$2:$AD$921))/(MAX($AD$2:$AD$921)-MIN($AD$2:$AD$921))*100,2))</f>
        <v>17.1</v>
      </c>
      <c r="AW401" s="8" t="n">
        <f aca="false">IF(MAX($AN$2:$AN$921)=MIN($AN$2:$AN$921),50,ROUND((AN401-MIN($AN$2:$AN$921))/(MAX($AN$2:$AN$921)-MIN($AN$2:$AN$921))*100,2))</f>
        <v>83.75</v>
      </c>
      <c r="AX401" s="8" t="n">
        <f aca="false">AQ401*100</f>
        <v>0</v>
      </c>
      <c r="AY401" s="8" t="n">
        <f aca="false">AR401*100</f>
        <v>0</v>
      </c>
      <c r="AZ401" s="8" t="n">
        <f aca="false">IFERROR(ROUND(AS401*Assumptions!$I$6+AW401*Assumptions!$I$7+AT401*Assumptions!$I$8+AU401*Assumptions!$I$9+AV401*Assumptions!$I$10+AX401*Assumptions!$I$11+AY401*Assumptions!$I$12,2),"")</f>
        <v>54.75</v>
      </c>
      <c r="BA401" s="0" t="str">
        <f aca="false">IF(AZ401="","",IF(AZ401&lt;=Assumptions!$I$18,"Below Expectation",IF(AZ401&lt;=Assumptions!$I$19,"Developing",IF(AZ401&lt;=Assumptions!$I$20,"Meets Expectation",IF(AZ401&lt;=Assumptions!$I$21,"Exceeds","Star Performer")))))</f>
        <v>Developing</v>
      </c>
      <c r="BB401" s="0" t="n">
        <f aca="false">IF(AZ401="",0,IF(AZ401&gt;=Assumptions!$I$26,1,0))</f>
        <v>0</v>
      </c>
      <c r="BC401" s="9" t="n">
        <f aca="false">IF(AL401="",2,AL401+2)</f>
        <v>1</v>
      </c>
      <c r="BD401" s="10" t="n">
        <f aca="false">IF(AM401="",ROUND(AVERAGE($AM$2:$AM$921),3),AM401)</f>
        <v>0.548</v>
      </c>
      <c r="BE401" s="9" t="n">
        <f aca="false">1-BD401</f>
        <v>0.452</v>
      </c>
    </row>
    <row r="402" customFormat="false" ht="14.25" hidden="true" customHeight="false" outlineLevel="0" collapsed="false">
      <c r="A402" s="4" t="n">
        <v>551</v>
      </c>
      <c r="B402" s="5" t="n">
        <v>55048996</v>
      </c>
      <c r="C402" s="5" t="s">
        <v>85</v>
      </c>
      <c r="D402" s="5" t="s">
        <v>1730</v>
      </c>
      <c r="E402" s="5" t="s">
        <v>137</v>
      </c>
      <c r="F402" s="5" t="s">
        <v>1731</v>
      </c>
      <c r="G402" s="5" t="s">
        <v>1732</v>
      </c>
      <c r="H402" s="5" t="s">
        <v>1731</v>
      </c>
      <c r="I402" s="5" t="s">
        <v>63</v>
      </c>
      <c r="J402" s="5" t="s">
        <v>76</v>
      </c>
      <c r="K402" s="5" t="s">
        <v>309</v>
      </c>
      <c r="L402" s="6" t="n">
        <v>44655</v>
      </c>
      <c r="M402" s="5" t="s">
        <v>1733</v>
      </c>
      <c r="N402" s="6" t="n">
        <v>36491</v>
      </c>
      <c r="O402" s="5" t="s">
        <v>1264</v>
      </c>
      <c r="P402" s="5" t="s">
        <v>1559</v>
      </c>
      <c r="Q402" s="5" t="s">
        <v>554</v>
      </c>
      <c r="R402" s="5" t="s">
        <v>115</v>
      </c>
      <c r="S402" s="5" t="s">
        <v>554</v>
      </c>
      <c r="T402" s="6"/>
      <c r="U402" s="6"/>
      <c r="V402" s="5"/>
      <c r="W402" s="5" t="s">
        <v>141</v>
      </c>
      <c r="X402" s="5" t="s">
        <v>141</v>
      </c>
      <c r="Y402" s="5" t="s">
        <v>141</v>
      </c>
      <c r="Z402" s="5" t="s">
        <v>83</v>
      </c>
      <c r="AA402" s="5" t="s">
        <v>1734</v>
      </c>
      <c r="AB402" s="0" t="n">
        <f aca="false">IFERROR(VALUE(R402),0)</f>
        <v>0</v>
      </c>
      <c r="AC402" s="0" t="n">
        <f aca="false">IFERROR(VALUE(M402),"")</f>
        <v>26.6</v>
      </c>
      <c r="AD402" s="0" t="n">
        <f aca="false">IFERROR(VALUE(Q402),"")</f>
        <v>4.2</v>
      </c>
      <c r="AE402" s="0" t="n">
        <f aca="false">IFERROR(VALUE(S402),"")</f>
        <v>4.2</v>
      </c>
      <c r="AF402" s="0" t="str">
        <f aca="false">IF(V402="","",VLOOKUP(V402,Assumptions!$B$6:$C$9,2,FALSE()))</f>
        <v/>
      </c>
      <c r="AG402" s="0" t="n">
        <f aca="false">IF(W402="","",VLOOKUP(W402,Assumptions!$B$6:$C$9,2,FALSE()))</f>
        <v>3</v>
      </c>
      <c r="AH402" s="0" t="n">
        <f aca="false">IF(X402="","",VLOOKUP(X402,Assumptions!$B$6:$C$9,2,FALSE()))</f>
        <v>3</v>
      </c>
      <c r="AI402" s="0" t="n">
        <f aca="false">IF(Y402="","",VLOOKUP(Y402,Assumptions!$B$6:$C$9,2,FALSE()))</f>
        <v>3</v>
      </c>
      <c r="AJ402" s="0" t="n">
        <f aca="false">IF(Z402="","",VLOOKUP(Z402,Assumptions!$B$6:$C$9,2,FALSE()))</f>
        <v>4</v>
      </c>
      <c r="AK402" s="7" t="n">
        <f aca="false">IFERROR(ROUND(AVERAGE(AF402:AJ402),3),"")</f>
        <v>3.25</v>
      </c>
      <c r="AL402" s="7" t="str">
        <f aca="false">IF(OR(AF402="",AJ402=""),"",AJ402-AF402)</f>
        <v/>
      </c>
      <c r="AM402" s="7" t="n">
        <f aca="false">IF(COUNT(AF402:AJ402)&gt;=2,ROUND(_xlfn.STDEV.S(AF402:AJ402),3),"")</f>
        <v>0.5</v>
      </c>
      <c r="AN402" s="7" t="n">
        <f aca="false">ROUND((IF(AF402="",0,AF402)*Assumptions!$F$15)+(IF(AG402="",0,AG402)*Assumptions!$F$16)+(IF(AH402="",0,AH402)*Assumptions!$F$17)+(IF(AI402="",0,AI402)*Assumptions!$F$18)+(IF(AJ402="",0,AJ402)*Assumptions!$F$19),3)</f>
        <v>3</v>
      </c>
      <c r="AO402" s="0" t="str">
        <f aca="false">IF(AC402&lt;=20,"",IF(AC402&lt;=Assumptions!$F$6,"20-30",IF(AC402&lt;=Assumptions!$F$7,"30-40",IF(AC402&lt;=Assumptions!$F$8,"40-50",IF(AC402&lt;=Assumptions!$F$9,"50-60",IF(AC402&lt;=Assumptions!$F$10,"60+",""))))))</f>
        <v>20-30</v>
      </c>
      <c r="AP402" s="0" t="str">
        <f aca="false">IFERROR(VLOOKUP(O402,Assumptions!$B$14:$C$26,2,FALSE()),"Other")</f>
        <v>Manager</v>
      </c>
      <c r="AQ402" s="0" t="n">
        <f aca="false">IF(T402="",0,1)</f>
        <v>0</v>
      </c>
      <c r="AR402" s="0" t="n">
        <f aca="false">IF(U402="",0,1)</f>
        <v>0</v>
      </c>
      <c r="AS402" s="8" t="n">
        <f aca="false">IF(AK402="","",IF(MAX($AK$2:$AK$921)=MIN($AK$2:$AK$921),50,ROUND((AK402-MIN($AK$2:$AK$921))/(MAX($AK$2:$AK$921)-MIN($AK$2:$AK$921))*100,2)))</f>
        <v>67.85</v>
      </c>
      <c r="AT402" s="8" t="n">
        <f aca="false">IF(MAX($BC$2:$BC$921)=MIN($BC$2:$BC$921),50,ROUND((BC402-MIN($BC$2:$BC$921))/(MAX($BC$2:$BC$921)-MIN($BC$2:$BC$921))*100,2))</f>
        <v>50</v>
      </c>
      <c r="AU402" s="8" t="n">
        <f aca="false">IF(MAX($BE$2:$BE$921)=MIN($BE$2:$BE$921),50,ROUND((BE402-MIN($BE$2:$BE$921))/(MAX($BE$2:$BE$921)-MIN($BE$2:$BE$921))*100,2))</f>
        <v>71.13</v>
      </c>
      <c r="AV402" s="8" t="n">
        <f aca="false">IF(MAX($AD$2:$AD$921)=MIN($AD$2:$AD$921),50,ROUND((AD402-MIN($AD$2:$AD$921))/(MAX($AD$2:$AD$921)-MIN($AD$2:$AD$921))*100,2))</f>
        <v>11.12</v>
      </c>
      <c r="AW402" s="8" t="n">
        <f aca="false">IF(MAX($AN$2:$AN$921)=MIN($AN$2:$AN$921),50,ROUND((AN402-MIN($AN$2:$AN$921))/(MAX($AN$2:$AN$921)-MIN($AN$2:$AN$921))*100,2))</f>
        <v>75</v>
      </c>
      <c r="AX402" s="8" t="n">
        <f aca="false">AQ402*100</f>
        <v>0</v>
      </c>
      <c r="AY402" s="8" t="n">
        <f aca="false">AR402*100</f>
        <v>0</v>
      </c>
      <c r="AZ402" s="8" t="n">
        <f aca="false">IFERROR(ROUND(AS402*Assumptions!$I$6+AW402*Assumptions!$I$7+AT402*Assumptions!$I$8+AU402*Assumptions!$I$9+AV402*Assumptions!$I$10+AX402*Assumptions!$I$11+AY402*Assumptions!$I$12,2),"")</f>
        <v>54.64</v>
      </c>
      <c r="BA402" s="0" t="str">
        <f aca="false">IF(AZ402="","",IF(AZ402&lt;=Assumptions!$I$18,"Below Expectation",IF(AZ402&lt;=Assumptions!$I$19,"Developing",IF(AZ402&lt;=Assumptions!$I$20,"Meets Expectation",IF(AZ402&lt;=Assumptions!$I$21,"Exceeds","Star Performer")))))</f>
        <v>Developing</v>
      </c>
      <c r="BB402" s="0" t="n">
        <f aca="false">IF(AZ402="",0,IF(AZ402&gt;=Assumptions!$I$26,1,0))</f>
        <v>0</v>
      </c>
      <c r="BC402" s="9" t="n">
        <f aca="false">IF(AL402="",2,AL402+2)</f>
        <v>2</v>
      </c>
      <c r="BD402" s="10" t="n">
        <f aca="false">IF(AM402="",ROUND(AVERAGE($AM$2:$AM$921),3),AM402)</f>
        <v>0.5</v>
      </c>
      <c r="BE402" s="9" t="n">
        <f aca="false">1-BD402</f>
        <v>0.5</v>
      </c>
    </row>
    <row r="403" customFormat="false" ht="14.25" hidden="true" customHeight="false" outlineLevel="0" collapsed="false">
      <c r="A403" s="4" t="n">
        <v>555</v>
      </c>
      <c r="B403" s="5" t="n">
        <v>55049403</v>
      </c>
      <c r="C403" s="5" t="s">
        <v>85</v>
      </c>
      <c r="D403" s="5" t="s">
        <v>1735</v>
      </c>
      <c r="E403" s="5" t="s">
        <v>235</v>
      </c>
      <c r="F403" s="5" t="s">
        <v>1382</v>
      </c>
      <c r="G403" s="5" t="s">
        <v>1383</v>
      </c>
      <c r="H403" s="5" t="s">
        <v>1382</v>
      </c>
      <c r="I403" s="5" t="s">
        <v>63</v>
      </c>
      <c r="J403" s="5" t="s">
        <v>76</v>
      </c>
      <c r="K403" s="5" t="s">
        <v>309</v>
      </c>
      <c r="L403" s="6" t="n">
        <v>44665</v>
      </c>
      <c r="M403" s="5" t="s">
        <v>536</v>
      </c>
      <c r="N403" s="6" t="n">
        <v>36573</v>
      </c>
      <c r="O403" s="5" t="s">
        <v>1264</v>
      </c>
      <c r="P403" s="5" t="s">
        <v>1559</v>
      </c>
      <c r="Q403" s="5" t="s">
        <v>1534</v>
      </c>
      <c r="R403" s="5" t="s">
        <v>115</v>
      </c>
      <c r="S403" s="5" t="s">
        <v>1534</v>
      </c>
      <c r="T403" s="6"/>
      <c r="U403" s="6"/>
      <c r="V403" s="5"/>
      <c r="W403" s="5" t="s">
        <v>141</v>
      </c>
      <c r="X403" s="5" t="s">
        <v>141</v>
      </c>
      <c r="Y403" s="5" t="s">
        <v>141</v>
      </c>
      <c r="Z403" s="5" t="s">
        <v>83</v>
      </c>
      <c r="AA403" s="5" t="s">
        <v>1734</v>
      </c>
      <c r="AB403" s="0" t="n">
        <f aca="false">IFERROR(VALUE(R403),0)</f>
        <v>0</v>
      </c>
      <c r="AC403" s="0" t="n">
        <f aca="false">IFERROR(VALUE(M403),"")</f>
        <v>26.3</v>
      </c>
      <c r="AD403" s="0" t="n">
        <f aca="false">IFERROR(VALUE(Q403),"")</f>
        <v>4.1</v>
      </c>
      <c r="AE403" s="0" t="n">
        <f aca="false">IFERROR(VALUE(S403),"")</f>
        <v>4.1</v>
      </c>
      <c r="AF403" s="0" t="str">
        <f aca="false">IF(V403="","",VLOOKUP(V403,Assumptions!$B$6:$C$9,2,FALSE()))</f>
        <v/>
      </c>
      <c r="AG403" s="0" t="n">
        <f aca="false">IF(W403="","",VLOOKUP(W403,Assumptions!$B$6:$C$9,2,FALSE()))</f>
        <v>3</v>
      </c>
      <c r="AH403" s="0" t="n">
        <f aca="false">IF(X403="","",VLOOKUP(X403,Assumptions!$B$6:$C$9,2,FALSE()))</f>
        <v>3</v>
      </c>
      <c r="AI403" s="0" t="n">
        <f aca="false">IF(Y403="","",VLOOKUP(Y403,Assumptions!$B$6:$C$9,2,FALSE()))</f>
        <v>3</v>
      </c>
      <c r="AJ403" s="0" t="n">
        <f aca="false">IF(Z403="","",VLOOKUP(Z403,Assumptions!$B$6:$C$9,2,FALSE()))</f>
        <v>4</v>
      </c>
      <c r="AK403" s="7" t="n">
        <f aca="false">IFERROR(ROUND(AVERAGE(AF403:AJ403),3),"")</f>
        <v>3.25</v>
      </c>
      <c r="AL403" s="7" t="str">
        <f aca="false">IF(OR(AF403="",AJ403=""),"",AJ403-AF403)</f>
        <v/>
      </c>
      <c r="AM403" s="7" t="n">
        <f aca="false">IF(COUNT(AF403:AJ403)&gt;=2,ROUND(_xlfn.STDEV.S(AF403:AJ403),3),"")</f>
        <v>0.5</v>
      </c>
      <c r="AN403" s="7" t="n">
        <f aca="false">ROUND((IF(AF403="",0,AF403)*Assumptions!$F$15)+(IF(AG403="",0,AG403)*Assumptions!$F$16)+(IF(AH403="",0,AH403)*Assumptions!$F$17)+(IF(AI403="",0,AI403)*Assumptions!$F$18)+(IF(AJ403="",0,AJ403)*Assumptions!$F$19),3)</f>
        <v>3</v>
      </c>
      <c r="AO403" s="0" t="str">
        <f aca="false">IF(AC403&lt;=20,"",IF(AC403&lt;=Assumptions!$F$6,"20-30",IF(AC403&lt;=Assumptions!$F$7,"30-40",IF(AC403&lt;=Assumptions!$F$8,"40-50",IF(AC403&lt;=Assumptions!$F$9,"50-60",IF(AC403&lt;=Assumptions!$F$10,"60+",""))))))</f>
        <v>20-30</v>
      </c>
      <c r="AP403" s="0" t="str">
        <f aca="false">IFERROR(VLOOKUP(O403,Assumptions!$B$14:$C$26,2,FALSE()),"Other")</f>
        <v>Manager</v>
      </c>
      <c r="AQ403" s="0" t="n">
        <f aca="false">IF(T403="",0,1)</f>
        <v>0</v>
      </c>
      <c r="AR403" s="0" t="n">
        <f aca="false">IF(U403="",0,1)</f>
        <v>0</v>
      </c>
      <c r="AS403" s="8" t="n">
        <f aca="false">IF(AK403="","",IF(MAX($AK$2:$AK$921)=MIN($AK$2:$AK$921),50,ROUND((AK403-MIN($AK$2:$AK$921))/(MAX($AK$2:$AK$921)-MIN($AK$2:$AK$921))*100,2)))</f>
        <v>67.85</v>
      </c>
      <c r="AT403" s="8" t="n">
        <f aca="false">IF(MAX($BC$2:$BC$921)=MIN($BC$2:$BC$921),50,ROUND((BC403-MIN($BC$2:$BC$921))/(MAX($BC$2:$BC$921)-MIN($BC$2:$BC$921))*100,2))</f>
        <v>50</v>
      </c>
      <c r="AU403" s="8" t="n">
        <f aca="false">IF(MAX($BE$2:$BE$921)=MIN($BE$2:$BE$921),50,ROUND((BE403-MIN($BE$2:$BE$921))/(MAX($BE$2:$BE$921)-MIN($BE$2:$BE$921))*100,2))</f>
        <v>71.13</v>
      </c>
      <c r="AV403" s="8" t="n">
        <f aca="false">IF(MAX($AD$2:$AD$921)=MIN($AD$2:$AD$921),50,ROUND((AD403-MIN($AD$2:$AD$921))/(MAX($AD$2:$AD$921)-MIN($AD$2:$AD$921))*100,2))</f>
        <v>10.85</v>
      </c>
      <c r="AW403" s="8" t="n">
        <f aca="false">IF(MAX($AN$2:$AN$921)=MIN($AN$2:$AN$921),50,ROUND((AN403-MIN($AN$2:$AN$921))/(MAX($AN$2:$AN$921)-MIN($AN$2:$AN$921))*100,2))</f>
        <v>75</v>
      </c>
      <c r="AX403" s="8" t="n">
        <f aca="false">AQ403*100</f>
        <v>0</v>
      </c>
      <c r="AY403" s="8" t="n">
        <f aca="false">AR403*100</f>
        <v>0</v>
      </c>
      <c r="AZ403" s="8" t="n">
        <f aca="false">IFERROR(ROUND(AS403*Assumptions!$I$6+AW403*Assumptions!$I$7+AT403*Assumptions!$I$8+AU403*Assumptions!$I$9+AV403*Assumptions!$I$10+AX403*Assumptions!$I$11+AY403*Assumptions!$I$12,2),"")</f>
        <v>54.61</v>
      </c>
      <c r="BA403" s="0" t="str">
        <f aca="false">IF(AZ403="","",IF(AZ403&lt;=Assumptions!$I$18,"Below Expectation",IF(AZ403&lt;=Assumptions!$I$19,"Developing",IF(AZ403&lt;=Assumptions!$I$20,"Meets Expectation",IF(AZ403&lt;=Assumptions!$I$21,"Exceeds","Star Performer")))))</f>
        <v>Developing</v>
      </c>
      <c r="BB403" s="0" t="n">
        <f aca="false">IF(AZ403="",0,IF(AZ403&gt;=Assumptions!$I$26,1,0))</f>
        <v>0</v>
      </c>
      <c r="BC403" s="9" t="n">
        <f aca="false">IF(AL403="",2,AL403+2)</f>
        <v>2</v>
      </c>
      <c r="BD403" s="10" t="n">
        <f aca="false">IF(AM403="",ROUND(AVERAGE($AM$2:$AM$921),3),AM403)</f>
        <v>0.5</v>
      </c>
      <c r="BE403" s="9" t="n">
        <f aca="false">1-BD403</f>
        <v>0.5</v>
      </c>
    </row>
    <row r="404" customFormat="false" ht="14.25" hidden="true" customHeight="false" outlineLevel="0" collapsed="false">
      <c r="A404" s="4" t="n">
        <v>562</v>
      </c>
      <c r="B404" s="5" t="n">
        <v>55049640</v>
      </c>
      <c r="C404" s="5" t="s">
        <v>57</v>
      </c>
      <c r="D404" s="5" t="s">
        <v>1736</v>
      </c>
      <c r="E404" s="5" t="s">
        <v>456</v>
      </c>
      <c r="F404" s="5" t="s">
        <v>608</v>
      </c>
      <c r="G404" s="5" t="s">
        <v>609</v>
      </c>
      <c r="H404" s="5" t="s">
        <v>608</v>
      </c>
      <c r="I404" s="5" t="s">
        <v>63</v>
      </c>
      <c r="J404" s="5" t="s">
        <v>100</v>
      </c>
      <c r="K404" s="5" t="s">
        <v>65</v>
      </c>
      <c r="L404" s="6" t="n">
        <v>44670</v>
      </c>
      <c r="M404" s="5" t="s">
        <v>748</v>
      </c>
      <c r="N404" s="6" t="n">
        <v>33359</v>
      </c>
      <c r="O404" s="5" t="s">
        <v>365</v>
      </c>
      <c r="P404" s="5" t="s">
        <v>365</v>
      </c>
      <c r="Q404" s="5" t="s">
        <v>1534</v>
      </c>
      <c r="R404" s="5" t="s">
        <v>1158</v>
      </c>
      <c r="S404" s="5" t="s">
        <v>1033</v>
      </c>
      <c r="T404" s="6"/>
      <c r="U404" s="6"/>
      <c r="V404" s="5"/>
      <c r="W404" s="5" t="s">
        <v>141</v>
      </c>
      <c r="X404" s="5" t="s">
        <v>141</v>
      </c>
      <c r="Y404" s="5" t="s">
        <v>141</v>
      </c>
      <c r="Z404" s="5" t="s">
        <v>83</v>
      </c>
      <c r="AA404" s="5" t="s">
        <v>1737</v>
      </c>
      <c r="AB404" s="0" t="n">
        <f aca="false">IFERROR(VALUE(R404),0)</f>
        <v>8.2</v>
      </c>
      <c r="AC404" s="0" t="n">
        <f aca="false">IFERROR(VALUE(M404),"")</f>
        <v>35.1</v>
      </c>
      <c r="AD404" s="0" t="n">
        <f aca="false">IFERROR(VALUE(Q404),"")</f>
        <v>4.1</v>
      </c>
      <c r="AE404" s="0" t="n">
        <f aca="false">IFERROR(VALUE(S404),"")</f>
        <v>12.3</v>
      </c>
      <c r="AF404" s="0" t="str">
        <f aca="false">IF(V404="","",VLOOKUP(V404,Assumptions!$B$6:$C$9,2,FALSE()))</f>
        <v/>
      </c>
      <c r="AG404" s="0" t="n">
        <f aca="false">IF(W404="","",VLOOKUP(W404,Assumptions!$B$6:$C$9,2,FALSE()))</f>
        <v>3</v>
      </c>
      <c r="AH404" s="0" t="n">
        <f aca="false">IF(X404="","",VLOOKUP(X404,Assumptions!$B$6:$C$9,2,FALSE()))</f>
        <v>3</v>
      </c>
      <c r="AI404" s="0" t="n">
        <f aca="false">IF(Y404="","",VLOOKUP(Y404,Assumptions!$B$6:$C$9,2,FALSE()))</f>
        <v>3</v>
      </c>
      <c r="AJ404" s="0" t="n">
        <f aca="false">IF(Z404="","",VLOOKUP(Z404,Assumptions!$B$6:$C$9,2,FALSE()))</f>
        <v>4</v>
      </c>
      <c r="AK404" s="7" t="n">
        <f aca="false">IFERROR(ROUND(AVERAGE(AF404:AJ404),3),"")</f>
        <v>3.25</v>
      </c>
      <c r="AL404" s="7" t="str">
        <f aca="false">IF(OR(AF404="",AJ404=""),"",AJ404-AF404)</f>
        <v/>
      </c>
      <c r="AM404" s="7" t="n">
        <f aca="false">IF(COUNT(AF404:AJ404)&gt;=2,ROUND(_xlfn.STDEV.S(AF404:AJ404),3),"")</f>
        <v>0.5</v>
      </c>
      <c r="AN404" s="7" t="n">
        <f aca="false">ROUND((IF(AF404="",0,AF404)*Assumptions!$F$15)+(IF(AG404="",0,AG404)*Assumptions!$F$16)+(IF(AH404="",0,AH404)*Assumptions!$F$17)+(IF(AI404="",0,AI404)*Assumptions!$F$18)+(IF(AJ404="",0,AJ404)*Assumptions!$F$19),3)</f>
        <v>3</v>
      </c>
      <c r="AO404" s="0" t="str">
        <f aca="false">IF(AC404&lt;=20,"",IF(AC404&lt;=Assumptions!$F$6,"20-30",IF(AC404&lt;=Assumptions!$F$7,"30-40",IF(AC404&lt;=Assumptions!$F$8,"40-50",IF(AC404&lt;=Assumptions!$F$9,"50-60",IF(AC404&lt;=Assumptions!$F$10,"60+",""))))))</f>
        <v>30-40</v>
      </c>
      <c r="AP404" s="0" t="str">
        <f aca="false">IFERROR(VLOOKUP(O404,Assumptions!$B$14:$C$26,2,FALSE()),"Other")</f>
        <v>Manager</v>
      </c>
      <c r="AQ404" s="0" t="n">
        <f aca="false">IF(T404="",0,1)</f>
        <v>0</v>
      </c>
      <c r="AR404" s="0" t="n">
        <f aca="false">IF(U404="",0,1)</f>
        <v>0</v>
      </c>
      <c r="AS404" s="8" t="n">
        <f aca="false">IF(AK404="","",IF(MAX($AK$2:$AK$921)=MIN($AK$2:$AK$921),50,ROUND((AK404-MIN($AK$2:$AK$921))/(MAX($AK$2:$AK$921)-MIN($AK$2:$AK$921))*100,2)))</f>
        <v>67.85</v>
      </c>
      <c r="AT404" s="8" t="n">
        <f aca="false">IF(MAX($BC$2:$BC$921)=MIN($BC$2:$BC$921),50,ROUND((BC404-MIN($BC$2:$BC$921))/(MAX($BC$2:$BC$921)-MIN($BC$2:$BC$921))*100,2))</f>
        <v>50</v>
      </c>
      <c r="AU404" s="8" t="n">
        <f aca="false">IF(MAX($BE$2:$BE$921)=MIN($BE$2:$BE$921),50,ROUND((BE404-MIN($BE$2:$BE$921))/(MAX($BE$2:$BE$921)-MIN($BE$2:$BE$921))*100,2))</f>
        <v>71.13</v>
      </c>
      <c r="AV404" s="8" t="n">
        <f aca="false">IF(MAX($AD$2:$AD$921)=MIN($AD$2:$AD$921),50,ROUND((AD404-MIN($AD$2:$AD$921))/(MAX($AD$2:$AD$921)-MIN($AD$2:$AD$921))*100,2))</f>
        <v>10.85</v>
      </c>
      <c r="AW404" s="8" t="n">
        <f aca="false">IF(MAX($AN$2:$AN$921)=MIN($AN$2:$AN$921),50,ROUND((AN404-MIN($AN$2:$AN$921))/(MAX($AN$2:$AN$921)-MIN($AN$2:$AN$921))*100,2))</f>
        <v>75</v>
      </c>
      <c r="AX404" s="8" t="n">
        <f aca="false">AQ404*100</f>
        <v>0</v>
      </c>
      <c r="AY404" s="8" t="n">
        <f aca="false">AR404*100</f>
        <v>0</v>
      </c>
      <c r="AZ404" s="8" t="n">
        <f aca="false">IFERROR(ROUND(AS404*Assumptions!$I$6+AW404*Assumptions!$I$7+AT404*Assumptions!$I$8+AU404*Assumptions!$I$9+AV404*Assumptions!$I$10+AX404*Assumptions!$I$11+AY404*Assumptions!$I$12,2),"")</f>
        <v>54.61</v>
      </c>
      <c r="BA404" s="0" t="str">
        <f aca="false">IF(AZ404="","",IF(AZ404&lt;=Assumptions!$I$18,"Below Expectation",IF(AZ404&lt;=Assumptions!$I$19,"Developing",IF(AZ404&lt;=Assumptions!$I$20,"Meets Expectation",IF(AZ404&lt;=Assumptions!$I$21,"Exceeds","Star Performer")))))</f>
        <v>Developing</v>
      </c>
      <c r="BB404" s="0" t="n">
        <f aca="false">IF(AZ404="",0,IF(AZ404&gt;=Assumptions!$I$26,1,0))</f>
        <v>0</v>
      </c>
      <c r="BC404" s="9" t="n">
        <f aca="false">IF(AL404="",2,AL404+2)</f>
        <v>2</v>
      </c>
      <c r="BD404" s="10" t="n">
        <f aca="false">IF(AM404="",ROUND(AVERAGE($AM$2:$AM$921),3),AM404)</f>
        <v>0.5</v>
      </c>
      <c r="BE404" s="9" t="n">
        <f aca="false">1-BD404</f>
        <v>0.5</v>
      </c>
    </row>
    <row r="405" customFormat="false" ht="14.25" hidden="true" customHeight="false" outlineLevel="0" collapsed="false">
      <c r="A405" s="4" t="n">
        <v>565</v>
      </c>
      <c r="B405" s="5" t="n">
        <v>55050122</v>
      </c>
      <c r="C405" s="5" t="s">
        <v>85</v>
      </c>
      <c r="D405" s="5" t="s">
        <v>1738</v>
      </c>
      <c r="E405" s="5" t="s">
        <v>235</v>
      </c>
      <c r="F405" s="5" t="s">
        <v>1382</v>
      </c>
      <c r="G405" s="5" t="s">
        <v>1383</v>
      </c>
      <c r="H405" s="5" t="s">
        <v>1382</v>
      </c>
      <c r="I405" s="5" t="s">
        <v>63</v>
      </c>
      <c r="J405" s="5" t="s">
        <v>76</v>
      </c>
      <c r="K405" s="5" t="s">
        <v>309</v>
      </c>
      <c r="L405" s="6" t="n">
        <v>44683</v>
      </c>
      <c r="M405" s="5" t="s">
        <v>1739</v>
      </c>
      <c r="N405" s="6" t="n">
        <v>36412</v>
      </c>
      <c r="O405" s="5" t="s">
        <v>1264</v>
      </c>
      <c r="P405" s="5" t="s">
        <v>1559</v>
      </c>
      <c r="Q405" s="5" t="s">
        <v>1534</v>
      </c>
      <c r="R405" s="5" t="s">
        <v>1046</v>
      </c>
      <c r="S405" s="5" t="s">
        <v>496</v>
      </c>
      <c r="T405" s="6"/>
      <c r="U405" s="6"/>
      <c r="V405" s="5"/>
      <c r="W405" s="5" t="s">
        <v>141</v>
      </c>
      <c r="X405" s="5" t="s">
        <v>141</v>
      </c>
      <c r="Y405" s="5" t="s">
        <v>141</v>
      </c>
      <c r="Z405" s="5" t="s">
        <v>83</v>
      </c>
      <c r="AA405" s="5" t="s">
        <v>1734</v>
      </c>
      <c r="AB405" s="0" t="n">
        <f aca="false">IFERROR(VALUE(R405),0)</f>
        <v>0.7</v>
      </c>
      <c r="AC405" s="0" t="n">
        <f aca="false">IFERROR(VALUE(M405),"")</f>
        <v>26.8</v>
      </c>
      <c r="AD405" s="0" t="n">
        <f aca="false">IFERROR(VALUE(Q405),"")</f>
        <v>4.1</v>
      </c>
      <c r="AE405" s="0" t="n">
        <f aca="false">IFERROR(VALUE(S405),"")</f>
        <v>4.8</v>
      </c>
      <c r="AF405" s="0" t="str">
        <f aca="false">IF(V405="","",VLOOKUP(V405,Assumptions!$B$6:$C$9,2,FALSE()))</f>
        <v/>
      </c>
      <c r="AG405" s="0" t="n">
        <f aca="false">IF(W405="","",VLOOKUP(W405,Assumptions!$B$6:$C$9,2,FALSE()))</f>
        <v>3</v>
      </c>
      <c r="AH405" s="0" t="n">
        <f aca="false">IF(X405="","",VLOOKUP(X405,Assumptions!$B$6:$C$9,2,FALSE()))</f>
        <v>3</v>
      </c>
      <c r="AI405" s="0" t="n">
        <f aca="false">IF(Y405="","",VLOOKUP(Y405,Assumptions!$B$6:$C$9,2,FALSE()))</f>
        <v>3</v>
      </c>
      <c r="AJ405" s="0" t="n">
        <f aca="false">IF(Z405="","",VLOOKUP(Z405,Assumptions!$B$6:$C$9,2,FALSE()))</f>
        <v>4</v>
      </c>
      <c r="AK405" s="7" t="n">
        <f aca="false">IFERROR(ROUND(AVERAGE(AF405:AJ405),3),"")</f>
        <v>3.25</v>
      </c>
      <c r="AL405" s="7" t="str">
        <f aca="false">IF(OR(AF405="",AJ405=""),"",AJ405-AF405)</f>
        <v/>
      </c>
      <c r="AM405" s="7" t="n">
        <f aca="false">IF(COUNT(AF405:AJ405)&gt;=2,ROUND(_xlfn.STDEV.S(AF405:AJ405),3),"")</f>
        <v>0.5</v>
      </c>
      <c r="AN405" s="7" t="n">
        <f aca="false">ROUND((IF(AF405="",0,AF405)*Assumptions!$F$15)+(IF(AG405="",0,AG405)*Assumptions!$F$16)+(IF(AH405="",0,AH405)*Assumptions!$F$17)+(IF(AI405="",0,AI405)*Assumptions!$F$18)+(IF(AJ405="",0,AJ405)*Assumptions!$F$19),3)</f>
        <v>3</v>
      </c>
      <c r="AO405" s="0" t="str">
        <f aca="false">IF(AC405&lt;=20,"",IF(AC405&lt;=Assumptions!$F$6,"20-30",IF(AC405&lt;=Assumptions!$F$7,"30-40",IF(AC405&lt;=Assumptions!$F$8,"40-50",IF(AC405&lt;=Assumptions!$F$9,"50-60",IF(AC405&lt;=Assumptions!$F$10,"60+",""))))))</f>
        <v>20-30</v>
      </c>
      <c r="AP405" s="0" t="str">
        <f aca="false">IFERROR(VLOOKUP(O405,Assumptions!$B$14:$C$26,2,FALSE()),"Other")</f>
        <v>Manager</v>
      </c>
      <c r="AQ405" s="0" t="n">
        <f aca="false">IF(T405="",0,1)</f>
        <v>0</v>
      </c>
      <c r="AR405" s="0" t="n">
        <f aca="false">IF(U405="",0,1)</f>
        <v>0</v>
      </c>
      <c r="AS405" s="8" t="n">
        <f aca="false">IF(AK405="","",IF(MAX($AK$2:$AK$921)=MIN($AK$2:$AK$921),50,ROUND((AK405-MIN($AK$2:$AK$921))/(MAX($AK$2:$AK$921)-MIN($AK$2:$AK$921))*100,2)))</f>
        <v>67.85</v>
      </c>
      <c r="AT405" s="8" t="n">
        <f aca="false">IF(MAX($BC$2:$BC$921)=MIN($BC$2:$BC$921),50,ROUND((BC405-MIN($BC$2:$BC$921))/(MAX($BC$2:$BC$921)-MIN($BC$2:$BC$921))*100,2))</f>
        <v>50</v>
      </c>
      <c r="AU405" s="8" t="n">
        <f aca="false">IF(MAX($BE$2:$BE$921)=MIN($BE$2:$BE$921),50,ROUND((BE405-MIN($BE$2:$BE$921))/(MAX($BE$2:$BE$921)-MIN($BE$2:$BE$921))*100,2))</f>
        <v>71.13</v>
      </c>
      <c r="AV405" s="8" t="n">
        <f aca="false">IF(MAX($AD$2:$AD$921)=MIN($AD$2:$AD$921),50,ROUND((AD405-MIN($AD$2:$AD$921))/(MAX($AD$2:$AD$921)-MIN($AD$2:$AD$921))*100,2))</f>
        <v>10.85</v>
      </c>
      <c r="AW405" s="8" t="n">
        <f aca="false">IF(MAX($AN$2:$AN$921)=MIN($AN$2:$AN$921),50,ROUND((AN405-MIN($AN$2:$AN$921))/(MAX($AN$2:$AN$921)-MIN($AN$2:$AN$921))*100,2))</f>
        <v>75</v>
      </c>
      <c r="AX405" s="8" t="n">
        <f aca="false">AQ405*100</f>
        <v>0</v>
      </c>
      <c r="AY405" s="8" t="n">
        <f aca="false">AR405*100</f>
        <v>0</v>
      </c>
      <c r="AZ405" s="8" t="n">
        <f aca="false">IFERROR(ROUND(AS405*Assumptions!$I$6+AW405*Assumptions!$I$7+AT405*Assumptions!$I$8+AU405*Assumptions!$I$9+AV405*Assumptions!$I$10+AX405*Assumptions!$I$11+AY405*Assumptions!$I$12,2),"")</f>
        <v>54.61</v>
      </c>
      <c r="BA405" s="0" t="str">
        <f aca="false">IF(AZ405="","",IF(AZ405&lt;=Assumptions!$I$18,"Below Expectation",IF(AZ405&lt;=Assumptions!$I$19,"Developing",IF(AZ405&lt;=Assumptions!$I$20,"Meets Expectation",IF(AZ405&lt;=Assumptions!$I$21,"Exceeds","Star Performer")))))</f>
        <v>Developing</v>
      </c>
      <c r="BB405" s="0" t="n">
        <f aca="false">IF(AZ405="",0,IF(AZ405&gt;=Assumptions!$I$26,1,0))</f>
        <v>0</v>
      </c>
      <c r="BC405" s="9" t="n">
        <f aca="false">IF(AL405="",2,AL405+2)</f>
        <v>2</v>
      </c>
      <c r="BD405" s="10" t="n">
        <f aca="false">IF(AM405="",ROUND(AVERAGE($AM$2:$AM$921),3),AM405)</f>
        <v>0.5</v>
      </c>
      <c r="BE405" s="9" t="n">
        <f aca="false">1-BD405</f>
        <v>0.5</v>
      </c>
    </row>
    <row r="406" customFormat="false" ht="14.25" hidden="true" customHeight="false" outlineLevel="0" collapsed="false">
      <c r="A406" s="4" t="n">
        <v>118</v>
      </c>
      <c r="B406" s="5" t="n">
        <v>10037062</v>
      </c>
      <c r="C406" s="5" t="s">
        <v>526</v>
      </c>
      <c r="D406" s="5" t="s">
        <v>1740</v>
      </c>
      <c r="E406" s="5" t="s">
        <v>558</v>
      </c>
      <c r="F406" s="5" t="s">
        <v>292</v>
      </c>
      <c r="G406" s="5" t="s">
        <v>293</v>
      </c>
      <c r="H406" s="5" t="s">
        <v>292</v>
      </c>
      <c r="I406" s="5" t="s">
        <v>63</v>
      </c>
      <c r="J406" s="5" t="s">
        <v>100</v>
      </c>
      <c r="K406" s="5" t="s">
        <v>65</v>
      </c>
      <c r="L406" s="6" t="n">
        <v>41387</v>
      </c>
      <c r="M406" s="5" t="s">
        <v>1725</v>
      </c>
      <c r="N406" s="6" t="n">
        <v>27807</v>
      </c>
      <c r="O406" s="5" t="s">
        <v>122</v>
      </c>
      <c r="P406" s="5" t="s">
        <v>123</v>
      </c>
      <c r="Q406" s="5" t="s">
        <v>762</v>
      </c>
      <c r="R406" s="5" t="s">
        <v>1232</v>
      </c>
      <c r="S406" s="5" t="s">
        <v>1513</v>
      </c>
      <c r="T406" s="6"/>
      <c r="U406" s="6"/>
      <c r="V406" s="5" t="s">
        <v>83</v>
      </c>
      <c r="W406" s="5" t="s">
        <v>141</v>
      </c>
      <c r="X406" s="5" t="s">
        <v>631</v>
      </c>
      <c r="Y406" s="5" t="s">
        <v>141</v>
      </c>
      <c r="Z406" s="5" t="s">
        <v>83</v>
      </c>
      <c r="AA406" s="5" t="s">
        <v>1741</v>
      </c>
      <c r="AB406" s="0" t="n">
        <f aca="false">IFERROR(VALUE(R406),0)</f>
        <v>13</v>
      </c>
      <c r="AC406" s="0" t="n">
        <f aca="false">IFERROR(VALUE(M406),"")</f>
        <v>50.3</v>
      </c>
      <c r="AD406" s="0" t="n">
        <f aca="false">IFERROR(VALUE(Q406),"")</f>
        <v>13.1</v>
      </c>
      <c r="AE406" s="0" t="n">
        <f aca="false">IFERROR(VALUE(S406),"")</f>
        <v>26.1</v>
      </c>
      <c r="AF406" s="0" t="n">
        <f aca="false">IF(V406="","",VLOOKUP(V406,Assumptions!$B$6:$C$9,2,FALSE()))</f>
        <v>4</v>
      </c>
      <c r="AG406" s="0" t="n">
        <f aca="false">IF(W406="","",VLOOKUP(W406,Assumptions!$B$6:$C$9,2,FALSE()))</f>
        <v>3</v>
      </c>
      <c r="AH406" s="0" t="n">
        <f aca="false">IF(X406="","",VLOOKUP(X406,Assumptions!$B$6:$C$9,2,FALSE()))</f>
        <v>2</v>
      </c>
      <c r="AI406" s="0" t="n">
        <f aca="false">IF(Y406="","",VLOOKUP(Y406,Assumptions!$B$6:$C$9,2,FALSE()))</f>
        <v>3</v>
      </c>
      <c r="AJ406" s="0" t="n">
        <f aca="false">IF(Z406="","",VLOOKUP(Z406,Assumptions!$B$6:$C$9,2,FALSE()))</f>
        <v>4</v>
      </c>
      <c r="AK406" s="7" t="n">
        <f aca="false">IFERROR(ROUND(AVERAGE(AF406:AJ406),3),"")</f>
        <v>3.2</v>
      </c>
      <c r="AL406" s="7" t="n">
        <f aca="false">IF(OR(AF406="",AJ406=""),"",AJ406-AF406)</f>
        <v>0</v>
      </c>
      <c r="AM406" s="7" t="n">
        <f aca="false">IF(COUNT(AF406:AJ406)&gt;=2,ROUND(_xlfn.STDEV.S(AF406:AJ406),3),"")</f>
        <v>0.837</v>
      </c>
      <c r="AN406" s="7" t="n">
        <f aca="false">ROUND((IF(AF406="",0,AF406)*Assumptions!$F$15)+(IF(AG406="",0,AG406)*Assumptions!$F$16)+(IF(AH406="",0,AH406)*Assumptions!$F$17)+(IF(AI406="",0,AI406)*Assumptions!$F$18)+(IF(AJ406="",0,AJ406)*Assumptions!$F$19),3)</f>
        <v>3.2</v>
      </c>
      <c r="AO406" s="0" t="str">
        <f aca="false">IF(AC406&lt;=20,"",IF(AC406&lt;=Assumptions!$F$6,"20-30",IF(AC406&lt;=Assumptions!$F$7,"30-40",IF(AC406&lt;=Assumptions!$F$8,"40-50",IF(AC406&lt;=Assumptions!$F$9,"50-60",IF(AC406&lt;=Assumptions!$F$10,"60+",""))))))</f>
        <v>50-60</v>
      </c>
      <c r="AP406" s="0" t="str">
        <f aca="false">IFERROR(VLOOKUP(O406,Assumptions!$B$14:$C$26,2,FALSE()),"Other")</f>
        <v>Leadership</v>
      </c>
      <c r="AQ406" s="0" t="n">
        <f aca="false">IF(T406="",0,1)</f>
        <v>0</v>
      </c>
      <c r="AR406" s="0" t="n">
        <f aca="false">IF(U406="",0,1)</f>
        <v>0</v>
      </c>
      <c r="AS406" s="8" t="n">
        <f aca="false">IF(AK406="","",IF(MAX($AK$2:$AK$921)=MIN($AK$2:$AK$921),50,ROUND((AK406-MIN($AK$2:$AK$921))/(MAX($AK$2:$AK$921)-MIN($AK$2:$AK$921))*100,2)))</f>
        <v>65.71</v>
      </c>
      <c r="AT406" s="8" t="n">
        <f aca="false">IF(MAX($BC$2:$BC$921)=MIN($BC$2:$BC$921),50,ROUND((BC406-MIN($BC$2:$BC$921))/(MAX($BC$2:$BC$921)-MIN($BC$2:$BC$921))*100,2))</f>
        <v>50</v>
      </c>
      <c r="AU406" s="8" t="n">
        <f aca="false">IF(MAX($BE$2:$BE$921)=MIN($BE$2:$BE$921),50,ROUND((BE406-MIN($BE$2:$BE$921))/(MAX($BE$2:$BE$921)-MIN($BE$2:$BE$921))*100,2))</f>
        <v>51.67</v>
      </c>
      <c r="AV406" s="8" t="n">
        <f aca="false">IF(MAX($AD$2:$AD$921)=MIN($AD$2:$AD$921),50,ROUND((AD406-MIN($AD$2:$AD$921))/(MAX($AD$2:$AD$921)-MIN($AD$2:$AD$921))*100,2))</f>
        <v>35.31</v>
      </c>
      <c r="AW406" s="8" t="n">
        <f aca="false">IF(MAX($AN$2:$AN$921)=MIN($AN$2:$AN$921),50,ROUND((AN406-MIN($AN$2:$AN$921))/(MAX($AN$2:$AN$921)-MIN($AN$2:$AN$921))*100,2))</f>
        <v>80</v>
      </c>
      <c r="AX406" s="8" t="n">
        <f aca="false">AQ406*100</f>
        <v>0</v>
      </c>
      <c r="AY406" s="8" t="n">
        <f aca="false">AR406*100</f>
        <v>0</v>
      </c>
      <c r="AZ406" s="8" t="n">
        <f aca="false">IFERROR(ROUND(AS406*Assumptions!$I$6+AW406*Assumptions!$I$7+AT406*Assumptions!$I$8+AU406*Assumptions!$I$9+AV406*Assumptions!$I$10+AX406*Assumptions!$I$11+AY406*Assumptions!$I$12,2),"")</f>
        <v>54.49</v>
      </c>
      <c r="BA406" s="0" t="str">
        <f aca="false">IF(AZ406="","",IF(AZ406&lt;=Assumptions!$I$18,"Below Expectation",IF(AZ406&lt;=Assumptions!$I$19,"Developing",IF(AZ406&lt;=Assumptions!$I$20,"Meets Expectation",IF(AZ406&lt;=Assumptions!$I$21,"Exceeds","Star Performer")))))</f>
        <v>Developing</v>
      </c>
      <c r="BB406" s="0" t="n">
        <f aca="false">IF(AZ406="",0,IF(AZ406&gt;=Assumptions!$I$26,1,0))</f>
        <v>0</v>
      </c>
      <c r="BC406" s="9" t="n">
        <f aca="false">IF(AL406="",2,AL406+2)</f>
        <v>2</v>
      </c>
      <c r="BD406" s="10" t="n">
        <f aca="false">IF(AM406="",ROUND(AVERAGE($AM$2:$AM$921),3),AM406)</f>
        <v>0.837</v>
      </c>
      <c r="BE406" s="9" t="n">
        <f aca="false">1-BD406</f>
        <v>0.163</v>
      </c>
    </row>
    <row r="407" customFormat="false" ht="14.25" hidden="true" customHeight="false" outlineLevel="0" collapsed="false">
      <c r="A407" s="4" t="n">
        <v>90</v>
      </c>
      <c r="B407" s="5" t="n">
        <v>10026732</v>
      </c>
      <c r="C407" s="5" t="s">
        <v>526</v>
      </c>
      <c r="D407" s="5" t="s">
        <v>1742</v>
      </c>
      <c r="E407" s="5" t="s">
        <v>528</v>
      </c>
      <c r="F407" s="5" t="s">
        <v>380</v>
      </c>
      <c r="G407" s="5" t="s">
        <v>379</v>
      </c>
      <c r="H407" s="5" t="s">
        <v>380</v>
      </c>
      <c r="I407" s="5" t="s">
        <v>63</v>
      </c>
      <c r="J407" s="5" t="s">
        <v>100</v>
      </c>
      <c r="K407" s="5" t="s">
        <v>65</v>
      </c>
      <c r="L407" s="6" t="n">
        <v>39514</v>
      </c>
      <c r="M407" s="5" t="s">
        <v>1743</v>
      </c>
      <c r="N407" s="6" t="n">
        <v>29202</v>
      </c>
      <c r="O407" s="5" t="s">
        <v>262</v>
      </c>
      <c r="P407" s="5" t="s">
        <v>263</v>
      </c>
      <c r="Q407" s="5" t="s">
        <v>971</v>
      </c>
      <c r="R407" s="5" t="s">
        <v>997</v>
      </c>
      <c r="S407" s="5" t="s">
        <v>578</v>
      </c>
      <c r="T407" s="6"/>
      <c r="U407" s="6" t="n">
        <v>45901</v>
      </c>
      <c r="V407" s="5" t="s">
        <v>631</v>
      </c>
      <c r="W407" s="5" t="s">
        <v>631</v>
      </c>
      <c r="X407" s="5" t="s">
        <v>631</v>
      </c>
      <c r="Y407" s="5" t="s">
        <v>83</v>
      </c>
      <c r="Z407" s="5" t="s">
        <v>141</v>
      </c>
      <c r="AA407" s="5" t="s">
        <v>1744</v>
      </c>
      <c r="AB407" s="0" t="n">
        <f aca="false">IFERROR(VALUE(R407),0)</f>
        <v>5.11</v>
      </c>
      <c r="AC407" s="0" t="n">
        <f aca="false">IFERROR(VALUE(M407),"")</f>
        <v>46.5</v>
      </c>
      <c r="AD407" s="0" t="n">
        <f aca="false">IFERROR(VALUE(Q407),"")</f>
        <v>18.3</v>
      </c>
      <c r="AE407" s="0" t="n">
        <f aca="false">IFERROR(VALUE(S407),"")</f>
        <v>24.2</v>
      </c>
      <c r="AF407" s="0" t="n">
        <f aca="false">IF(V407="","",VLOOKUP(V407,Assumptions!$B$6:$C$9,2,FALSE()))</f>
        <v>2</v>
      </c>
      <c r="AG407" s="0" t="n">
        <f aca="false">IF(W407="","",VLOOKUP(W407,Assumptions!$B$6:$C$9,2,FALSE()))</f>
        <v>2</v>
      </c>
      <c r="AH407" s="0" t="n">
        <f aca="false">IF(X407="","",VLOOKUP(X407,Assumptions!$B$6:$C$9,2,FALSE()))</f>
        <v>2</v>
      </c>
      <c r="AI407" s="0" t="n">
        <f aca="false">IF(Y407="","",VLOOKUP(Y407,Assumptions!$B$6:$C$9,2,FALSE()))</f>
        <v>4</v>
      </c>
      <c r="AJ407" s="0" t="n">
        <f aca="false">IF(Z407="","",VLOOKUP(Z407,Assumptions!$B$6:$C$9,2,FALSE()))</f>
        <v>3</v>
      </c>
      <c r="AK407" s="7" t="n">
        <f aca="false">IFERROR(ROUND(AVERAGE(AF407:AJ407),3),"")</f>
        <v>2.6</v>
      </c>
      <c r="AL407" s="7" t="n">
        <f aca="false">IF(OR(AF407="",AJ407=""),"",AJ407-AF407)</f>
        <v>1</v>
      </c>
      <c r="AM407" s="7" t="n">
        <f aca="false">IF(COUNT(AF407:AJ407)&gt;=2,ROUND(_xlfn.STDEV.S(AF407:AJ407),3),"")</f>
        <v>0.894</v>
      </c>
      <c r="AN407" s="7" t="n">
        <f aca="false">ROUND((IF(AF407="",0,AF407)*Assumptions!$F$15)+(IF(AG407="",0,AG407)*Assumptions!$F$16)+(IF(AH407="",0,AH407)*Assumptions!$F$17)+(IF(AI407="",0,AI407)*Assumptions!$F$18)+(IF(AJ407="",0,AJ407)*Assumptions!$F$19),3)</f>
        <v>2.8</v>
      </c>
      <c r="AO407" s="0" t="str">
        <f aca="false">IF(AC407&lt;=20,"",IF(AC407&lt;=Assumptions!$F$6,"20-30",IF(AC407&lt;=Assumptions!$F$7,"30-40",IF(AC407&lt;=Assumptions!$F$8,"40-50",IF(AC407&lt;=Assumptions!$F$9,"50-60",IF(AC407&lt;=Assumptions!$F$10,"60+",""))))))</f>
        <v>40-50</v>
      </c>
      <c r="AP407" s="0" t="str">
        <f aca="false">IFERROR(VLOOKUP(O407,Assumptions!$B$14:$C$26,2,FALSE()),"Other")</f>
        <v>Manager</v>
      </c>
      <c r="AQ407" s="0" t="n">
        <f aca="false">IF(T407="",0,1)</f>
        <v>0</v>
      </c>
      <c r="AR407" s="0" t="n">
        <f aca="false">IF(U407="",0,1)</f>
        <v>1</v>
      </c>
      <c r="AS407" s="8" t="n">
        <f aca="false">IF(AK407="","",IF(MAX($AK$2:$AK$921)=MIN($AK$2:$AK$921),50,ROUND((AK407-MIN($AK$2:$AK$921))/(MAX($AK$2:$AK$921)-MIN($AK$2:$AK$921))*100,2)))</f>
        <v>39.99</v>
      </c>
      <c r="AT407" s="8" t="n">
        <f aca="false">IF(MAX($BC$2:$BC$921)=MIN($BC$2:$BC$921),50,ROUND((BC407-MIN($BC$2:$BC$921))/(MAX($BC$2:$BC$921)-MIN($BC$2:$BC$921))*100,2))</f>
        <v>75</v>
      </c>
      <c r="AU407" s="8" t="n">
        <f aca="false">IF(MAX($BE$2:$BE$921)=MIN($BE$2:$BE$921),50,ROUND((BE407-MIN($BE$2:$BE$921))/(MAX($BE$2:$BE$921)-MIN($BE$2:$BE$921))*100,2))</f>
        <v>48.38</v>
      </c>
      <c r="AV407" s="8" t="n">
        <f aca="false">IF(MAX($AD$2:$AD$921)=MIN($AD$2:$AD$921),50,ROUND((AD407-MIN($AD$2:$AD$921))/(MAX($AD$2:$AD$921)-MIN($AD$2:$AD$921))*100,2))</f>
        <v>49.44</v>
      </c>
      <c r="AW407" s="8" t="n">
        <f aca="false">IF(MAX($AN$2:$AN$921)=MIN($AN$2:$AN$921),50,ROUND((AN407-MIN($AN$2:$AN$921))/(MAX($AN$2:$AN$921)-MIN($AN$2:$AN$921))*100,2))</f>
        <v>70</v>
      </c>
      <c r="AX407" s="8" t="n">
        <f aca="false">AQ407*100</f>
        <v>0</v>
      </c>
      <c r="AY407" s="8" t="n">
        <f aca="false">AR407*100</f>
        <v>100</v>
      </c>
      <c r="AZ407" s="8" t="n">
        <f aca="false">IFERROR(ROUND(AS407*Assumptions!$I$6+AW407*Assumptions!$I$7+AT407*Assumptions!$I$8+AU407*Assumptions!$I$9+AV407*Assumptions!$I$10+AX407*Assumptions!$I$11+AY407*Assumptions!$I$12,2),"")</f>
        <v>54.45</v>
      </c>
      <c r="BA407" s="0" t="str">
        <f aca="false">IF(AZ407="","",IF(AZ407&lt;=Assumptions!$I$18,"Below Expectation",IF(AZ407&lt;=Assumptions!$I$19,"Developing",IF(AZ407&lt;=Assumptions!$I$20,"Meets Expectation",IF(AZ407&lt;=Assumptions!$I$21,"Exceeds","Star Performer")))))</f>
        <v>Developing</v>
      </c>
      <c r="BB407" s="0" t="n">
        <f aca="false">IF(AZ407="",0,IF(AZ407&gt;=Assumptions!$I$26,1,0))</f>
        <v>0</v>
      </c>
      <c r="BC407" s="9" t="n">
        <f aca="false">IF(AL407="",2,AL407+2)</f>
        <v>3</v>
      </c>
      <c r="BD407" s="10" t="n">
        <f aca="false">IF(AM407="",ROUND(AVERAGE($AM$2:$AM$921),3),AM407)</f>
        <v>0.894</v>
      </c>
      <c r="BE407" s="9" t="n">
        <f aca="false">1-BD407</f>
        <v>0.106</v>
      </c>
    </row>
    <row r="408" customFormat="false" ht="14.25" hidden="true" customHeight="false" outlineLevel="0" collapsed="false">
      <c r="A408" s="4" t="n">
        <v>526</v>
      </c>
      <c r="B408" s="5" t="n">
        <v>55046534</v>
      </c>
      <c r="C408" s="5" t="s">
        <v>85</v>
      </c>
      <c r="D408" s="5" t="s">
        <v>1745</v>
      </c>
      <c r="E408" s="5" t="s">
        <v>185</v>
      </c>
      <c r="F408" s="5" t="s">
        <v>1731</v>
      </c>
      <c r="G408" s="5" t="s">
        <v>1732</v>
      </c>
      <c r="H408" s="5" t="s">
        <v>1731</v>
      </c>
      <c r="I408" s="5" t="s">
        <v>63</v>
      </c>
      <c r="J408" s="5" t="s">
        <v>76</v>
      </c>
      <c r="K408" s="5" t="s">
        <v>309</v>
      </c>
      <c r="L408" s="6" t="n">
        <v>44593</v>
      </c>
      <c r="M408" s="5" t="s">
        <v>1733</v>
      </c>
      <c r="N408" s="6" t="n">
        <v>36492</v>
      </c>
      <c r="O408" s="5" t="s">
        <v>1264</v>
      </c>
      <c r="P408" s="5" t="s">
        <v>1559</v>
      </c>
      <c r="Q408" s="5" t="s">
        <v>545</v>
      </c>
      <c r="R408" s="5" t="s">
        <v>115</v>
      </c>
      <c r="S408" s="5" t="s">
        <v>545</v>
      </c>
      <c r="T408" s="6"/>
      <c r="U408" s="6"/>
      <c r="V408" s="5"/>
      <c r="W408" s="5" t="s">
        <v>141</v>
      </c>
      <c r="X408" s="5" t="s">
        <v>141</v>
      </c>
      <c r="Y408" s="5" t="s">
        <v>83</v>
      </c>
      <c r="Z408" s="5" t="s">
        <v>141</v>
      </c>
      <c r="AA408" s="5" t="s">
        <v>1734</v>
      </c>
      <c r="AB408" s="0" t="n">
        <f aca="false">IFERROR(VALUE(R408),0)</f>
        <v>0</v>
      </c>
      <c r="AC408" s="0" t="n">
        <f aca="false">IFERROR(VALUE(M408),"")</f>
        <v>26.6</v>
      </c>
      <c r="AD408" s="0" t="n">
        <f aca="false">IFERROR(VALUE(Q408),"")</f>
        <v>4.4</v>
      </c>
      <c r="AE408" s="0" t="n">
        <f aca="false">IFERROR(VALUE(S408),"")</f>
        <v>4.4</v>
      </c>
      <c r="AF408" s="0" t="str">
        <f aca="false">IF(V408="","",VLOOKUP(V408,Assumptions!$B$6:$C$9,2,FALSE()))</f>
        <v/>
      </c>
      <c r="AG408" s="0" t="n">
        <f aca="false">IF(W408="","",VLOOKUP(W408,Assumptions!$B$6:$C$9,2,FALSE()))</f>
        <v>3</v>
      </c>
      <c r="AH408" s="0" t="n">
        <f aca="false">IF(X408="","",VLOOKUP(X408,Assumptions!$B$6:$C$9,2,FALSE()))</f>
        <v>3</v>
      </c>
      <c r="AI408" s="0" t="n">
        <f aca="false">IF(Y408="","",VLOOKUP(Y408,Assumptions!$B$6:$C$9,2,FALSE()))</f>
        <v>4</v>
      </c>
      <c r="AJ408" s="0" t="n">
        <f aca="false">IF(Z408="","",VLOOKUP(Z408,Assumptions!$B$6:$C$9,2,FALSE()))</f>
        <v>3</v>
      </c>
      <c r="AK408" s="7" t="n">
        <f aca="false">IFERROR(ROUND(AVERAGE(AF408:AJ408),3),"")</f>
        <v>3.25</v>
      </c>
      <c r="AL408" s="7" t="str">
        <f aca="false">IF(OR(AF408="",AJ408=""),"",AJ408-AF408)</f>
        <v/>
      </c>
      <c r="AM408" s="7" t="n">
        <f aca="false">IF(COUNT(AF408:AJ408)&gt;=2,ROUND(_xlfn.STDEV.S(AF408:AJ408),3),"")</f>
        <v>0.5</v>
      </c>
      <c r="AN408" s="7" t="n">
        <f aca="false">ROUND((IF(AF408="",0,AF408)*Assumptions!$F$15)+(IF(AG408="",0,AG408)*Assumptions!$F$16)+(IF(AH408="",0,AH408)*Assumptions!$F$17)+(IF(AI408="",0,AI408)*Assumptions!$F$18)+(IF(AJ408="",0,AJ408)*Assumptions!$F$19),3)</f>
        <v>2.95</v>
      </c>
      <c r="AO408" s="0" t="str">
        <f aca="false">IF(AC408&lt;=20,"",IF(AC408&lt;=Assumptions!$F$6,"20-30",IF(AC408&lt;=Assumptions!$F$7,"30-40",IF(AC408&lt;=Assumptions!$F$8,"40-50",IF(AC408&lt;=Assumptions!$F$9,"50-60",IF(AC408&lt;=Assumptions!$F$10,"60+",""))))))</f>
        <v>20-30</v>
      </c>
      <c r="AP408" s="0" t="str">
        <f aca="false">IFERROR(VLOOKUP(O408,Assumptions!$B$14:$C$26,2,FALSE()),"Other")</f>
        <v>Manager</v>
      </c>
      <c r="AQ408" s="0" t="n">
        <f aca="false">IF(T408="",0,1)</f>
        <v>0</v>
      </c>
      <c r="AR408" s="0" t="n">
        <f aca="false">IF(U408="",0,1)</f>
        <v>0</v>
      </c>
      <c r="AS408" s="8" t="n">
        <f aca="false">IF(AK408="","",IF(MAX($AK$2:$AK$921)=MIN($AK$2:$AK$921),50,ROUND((AK408-MIN($AK$2:$AK$921))/(MAX($AK$2:$AK$921)-MIN($AK$2:$AK$921))*100,2)))</f>
        <v>67.85</v>
      </c>
      <c r="AT408" s="8" t="n">
        <f aca="false">IF(MAX($BC$2:$BC$921)=MIN($BC$2:$BC$921),50,ROUND((BC408-MIN($BC$2:$BC$921))/(MAX($BC$2:$BC$921)-MIN($BC$2:$BC$921))*100,2))</f>
        <v>50</v>
      </c>
      <c r="AU408" s="8" t="n">
        <f aca="false">IF(MAX($BE$2:$BE$921)=MIN($BE$2:$BE$921),50,ROUND((BE408-MIN($BE$2:$BE$921))/(MAX($BE$2:$BE$921)-MIN($BE$2:$BE$921))*100,2))</f>
        <v>71.13</v>
      </c>
      <c r="AV408" s="8" t="n">
        <f aca="false">IF(MAX($AD$2:$AD$921)=MIN($AD$2:$AD$921),50,ROUND((AD408-MIN($AD$2:$AD$921))/(MAX($AD$2:$AD$921)-MIN($AD$2:$AD$921))*100,2))</f>
        <v>11.66</v>
      </c>
      <c r="AW408" s="8" t="n">
        <f aca="false">IF(MAX($AN$2:$AN$921)=MIN($AN$2:$AN$921),50,ROUND((AN408-MIN($AN$2:$AN$921))/(MAX($AN$2:$AN$921)-MIN($AN$2:$AN$921))*100,2))</f>
        <v>73.75</v>
      </c>
      <c r="AX408" s="8" t="n">
        <f aca="false">AQ408*100</f>
        <v>0</v>
      </c>
      <c r="AY408" s="8" t="n">
        <f aca="false">AR408*100</f>
        <v>0</v>
      </c>
      <c r="AZ408" s="8" t="n">
        <f aca="false">IFERROR(ROUND(AS408*Assumptions!$I$6+AW408*Assumptions!$I$7+AT408*Assumptions!$I$8+AU408*Assumptions!$I$9+AV408*Assumptions!$I$10+AX408*Assumptions!$I$11+AY408*Assumptions!$I$12,2),"")</f>
        <v>54.44</v>
      </c>
      <c r="BA408" s="0" t="str">
        <f aca="false">IF(AZ408="","",IF(AZ408&lt;=Assumptions!$I$18,"Below Expectation",IF(AZ408&lt;=Assumptions!$I$19,"Developing",IF(AZ408&lt;=Assumptions!$I$20,"Meets Expectation",IF(AZ408&lt;=Assumptions!$I$21,"Exceeds","Star Performer")))))</f>
        <v>Developing</v>
      </c>
      <c r="BB408" s="0" t="n">
        <f aca="false">IF(AZ408="",0,IF(AZ408&gt;=Assumptions!$I$26,1,0))</f>
        <v>0</v>
      </c>
      <c r="BC408" s="9" t="n">
        <f aca="false">IF(AL408="",2,AL408+2)</f>
        <v>2</v>
      </c>
      <c r="BD408" s="10" t="n">
        <f aca="false">IF(AM408="",ROUND(AVERAGE($AM$2:$AM$921),3),AM408)</f>
        <v>0.5</v>
      </c>
      <c r="BE408" s="9" t="n">
        <f aca="false">1-BD408</f>
        <v>0.5</v>
      </c>
    </row>
    <row r="409" customFormat="false" ht="14.25" hidden="true" customHeight="false" outlineLevel="0" collapsed="false">
      <c r="A409" s="4" t="n">
        <v>191</v>
      </c>
      <c r="B409" s="5" t="n">
        <v>10055086</v>
      </c>
      <c r="C409" s="5" t="s">
        <v>85</v>
      </c>
      <c r="D409" s="5" t="s">
        <v>1746</v>
      </c>
      <c r="E409" s="5" t="s">
        <v>339</v>
      </c>
      <c r="F409" s="5" t="s">
        <v>349</v>
      </c>
      <c r="G409" s="5" t="s">
        <v>350</v>
      </c>
      <c r="H409" s="5" t="s">
        <v>349</v>
      </c>
      <c r="I409" s="5" t="s">
        <v>63</v>
      </c>
      <c r="J409" s="5" t="s">
        <v>76</v>
      </c>
      <c r="K409" s="5" t="s">
        <v>65</v>
      </c>
      <c r="L409" s="6" t="n">
        <v>42576</v>
      </c>
      <c r="M409" s="5" t="s">
        <v>261</v>
      </c>
      <c r="N409" s="6" t="n">
        <v>32150</v>
      </c>
      <c r="O409" s="5" t="s">
        <v>332</v>
      </c>
      <c r="P409" s="5" t="s">
        <v>333</v>
      </c>
      <c r="Q409" s="5" t="s">
        <v>546</v>
      </c>
      <c r="R409" s="5" t="s">
        <v>156</v>
      </c>
      <c r="S409" s="5" t="s">
        <v>446</v>
      </c>
      <c r="T409" s="6" t="n">
        <v>43770</v>
      </c>
      <c r="U409" s="6"/>
      <c r="V409" s="5" t="s">
        <v>141</v>
      </c>
      <c r="W409" s="5" t="s">
        <v>141</v>
      </c>
      <c r="X409" s="5" t="s">
        <v>141</v>
      </c>
      <c r="Y409" s="5" t="s">
        <v>631</v>
      </c>
      <c r="Z409" s="5" t="s">
        <v>141</v>
      </c>
      <c r="AA409" s="5" t="s">
        <v>1747</v>
      </c>
      <c r="AB409" s="0" t="n">
        <f aca="false">IFERROR(VALUE(R409),0)</f>
        <v>2.11</v>
      </c>
      <c r="AC409" s="0" t="n">
        <f aca="false">IFERROR(VALUE(M409),"")</f>
        <v>38.5</v>
      </c>
      <c r="AD409" s="0" t="n">
        <f aca="false">IFERROR(VALUE(Q409),"")</f>
        <v>9.1</v>
      </c>
      <c r="AE409" s="0" t="n">
        <f aca="false">IFERROR(VALUE(S409),"")</f>
        <v>12.9</v>
      </c>
      <c r="AF409" s="0" t="n">
        <f aca="false">IF(V409="","",VLOOKUP(V409,Assumptions!$B$6:$C$9,2,FALSE()))</f>
        <v>3</v>
      </c>
      <c r="AG409" s="0" t="n">
        <f aca="false">IF(W409="","",VLOOKUP(W409,Assumptions!$B$6:$C$9,2,FALSE()))</f>
        <v>3</v>
      </c>
      <c r="AH409" s="0" t="n">
        <f aca="false">IF(X409="","",VLOOKUP(X409,Assumptions!$B$6:$C$9,2,FALSE()))</f>
        <v>3</v>
      </c>
      <c r="AI409" s="0" t="n">
        <f aca="false">IF(Y409="","",VLOOKUP(Y409,Assumptions!$B$6:$C$9,2,FALSE()))</f>
        <v>2</v>
      </c>
      <c r="AJ409" s="0" t="n">
        <f aca="false">IF(Z409="","",VLOOKUP(Z409,Assumptions!$B$6:$C$9,2,FALSE()))</f>
        <v>3</v>
      </c>
      <c r="AK409" s="7" t="n">
        <f aca="false">IFERROR(ROUND(AVERAGE(AF409:AJ409),3),"")</f>
        <v>2.8</v>
      </c>
      <c r="AL409" s="7" t="n">
        <f aca="false">IF(OR(AF409="",AJ409=""),"",AJ409-AF409)</f>
        <v>0</v>
      </c>
      <c r="AM409" s="7" t="n">
        <f aca="false">IF(COUNT(AF409:AJ409)&gt;=2,ROUND(_xlfn.STDEV.S(AF409:AJ409),3),"")</f>
        <v>0.447</v>
      </c>
      <c r="AN409" s="7" t="n">
        <f aca="false">ROUND((IF(AF409="",0,AF409)*Assumptions!$F$15)+(IF(AG409="",0,AG409)*Assumptions!$F$16)+(IF(AH409="",0,AH409)*Assumptions!$F$17)+(IF(AI409="",0,AI409)*Assumptions!$F$18)+(IF(AJ409="",0,AJ409)*Assumptions!$F$19),3)</f>
        <v>2.75</v>
      </c>
      <c r="AO409" s="0" t="str">
        <f aca="false">IF(AC409&lt;=20,"",IF(AC409&lt;=Assumptions!$F$6,"20-30",IF(AC409&lt;=Assumptions!$F$7,"30-40",IF(AC409&lt;=Assumptions!$F$8,"40-50",IF(AC409&lt;=Assumptions!$F$9,"50-60",IF(AC409&lt;=Assumptions!$F$10,"60+",""))))))</f>
        <v>30-40</v>
      </c>
      <c r="AP409" s="0" t="str">
        <f aca="false">IFERROR(VLOOKUP(O409,Assumptions!$B$14:$C$26,2,FALSE()),"Other")</f>
        <v>Manager</v>
      </c>
      <c r="AQ409" s="0" t="n">
        <f aca="false">IF(T409="",0,1)</f>
        <v>1</v>
      </c>
      <c r="AR409" s="0" t="n">
        <f aca="false">IF(U409="",0,1)</f>
        <v>0</v>
      </c>
      <c r="AS409" s="8" t="n">
        <f aca="false">IF(AK409="","",IF(MAX($AK$2:$AK$921)=MIN($AK$2:$AK$921),50,ROUND((AK409-MIN($AK$2:$AK$921))/(MAX($AK$2:$AK$921)-MIN($AK$2:$AK$921))*100,2)))</f>
        <v>48.56</v>
      </c>
      <c r="AT409" s="8" t="n">
        <f aca="false">IF(MAX($BC$2:$BC$921)=MIN($BC$2:$BC$921),50,ROUND((BC409-MIN($BC$2:$BC$921))/(MAX($BC$2:$BC$921)-MIN($BC$2:$BC$921))*100,2))</f>
        <v>50</v>
      </c>
      <c r="AU409" s="8" t="n">
        <f aca="false">IF(MAX($BE$2:$BE$921)=MIN($BE$2:$BE$921),50,ROUND((BE409-MIN($BE$2:$BE$921))/(MAX($BE$2:$BE$921)-MIN($BE$2:$BE$921))*100,2))</f>
        <v>74.19</v>
      </c>
      <c r="AV409" s="8" t="n">
        <f aca="false">IF(MAX($AD$2:$AD$921)=MIN($AD$2:$AD$921),50,ROUND((AD409-MIN($AD$2:$AD$921))/(MAX($AD$2:$AD$921)-MIN($AD$2:$AD$921))*100,2))</f>
        <v>24.44</v>
      </c>
      <c r="AW409" s="8" t="n">
        <f aca="false">IF(MAX($AN$2:$AN$921)=MIN($AN$2:$AN$921),50,ROUND((AN409-MIN($AN$2:$AN$921))/(MAX($AN$2:$AN$921)-MIN($AN$2:$AN$921))*100,2))</f>
        <v>68.75</v>
      </c>
      <c r="AX409" s="8" t="n">
        <f aca="false">AQ409*100</f>
        <v>100</v>
      </c>
      <c r="AY409" s="8" t="n">
        <f aca="false">AR409*100</f>
        <v>0</v>
      </c>
      <c r="AZ409" s="8" t="n">
        <f aca="false">IFERROR(ROUND(AS409*Assumptions!$I$6+AW409*Assumptions!$I$7+AT409*Assumptions!$I$8+AU409*Assumptions!$I$9+AV409*Assumptions!$I$10+AX409*Assumptions!$I$11+AY409*Assumptions!$I$12,2),"")</f>
        <v>54.39</v>
      </c>
      <c r="BA409" s="0" t="str">
        <f aca="false">IF(AZ409="","",IF(AZ409&lt;=Assumptions!$I$18,"Below Expectation",IF(AZ409&lt;=Assumptions!$I$19,"Developing",IF(AZ409&lt;=Assumptions!$I$20,"Meets Expectation",IF(AZ409&lt;=Assumptions!$I$21,"Exceeds","Star Performer")))))</f>
        <v>Developing</v>
      </c>
      <c r="BB409" s="0" t="n">
        <f aca="false">IF(AZ409="",0,IF(AZ409&gt;=Assumptions!$I$26,1,0))</f>
        <v>0</v>
      </c>
      <c r="BC409" s="9" t="n">
        <f aca="false">IF(AL409="",2,AL409+2)</f>
        <v>2</v>
      </c>
      <c r="BD409" s="10" t="n">
        <f aca="false">IF(AM409="",ROUND(AVERAGE($AM$2:$AM$921),3),AM409)</f>
        <v>0.447</v>
      </c>
      <c r="BE409" s="9" t="n">
        <f aca="false">1-BD409</f>
        <v>0.553</v>
      </c>
    </row>
    <row r="410" customFormat="false" ht="14.25" hidden="true" customHeight="false" outlineLevel="0" collapsed="false">
      <c r="A410" s="4" t="n">
        <v>322</v>
      </c>
      <c r="B410" s="5" t="n">
        <v>10072631</v>
      </c>
      <c r="C410" s="5" t="s">
        <v>57</v>
      </c>
      <c r="D410" s="5" t="s">
        <v>1748</v>
      </c>
      <c r="E410" s="5" t="s">
        <v>208</v>
      </c>
      <c r="F410" s="5" t="s">
        <v>608</v>
      </c>
      <c r="G410" s="5" t="s">
        <v>609</v>
      </c>
      <c r="H410" s="5" t="s">
        <v>608</v>
      </c>
      <c r="I410" s="5" t="s">
        <v>63</v>
      </c>
      <c r="J410" s="5" t="s">
        <v>100</v>
      </c>
      <c r="K410" s="5" t="s">
        <v>309</v>
      </c>
      <c r="L410" s="6" t="n">
        <v>43983</v>
      </c>
      <c r="M410" s="5" t="s">
        <v>769</v>
      </c>
      <c r="N410" s="6" t="n">
        <v>33372</v>
      </c>
      <c r="O410" s="5" t="s">
        <v>365</v>
      </c>
      <c r="P410" s="5" t="s">
        <v>365</v>
      </c>
      <c r="Q410" s="5" t="s">
        <v>611</v>
      </c>
      <c r="R410" s="5" t="s">
        <v>335</v>
      </c>
      <c r="S410" s="5" t="s">
        <v>71</v>
      </c>
      <c r="T410" s="6"/>
      <c r="U410" s="6"/>
      <c r="V410" s="5" t="s">
        <v>141</v>
      </c>
      <c r="W410" s="5" t="s">
        <v>141</v>
      </c>
      <c r="X410" s="5" t="s">
        <v>631</v>
      </c>
      <c r="Y410" s="5" t="s">
        <v>141</v>
      </c>
      <c r="Z410" s="5" t="s">
        <v>83</v>
      </c>
      <c r="AA410" s="5" t="s">
        <v>1749</v>
      </c>
      <c r="AB410" s="0" t="n">
        <f aca="false">IFERROR(VALUE(R410),0)</f>
        <v>3.7</v>
      </c>
      <c r="AC410" s="0" t="n">
        <f aca="false">IFERROR(VALUE(M410),"")</f>
        <v>35</v>
      </c>
      <c r="AD410" s="0" t="n">
        <f aca="false">IFERROR(VALUE(Q410),"")</f>
        <v>6</v>
      </c>
      <c r="AE410" s="0" t="n">
        <f aca="false">IFERROR(VALUE(S410),"")</f>
        <v>9.7</v>
      </c>
      <c r="AF410" s="0" t="n">
        <f aca="false">IF(V410="","",VLOOKUP(V410,Assumptions!$B$6:$C$9,2,FALSE()))</f>
        <v>3</v>
      </c>
      <c r="AG410" s="0" t="n">
        <f aca="false">IF(W410="","",VLOOKUP(W410,Assumptions!$B$6:$C$9,2,FALSE()))</f>
        <v>3</v>
      </c>
      <c r="AH410" s="0" t="n">
        <f aca="false">IF(X410="","",VLOOKUP(X410,Assumptions!$B$6:$C$9,2,FALSE()))</f>
        <v>2</v>
      </c>
      <c r="AI410" s="0" t="n">
        <f aca="false">IF(Y410="","",VLOOKUP(Y410,Assumptions!$B$6:$C$9,2,FALSE()))</f>
        <v>3</v>
      </c>
      <c r="AJ410" s="0" t="n">
        <f aca="false">IF(Z410="","",VLOOKUP(Z410,Assumptions!$B$6:$C$9,2,FALSE()))</f>
        <v>4</v>
      </c>
      <c r="AK410" s="7" t="n">
        <f aca="false">IFERROR(ROUND(AVERAGE(AF410:AJ410),3),"")</f>
        <v>3</v>
      </c>
      <c r="AL410" s="7" t="n">
        <f aca="false">IF(OR(AF410="",AJ410=""),"",AJ410-AF410)</f>
        <v>1</v>
      </c>
      <c r="AM410" s="7" t="n">
        <f aca="false">IF(COUNT(AF410:AJ410)&gt;=2,ROUND(_xlfn.STDEV.S(AF410:AJ410),3),"")</f>
        <v>0.707</v>
      </c>
      <c r="AN410" s="7" t="n">
        <f aca="false">ROUND((IF(AF410="",0,AF410)*Assumptions!$F$15)+(IF(AG410="",0,AG410)*Assumptions!$F$16)+(IF(AH410="",0,AH410)*Assumptions!$F$17)+(IF(AI410="",0,AI410)*Assumptions!$F$18)+(IF(AJ410="",0,AJ410)*Assumptions!$F$19),3)</f>
        <v>3.1</v>
      </c>
      <c r="AO410" s="0" t="str">
        <f aca="false">IF(AC410&lt;=20,"",IF(AC410&lt;=Assumptions!$F$6,"20-30",IF(AC410&lt;=Assumptions!$F$7,"30-40",IF(AC410&lt;=Assumptions!$F$8,"40-50",IF(AC410&lt;=Assumptions!$F$9,"50-60",IF(AC410&lt;=Assumptions!$F$10,"60+",""))))))</f>
        <v>30-40</v>
      </c>
      <c r="AP410" s="0" t="str">
        <f aca="false">IFERROR(VLOOKUP(O410,Assumptions!$B$14:$C$26,2,FALSE()),"Other")</f>
        <v>Manager</v>
      </c>
      <c r="AQ410" s="0" t="n">
        <f aca="false">IF(T410="",0,1)</f>
        <v>0</v>
      </c>
      <c r="AR410" s="0" t="n">
        <f aca="false">IF(U410="",0,1)</f>
        <v>0</v>
      </c>
      <c r="AS410" s="8" t="n">
        <f aca="false">IF(AK410="","",IF(MAX($AK$2:$AK$921)=MIN($AK$2:$AK$921),50,ROUND((AK410-MIN($AK$2:$AK$921))/(MAX($AK$2:$AK$921)-MIN($AK$2:$AK$921))*100,2)))</f>
        <v>57.14</v>
      </c>
      <c r="AT410" s="8" t="n">
        <f aca="false">IF(MAX($BC$2:$BC$921)=MIN($BC$2:$BC$921),50,ROUND((BC410-MIN($BC$2:$BC$921))/(MAX($BC$2:$BC$921)-MIN($BC$2:$BC$921))*100,2))</f>
        <v>75</v>
      </c>
      <c r="AU410" s="8" t="n">
        <f aca="false">IF(MAX($BE$2:$BE$921)=MIN($BE$2:$BE$921),50,ROUND((BE410-MIN($BE$2:$BE$921))/(MAX($BE$2:$BE$921)-MIN($BE$2:$BE$921))*100,2))</f>
        <v>59.18</v>
      </c>
      <c r="AV410" s="8" t="n">
        <f aca="false">IF(MAX($AD$2:$AD$921)=MIN($AD$2:$AD$921),50,ROUND((AD410-MIN($AD$2:$AD$921))/(MAX($AD$2:$AD$921)-MIN($AD$2:$AD$921))*100,2))</f>
        <v>16.01</v>
      </c>
      <c r="AW410" s="8" t="n">
        <f aca="false">IF(MAX($AN$2:$AN$921)=MIN($AN$2:$AN$921),50,ROUND((AN410-MIN($AN$2:$AN$921))/(MAX($AN$2:$AN$921)-MIN($AN$2:$AN$921))*100,2))</f>
        <v>77.5</v>
      </c>
      <c r="AX410" s="8" t="n">
        <f aca="false">AQ410*100</f>
        <v>0</v>
      </c>
      <c r="AY410" s="8" t="n">
        <f aca="false">AR410*100</f>
        <v>0</v>
      </c>
      <c r="AZ410" s="8" t="n">
        <f aca="false">IFERROR(ROUND(AS410*Assumptions!$I$6+AW410*Assumptions!$I$7+AT410*Assumptions!$I$8+AU410*Assumptions!$I$9+AV410*Assumptions!$I$10+AX410*Assumptions!$I$11+AY410*Assumptions!$I$12,2),"")</f>
        <v>54.37</v>
      </c>
      <c r="BA410" s="0" t="str">
        <f aca="false">IF(AZ410="","",IF(AZ410&lt;=Assumptions!$I$18,"Below Expectation",IF(AZ410&lt;=Assumptions!$I$19,"Developing",IF(AZ410&lt;=Assumptions!$I$20,"Meets Expectation",IF(AZ410&lt;=Assumptions!$I$21,"Exceeds","Star Performer")))))</f>
        <v>Developing</v>
      </c>
      <c r="BB410" s="0" t="n">
        <f aca="false">IF(AZ410="",0,IF(AZ410&gt;=Assumptions!$I$26,1,0))</f>
        <v>0</v>
      </c>
      <c r="BC410" s="9" t="n">
        <f aca="false">IF(AL410="",2,AL410+2)</f>
        <v>3</v>
      </c>
      <c r="BD410" s="10" t="n">
        <f aca="false">IF(AM410="",ROUND(AVERAGE($AM$2:$AM$921),3),AM410)</f>
        <v>0.707</v>
      </c>
      <c r="BE410" s="9" t="n">
        <f aca="false">1-BD410</f>
        <v>0.293</v>
      </c>
    </row>
    <row r="411" customFormat="false" ht="14.25" hidden="true" customHeight="false" outlineLevel="0" collapsed="false">
      <c r="A411" s="4" t="n">
        <v>527</v>
      </c>
      <c r="B411" s="5" t="n">
        <v>55046538</v>
      </c>
      <c r="C411" s="5" t="s">
        <v>85</v>
      </c>
      <c r="D411" s="5" t="s">
        <v>1750</v>
      </c>
      <c r="E411" s="5" t="s">
        <v>137</v>
      </c>
      <c r="F411" s="5" t="s">
        <v>1731</v>
      </c>
      <c r="G411" s="5" t="s">
        <v>1732</v>
      </c>
      <c r="H411" s="5" t="s">
        <v>1731</v>
      </c>
      <c r="I411" s="5" t="s">
        <v>63</v>
      </c>
      <c r="J411" s="5" t="s">
        <v>76</v>
      </c>
      <c r="K411" s="5" t="s">
        <v>309</v>
      </c>
      <c r="L411" s="6" t="n">
        <v>44593</v>
      </c>
      <c r="M411" s="5" t="s">
        <v>114</v>
      </c>
      <c r="N411" s="6" t="n">
        <v>35963</v>
      </c>
      <c r="O411" s="5" t="s">
        <v>1264</v>
      </c>
      <c r="P411" s="5" t="s">
        <v>1559</v>
      </c>
      <c r="Q411" s="5" t="s">
        <v>545</v>
      </c>
      <c r="R411" s="5" t="s">
        <v>115</v>
      </c>
      <c r="S411" s="5" t="s">
        <v>545</v>
      </c>
      <c r="T411" s="6"/>
      <c r="U411" s="6"/>
      <c r="V411" s="5"/>
      <c r="W411" s="5" t="s">
        <v>141</v>
      </c>
      <c r="X411" s="5" t="s">
        <v>141</v>
      </c>
      <c r="Y411" s="5" t="s">
        <v>141</v>
      </c>
      <c r="Z411" s="5" t="s">
        <v>141</v>
      </c>
      <c r="AA411" s="5" t="s">
        <v>1751</v>
      </c>
      <c r="AB411" s="0" t="n">
        <f aca="false">IFERROR(VALUE(R411),0)</f>
        <v>0</v>
      </c>
      <c r="AC411" s="0" t="n">
        <f aca="false">IFERROR(VALUE(M411),"")</f>
        <v>27.11</v>
      </c>
      <c r="AD411" s="0" t="n">
        <f aca="false">IFERROR(VALUE(Q411),"")</f>
        <v>4.4</v>
      </c>
      <c r="AE411" s="0" t="n">
        <f aca="false">IFERROR(VALUE(S411),"")</f>
        <v>4.4</v>
      </c>
      <c r="AF411" s="0" t="str">
        <f aca="false">IF(V411="","",VLOOKUP(V411,Assumptions!$B$6:$C$9,2,FALSE()))</f>
        <v/>
      </c>
      <c r="AG411" s="0" t="n">
        <f aca="false">IF(W411="","",VLOOKUP(W411,Assumptions!$B$6:$C$9,2,FALSE()))</f>
        <v>3</v>
      </c>
      <c r="AH411" s="0" t="n">
        <f aca="false">IF(X411="","",VLOOKUP(X411,Assumptions!$B$6:$C$9,2,FALSE()))</f>
        <v>3</v>
      </c>
      <c r="AI411" s="0" t="n">
        <f aca="false">IF(Y411="","",VLOOKUP(Y411,Assumptions!$B$6:$C$9,2,FALSE()))</f>
        <v>3</v>
      </c>
      <c r="AJ411" s="0" t="n">
        <f aca="false">IF(Z411="","",VLOOKUP(Z411,Assumptions!$B$6:$C$9,2,FALSE()))</f>
        <v>3</v>
      </c>
      <c r="AK411" s="7" t="n">
        <f aca="false">IFERROR(ROUND(AVERAGE(AF411:AJ411),3),"")</f>
        <v>3</v>
      </c>
      <c r="AL411" s="7" t="str">
        <f aca="false">IF(OR(AF411="",AJ411=""),"",AJ411-AF411)</f>
        <v/>
      </c>
      <c r="AM411" s="7" t="n">
        <f aca="false">IF(COUNT(AF411:AJ411)&gt;=2,ROUND(_xlfn.STDEV.S(AF411:AJ411),3),"")</f>
        <v>0</v>
      </c>
      <c r="AN411" s="7" t="n">
        <f aca="false">ROUND((IF(AF411="",0,AF411)*Assumptions!$F$15)+(IF(AG411="",0,AG411)*Assumptions!$F$16)+(IF(AH411="",0,AH411)*Assumptions!$F$17)+(IF(AI411="",0,AI411)*Assumptions!$F$18)+(IF(AJ411="",0,AJ411)*Assumptions!$F$19),3)</f>
        <v>2.7</v>
      </c>
      <c r="AO411" s="0" t="str">
        <f aca="false">IF(AC411&lt;=20,"",IF(AC411&lt;=Assumptions!$F$6,"20-30",IF(AC411&lt;=Assumptions!$F$7,"30-40",IF(AC411&lt;=Assumptions!$F$8,"40-50",IF(AC411&lt;=Assumptions!$F$9,"50-60",IF(AC411&lt;=Assumptions!$F$10,"60+",""))))))</f>
        <v>20-30</v>
      </c>
      <c r="AP411" s="0" t="str">
        <f aca="false">IFERROR(VLOOKUP(O411,Assumptions!$B$14:$C$26,2,FALSE()),"Other")</f>
        <v>Manager</v>
      </c>
      <c r="AQ411" s="0" t="n">
        <f aca="false">IF(T411="",0,1)</f>
        <v>0</v>
      </c>
      <c r="AR411" s="0" t="n">
        <f aca="false">IF(U411="",0,1)</f>
        <v>0</v>
      </c>
      <c r="AS411" s="8" t="n">
        <f aca="false">IF(AK411="","",IF(MAX($AK$2:$AK$921)=MIN($AK$2:$AK$921),50,ROUND((AK411-MIN($AK$2:$AK$921))/(MAX($AK$2:$AK$921)-MIN($AK$2:$AK$921))*100,2)))</f>
        <v>57.14</v>
      </c>
      <c r="AT411" s="8" t="n">
        <f aca="false">IF(MAX($BC$2:$BC$921)=MIN($BC$2:$BC$921),50,ROUND((BC411-MIN($BC$2:$BC$921))/(MAX($BC$2:$BC$921)-MIN($BC$2:$BC$921))*100,2))</f>
        <v>50</v>
      </c>
      <c r="AU411" s="8" t="n">
        <f aca="false">IF(MAX($BE$2:$BE$921)=MIN($BE$2:$BE$921),50,ROUND((BE411-MIN($BE$2:$BE$921))/(MAX($BE$2:$BE$921)-MIN($BE$2:$BE$921))*100,2))</f>
        <v>100</v>
      </c>
      <c r="AV411" s="8" t="n">
        <f aca="false">IF(MAX($AD$2:$AD$921)=MIN($AD$2:$AD$921),50,ROUND((AD411-MIN($AD$2:$AD$921))/(MAX($AD$2:$AD$921)-MIN($AD$2:$AD$921))*100,2))</f>
        <v>11.66</v>
      </c>
      <c r="AW411" s="8" t="n">
        <f aca="false">IF(MAX($AN$2:$AN$921)=MIN($AN$2:$AN$921),50,ROUND((AN411-MIN($AN$2:$AN$921))/(MAX($AN$2:$AN$921)-MIN($AN$2:$AN$921))*100,2))</f>
        <v>67.5</v>
      </c>
      <c r="AX411" s="8" t="n">
        <f aca="false">AQ411*100</f>
        <v>0</v>
      </c>
      <c r="AY411" s="8" t="n">
        <f aca="false">AR411*100</f>
        <v>0</v>
      </c>
      <c r="AZ411" s="8" t="n">
        <f aca="false">IFERROR(ROUND(AS411*Assumptions!$I$6+AW411*Assumptions!$I$7+AT411*Assumptions!$I$8+AU411*Assumptions!$I$9+AV411*Assumptions!$I$10+AX411*Assumptions!$I$11+AY411*Assumptions!$I$12,2),"")</f>
        <v>54.31</v>
      </c>
      <c r="BA411" s="0" t="str">
        <f aca="false">IF(AZ411="","",IF(AZ411&lt;=Assumptions!$I$18,"Below Expectation",IF(AZ411&lt;=Assumptions!$I$19,"Developing",IF(AZ411&lt;=Assumptions!$I$20,"Meets Expectation",IF(AZ411&lt;=Assumptions!$I$21,"Exceeds","Star Performer")))))</f>
        <v>Developing</v>
      </c>
      <c r="BB411" s="0" t="n">
        <f aca="false">IF(AZ411="",0,IF(AZ411&gt;=Assumptions!$I$26,1,0))</f>
        <v>0</v>
      </c>
      <c r="BC411" s="9" t="n">
        <f aca="false">IF(AL411="",2,AL411+2)</f>
        <v>2</v>
      </c>
      <c r="BD411" s="10" t="n">
        <f aca="false">IF(AM411="",ROUND(AVERAGE($AM$2:$AM$921),3),AM411)</f>
        <v>0</v>
      </c>
      <c r="BE411" s="9" t="n">
        <f aca="false">1-BD411</f>
        <v>1</v>
      </c>
    </row>
    <row r="412" customFormat="false" ht="14.25" hidden="true" customHeight="false" outlineLevel="0" collapsed="false">
      <c r="A412" s="4" t="n">
        <v>550</v>
      </c>
      <c r="B412" s="5" t="n">
        <v>55048995</v>
      </c>
      <c r="C412" s="5" t="s">
        <v>85</v>
      </c>
      <c r="D412" s="5" t="s">
        <v>1752</v>
      </c>
      <c r="E412" s="5" t="s">
        <v>137</v>
      </c>
      <c r="F412" s="5" t="s">
        <v>1731</v>
      </c>
      <c r="G412" s="5" t="s">
        <v>1732</v>
      </c>
      <c r="H412" s="5" t="s">
        <v>1731</v>
      </c>
      <c r="I412" s="5" t="s">
        <v>63</v>
      </c>
      <c r="J412" s="5" t="s">
        <v>76</v>
      </c>
      <c r="K412" s="5" t="s">
        <v>65</v>
      </c>
      <c r="L412" s="6" t="n">
        <v>44655</v>
      </c>
      <c r="M412" s="5" t="s">
        <v>1513</v>
      </c>
      <c r="N412" s="6" t="n">
        <v>36632</v>
      </c>
      <c r="O412" s="5" t="s">
        <v>1264</v>
      </c>
      <c r="P412" s="5" t="s">
        <v>1559</v>
      </c>
      <c r="Q412" s="5" t="s">
        <v>554</v>
      </c>
      <c r="R412" s="5" t="s">
        <v>115</v>
      </c>
      <c r="S412" s="5" t="s">
        <v>554</v>
      </c>
      <c r="T412" s="6"/>
      <c r="U412" s="6"/>
      <c r="V412" s="5"/>
      <c r="W412" s="5" t="s">
        <v>141</v>
      </c>
      <c r="X412" s="5" t="s">
        <v>141</v>
      </c>
      <c r="Y412" s="5" t="s">
        <v>141</v>
      </c>
      <c r="Z412" s="5" t="s">
        <v>141</v>
      </c>
      <c r="AA412" s="5" t="s">
        <v>1753</v>
      </c>
      <c r="AB412" s="0" t="n">
        <f aca="false">IFERROR(VALUE(R412),0)</f>
        <v>0</v>
      </c>
      <c r="AC412" s="0" t="n">
        <f aca="false">IFERROR(VALUE(M412),"")</f>
        <v>26.1</v>
      </c>
      <c r="AD412" s="0" t="n">
        <f aca="false">IFERROR(VALUE(Q412),"")</f>
        <v>4.2</v>
      </c>
      <c r="AE412" s="0" t="n">
        <f aca="false">IFERROR(VALUE(S412),"")</f>
        <v>4.2</v>
      </c>
      <c r="AF412" s="0" t="str">
        <f aca="false">IF(V412="","",VLOOKUP(V412,Assumptions!$B$6:$C$9,2,FALSE()))</f>
        <v/>
      </c>
      <c r="AG412" s="0" t="n">
        <f aca="false">IF(W412="","",VLOOKUP(W412,Assumptions!$B$6:$C$9,2,FALSE()))</f>
        <v>3</v>
      </c>
      <c r="AH412" s="0" t="n">
        <f aca="false">IF(X412="","",VLOOKUP(X412,Assumptions!$B$6:$C$9,2,FALSE()))</f>
        <v>3</v>
      </c>
      <c r="AI412" s="0" t="n">
        <f aca="false">IF(Y412="","",VLOOKUP(Y412,Assumptions!$B$6:$C$9,2,FALSE()))</f>
        <v>3</v>
      </c>
      <c r="AJ412" s="0" t="n">
        <f aca="false">IF(Z412="","",VLOOKUP(Z412,Assumptions!$B$6:$C$9,2,FALSE()))</f>
        <v>3</v>
      </c>
      <c r="AK412" s="7" t="n">
        <f aca="false">IFERROR(ROUND(AVERAGE(AF412:AJ412),3),"")</f>
        <v>3</v>
      </c>
      <c r="AL412" s="7" t="str">
        <f aca="false">IF(OR(AF412="",AJ412=""),"",AJ412-AF412)</f>
        <v/>
      </c>
      <c r="AM412" s="7" t="n">
        <f aca="false">IF(COUNT(AF412:AJ412)&gt;=2,ROUND(_xlfn.STDEV.S(AF412:AJ412),3),"")</f>
        <v>0</v>
      </c>
      <c r="AN412" s="7" t="n">
        <f aca="false">ROUND((IF(AF412="",0,AF412)*Assumptions!$F$15)+(IF(AG412="",0,AG412)*Assumptions!$F$16)+(IF(AH412="",0,AH412)*Assumptions!$F$17)+(IF(AI412="",0,AI412)*Assumptions!$F$18)+(IF(AJ412="",0,AJ412)*Assumptions!$F$19),3)</f>
        <v>2.7</v>
      </c>
      <c r="AO412" s="0" t="str">
        <f aca="false">IF(AC412&lt;=20,"",IF(AC412&lt;=Assumptions!$F$6,"20-30",IF(AC412&lt;=Assumptions!$F$7,"30-40",IF(AC412&lt;=Assumptions!$F$8,"40-50",IF(AC412&lt;=Assumptions!$F$9,"50-60",IF(AC412&lt;=Assumptions!$F$10,"60+",""))))))</f>
        <v>20-30</v>
      </c>
      <c r="AP412" s="0" t="str">
        <f aca="false">IFERROR(VLOOKUP(O412,Assumptions!$B$14:$C$26,2,FALSE()),"Other")</f>
        <v>Manager</v>
      </c>
      <c r="AQ412" s="0" t="n">
        <f aca="false">IF(T412="",0,1)</f>
        <v>0</v>
      </c>
      <c r="AR412" s="0" t="n">
        <f aca="false">IF(U412="",0,1)</f>
        <v>0</v>
      </c>
      <c r="AS412" s="8" t="n">
        <f aca="false">IF(AK412="","",IF(MAX($AK$2:$AK$921)=MIN($AK$2:$AK$921),50,ROUND((AK412-MIN($AK$2:$AK$921))/(MAX($AK$2:$AK$921)-MIN($AK$2:$AK$921))*100,2)))</f>
        <v>57.14</v>
      </c>
      <c r="AT412" s="8" t="n">
        <f aca="false">IF(MAX($BC$2:$BC$921)=MIN($BC$2:$BC$921),50,ROUND((BC412-MIN($BC$2:$BC$921))/(MAX($BC$2:$BC$921)-MIN($BC$2:$BC$921))*100,2))</f>
        <v>50</v>
      </c>
      <c r="AU412" s="8" t="n">
        <f aca="false">IF(MAX($BE$2:$BE$921)=MIN($BE$2:$BE$921),50,ROUND((BE412-MIN($BE$2:$BE$921))/(MAX($BE$2:$BE$921)-MIN($BE$2:$BE$921))*100,2))</f>
        <v>100</v>
      </c>
      <c r="AV412" s="8" t="n">
        <f aca="false">IF(MAX($AD$2:$AD$921)=MIN($AD$2:$AD$921),50,ROUND((AD412-MIN($AD$2:$AD$921))/(MAX($AD$2:$AD$921)-MIN($AD$2:$AD$921))*100,2))</f>
        <v>11.12</v>
      </c>
      <c r="AW412" s="8" t="n">
        <f aca="false">IF(MAX($AN$2:$AN$921)=MIN($AN$2:$AN$921),50,ROUND((AN412-MIN($AN$2:$AN$921))/(MAX($AN$2:$AN$921)-MIN($AN$2:$AN$921))*100,2))</f>
        <v>67.5</v>
      </c>
      <c r="AX412" s="8" t="n">
        <f aca="false">AQ412*100</f>
        <v>0</v>
      </c>
      <c r="AY412" s="8" t="n">
        <f aca="false">AR412*100</f>
        <v>0</v>
      </c>
      <c r="AZ412" s="8" t="n">
        <f aca="false">IFERROR(ROUND(AS412*Assumptions!$I$6+AW412*Assumptions!$I$7+AT412*Assumptions!$I$8+AU412*Assumptions!$I$9+AV412*Assumptions!$I$10+AX412*Assumptions!$I$11+AY412*Assumptions!$I$12,2),"")</f>
        <v>54.25</v>
      </c>
      <c r="BA412" s="0" t="str">
        <f aca="false">IF(AZ412="","",IF(AZ412&lt;=Assumptions!$I$18,"Below Expectation",IF(AZ412&lt;=Assumptions!$I$19,"Developing",IF(AZ412&lt;=Assumptions!$I$20,"Meets Expectation",IF(AZ412&lt;=Assumptions!$I$21,"Exceeds","Star Performer")))))</f>
        <v>Developing</v>
      </c>
      <c r="BB412" s="0" t="n">
        <f aca="false">IF(AZ412="",0,IF(AZ412&gt;=Assumptions!$I$26,1,0))</f>
        <v>0</v>
      </c>
      <c r="BC412" s="9" t="n">
        <f aca="false">IF(AL412="",2,AL412+2)</f>
        <v>2</v>
      </c>
      <c r="BD412" s="10" t="n">
        <f aca="false">IF(AM412="",ROUND(AVERAGE($AM$2:$AM$921),3),AM412)</f>
        <v>0</v>
      </c>
      <c r="BE412" s="9" t="n">
        <f aca="false">1-BD412</f>
        <v>1</v>
      </c>
    </row>
    <row r="413" customFormat="false" ht="14.25" hidden="true" customHeight="false" outlineLevel="0" collapsed="false">
      <c r="A413" s="4" t="n">
        <v>552</v>
      </c>
      <c r="B413" s="5" t="n">
        <v>55048999</v>
      </c>
      <c r="C413" s="5" t="s">
        <v>85</v>
      </c>
      <c r="D413" s="5" t="s">
        <v>1754</v>
      </c>
      <c r="E413" s="5" t="s">
        <v>339</v>
      </c>
      <c r="F413" s="5" t="s">
        <v>1382</v>
      </c>
      <c r="G413" s="5" t="s">
        <v>1383</v>
      </c>
      <c r="H413" s="5" t="s">
        <v>1382</v>
      </c>
      <c r="I413" s="5" t="s">
        <v>63</v>
      </c>
      <c r="J413" s="5" t="s">
        <v>76</v>
      </c>
      <c r="K413" s="5" t="s">
        <v>309</v>
      </c>
      <c r="L413" s="6" t="n">
        <v>44655</v>
      </c>
      <c r="M413" s="5" t="s">
        <v>1184</v>
      </c>
      <c r="N413" s="6" t="n">
        <v>35591</v>
      </c>
      <c r="O413" s="5" t="s">
        <v>1264</v>
      </c>
      <c r="P413" s="5" t="s">
        <v>1559</v>
      </c>
      <c r="Q413" s="5" t="s">
        <v>554</v>
      </c>
      <c r="R413" s="5" t="s">
        <v>740</v>
      </c>
      <c r="S413" s="5" t="s">
        <v>523</v>
      </c>
      <c r="T413" s="6"/>
      <c r="U413" s="6"/>
      <c r="V413" s="5"/>
      <c r="W413" s="5" t="s">
        <v>141</v>
      </c>
      <c r="X413" s="5" t="s">
        <v>141</v>
      </c>
      <c r="Y413" s="5" t="s">
        <v>141</v>
      </c>
      <c r="Z413" s="5" t="s">
        <v>141</v>
      </c>
      <c r="AA413" s="5" t="s">
        <v>1755</v>
      </c>
      <c r="AB413" s="0" t="n">
        <f aca="false">IFERROR(VALUE(R413),0)</f>
        <v>0.8</v>
      </c>
      <c r="AC413" s="0" t="n">
        <f aca="false">IFERROR(VALUE(M413),"")</f>
        <v>28.11</v>
      </c>
      <c r="AD413" s="0" t="n">
        <f aca="false">IFERROR(VALUE(Q413),"")</f>
        <v>4.2</v>
      </c>
      <c r="AE413" s="0" t="n">
        <f aca="false">IFERROR(VALUE(S413),"")</f>
        <v>4.1</v>
      </c>
      <c r="AF413" s="0" t="str">
        <f aca="false">IF(V413="","",VLOOKUP(V413,Assumptions!$B$6:$C$9,2,FALSE()))</f>
        <v/>
      </c>
      <c r="AG413" s="0" t="n">
        <f aca="false">IF(W413="","",VLOOKUP(W413,Assumptions!$B$6:$C$9,2,FALSE()))</f>
        <v>3</v>
      </c>
      <c r="AH413" s="0" t="n">
        <f aca="false">IF(X413="","",VLOOKUP(X413,Assumptions!$B$6:$C$9,2,FALSE()))</f>
        <v>3</v>
      </c>
      <c r="AI413" s="0" t="n">
        <f aca="false">IF(Y413="","",VLOOKUP(Y413,Assumptions!$B$6:$C$9,2,FALSE()))</f>
        <v>3</v>
      </c>
      <c r="AJ413" s="0" t="n">
        <f aca="false">IF(Z413="","",VLOOKUP(Z413,Assumptions!$B$6:$C$9,2,FALSE()))</f>
        <v>3</v>
      </c>
      <c r="AK413" s="7" t="n">
        <f aca="false">IFERROR(ROUND(AVERAGE(AF413:AJ413),3),"")</f>
        <v>3</v>
      </c>
      <c r="AL413" s="7" t="str">
        <f aca="false">IF(OR(AF413="",AJ413=""),"",AJ413-AF413)</f>
        <v/>
      </c>
      <c r="AM413" s="7" t="n">
        <f aca="false">IF(COUNT(AF413:AJ413)&gt;=2,ROUND(_xlfn.STDEV.S(AF413:AJ413),3),"")</f>
        <v>0</v>
      </c>
      <c r="AN413" s="7" t="n">
        <f aca="false">ROUND((IF(AF413="",0,AF413)*Assumptions!$F$15)+(IF(AG413="",0,AG413)*Assumptions!$F$16)+(IF(AH413="",0,AH413)*Assumptions!$F$17)+(IF(AI413="",0,AI413)*Assumptions!$F$18)+(IF(AJ413="",0,AJ413)*Assumptions!$F$19),3)</f>
        <v>2.7</v>
      </c>
      <c r="AO413" s="0" t="str">
        <f aca="false">IF(AC413&lt;=20,"",IF(AC413&lt;=Assumptions!$F$6,"20-30",IF(AC413&lt;=Assumptions!$F$7,"30-40",IF(AC413&lt;=Assumptions!$F$8,"40-50",IF(AC413&lt;=Assumptions!$F$9,"50-60",IF(AC413&lt;=Assumptions!$F$10,"60+",""))))))</f>
        <v>20-30</v>
      </c>
      <c r="AP413" s="0" t="str">
        <f aca="false">IFERROR(VLOOKUP(O413,Assumptions!$B$14:$C$26,2,FALSE()),"Other")</f>
        <v>Manager</v>
      </c>
      <c r="AQ413" s="0" t="n">
        <f aca="false">IF(T413="",0,1)</f>
        <v>0</v>
      </c>
      <c r="AR413" s="0" t="n">
        <f aca="false">IF(U413="",0,1)</f>
        <v>0</v>
      </c>
      <c r="AS413" s="8" t="n">
        <f aca="false">IF(AK413="","",IF(MAX($AK$2:$AK$921)=MIN($AK$2:$AK$921),50,ROUND((AK413-MIN($AK$2:$AK$921))/(MAX($AK$2:$AK$921)-MIN($AK$2:$AK$921))*100,2)))</f>
        <v>57.14</v>
      </c>
      <c r="AT413" s="8" t="n">
        <f aca="false">IF(MAX($BC$2:$BC$921)=MIN($BC$2:$BC$921),50,ROUND((BC413-MIN($BC$2:$BC$921))/(MAX($BC$2:$BC$921)-MIN($BC$2:$BC$921))*100,2))</f>
        <v>50</v>
      </c>
      <c r="AU413" s="8" t="n">
        <f aca="false">IF(MAX($BE$2:$BE$921)=MIN($BE$2:$BE$921),50,ROUND((BE413-MIN($BE$2:$BE$921))/(MAX($BE$2:$BE$921)-MIN($BE$2:$BE$921))*100,2))</f>
        <v>100</v>
      </c>
      <c r="AV413" s="8" t="n">
        <f aca="false">IF(MAX($AD$2:$AD$921)=MIN($AD$2:$AD$921),50,ROUND((AD413-MIN($AD$2:$AD$921))/(MAX($AD$2:$AD$921)-MIN($AD$2:$AD$921))*100,2))</f>
        <v>11.12</v>
      </c>
      <c r="AW413" s="8" t="n">
        <f aca="false">IF(MAX($AN$2:$AN$921)=MIN($AN$2:$AN$921),50,ROUND((AN413-MIN($AN$2:$AN$921))/(MAX($AN$2:$AN$921)-MIN($AN$2:$AN$921))*100,2))</f>
        <v>67.5</v>
      </c>
      <c r="AX413" s="8" t="n">
        <f aca="false">AQ413*100</f>
        <v>0</v>
      </c>
      <c r="AY413" s="8" t="n">
        <f aca="false">AR413*100</f>
        <v>0</v>
      </c>
      <c r="AZ413" s="8" t="n">
        <f aca="false">IFERROR(ROUND(AS413*Assumptions!$I$6+AW413*Assumptions!$I$7+AT413*Assumptions!$I$8+AU413*Assumptions!$I$9+AV413*Assumptions!$I$10+AX413*Assumptions!$I$11+AY413*Assumptions!$I$12,2),"")</f>
        <v>54.25</v>
      </c>
      <c r="BA413" s="0" t="str">
        <f aca="false">IF(AZ413="","",IF(AZ413&lt;=Assumptions!$I$18,"Below Expectation",IF(AZ413&lt;=Assumptions!$I$19,"Developing",IF(AZ413&lt;=Assumptions!$I$20,"Meets Expectation",IF(AZ413&lt;=Assumptions!$I$21,"Exceeds","Star Performer")))))</f>
        <v>Developing</v>
      </c>
      <c r="BB413" s="0" t="n">
        <f aca="false">IF(AZ413="",0,IF(AZ413&gt;=Assumptions!$I$26,1,0))</f>
        <v>0</v>
      </c>
      <c r="BC413" s="9" t="n">
        <f aca="false">IF(AL413="",2,AL413+2)</f>
        <v>2</v>
      </c>
      <c r="BD413" s="10" t="n">
        <f aca="false">IF(AM413="",ROUND(AVERAGE($AM$2:$AM$921),3),AM413)</f>
        <v>0</v>
      </c>
      <c r="BE413" s="9" t="n">
        <f aca="false">1-BD413</f>
        <v>1</v>
      </c>
    </row>
    <row r="414" customFormat="false" ht="14.25" hidden="true" customHeight="false" outlineLevel="0" collapsed="false">
      <c r="A414" s="4" t="n">
        <v>558</v>
      </c>
      <c r="B414" s="5" t="n">
        <v>55049409</v>
      </c>
      <c r="C414" s="5" t="s">
        <v>85</v>
      </c>
      <c r="D414" s="5" t="s">
        <v>1756</v>
      </c>
      <c r="E414" s="5" t="s">
        <v>137</v>
      </c>
      <c r="F414" s="5" t="s">
        <v>1731</v>
      </c>
      <c r="G414" s="5" t="s">
        <v>1732</v>
      </c>
      <c r="H414" s="5" t="s">
        <v>1731</v>
      </c>
      <c r="I414" s="5" t="s">
        <v>63</v>
      </c>
      <c r="J414" s="5" t="s">
        <v>76</v>
      </c>
      <c r="K414" s="5" t="s">
        <v>309</v>
      </c>
      <c r="L414" s="6" t="n">
        <v>44665</v>
      </c>
      <c r="M414" s="5" t="s">
        <v>1739</v>
      </c>
      <c r="N414" s="6" t="n">
        <v>36413</v>
      </c>
      <c r="O414" s="5" t="s">
        <v>1264</v>
      </c>
      <c r="P414" s="5" t="s">
        <v>1559</v>
      </c>
      <c r="Q414" s="5" t="s">
        <v>1534</v>
      </c>
      <c r="R414" s="5" t="s">
        <v>1046</v>
      </c>
      <c r="S414" s="5" t="s">
        <v>496</v>
      </c>
      <c r="T414" s="6"/>
      <c r="U414" s="6"/>
      <c r="V414" s="5"/>
      <c r="W414" s="5" t="s">
        <v>141</v>
      </c>
      <c r="X414" s="5" t="s">
        <v>141</v>
      </c>
      <c r="Y414" s="5" t="s">
        <v>141</v>
      </c>
      <c r="Z414" s="5" t="s">
        <v>141</v>
      </c>
      <c r="AA414" s="5" t="s">
        <v>1757</v>
      </c>
      <c r="AB414" s="0" t="n">
        <f aca="false">IFERROR(VALUE(R414),0)</f>
        <v>0.7</v>
      </c>
      <c r="AC414" s="0" t="n">
        <f aca="false">IFERROR(VALUE(M414),"")</f>
        <v>26.8</v>
      </c>
      <c r="AD414" s="0" t="n">
        <f aca="false">IFERROR(VALUE(Q414),"")</f>
        <v>4.1</v>
      </c>
      <c r="AE414" s="0" t="n">
        <f aca="false">IFERROR(VALUE(S414),"")</f>
        <v>4.8</v>
      </c>
      <c r="AF414" s="0" t="str">
        <f aca="false">IF(V414="","",VLOOKUP(V414,Assumptions!$B$6:$C$9,2,FALSE()))</f>
        <v/>
      </c>
      <c r="AG414" s="0" t="n">
        <f aca="false">IF(W414="","",VLOOKUP(W414,Assumptions!$B$6:$C$9,2,FALSE()))</f>
        <v>3</v>
      </c>
      <c r="AH414" s="0" t="n">
        <f aca="false">IF(X414="","",VLOOKUP(X414,Assumptions!$B$6:$C$9,2,FALSE()))</f>
        <v>3</v>
      </c>
      <c r="AI414" s="0" t="n">
        <f aca="false">IF(Y414="","",VLOOKUP(Y414,Assumptions!$B$6:$C$9,2,FALSE()))</f>
        <v>3</v>
      </c>
      <c r="AJ414" s="0" t="n">
        <f aca="false">IF(Z414="","",VLOOKUP(Z414,Assumptions!$B$6:$C$9,2,FALSE()))</f>
        <v>3</v>
      </c>
      <c r="AK414" s="7" t="n">
        <f aca="false">IFERROR(ROUND(AVERAGE(AF414:AJ414),3),"")</f>
        <v>3</v>
      </c>
      <c r="AL414" s="7" t="str">
        <f aca="false">IF(OR(AF414="",AJ414=""),"",AJ414-AF414)</f>
        <v/>
      </c>
      <c r="AM414" s="7" t="n">
        <f aca="false">IF(COUNT(AF414:AJ414)&gt;=2,ROUND(_xlfn.STDEV.S(AF414:AJ414),3),"")</f>
        <v>0</v>
      </c>
      <c r="AN414" s="7" t="n">
        <f aca="false">ROUND((IF(AF414="",0,AF414)*Assumptions!$F$15)+(IF(AG414="",0,AG414)*Assumptions!$F$16)+(IF(AH414="",0,AH414)*Assumptions!$F$17)+(IF(AI414="",0,AI414)*Assumptions!$F$18)+(IF(AJ414="",0,AJ414)*Assumptions!$F$19),3)</f>
        <v>2.7</v>
      </c>
      <c r="AO414" s="0" t="str">
        <f aca="false">IF(AC414&lt;=20,"",IF(AC414&lt;=Assumptions!$F$6,"20-30",IF(AC414&lt;=Assumptions!$F$7,"30-40",IF(AC414&lt;=Assumptions!$F$8,"40-50",IF(AC414&lt;=Assumptions!$F$9,"50-60",IF(AC414&lt;=Assumptions!$F$10,"60+",""))))))</f>
        <v>20-30</v>
      </c>
      <c r="AP414" s="0" t="str">
        <f aca="false">IFERROR(VLOOKUP(O414,Assumptions!$B$14:$C$26,2,FALSE()),"Other")</f>
        <v>Manager</v>
      </c>
      <c r="AQ414" s="0" t="n">
        <f aca="false">IF(T414="",0,1)</f>
        <v>0</v>
      </c>
      <c r="AR414" s="0" t="n">
        <f aca="false">IF(U414="",0,1)</f>
        <v>0</v>
      </c>
      <c r="AS414" s="8" t="n">
        <f aca="false">IF(AK414="","",IF(MAX($AK$2:$AK$921)=MIN($AK$2:$AK$921),50,ROUND((AK414-MIN($AK$2:$AK$921))/(MAX($AK$2:$AK$921)-MIN($AK$2:$AK$921))*100,2)))</f>
        <v>57.14</v>
      </c>
      <c r="AT414" s="8" t="n">
        <f aca="false">IF(MAX($BC$2:$BC$921)=MIN($BC$2:$BC$921),50,ROUND((BC414-MIN($BC$2:$BC$921))/(MAX($BC$2:$BC$921)-MIN($BC$2:$BC$921))*100,2))</f>
        <v>50</v>
      </c>
      <c r="AU414" s="8" t="n">
        <f aca="false">IF(MAX($BE$2:$BE$921)=MIN($BE$2:$BE$921),50,ROUND((BE414-MIN($BE$2:$BE$921))/(MAX($BE$2:$BE$921)-MIN($BE$2:$BE$921))*100,2))</f>
        <v>100</v>
      </c>
      <c r="AV414" s="8" t="n">
        <f aca="false">IF(MAX($AD$2:$AD$921)=MIN($AD$2:$AD$921),50,ROUND((AD414-MIN($AD$2:$AD$921))/(MAX($AD$2:$AD$921)-MIN($AD$2:$AD$921))*100,2))</f>
        <v>10.85</v>
      </c>
      <c r="AW414" s="8" t="n">
        <f aca="false">IF(MAX($AN$2:$AN$921)=MIN($AN$2:$AN$921),50,ROUND((AN414-MIN($AN$2:$AN$921))/(MAX($AN$2:$AN$921)-MIN($AN$2:$AN$921))*100,2))</f>
        <v>67.5</v>
      </c>
      <c r="AX414" s="8" t="n">
        <f aca="false">AQ414*100</f>
        <v>0</v>
      </c>
      <c r="AY414" s="8" t="n">
        <f aca="false">AR414*100</f>
        <v>0</v>
      </c>
      <c r="AZ414" s="8" t="n">
        <f aca="false">IFERROR(ROUND(AS414*Assumptions!$I$6+AW414*Assumptions!$I$7+AT414*Assumptions!$I$8+AU414*Assumptions!$I$9+AV414*Assumptions!$I$10+AX414*Assumptions!$I$11+AY414*Assumptions!$I$12,2),"")</f>
        <v>54.23</v>
      </c>
      <c r="BA414" s="0" t="str">
        <f aca="false">IF(AZ414="","",IF(AZ414&lt;=Assumptions!$I$18,"Below Expectation",IF(AZ414&lt;=Assumptions!$I$19,"Developing",IF(AZ414&lt;=Assumptions!$I$20,"Meets Expectation",IF(AZ414&lt;=Assumptions!$I$21,"Exceeds","Star Performer")))))</f>
        <v>Developing</v>
      </c>
      <c r="BB414" s="0" t="n">
        <f aca="false">IF(AZ414="",0,IF(AZ414&gt;=Assumptions!$I$26,1,0))</f>
        <v>0</v>
      </c>
      <c r="BC414" s="9" t="n">
        <f aca="false">IF(AL414="",2,AL414+2)</f>
        <v>2</v>
      </c>
      <c r="BD414" s="10" t="n">
        <f aca="false">IF(AM414="",ROUND(AVERAGE($AM$2:$AM$921),3),AM414)</f>
        <v>0</v>
      </c>
      <c r="BE414" s="9" t="n">
        <f aca="false">1-BD414</f>
        <v>1</v>
      </c>
    </row>
    <row r="415" customFormat="false" ht="14.25" hidden="true" customHeight="false" outlineLevel="0" collapsed="false">
      <c r="A415" s="4" t="n">
        <v>535</v>
      </c>
      <c r="B415" s="5" t="n">
        <v>55047152</v>
      </c>
      <c r="C415" s="5" t="s">
        <v>85</v>
      </c>
      <c r="D415" s="5" t="s">
        <v>1758</v>
      </c>
      <c r="E415" s="5" t="s">
        <v>751</v>
      </c>
      <c r="F415" s="5" t="s">
        <v>590</v>
      </c>
      <c r="G415" s="5" t="s">
        <v>589</v>
      </c>
      <c r="H415" s="5" t="s">
        <v>590</v>
      </c>
      <c r="I415" s="5" t="s">
        <v>63</v>
      </c>
      <c r="J415" s="5" t="s">
        <v>76</v>
      </c>
      <c r="K415" s="5" t="s">
        <v>309</v>
      </c>
      <c r="L415" s="6" t="n">
        <v>44608</v>
      </c>
      <c r="M415" s="5" t="s">
        <v>998</v>
      </c>
      <c r="N415" s="6" t="n">
        <v>36268</v>
      </c>
      <c r="O415" s="5" t="s">
        <v>1264</v>
      </c>
      <c r="P415" s="5" t="s">
        <v>1559</v>
      </c>
      <c r="Q415" s="5" t="s">
        <v>1407</v>
      </c>
      <c r="R415" s="5" t="s">
        <v>115</v>
      </c>
      <c r="S415" s="5" t="s">
        <v>1407</v>
      </c>
      <c r="T415" s="6"/>
      <c r="U415" s="6"/>
      <c r="V415" s="5"/>
      <c r="W415" s="5" t="s">
        <v>141</v>
      </c>
      <c r="X415" s="5" t="s">
        <v>83</v>
      </c>
      <c r="Y415" s="5" t="s">
        <v>141</v>
      </c>
      <c r="Z415" s="5" t="s">
        <v>141</v>
      </c>
      <c r="AA415" s="5" t="s">
        <v>1759</v>
      </c>
      <c r="AB415" s="0" t="n">
        <f aca="false">IFERROR(VALUE(R415),0)</f>
        <v>0</v>
      </c>
      <c r="AC415" s="0" t="n">
        <f aca="false">IFERROR(VALUE(M415),"")</f>
        <v>27.1</v>
      </c>
      <c r="AD415" s="0" t="n">
        <f aca="false">IFERROR(VALUE(Q415),"")</f>
        <v>4.3</v>
      </c>
      <c r="AE415" s="0" t="n">
        <f aca="false">IFERROR(VALUE(S415),"")</f>
        <v>4.3</v>
      </c>
      <c r="AF415" s="0" t="str">
        <f aca="false">IF(V415="","",VLOOKUP(V415,Assumptions!$B$6:$C$9,2,FALSE()))</f>
        <v/>
      </c>
      <c r="AG415" s="0" t="n">
        <f aca="false">IF(W415="","",VLOOKUP(W415,Assumptions!$B$6:$C$9,2,FALSE()))</f>
        <v>3</v>
      </c>
      <c r="AH415" s="0" t="n">
        <f aca="false">IF(X415="","",VLOOKUP(X415,Assumptions!$B$6:$C$9,2,FALSE()))</f>
        <v>4</v>
      </c>
      <c r="AI415" s="0" t="n">
        <f aca="false">IF(Y415="","",VLOOKUP(Y415,Assumptions!$B$6:$C$9,2,FALSE()))</f>
        <v>3</v>
      </c>
      <c r="AJ415" s="0" t="n">
        <f aca="false">IF(Z415="","",VLOOKUP(Z415,Assumptions!$B$6:$C$9,2,FALSE()))</f>
        <v>3</v>
      </c>
      <c r="AK415" s="7" t="n">
        <f aca="false">IFERROR(ROUND(AVERAGE(AF415:AJ415),3),"")</f>
        <v>3.25</v>
      </c>
      <c r="AL415" s="7" t="str">
        <f aca="false">IF(OR(AF415="",AJ415=""),"",AJ415-AF415)</f>
        <v/>
      </c>
      <c r="AM415" s="7" t="n">
        <f aca="false">IF(COUNT(AF415:AJ415)&gt;=2,ROUND(_xlfn.STDEV.S(AF415:AJ415),3),"")</f>
        <v>0.5</v>
      </c>
      <c r="AN415" s="7" t="n">
        <f aca="false">ROUND((IF(AF415="",0,AF415)*Assumptions!$F$15)+(IF(AG415="",0,AG415)*Assumptions!$F$16)+(IF(AH415="",0,AH415)*Assumptions!$F$17)+(IF(AI415="",0,AI415)*Assumptions!$F$18)+(IF(AJ415="",0,AJ415)*Assumptions!$F$19),3)</f>
        <v>2.9</v>
      </c>
      <c r="AO415" s="0" t="str">
        <f aca="false">IF(AC415&lt;=20,"",IF(AC415&lt;=Assumptions!$F$6,"20-30",IF(AC415&lt;=Assumptions!$F$7,"30-40",IF(AC415&lt;=Assumptions!$F$8,"40-50",IF(AC415&lt;=Assumptions!$F$9,"50-60",IF(AC415&lt;=Assumptions!$F$10,"60+",""))))))</f>
        <v>20-30</v>
      </c>
      <c r="AP415" s="0" t="str">
        <f aca="false">IFERROR(VLOOKUP(O415,Assumptions!$B$14:$C$26,2,FALSE()),"Other")</f>
        <v>Manager</v>
      </c>
      <c r="AQ415" s="0" t="n">
        <f aca="false">IF(T415="",0,1)</f>
        <v>0</v>
      </c>
      <c r="AR415" s="0" t="n">
        <f aca="false">IF(U415="",0,1)</f>
        <v>0</v>
      </c>
      <c r="AS415" s="8" t="n">
        <f aca="false">IF(AK415="","",IF(MAX($AK$2:$AK$921)=MIN($AK$2:$AK$921),50,ROUND((AK415-MIN($AK$2:$AK$921))/(MAX($AK$2:$AK$921)-MIN($AK$2:$AK$921))*100,2)))</f>
        <v>67.85</v>
      </c>
      <c r="AT415" s="8" t="n">
        <f aca="false">IF(MAX($BC$2:$BC$921)=MIN($BC$2:$BC$921),50,ROUND((BC415-MIN($BC$2:$BC$921))/(MAX($BC$2:$BC$921)-MIN($BC$2:$BC$921))*100,2))</f>
        <v>50</v>
      </c>
      <c r="AU415" s="8" t="n">
        <f aca="false">IF(MAX($BE$2:$BE$921)=MIN($BE$2:$BE$921),50,ROUND((BE415-MIN($BE$2:$BE$921))/(MAX($BE$2:$BE$921)-MIN($BE$2:$BE$921))*100,2))</f>
        <v>71.13</v>
      </c>
      <c r="AV415" s="8" t="n">
        <f aca="false">IF(MAX($AD$2:$AD$921)=MIN($AD$2:$AD$921),50,ROUND((AD415-MIN($AD$2:$AD$921))/(MAX($AD$2:$AD$921)-MIN($AD$2:$AD$921))*100,2))</f>
        <v>11.39</v>
      </c>
      <c r="AW415" s="8" t="n">
        <f aca="false">IF(MAX($AN$2:$AN$921)=MIN($AN$2:$AN$921),50,ROUND((AN415-MIN($AN$2:$AN$921))/(MAX($AN$2:$AN$921)-MIN($AN$2:$AN$921))*100,2))</f>
        <v>72.5</v>
      </c>
      <c r="AX415" s="8" t="n">
        <f aca="false">AQ415*100</f>
        <v>0</v>
      </c>
      <c r="AY415" s="8" t="n">
        <f aca="false">AR415*100</f>
        <v>0</v>
      </c>
      <c r="AZ415" s="8" t="n">
        <f aca="false">IFERROR(ROUND(AS415*Assumptions!$I$6+AW415*Assumptions!$I$7+AT415*Assumptions!$I$8+AU415*Assumptions!$I$9+AV415*Assumptions!$I$10+AX415*Assumptions!$I$11+AY415*Assumptions!$I$12,2),"")</f>
        <v>54.16</v>
      </c>
      <c r="BA415" s="0" t="str">
        <f aca="false">IF(AZ415="","",IF(AZ415&lt;=Assumptions!$I$18,"Below Expectation",IF(AZ415&lt;=Assumptions!$I$19,"Developing",IF(AZ415&lt;=Assumptions!$I$20,"Meets Expectation",IF(AZ415&lt;=Assumptions!$I$21,"Exceeds","Star Performer")))))</f>
        <v>Developing</v>
      </c>
      <c r="BB415" s="0" t="n">
        <f aca="false">IF(AZ415="",0,IF(AZ415&gt;=Assumptions!$I$26,1,0))</f>
        <v>0</v>
      </c>
      <c r="BC415" s="9" t="n">
        <f aca="false">IF(AL415="",2,AL415+2)</f>
        <v>2</v>
      </c>
      <c r="BD415" s="10" t="n">
        <f aca="false">IF(AM415="",ROUND(AVERAGE($AM$2:$AM$921),3),AM415)</f>
        <v>0.5</v>
      </c>
      <c r="BE415" s="9" t="n">
        <f aca="false">1-BD415</f>
        <v>0.5</v>
      </c>
    </row>
    <row r="416" customFormat="false" ht="14.25" hidden="true" customHeight="false" outlineLevel="0" collapsed="false">
      <c r="A416" s="4" t="n">
        <v>553</v>
      </c>
      <c r="B416" s="5" t="n">
        <v>55049156</v>
      </c>
      <c r="C416" s="5" t="s">
        <v>57</v>
      </c>
      <c r="D416" s="5" t="s">
        <v>1760</v>
      </c>
      <c r="E416" s="5" t="s">
        <v>456</v>
      </c>
      <c r="F416" s="5" t="s">
        <v>608</v>
      </c>
      <c r="G416" s="5" t="s">
        <v>609</v>
      </c>
      <c r="H416" s="5" t="s">
        <v>608</v>
      </c>
      <c r="I416" s="5" t="s">
        <v>63</v>
      </c>
      <c r="J416" s="5" t="s">
        <v>100</v>
      </c>
      <c r="K416" s="5" t="s">
        <v>65</v>
      </c>
      <c r="L416" s="6" t="n">
        <v>44659</v>
      </c>
      <c r="M416" s="5" t="s">
        <v>402</v>
      </c>
      <c r="N416" s="6" t="n">
        <v>31843</v>
      </c>
      <c r="O416" s="5" t="s">
        <v>365</v>
      </c>
      <c r="P416" s="5" t="s">
        <v>365</v>
      </c>
      <c r="Q416" s="5" t="s">
        <v>554</v>
      </c>
      <c r="R416" s="5" t="s">
        <v>847</v>
      </c>
      <c r="S416" s="5" t="s">
        <v>172</v>
      </c>
      <c r="T416" s="6"/>
      <c r="U416" s="6"/>
      <c r="V416" s="5"/>
      <c r="W416" s="5" t="s">
        <v>141</v>
      </c>
      <c r="X416" s="5" t="s">
        <v>83</v>
      </c>
      <c r="Y416" s="5" t="s">
        <v>141</v>
      </c>
      <c r="Z416" s="5" t="s">
        <v>141</v>
      </c>
      <c r="AA416" s="5" t="s">
        <v>1761</v>
      </c>
      <c r="AB416" s="0" t="n">
        <f aca="false">IFERROR(VALUE(R416),0)</f>
        <v>7.5</v>
      </c>
      <c r="AC416" s="0" t="n">
        <f aca="false">IFERROR(VALUE(M416),"")</f>
        <v>39.3</v>
      </c>
      <c r="AD416" s="0" t="n">
        <f aca="false">IFERROR(VALUE(Q416),"")</f>
        <v>4.2</v>
      </c>
      <c r="AE416" s="0" t="n">
        <f aca="false">IFERROR(VALUE(S416),"")</f>
        <v>11.7</v>
      </c>
      <c r="AF416" s="0" t="str">
        <f aca="false">IF(V416="","",VLOOKUP(V416,Assumptions!$B$6:$C$9,2,FALSE()))</f>
        <v/>
      </c>
      <c r="AG416" s="0" t="n">
        <f aca="false">IF(W416="","",VLOOKUP(W416,Assumptions!$B$6:$C$9,2,FALSE()))</f>
        <v>3</v>
      </c>
      <c r="AH416" s="0" t="n">
        <f aca="false">IF(X416="","",VLOOKUP(X416,Assumptions!$B$6:$C$9,2,FALSE()))</f>
        <v>4</v>
      </c>
      <c r="AI416" s="0" t="n">
        <f aca="false">IF(Y416="","",VLOOKUP(Y416,Assumptions!$B$6:$C$9,2,FALSE()))</f>
        <v>3</v>
      </c>
      <c r="AJ416" s="0" t="n">
        <f aca="false">IF(Z416="","",VLOOKUP(Z416,Assumptions!$B$6:$C$9,2,FALSE()))</f>
        <v>3</v>
      </c>
      <c r="AK416" s="7" t="n">
        <f aca="false">IFERROR(ROUND(AVERAGE(AF416:AJ416),3),"")</f>
        <v>3.25</v>
      </c>
      <c r="AL416" s="7" t="str">
        <f aca="false">IF(OR(AF416="",AJ416=""),"",AJ416-AF416)</f>
        <v/>
      </c>
      <c r="AM416" s="7" t="n">
        <f aca="false">IF(COUNT(AF416:AJ416)&gt;=2,ROUND(_xlfn.STDEV.S(AF416:AJ416),3),"")</f>
        <v>0.5</v>
      </c>
      <c r="AN416" s="7" t="n">
        <f aca="false">ROUND((IF(AF416="",0,AF416)*Assumptions!$F$15)+(IF(AG416="",0,AG416)*Assumptions!$F$16)+(IF(AH416="",0,AH416)*Assumptions!$F$17)+(IF(AI416="",0,AI416)*Assumptions!$F$18)+(IF(AJ416="",0,AJ416)*Assumptions!$F$19),3)</f>
        <v>2.9</v>
      </c>
      <c r="AO416" s="0" t="str">
        <f aca="false">IF(AC416&lt;=20,"",IF(AC416&lt;=Assumptions!$F$6,"20-30",IF(AC416&lt;=Assumptions!$F$7,"30-40",IF(AC416&lt;=Assumptions!$F$8,"40-50",IF(AC416&lt;=Assumptions!$F$9,"50-60",IF(AC416&lt;=Assumptions!$F$10,"60+",""))))))</f>
        <v>30-40</v>
      </c>
      <c r="AP416" s="0" t="str">
        <f aca="false">IFERROR(VLOOKUP(O416,Assumptions!$B$14:$C$26,2,FALSE()),"Other")</f>
        <v>Manager</v>
      </c>
      <c r="AQ416" s="0" t="n">
        <f aca="false">IF(T416="",0,1)</f>
        <v>0</v>
      </c>
      <c r="AR416" s="0" t="n">
        <f aca="false">IF(U416="",0,1)</f>
        <v>0</v>
      </c>
      <c r="AS416" s="8" t="n">
        <f aca="false">IF(AK416="","",IF(MAX($AK$2:$AK$921)=MIN($AK$2:$AK$921),50,ROUND((AK416-MIN($AK$2:$AK$921))/(MAX($AK$2:$AK$921)-MIN($AK$2:$AK$921))*100,2)))</f>
        <v>67.85</v>
      </c>
      <c r="AT416" s="8" t="n">
        <f aca="false">IF(MAX($BC$2:$BC$921)=MIN($BC$2:$BC$921),50,ROUND((BC416-MIN($BC$2:$BC$921))/(MAX($BC$2:$BC$921)-MIN($BC$2:$BC$921))*100,2))</f>
        <v>50</v>
      </c>
      <c r="AU416" s="8" t="n">
        <f aca="false">IF(MAX($BE$2:$BE$921)=MIN($BE$2:$BE$921),50,ROUND((BE416-MIN($BE$2:$BE$921))/(MAX($BE$2:$BE$921)-MIN($BE$2:$BE$921))*100,2))</f>
        <v>71.13</v>
      </c>
      <c r="AV416" s="8" t="n">
        <f aca="false">IF(MAX($AD$2:$AD$921)=MIN($AD$2:$AD$921),50,ROUND((AD416-MIN($AD$2:$AD$921))/(MAX($AD$2:$AD$921)-MIN($AD$2:$AD$921))*100,2))</f>
        <v>11.12</v>
      </c>
      <c r="AW416" s="8" t="n">
        <f aca="false">IF(MAX($AN$2:$AN$921)=MIN($AN$2:$AN$921),50,ROUND((AN416-MIN($AN$2:$AN$921))/(MAX($AN$2:$AN$921)-MIN($AN$2:$AN$921))*100,2))</f>
        <v>72.5</v>
      </c>
      <c r="AX416" s="8" t="n">
        <f aca="false">AQ416*100</f>
        <v>0</v>
      </c>
      <c r="AY416" s="8" t="n">
        <f aca="false">AR416*100</f>
        <v>0</v>
      </c>
      <c r="AZ416" s="8" t="n">
        <f aca="false">IFERROR(ROUND(AS416*Assumptions!$I$6+AW416*Assumptions!$I$7+AT416*Assumptions!$I$8+AU416*Assumptions!$I$9+AV416*Assumptions!$I$10+AX416*Assumptions!$I$11+AY416*Assumptions!$I$12,2),"")</f>
        <v>54.14</v>
      </c>
      <c r="BA416" s="0" t="str">
        <f aca="false">IF(AZ416="","",IF(AZ416&lt;=Assumptions!$I$18,"Below Expectation",IF(AZ416&lt;=Assumptions!$I$19,"Developing",IF(AZ416&lt;=Assumptions!$I$20,"Meets Expectation",IF(AZ416&lt;=Assumptions!$I$21,"Exceeds","Star Performer")))))</f>
        <v>Developing</v>
      </c>
      <c r="BB416" s="0" t="n">
        <f aca="false">IF(AZ416="",0,IF(AZ416&gt;=Assumptions!$I$26,1,0))</f>
        <v>0</v>
      </c>
      <c r="BC416" s="9" t="n">
        <f aca="false">IF(AL416="",2,AL416+2)</f>
        <v>2</v>
      </c>
      <c r="BD416" s="10" t="n">
        <f aca="false">IF(AM416="",ROUND(AVERAGE($AM$2:$AM$921),3),AM416)</f>
        <v>0.5</v>
      </c>
      <c r="BE416" s="9" t="n">
        <f aca="false">1-BD416</f>
        <v>0.5</v>
      </c>
    </row>
    <row r="417" customFormat="false" ht="14.25" hidden="true" customHeight="false" outlineLevel="0" collapsed="false">
      <c r="A417" s="4" t="n">
        <v>461</v>
      </c>
      <c r="B417" s="5" t="n">
        <v>55036106</v>
      </c>
      <c r="C417" s="5" t="s">
        <v>1762</v>
      </c>
      <c r="D417" s="5" t="s">
        <v>1763</v>
      </c>
      <c r="E417" s="5" t="s">
        <v>1764</v>
      </c>
      <c r="F417" s="5" t="s">
        <v>1765</v>
      </c>
      <c r="G417" s="5" t="s">
        <v>1766</v>
      </c>
      <c r="H417" s="5" t="s">
        <v>1765</v>
      </c>
      <c r="I417" s="5" t="s">
        <v>63</v>
      </c>
      <c r="J417" s="5" t="s">
        <v>76</v>
      </c>
      <c r="K417" s="5" t="s">
        <v>65</v>
      </c>
      <c r="L417" s="6" t="n">
        <v>43956</v>
      </c>
      <c r="M417" s="5" t="s">
        <v>1071</v>
      </c>
      <c r="N417" s="6" t="n">
        <v>31037</v>
      </c>
      <c r="O417" s="5" t="s">
        <v>332</v>
      </c>
      <c r="P417" s="5" t="s">
        <v>333</v>
      </c>
      <c r="Q417" s="5" t="s">
        <v>506</v>
      </c>
      <c r="R417" s="5" t="s">
        <v>615</v>
      </c>
      <c r="S417" s="5" t="s">
        <v>714</v>
      </c>
      <c r="T417" s="6"/>
      <c r="U417" s="6"/>
      <c r="V417" s="5" t="s">
        <v>631</v>
      </c>
      <c r="W417" s="5" t="s">
        <v>141</v>
      </c>
      <c r="X417" s="5" t="s">
        <v>631</v>
      </c>
      <c r="Y417" s="5" t="s">
        <v>141</v>
      </c>
      <c r="Z417" s="5" t="s">
        <v>83</v>
      </c>
      <c r="AA417" s="5" t="s">
        <v>1767</v>
      </c>
      <c r="AB417" s="0" t="n">
        <f aca="false">IFERROR(VALUE(R417),0)</f>
        <v>5.7</v>
      </c>
      <c r="AC417" s="0" t="n">
        <f aca="false">IFERROR(VALUE(M417),"")</f>
        <v>41.5</v>
      </c>
      <c r="AD417" s="0" t="n">
        <f aca="false">IFERROR(VALUE(Q417),"")</f>
        <v>6.1</v>
      </c>
      <c r="AE417" s="0" t="n">
        <f aca="false">IFERROR(VALUE(S417),"")</f>
        <v>11.8</v>
      </c>
      <c r="AF417" s="0" t="n">
        <f aca="false">IF(V417="","",VLOOKUP(V417,Assumptions!$B$6:$C$9,2,FALSE()))</f>
        <v>2</v>
      </c>
      <c r="AG417" s="0" t="n">
        <f aca="false">IF(W417="","",VLOOKUP(W417,Assumptions!$B$6:$C$9,2,FALSE()))</f>
        <v>3</v>
      </c>
      <c r="AH417" s="0" t="n">
        <f aca="false">IF(X417="","",VLOOKUP(X417,Assumptions!$B$6:$C$9,2,FALSE()))</f>
        <v>2</v>
      </c>
      <c r="AI417" s="0" t="n">
        <f aca="false">IF(Y417="","",VLOOKUP(Y417,Assumptions!$B$6:$C$9,2,FALSE()))</f>
        <v>3</v>
      </c>
      <c r="AJ417" s="0" t="n">
        <f aca="false">IF(Z417="","",VLOOKUP(Z417,Assumptions!$B$6:$C$9,2,FALSE()))</f>
        <v>4</v>
      </c>
      <c r="AK417" s="7" t="n">
        <f aca="false">IFERROR(ROUND(AVERAGE(AF417:AJ417),3),"")</f>
        <v>2.8</v>
      </c>
      <c r="AL417" s="7" t="n">
        <f aca="false">IF(OR(AF417="",AJ417=""),"",AJ417-AF417)</f>
        <v>2</v>
      </c>
      <c r="AM417" s="7" t="n">
        <f aca="false">IF(COUNT(AF417:AJ417)&gt;=2,ROUND(_xlfn.STDEV.S(AF417:AJ417),3),"")</f>
        <v>0.837</v>
      </c>
      <c r="AN417" s="7" t="n">
        <f aca="false">ROUND((IF(AF417="",0,AF417)*Assumptions!$F$15)+(IF(AG417="",0,AG417)*Assumptions!$F$16)+(IF(AH417="",0,AH417)*Assumptions!$F$17)+(IF(AI417="",0,AI417)*Assumptions!$F$18)+(IF(AJ417="",0,AJ417)*Assumptions!$F$19),3)</f>
        <v>3</v>
      </c>
      <c r="AO417" s="0" t="str">
        <f aca="false">IF(AC417&lt;=20,"",IF(AC417&lt;=Assumptions!$F$6,"20-30",IF(AC417&lt;=Assumptions!$F$7,"30-40",IF(AC417&lt;=Assumptions!$F$8,"40-50",IF(AC417&lt;=Assumptions!$F$9,"50-60",IF(AC417&lt;=Assumptions!$F$10,"60+",""))))))</f>
        <v>40-50</v>
      </c>
      <c r="AP417" s="0" t="str">
        <f aca="false">IFERROR(VLOOKUP(O417,Assumptions!$B$14:$C$26,2,FALSE()),"Other")</f>
        <v>Manager</v>
      </c>
      <c r="AQ417" s="0" t="n">
        <f aca="false">IF(T417="",0,1)</f>
        <v>0</v>
      </c>
      <c r="AR417" s="0" t="n">
        <f aca="false">IF(U417="",0,1)</f>
        <v>0</v>
      </c>
      <c r="AS417" s="8" t="n">
        <f aca="false">IF(AK417="","",IF(MAX($AK$2:$AK$921)=MIN($AK$2:$AK$921),50,ROUND((AK417-MIN($AK$2:$AK$921))/(MAX($AK$2:$AK$921)-MIN($AK$2:$AK$921))*100,2)))</f>
        <v>48.56</v>
      </c>
      <c r="AT417" s="8" t="n">
        <f aca="false">IF(MAX($BC$2:$BC$921)=MIN($BC$2:$BC$921),50,ROUND((BC417-MIN($BC$2:$BC$921))/(MAX($BC$2:$BC$921)-MIN($BC$2:$BC$921))*100,2))</f>
        <v>100</v>
      </c>
      <c r="AU417" s="8" t="n">
        <f aca="false">IF(MAX($BE$2:$BE$921)=MIN($BE$2:$BE$921),50,ROUND((BE417-MIN($BE$2:$BE$921))/(MAX($BE$2:$BE$921)-MIN($BE$2:$BE$921))*100,2))</f>
        <v>51.67</v>
      </c>
      <c r="AV417" s="8" t="n">
        <f aca="false">IF(MAX($AD$2:$AD$921)=MIN($AD$2:$AD$921),50,ROUND((AD417-MIN($AD$2:$AD$921))/(MAX($AD$2:$AD$921)-MIN($AD$2:$AD$921))*100,2))</f>
        <v>16.28</v>
      </c>
      <c r="AW417" s="8" t="n">
        <f aca="false">IF(MAX($AN$2:$AN$921)=MIN($AN$2:$AN$921),50,ROUND((AN417-MIN($AN$2:$AN$921))/(MAX($AN$2:$AN$921)-MIN($AN$2:$AN$921))*100,2))</f>
        <v>75</v>
      </c>
      <c r="AX417" s="8" t="n">
        <f aca="false">AQ417*100</f>
        <v>0</v>
      </c>
      <c r="AY417" s="8" t="n">
        <f aca="false">AR417*100</f>
        <v>0</v>
      </c>
      <c r="AZ417" s="8" t="n">
        <f aca="false">IFERROR(ROUND(AS417*Assumptions!$I$6+AW417*Assumptions!$I$7+AT417*Assumptions!$I$8+AU417*Assumptions!$I$9+AV417*Assumptions!$I$10+AX417*Assumptions!$I$11+AY417*Assumptions!$I$12,2),"")</f>
        <v>53.95</v>
      </c>
      <c r="BA417" s="0" t="str">
        <f aca="false">IF(AZ417="","",IF(AZ417&lt;=Assumptions!$I$18,"Below Expectation",IF(AZ417&lt;=Assumptions!$I$19,"Developing",IF(AZ417&lt;=Assumptions!$I$20,"Meets Expectation",IF(AZ417&lt;=Assumptions!$I$21,"Exceeds","Star Performer")))))</f>
        <v>Developing</v>
      </c>
      <c r="BB417" s="0" t="n">
        <f aca="false">IF(AZ417="",0,IF(AZ417&gt;=Assumptions!$I$26,1,0))</f>
        <v>0</v>
      </c>
      <c r="BC417" s="9" t="n">
        <f aca="false">IF(AL417="",2,AL417+2)</f>
        <v>4</v>
      </c>
      <c r="BD417" s="10" t="n">
        <f aca="false">IF(AM417="",ROUND(AVERAGE($AM$2:$AM$921),3),AM417)</f>
        <v>0.837</v>
      </c>
      <c r="BE417" s="9" t="n">
        <f aca="false">1-BD417</f>
        <v>0.163</v>
      </c>
    </row>
    <row r="418" customFormat="false" ht="14.25" hidden="true" customHeight="false" outlineLevel="0" collapsed="false">
      <c r="A418" s="4" t="n">
        <v>913</v>
      </c>
      <c r="B418" s="5" t="n">
        <v>67520040</v>
      </c>
      <c r="C418" s="5" t="s">
        <v>57</v>
      </c>
      <c r="D418" s="5" t="s">
        <v>1768</v>
      </c>
      <c r="E418" s="5" t="s">
        <v>1769</v>
      </c>
      <c r="F418" s="5" t="s">
        <v>1770</v>
      </c>
      <c r="G418" s="5" t="s">
        <v>1771</v>
      </c>
      <c r="H418" s="5" t="s">
        <v>1770</v>
      </c>
      <c r="I418" s="5" t="s">
        <v>63</v>
      </c>
      <c r="J418" s="5" t="s">
        <v>100</v>
      </c>
      <c r="K418" s="5" t="s">
        <v>65</v>
      </c>
      <c r="L418" s="6" t="n">
        <v>42549</v>
      </c>
      <c r="M418" s="5" t="s">
        <v>1505</v>
      </c>
      <c r="N418" s="6" t="n">
        <v>28627</v>
      </c>
      <c r="O418" s="5" t="s">
        <v>1624</v>
      </c>
      <c r="P418" s="5" t="s">
        <v>1625</v>
      </c>
      <c r="Q418" s="5" t="s">
        <v>599</v>
      </c>
      <c r="R418" s="5" t="s">
        <v>655</v>
      </c>
      <c r="S418" s="5" t="s">
        <v>1551</v>
      </c>
      <c r="T418" s="6"/>
      <c r="U418" s="6"/>
      <c r="V418" s="5" t="s">
        <v>631</v>
      </c>
      <c r="W418" s="5" t="s">
        <v>141</v>
      </c>
      <c r="X418" s="5" t="s">
        <v>141</v>
      </c>
      <c r="Y418" s="5" t="s">
        <v>141</v>
      </c>
      <c r="Z418" s="5" t="s">
        <v>141</v>
      </c>
      <c r="AA418" s="5" t="s">
        <v>1772</v>
      </c>
      <c r="AB418" s="0" t="n">
        <f aca="false">IFERROR(VALUE(R418),0)</f>
        <v>18.1</v>
      </c>
      <c r="AC418" s="0" t="n">
        <f aca="false">IFERROR(VALUE(M418),"")</f>
        <v>48</v>
      </c>
      <c r="AD418" s="0" t="n">
        <f aca="false">IFERROR(VALUE(Q418),"")</f>
        <v>9.11</v>
      </c>
      <c r="AE418" s="0" t="n">
        <f aca="false">IFERROR(VALUE(S418),"")</f>
        <v>28.9</v>
      </c>
      <c r="AF418" s="0" t="n">
        <f aca="false">IF(V418="","",VLOOKUP(V418,Assumptions!$B$6:$C$9,2,FALSE()))</f>
        <v>2</v>
      </c>
      <c r="AG418" s="0" t="n">
        <f aca="false">IF(W418="","",VLOOKUP(W418,Assumptions!$B$6:$C$9,2,FALSE()))</f>
        <v>3</v>
      </c>
      <c r="AH418" s="0" t="n">
        <f aca="false">IF(X418="","",VLOOKUP(X418,Assumptions!$B$6:$C$9,2,FALSE()))</f>
        <v>3</v>
      </c>
      <c r="AI418" s="0" t="n">
        <f aca="false">IF(Y418="","",VLOOKUP(Y418,Assumptions!$B$6:$C$9,2,FALSE()))</f>
        <v>3</v>
      </c>
      <c r="AJ418" s="0" t="n">
        <f aca="false">IF(Z418="","",VLOOKUP(Z418,Assumptions!$B$6:$C$9,2,FALSE()))</f>
        <v>3</v>
      </c>
      <c r="AK418" s="7" t="n">
        <f aca="false">IFERROR(ROUND(AVERAGE(AF418:AJ418),3),"")</f>
        <v>2.8</v>
      </c>
      <c r="AL418" s="7" t="n">
        <f aca="false">IF(OR(AF418="",AJ418=""),"",AJ418-AF418)</f>
        <v>1</v>
      </c>
      <c r="AM418" s="7" t="n">
        <f aca="false">IF(COUNT(AF418:AJ418)&gt;=2,ROUND(_xlfn.STDEV.S(AF418:AJ418),3),"")</f>
        <v>0.447</v>
      </c>
      <c r="AN418" s="7" t="n">
        <f aca="false">ROUND((IF(AF418="",0,AF418)*Assumptions!$F$15)+(IF(AG418="",0,AG418)*Assumptions!$F$16)+(IF(AH418="",0,AH418)*Assumptions!$F$17)+(IF(AI418="",0,AI418)*Assumptions!$F$18)+(IF(AJ418="",0,AJ418)*Assumptions!$F$19),3)</f>
        <v>2.9</v>
      </c>
      <c r="AO418" s="0" t="str">
        <f aca="false">IF(AC418&lt;=20,"",IF(AC418&lt;=Assumptions!$F$6,"20-30",IF(AC418&lt;=Assumptions!$F$7,"30-40",IF(AC418&lt;=Assumptions!$F$8,"40-50",IF(AC418&lt;=Assumptions!$F$9,"50-60",IF(AC418&lt;=Assumptions!$F$10,"60+",""))))))</f>
        <v>40-50</v>
      </c>
      <c r="AP418" s="0" t="str">
        <f aca="false">IFERROR(VLOOKUP(O418,Assumptions!$B$14:$C$26,2,FALSE()),"Other")</f>
        <v>Executive</v>
      </c>
      <c r="AQ418" s="0" t="n">
        <f aca="false">IF(T418="",0,1)</f>
        <v>0</v>
      </c>
      <c r="AR418" s="0" t="n">
        <f aca="false">IF(U418="",0,1)</f>
        <v>0</v>
      </c>
      <c r="AS418" s="8" t="n">
        <f aca="false">IF(AK418="","",IF(MAX($AK$2:$AK$921)=MIN($AK$2:$AK$921),50,ROUND((AK418-MIN($AK$2:$AK$921))/(MAX($AK$2:$AK$921)-MIN($AK$2:$AK$921))*100,2)))</f>
        <v>48.56</v>
      </c>
      <c r="AT418" s="8" t="n">
        <f aca="false">IF(MAX($BC$2:$BC$921)=MIN($BC$2:$BC$921),50,ROUND((BC418-MIN($BC$2:$BC$921))/(MAX($BC$2:$BC$921)-MIN($BC$2:$BC$921))*100,2))</f>
        <v>75</v>
      </c>
      <c r="AU418" s="8" t="n">
        <f aca="false">IF(MAX($BE$2:$BE$921)=MIN($BE$2:$BE$921),50,ROUND((BE418-MIN($BE$2:$BE$921))/(MAX($BE$2:$BE$921)-MIN($BE$2:$BE$921))*100,2))</f>
        <v>74.19</v>
      </c>
      <c r="AV418" s="8" t="n">
        <f aca="false">IF(MAX($AD$2:$AD$921)=MIN($AD$2:$AD$921),50,ROUND((AD418-MIN($AD$2:$AD$921))/(MAX($AD$2:$AD$921)-MIN($AD$2:$AD$921))*100,2))</f>
        <v>24.46</v>
      </c>
      <c r="AW418" s="8" t="n">
        <f aca="false">IF(MAX($AN$2:$AN$921)=MIN($AN$2:$AN$921),50,ROUND((AN418-MIN($AN$2:$AN$921))/(MAX($AN$2:$AN$921)-MIN($AN$2:$AN$921))*100,2))</f>
        <v>72.5</v>
      </c>
      <c r="AX418" s="8" t="n">
        <f aca="false">AQ418*100</f>
        <v>0</v>
      </c>
      <c r="AY418" s="8" t="n">
        <f aca="false">AR418*100</f>
        <v>0</v>
      </c>
      <c r="AZ418" s="8" t="n">
        <f aca="false">IFERROR(ROUND(AS418*Assumptions!$I$6+AW418*Assumptions!$I$7+AT418*Assumptions!$I$8+AU418*Assumptions!$I$9+AV418*Assumptions!$I$10+AX418*Assumptions!$I$11+AY418*Assumptions!$I$12,2),"")</f>
        <v>53.89</v>
      </c>
      <c r="BA418" s="0" t="str">
        <f aca="false">IF(AZ418="","",IF(AZ418&lt;=Assumptions!$I$18,"Below Expectation",IF(AZ418&lt;=Assumptions!$I$19,"Developing",IF(AZ418&lt;=Assumptions!$I$20,"Meets Expectation",IF(AZ418&lt;=Assumptions!$I$21,"Exceeds","Star Performer")))))</f>
        <v>Developing</v>
      </c>
      <c r="BB418" s="0" t="n">
        <f aca="false">IF(AZ418="",0,IF(AZ418&gt;=Assumptions!$I$26,1,0))</f>
        <v>0</v>
      </c>
      <c r="BC418" s="9" t="n">
        <f aca="false">IF(AL418="",2,AL418+2)</f>
        <v>3</v>
      </c>
      <c r="BD418" s="10" t="n">
        <f aca="false">IF(AM418="",ROUND(AVERAGE($AM$2:$AM$921),3),AM418)</f>
        <v>0.447</v>
      </c>
      <c r="BE418" s="9" t="n">
        <f aca="false">1-BD418</f>
        <v>0.553</v>
      </c>
    </row>
    <row r="419" customFormat="false" ht="14.25" hidden="true" customHeight="false" outlineLevel="0" collapsed="false">
      <c r="A419" s="4" t="n">
        <v>474</v>
      </c>
      <c r="B419" s="5" t="n">
        <v>55042142</v>
      </c>
      <c r="C419" s="5" t="s">
        <v>858</v>
      </c>
      <c r="D419" s="5" t="s">
        <v>1773</v>
      </c>
      <c r="E419" s="5" t="s">
        <v>860</v>
      </c>
      <c r="F419" s="5" t="s">
        <v>861</v>
      </c>
      <c r="G419" s="5" t="s">
        <v>862</v>
      </c>
      <c r="H419" s="5" t="s">
        <v>861</v>
      </c>
      <c r="I419" s="5" t="s">
        <v>63</v>
      </c>
      <c r="J419" s="5" t="s">
        <v>100</v>
      </c>
      <c r="K419" s="5" t="s">
        <v>309</v>
      </c>
      <c r="L419" s="6" t="n">
        <v>44410</v>
      </c>
      <c r="M419" s="5" t="s">
        <v>833</v>
      </c>
      <c r="N419" s="6" t="n">
        <v>35101</v>
      </c>
      <c r="O419" s="5" t="s">
        <v>365</v>
      </c>
      <c r="P419" s="5" t="s">
        <v>365</v>
      </c>
      <c r="Q419" s="5" t="s">
        <v>523</v>
      </c>
      <c r="R419" s="5" t="s">
        <v>115</v>
      </c>
      <c r="S419" s="5" t="s">
        <v>523</v>
      </c>
      <c r="T419" s="6"/>
      <c r="U419" s="6"/>
      <c r="V419" s="5" t="s">
        <v>631</v>
      </c>
      <c r="W419" s="5" t="s">
        <v>141</v>
      </c>
      <c r="X419" s="5" t="s">
        <v>83</v>
      </c>
      <c r="Y419" s="5" t="s">
        <v>141</v>
      </c>
      <c r="Z419" s="5" t="s">
        <v>141</v>
      </c>
      <c r="AA419" s="5" t="s">
        <v>1774</v>
      </c>
      <c r="AB419" s="0" t="n">
        <f aca="false">IFERROR(VALUE(R419),0)</f>
        <v>0</v>
      </c>
      <c r="AC419" s="0" t="n">
        <f aca="false">IFERROR(VALUE(M419),"")</f>
        <v>30.4</v>
      </c>
      <c r="AD419" s="0" t="n">
        <f aca="false">IFERROR(VALUE(Q419),"")</f>
        <v>4.1</v>
      </c>
      <c r="AE419" s="0" t="n">
        <f aca="false">IFERROR(VALUE(S419),"")</f>
        <v>4.1</v>
      </c>
      <c r="AF419" s="0" t="n">
        <f aca="false">IF(V419="","",VLOOKUP(V419,Assumptions!$B$6:$C$9,2,FALSE()))</f>
        <v>2</v>
      </c>
      <c r="AG419" s="0" t="n">
        <f aca="false">IF(W419="","",VLOOKUP(W419,Assumptions!$B$6:$C$9,2,FALSE()))</f>
        <v>3</v>
      </c>
      <c r="AH419" s="0" t="n">
        <f aca="false">IF(X419="","",VLOOKUP(X419,Assumptions!$B$6:$C$9,2,FALSE()))</f>
        <v>4</v>
      </c>
      <c r="AI419" s="0" t="n">
        <f aca="false">IF(Y419="","",VLOOKUP(Y419,Assumptions!$B$6:$C$9,2,FALSE()))</f>
        <v>3</v>
      </c>
      <c r="AJ419" s="0" t="n">
        <f aca="false">IF(Z419="","",VLOOKUP(Z419,Assumptions!$B$6:$C$9,2,FALSE()))</f>
        <v>3</v>
      </c>
      <c r="AK419" s="7" t="n">
        <f aca="false">IFERROR(ROUND(AVERAGE(AF419:AJ419),3),"")</f>
        <v>3</v>
      </c>
      <c r="AL419" s="7" t="n">
        <f aca="false">IF(OR(AF419="",AJ419=""),"",AJ419-AF419)</f>
        <v>1</v>
      </c>
      <c r="AM419" s="7" t="n">
        <f aca="false">IF(COUNT(AF419:AJ419)&gt;=2,ROUND(_xlfn.STDEV.S(AF419:AJ419),3),"")</f>
        <v>0.707</v>
      </c>
      <c r="AN419" s="7" t="n">
        <f aca="false">ROUND((IF(AF419="",0,AF419)*Assumptions!$F$15)+(IF(AG419="",0,AG419)*Assumptions!$F$16)+(IF(AH419="",0,AH419)*Assumptions!$F$17)+(IF(AI419="",0,AI419)*Assumptions!$F$18)+(IF(AJ419="",0,AJ419)*Assumptions!$F$19),3)</f>
        <v>3.1</v>
      </c>
      <c r="AO419" s="0" t="str">
        <f aca="false">IF(AC419&lt;=20,"",IF(AC419&lt;=Assumptions!$F$6,"20-30",IF(AC419&lt;=Assumptions!$F$7,"30-40",IF(AC419&lt;=Assumptions!$F$8,"40-50",IF(AC419&lt;=Assumptions!$F$9,"50-60",IF(AC419&lt;=Assumptions!$F$10,"60+",""))))))</f>
        <v>30-40</v>
      </c>
      <c r="AP419" s="0" t="str">
        <f aca="false">IFERROR(VLOOKUP(O419,Assumptions!$B$14:$C$26,2,FALSE()),"Other")</f>
        <v>Manager</v>
      </c>
      <c r="AQ419" s="0" t="n">
        <f aca="false">IF(T419="",0,1)</f>
        <v>0</v>
      </c>
      <c r="AR419" s="0" t="n">
        <f aca="false">IF(U419="",0,1)</f>
        <v>0</v>
      </c>
      <c r="AS419" s="8" t="n">
        <f aca="false">IF(AK419="","",IF(MAX($AK$2:$AK$921)=MIN($AK$2:$AK$921),50,ROUND((AK419-MIN($AK$2:$AK$921))/(MAX($AK$2:$AK$921)-MIN($AK$2:$AK$921))*100,2)))</f>
        <v>57.14</v>
      </c>
      <c r="AT419" s="8" t="n">
        <f aca="false">IF(MAX($BC$2:$BC$921)=MIN($BC$2:$BC$921),50,ROUND((BC419-MIN($BC$2:$BC$921))/(MAX($BC$2:$BC$921)-MIN($BC$2:$BC$921))*100,2))</f>
        <v>75</v>
      </c>
      <c r="AU419" s="8" t="n">
        <f aca="false">IF(MAX($BE$2:$BE$921)=MIN($BE$2:$BE$921),50,ROUND((BE419-MIN($BE$2:$BE$921))/(MAX($BE$2:$BE$921)-MIN($BE$2:$BE$921))*100,2))</f>
        <v>59.18</v>
      </c>
      <c r="AV419" s="8" t="n">
        <f aca="false">IF(MAX($AD$2:$AD$921)=MIN($AD$2:$AD$921),50,ROUND((AD419-MIN($AD$2:$AD$921))/(MAX($AD$2:$AD$921)-MIN($AD$2:$AD$921))*100,2))</f>
        <v>10.85</v>
      </c>
      <c r="AW419" s="8" t="n">
        <f aca="false">IF(MAX($AN$2:$AN$921)=MIN($AN$2:$AN$921),50,ROUND((AN419-MIN($AN$2:$AN$921))/(MAX($AN$2:$AN$921)-MIN($AN$2:$AN$921))*100,2))</f>
        <v>77.5</v>
      </c>
      <c r="AX419" s="8" t="n">
        <f aca="false">AQ419*100</f>
        <v>0</v>
      </c>
      <c r="AY419" s="8" t="n">
        <f aca="false">AR419*100</f>
        <v>0</v>
      </c>
      <c r="AZ419" s="8" t="n">
        <f aca="false">IFERROR(ROUND(AS419*Assumptions!$I$6+AW419*Assumptions!$I$7+AT419*Assumptions!$I$8+AU419*Assumptions!$I$9+AV419*Assumptions!$I$10+AX419*Assumptions!$I$11+AY419*Assumptions!$I$12,2),"")</f>
        <v>53.85</v>
      </c>
      <c r="BA419" s="0" t="str">
        <f aca="false">IF(AZ419="","",IF(AZ419&lt;=Assumptions!$I$18,"Below Expectation",IF(AZ419&lt;=Assumptions!$I$19,"Developing",IF(AZ419&lt;=Assumptions!$I$20,"Meets Expectation",IF(AZ419&lt;=Assumptions!$I$21,"Exceeds","Star Performer")))))</f>
        <v>Developing</v>
      </c>
      <c r="BB419" s="0" t="n">
        <f aca="false">IF(AZ419="",0,IF(AZ419&gt;=Assumptions!$I$26,1,0))</f>
        <v>0</v>
      </c>
      <c r="BC419" s="9" t="n">
        <f aca="false">IF(AL419="",2,AL419+2)</f>
        <v>3</v>
      </c>
      <c r="BD419" s="10" t="n">
        <f aca="false">IF(AM419="",ROUND(AVERAGE($AM$2:$AM$921),3),AM419)</f>
        <v>0.707</v>
      </c>
      <c r="BE419" s="9" t="n">
        <f aca="false">1-BD419</f>
        <v>0.293</v>
      </c>
    </row>
    <row r="420" customFormat="false" ht="14.25" hidden="true" customHeight="false" outlineLevel="0" collapsed="false">
      <c r="A420" s="4" t="n">
        <v>73</v>
      </c>
      <c r="B420" s="5" t="n">
        <v>10022325</v>
      </c>
      <c r="C420" s="5" t="s">
        <v>57</v>
      </c>
      <c r="D420" s="5" t="s">
        <v>1775</v>
      </c>
      <c r="E420" s="5" t="s">
        <v>299</v>
      </c>
      <c r="F420" s="5" t="s">
        <v>209</v>
      </c>
      <c r="G420" s="5" t="s">
        <v>210</v>
      </c>
      <c r="H420" s="5" t="s">
        <v>209</v>
      </c>
      <c r="I420" s="5" t="s">
        <v>63</v>
      </c>
      <c r="J420" s="5" t="s">
        <v>100</v>
      </c>
      <c r="K420" s="5" t="s">
        <v>65</v>
      </c>
      <c r="L420" s="6" t="n">
        <v>38376</v>
      </c>
      <c r="M420" s="5" t="s">
        <v>276</v>
      </c>
      <c r="N420" s="6" t="n">
        <v>27230</v>
      </c>
      <c r="O420" s="5" t="s">
        <v>262</v>
      </c>
      <c r="P420" s="5" t="s">
        <v>263</v>
      </c>
      <c r="Q420" s="5" t="s">
        <v>1256</v>
      </c>
      <c r="R420" s="5" t="s">
        <v>1776</v>
      </c>
      <c r="S420" s="5" t="s">
        <v>1184</v>
      </c>
      <c r="T420" s="6"/>
      <c r="U420" s="6" t="n">
        <v>44470</v>
      </c>
      <c r="V420" s="5" t="s">
        <v>141</v>
      </c>
      <c r="W420" s="5" t="s">
        <v>141</v>
      </c>
      <c r="X420" s="5" t="s">
        <v>141</v>
      </c>
      <c r="Y420" s="5" t="s">
        <v>141</v>
      </c>
      <c r="Z420" s="5" t="s">
        <v>631</v>
      </c>
      <c r="AA420" s="5" t="s">
        <v>1777</v>
      </c>
      <c r="AB420" s="0" t="n">
        <f aca="false">IFERROR(VALUE(R420),0)</f>
        <v>7.7</v>
      </c>
      <c r="AC420" s="0" t="n">
        <f aca="false">IFERROR(VALUE(M420),"")</f>
        <v>51.1</v>
      </c>
      <c r="AD420" s="0" t="n">
        <f aca="false">IFERROR(VALUE(Q420),"")</f>
        <v>21.4</v>
      </c>
      <c r="AE420" s="0" t="n">
        <f aca="false">IFERROR(VALUE(S420),"")</f>
        <v>28.11</v>
      </c>
      <c r="AF420" s="0" t="n">
        <f aca="false">IF(V420="","",VLOOKUP(V420,Assumptions!$B$6:$C$9,2,FALSE()))</f>
        <v>3</v>
      </c>
      <c r="AG420" s="0" t="n">
        <f aca="false">IF(W420="","",VLOOKUP(W420,Assumptions!$B$6:$C$9,2,FALSE()))</f>
        <v>3</v>
      </c>
      <c r="AH420" s="0" t="n">
        <f aca="false">IF(X420="","",VLOOKUP(X420,Assumptions!$B$6:$C$9,2,FALSE()))</f>
        <v>3</v>
      </c>
      <c r="AI420" s="0" t="n">
        <f aca="false">IF(Y420="","",VLOOKUP(Y420,Assumptions!$B$6:$C$9,2,FALSE()))</f>
        <v>3</v>
      </c>
      <c r="AJ420" s="0" t="n">
        <f aca="false">IF(Z420="","",VLOOKUP(Z420,Assumptions!$B$6:$C$9,2,FALSE()))</f>
        <v>2</v>
      </c>
      <c r="AK420" s="7" t="n">
        <f aca="false">IFERROR(ROUND(AVERAGE(AF420:AJ420),3),"")</f>
        <v>2.8</v>
      </c>
      <c r="AL420" s="7" t="n">
        <f aca="false">IF(OR(AF420="",AJ420=""),"",AJ420-AF420)</f>
        <v>-1</v>
      </c>
      <c r="AM420" s="7" t="n">
        <f aca="false">IF(COUNT(AF420:AJ420)&gt;=2,ROUND(_xlfn.STDEV.S(AF420:AJ420),3),"")</f>
        <v>0.447</v>
      </c>
      <c r="AN420" s="7" t="n">
        <f aca="false">ROUND((IF(AF420="",0,AF420)*Assumptions!$F$15)+(IF(AG420="",0,AG420)*Assumptions!$F$16)+(IF(AH420="",0,AH420)*Assumptions!$F$17)+(IF(AI420="",0,AI420)*Assumptions!$F$18)+(IF(AJ420="",0,AJ420)*Assumptions!$F$19),3)</f>
        <v>2.7</v>
      </c>
      <c r="AO420" s="0" t="str">
        <f aca="false">IF(AC420&lt;=20,"",IF(AC420&lt;=Assumptions!$F$6,"20-30",IF(AC420&lt;=Assumptions!$F$7,"30-40",IF(AC420&lt;=Assumptions!$F$8,"40-50",IF(AC420&lt;=Assumptions!$F$9,"50-60",IF(AC420&lt;=Assumptions!$F$10,"60+",""))))))</f>
        <v>50-60</v>
      </c>
      <c r="AP420" s="0" t="str">
        <f aca="false">IFERROR(VLOOKUP(O420,Assumptions!$B$14:$C$26,2,FALSE()),"Other")</f>
        <v>Manager</v>
      </c>
      <c r="AQ420" s="0" t="n">
        <f aca="false">IF(T420="",0,1)</f>
        <v>0</v>
      </c>
      <c r="AR420" s="0" t="n">
        <f aca="false">IF(U420="",0,1)</f>
        <v>1</v>
      </c>
      <c r="AS420" s="8" t="n">
        <f aca="false">IF(AK420="","",IF(MAX($AK$2:$AK$921)=MIN($AK$2:$AK$921),50,ROUND((AK420-MIN($AK$2:$AK$921))/(MAX($AK$2:$AK$921)-MIN($AK$2:$AK$921))*100,2)))</f>
        <v>48.56</v>
      </c>
      <c r="AT420" s="8" t="n">
        <f aca="false">IF(MAX($BC$2:$BC$921)=MIN($BC$2:$BC$921),50,ROUND((BC420-MIN($BC$2:$BC$921))/(MAX($BC$2:$BC$921)-MIN($BC$2:$BC$921))*100,2))</f>
        <v>25</v>
      </c>
      <c r="AU420" s="8" t="n">
        <f aca="false">IF(MAX($BE$2:$BE$921)=MIN($BE$2:$BE$921),50,ROUND((BE420-MIN($BE$2:$BE$921))/(MAX($BE$2:$BE$921)-MIN($BE$2:$BE$921))*100,2))</f>
        <v>74.19</v>
      </c>
      <c r="AV420" s="8" t="n">
        <f aca="false">IF(MAX($AD$2:$AD$921)=MIN($AD$2:$AD$921),50,ROUND((AD420-MIN($AD$2:$AD$921))/(MAX($AD$2:$AD$921)-MIN($AD$2:$AD$921))*100,2))</f>
        <v>57.87</v>
      </c>
      <c r="AW420" s="8" t="n">
        <f aca="false">IF(MAX($AN$2:$AN$921)=MIN($AN$2:$AN$921),50,ROUND((AN420-MIN($AN$2:$AN$921))/(MAX($AN$2:$AN$921)-MIN($AN$2:$AN$921))*100,2))</f>
        <v>67.5</v>
      </c>
      <c r="AX420" s="8" t="n">
        <f aca="false">AQ420*100</f>
        <v>0</v>
      </c>
      <c r="AY420" s="8" t="n">
        <f aca="false">AR420*100</f>
        <v>100</v>
      </c>
      <c r="AZ420" s="8" t="n">
        <f aca="false">IFERROR(ROUND(AS420*Assumptions!$I$6+AW420*Assumptions!$I$7+AT420*Assumptions!$I$8+AU420*Assumptions!$I$9+AV420*Assumptions!$I$10+AX420*Assumptions!$I$11+AY420*Assumptions!$I$12,2),"")</f>
        <v>53.73</v>
      </c>
      <c r="BA420" s="0" t="str">
        <f aca="false">IF(AZ420="","",IF(AZ420&lt;=Assumptions!$I$18,"Below Expectation",IF(AZ420&lt;=Assumptions!$I$19,"Developing",IF(AZ420&lt;=Assumptions!$I$20,"Meets Expectation",IF(AZ420&lt;=Assumptions!$I$21,"Exceeds","Star Performer")))))</f>
        <v>Developing</v>
      </c>
      <c r="BB420" s="0" t="n">
        <f aca="false">IF(AZ420="",0,IF(AZ420&gt;=Assumptions!$I$26,1,0))</f>
        <v>0</v>
      </c>
      <c r="BC420" s="9" t="n">
        <f aca="false">IF(AL420="",2,AL420+2)</f>
        <v>1</v>
      </c>
      <c r="BD420" s="10" t="n">
        <f aca="false">IF(AM420="",ROUND(AVERAGE($AM$2:$AM$921),3),AM420)</f>
        <v>0.447</v>
      </c>
      <c r="BE420" s="9" t="n">
        <f aca="false">1-BD420</f>
        <v>0.553</v>
      </c>
    </row>
    <row r="421" customFormat="false" ht="14.25" hidden="true" customHeight="false" outlineLevel="0" collapsed="false">
      <c r="A421" s="4" t="n">
        <v>231</v>
      </c>
      <c r="B421" s="5" t="n">
        <v>10059397</v>
      </c>
      <c r="C421" s="5" t="s">
        <v>85</v>
      </c>
      <c r="D421" s="5" t="s">
        <v>1778</v>
      </c>
      <c r="E421" s="5" t="s">
        <v>266</v>
      </c>
      <c r="F421" s="5" t="s">
        <v>236</v>
      </c>
      <c r="G421" s="5" t="s">
        <v>237</v>
      </c>
      <c r="H421" s="5" t="s">
        <v>238</v>
      </c>
      <c r="I421" s="5" t="s">
        <v>63</v>
      </c>
      <c r="J421" s="5" t="s">
        <v>76</v>
      </c>
      <c r="K421" s="5" t="s">
        <v>65</v>
      </c>
      <c r="L421" s="6" t="n">
        <v>42933</v>
      </c>
      <c r="M421" s="5" t="s">
        <v>806</v>
      </c>
      <c r="N421" s="6" t="n">
        <v>30503</v>
      </c>
      <c r="O421" s="5" t="s">
        <v>162</v>
      </c>
      <c r="P421" s="5" t="s">
        <v>162</v>
      </c>
      <c r="Q421" s="5" t="s">
        <v>181</v>
      </c>
      <c r="R421" s="5" t="s">
        <v>1489</v>
      </c>
      <c r="S421" s="5" t="s">
        <v>1779</v>
      </c>
      <c r="T421" s="6"/>
      <c r="U421" s="6"/>
      <c r="V421" s="5" t="s">
        <v>631</v>
      </c>
      <c r="W421" s="5" t="s">
        <v>141</v>
      </c>
      <c r="X421" s="5" t="s">
        <v>141</v>
      </c>
      <c r="Y421" s="5" t="s">
        <v>141</v>
      </c>
      <c r="Z421" s="5" t="s">
        <v>141</v>
      </c>
      <c r="AA421" s="5" t="s">
        <v>1780</v>
      </c>
      <c r="AB421" s="0" t="n">
        <f aca="false">IFERROR(VALUE(R421),0)</f>
        <v>12</v>
      </c>
      <c r="AC421" s="0" t="n">
        <f aca="false">IFERROR(VALUE(M421),"")</f>
        <v>42.11</v>
      </c>
      <c r="AD421" s="0" t="n">
        <f aca="false">IFERROR(VALUE(Q421),"")</f>
        <v>8.1</v>
      </c>
      <c r="AE421" s="0" t="n">
        <f aca="false">IFERROR(VALUE(S421),"")</f>
        <v>20.1</v>
      </c>
      <c r="AF421" s="0" t="n">
        <f aca="false">IF(V421="","",VLOOKUP(V421,Assumptions!$B$6:$C$9,2,FALSE()))</f>
        <v>2</v>
      </c>
      <c r="AG421" s="0" t="n">
        <f aca="false">IF(W421="","",VLOOKUP(W421,Assumptions!$B$6:$C$9,2,FALSE()))</f>
        <v>3</v>
      </c>
      <c r="AH421" s="0" t="n">
        <f aca="false">IF(X421="","",VLOOKUP(X421,Assumptions!$B$6:$C$9,2,FALSE()))</f>
        <v>3</v>
      </c>
      <c r="AI421" s="0" t="n">
        <f aca="false">IF(Y421="","",VLOOKUP(Y421,Assumptions!$B$6:$C$9,2,FALSE()))</f>
        <v>3</v>
      </c>
      <c r="AJ421" s="0" t="n">
        <f aca="false">IF(Z421="","",VLOOKUP(Z421,Assumptions!$B$6:$C$9,2,FALSE()))</f>
        <v>3</v>
      </c>
      <c r="AK421" s="7" t="n">
        <f aca="false">IFERROR(ROUND(AVERAGE(AF421:AJ421),3),"")</f>
        <v>2.8</v>
      </c>
      <c r="AL421" s="7" t="n">
        <f aca="false">IF(OR(AF421="",AJ421=""),"",AJ421-AF421)</f>
        <v>1</v>
      </c>
      <c r="AM421" s="7" t="n">
        <f aca="false">IF(COUNT(AF421:AJ421)&gt;=2,ROUND(_xlfn.STDEV.S(AF421:AJ421),3),"")</f>
        <v>0.447</v>
      </c>
      <c r="AN421" s="7" t="n">
        <f aca="false">ROUND((IF(AF421="",0,AF421)*Assumptions!$F$15)+(IF(AG421="",0,AG421)*Assumptions!$F$16)+(IF(AH421="",0,AH421)*Assumptions!$F$17)+(IF(AI421="",0,AI421)*Assumptions!$F$18)+(IF(AJ421="",0,AJ421)*Assumptions!$F$19),3)</f>
        <v>2.9</v>
      </c>
      <c r="AO421" s="0" t="str">
        <f aca="false">IF(AC421&lt;=20,"",IF(AC421&lt;=Assumptions!$F$6,"20-30",IF(AC421&lt;=Assumptions!$F$7,"30-40",IF(AC421&lt;=Assumptions!$F$8,"40-50",IF(AC421&lt;=Assumptions!$F$9,"50-60",IF(AC421&lt;=Assumptions!$F$10,"60+",""))))))</f>
        <v>40-50</v>
      </c>
      <c r="AP421" s="0" t="str">
        <f aca="false">IFERROR(VLOOKUP(O421,Assumptions!$B$14:$C$26,2,FALSE()),"Other")</f>
        <v>Manager</v>
      </c>
      <c r="AQ421" s="0" t="n">
        <f aca="false">IF(T421="",0,1)</f>
        <v>0</v>
      </c>
      <c r="AR421" s="0" t="n">
        <f aca="false">IF(U421="",0,1)</f>
        <v>0</v>
      </c>
      <c r="AS421" s="8" t="n">
        <f aca="false">IF(AK421="","",IF(MAX($AK$2:$AK$921)=MIN($AK$2:$AK$921),50,ROUND((AK421-MIN($AK$2:$AK$921))/(MAX($AK$2:$AK$921)-MIN($AK$2:$AK$921))*100,2)))</f>
        <v>48.56</v>
      </c>
      <c r="AT421" s="8" t="n">
        <f aca="false">IF(MAX($BC$2:$BC$921)=MIN($BC$2:$BC$921),50,ROUND((BC421-MIN($BC$2:$BC$921))/(MAX($BC$2:$BC$921)-MIN($BC$2:$BC$921))*100,2))</f>
        <v>75</v>
      </c>
      <c r="AU421" s="8" t="n">
        <f aca="false">IF(MAX($BE$2:$BE$921)=MIN($BE$2:$BE$921),50,ROUND((BE421-MIN($BE$2:$BE$921))/(MAX($BE$2:$BE$921)-MIN($BE$2:$BE$921))*100,2))</f>
        <v>74.19</v>
      </c>
      <c r="AV421" s="8" t="n">
        <f aca="false">IF(MAX($AD$2:$AD$921)=MIN($AD$2:$AD$921),50,ROUND((AD421-MIN($AD$2:$AD$921))/(MAX($AD$2:$AD$921)-MIN($AD$2:$AD$921))*100,2))</f>
        <v>21.72</v>
      </c>
      <c r="AW421" s="8" t="n">
        <f aca="false">IF(MAX($AN$2:$AN$921)=MIN($AN$2:$AN$921),50,ROUND((AN421-MIN($AN$2:$AN$921))/(MAX($AN$2:$AN$921)-MIN($AN$2:$AN$921))*100,2))</f>
        <v>72.5</v>
      </c>
      <c r="AX421" s="8" t="n">
        <f aca="false">AQ421*100</f>
        <v>0</v>
      </c>
      <c r="AY421" s="8" t="n">
        <f aca="false">AR421*100</f>
        <v>0</v>
      </c>
      <c r="AZ421" s="8" t="n">
        <f aca="false">IFERROR(ROUND(AS421*Assumptions!$I$6+AW421*Assumptions!$I$7+AT421*Assumptions!$I$8+AU421*Assumptions!$I$9+AV421*Assumptions!$I$10+AX421*Assumptions!$I$11+AY421*Assumptions!$I$12,2),"")</f>
        <v>53.62</v>
      </c>
      <c r="BA421" s="0" t="str">
        <f aca="false">IF(AZ421="","",IF(AZ421&lt;=Assumptions!$I$18,"Below Expectation",IF(AZ421&lt;=Assumptions!$I$19,"Developing",IF(AZ421&lt;=Assumptions!$I$20,"Meets Expectation",IF(AZ421&lt;=Assumptions!$I$21,"Exceeds","Star Performer")))))</f>
        <v>Developing</v>
      </c>
      <c r="BB421" s="0" t="n">
        <f aca="false">IF(AZ421="",0,IF(AZ421&gt;=Assumptions!$I$26,1,0))</f>
        <v>0</v>
      </c>
      <c r="BC421" s="9" t="n">
        <f aca="false">IF(AL421="",2,AL421+2)</f>
        <v>3</v>
      </c>
      <c r="BD421" s="10" t="n">
        <f aca="false">IF(AM421="",ROUND(AVERAGE($AM$2:$AM$921),3),AM421)</f>
        <v>0.447</v>
      </c>
      <c r="BE421" s="9" t="n">
        <f aca="false">1-BD421</f>
        <v>0.553</v>
      </c>
    </row>
    <row r="422" customFormat="false" ht="14.25" hidden="true" customHeight="false" outlineLevel="0" collapsed="false">
      <c r="A422" s="4" t="n">
        <v>51</v>
      </c>
      <c r="B422" s="5" t="n">
        <v>10011371</v>
      </c>
      <c r="C422" s="5" t="s">
        <v>57</v>
      </c>
      <c r="D422" s="5" t="s">
        <v>1781</v>
      </c>
      <c r="E422" s="5" t="s">
        <v>947</v>
      </c>
      <c r="F422" s="5" t="s">
        <v>387</v>
      </c>
      <c r="G422" s="5" t="s">
        <v>388</v>
      </c>
      <c r="H422" s="5" t="s">
        <v>387</v>
      </c>
      <c r="I422" s="5" t="s">
        <v>63</v>
      </c>
      <c r="J422" s="5" t="s">
        <v>100</v>
      </c>
      <c r="K422" s="5" t="s">
        <v>65</v>
      </c>
      <c r="L422" s="6" t="n">
        <v>37292</v>
      </c>
      <c r="M422" s="5" t="s">
        <v>1782</v>
      </c>
      <c r="N422" s="6" t="n">
        <v>26589</v>
      </c>
      <c r="O422" s="5" t="s">
        <v>332</v>
      </c>
      <c r="P422" s="5" t="s">
        <v>333</v>
      </c>
      <c r="Q422" s="5" t="s">
        <v>1783</v>
      </c>
      <c r="R422" s="5" t="s">
        <v>920</v>
      </c>
      <c r="S422" s="5" t="s">
        <v>1223</v>
      </c>
      <c r="T422" s="6"/>
      <c r="U422" s="6"/>
      <c r="V422" s="5" t="s">
        <v>631</v>
      </c>
      <c r="W422" s="5" t="s">
        <v>141</v>
      </c>
      <c r="X422" s="5" t="s">
        <v>631</v>
      </c>
      <c r="Y422" s="5" t="s">
        <v>141</v>
      </c>
      <c r="Z422" s="5" t="s">
        <v>141</v>
      </c>
      <c r="AA422" s="5" t="s">
        <v>1784</v>
      </c>
      <c r="AB422" s="0" t="n">
        <f aca="false">IFERROR(VALUE(R422),0)</f>
        <v>2.8</v>
      </c>
      <c r="AC422" s="0" t="n">
        <f aca="false">IFERROR(VALUE(M422),"")</f>
        <v>53.7</v>
      </c>
      <c r="AD422" s="0" t="n">
        <f aca="false">IFERROR(VALUE(Q422),"")</f>
        <v>24.4</v>
      </c>
      <c r="AE422" s="0" t="n">
        <f aca="false">IFERROR(VALUE(S422),"")</f>
        <v>27</v>
      </c>
      <c r="AF422" s="0" t="n">
        <f aca="false">IF(V422="","",VLOOKUP(V422,Assumptions!$B$6:$C$9,2,FALSE()))</f>
        <v>2</v>
      </c>
      <c r="AG422" s="0" t="n">
        <f aca="false">IF(W422="","",VLOOKUP(W422,Assumptions!$B$6:$C$9,2,FALSE()))</f>
        <v>3</v>
      </c>
      <c r="AH422" s="0" t="n">
        <f aca="false">IF(X422="","",VLOOKUP(X422,Assumptions!$B$6:$C$9,2,FALSE()))</f>
        <v>2</v>
      </c>
      <c r="AI422" s="0" t="n">
        <f aca="false">IF(Y422="","",VLOOKUP(Y422,Assumptions!$B$6:$C$9,2,FALSE()))</f>
        <v>3</v>
      </c>
      <c r="AJ422" s="0" t="n">
        <f aca="false">IF(Z422="","",VLOOKUP(Z422,Assumptions!$B$6:$C$9,2,FALSE()))</f>
        <v>3</v>
      </c>
      <c r="AK422" s="7" t="n">
        <f aca="false">IFERROR(ROUND(AVERAGE(AF422:AJ422),3),"")</f>
        <v>2.6</v>
      </c>
      <c r="AL422" s="7" t="n">
        <f aca="false">IF(OR(AF422="",AJ422=""),"",AJ422-AF422)</f>
        <v>1</v>
      </c>
      <c r="AM422" s="7" t="n">
        <f aca="false">IF(COUNT(AF422:AJ422)&gt;=2,ROUND(_xlfn.STDEV.S(AF422:AJ422),3),"")</f>
        <v>0.548</v>
      </c>
      <c r="AN422" s="7" t="n">
        <f aca="false">ROUND((IF(AF422="",0,AF422)*Assumptions!$F$15)+(IF(AG422="",0,AG422)*Assumptions!$F$16)+(IF(AH422="",0,AH422)*Assumptions!$F$17)+(IF(AI422="",0,AI422)*Assumptions!$F$18)+(IF(AJ422="",0,AJ422)*Assumptions!$F$19),3)</f>
        <v>2.7</v>
      </c>
      <c r="AO422" s="0" t="str">
        <f aca="false">IF(AC422&lt;=20,"",IF(AC422&lt;=Assumptions!$F$6,"20-30",IF(AC422&lt;=Assumptions!$F$7,"30-40",IF(AC422&lt;=Assumptions!$F$8,"40-50",IF(AC422&lt;=Assumptions!$F$9,"50-60",IF(AC422&lt;=Assumptions!$F$10,"60+",""))))))</f>
        <v>50-60</v>
      </c>
      <c r="AP422" s="0" t="str">
        <f aca="false">IFERROR(VLOOKUP(O422,Assumptions!$B$14:$C$26,2,FALSE()),"Other")</f>
        <v>Manager</v>
      </c>
      <c r="AQ422" s="0" t="n">
        <f aca="false">IF(T422="",0,1)</f>
        <v>0</v>
      </c>
      <c r="AR422" s="0" t="n">
        <f aca="false">IF(U422="",0,1)</f>
        <v>0</v>
      </c>
      <c r="AS422" s="8" t="n">
        <f aca="false">IF(AK422="","",IF(MAX($AK$2:$AK$921)=MIN($AK$2:$AK$921),50,ROUND((AK422-MIN($AK$2:$AK$921))/(MAX($AK$2:$AK$921)-MIN($AK$2:$AK$921))*100,2)))</f>
        <v>39.99</v>
      </c>
      <c r="AT422" s="8" t="n">
        <f aca="false">IF(MAX($BC$2:$BC$921)=MIN($BC$2:$BC$921),50,ROUND((BC422-MIN($BC$2:$BC$921))/(MAX($BC$2:$BC$921)-MIN($BC$2:$BC$921))*100,2))</f>
        <v>75</v>
      </c>
      <c r="AU422" s="8" t="n">
        <f aca="false">IF(MAX($BE$2:$BE$921)=MIN($BE$2:$BE$921),50,ROUND((BE422-MIN($BE$2:$BE$921))/(MAX($BE$2:$BE$921)-MIN($BE$2:$BE$921))*100,2))</f>
        <v>68.36</v>
      </c>
      <c r="AV422" s="8" t="n">
        <f aca="false">IF(MAX($AD$2:$AD$921)=MIN($AD$2:$AD$921),50,ROUND((AD422-MIN($AD$2:$AD$921))/(MAX($AD$2:$AD$921)-MIN($AD$2:$AD$921))*100,2))</f>
        <v>66.02</v>
      </c>
      <c r="AW422" s="8" t="n">
        <f aca="false">IF(MAX($AN$2:$AN$921)=MIN($AN$2:$AN$921),50,ROUND((AN422-MIN($AN$2:$AN$921))/(MAX($AN$2:$AN$921)-MIN($AN$2:$AN$921))*100,2))</f>
        <v>67.5</v>
      </c>
      <c r="AX422" s="8" t="n">
        <f aca="false">AQ422*100</f>
        <v>0</v>
      </c>
      <c r="AY422" s="8" t="n">
        <f aca="false">AR422*100</f>
        <v>0</v>
      </c>
      <c r="AZ422" s="8" t="n">
        <f aca="false">IFERROR(ROUND(AS422*Assumptions!$I$6+AW422*Assumptions!$I$7+AT422*Assumptions!$I$8+AU422*Assumptions!$I$9+AV422*Assumptions!$I$10+AX422*Assumptions!$I$11+AY422*Assumptions!$I$12,2),"")</f>
        <v>53.6</v>
      </c>
      <c r="BA422" s="0" t="str">
        <f aca="false">IF(AZ422="","",IF(AZ422&lt;=Assumptions!$I$18,"Below Expectation",IF(AZ422&lt;=Assumptions!$I$19,"Developing",IF(AZ422&lt;=Assumptions!$I$20,"Meets Expectation",IF(AZ422&lt;=Assumptions!$I$21,"Exceeds","Star Performer")))))</f>
        <v>Developing</v>
      </c>
      <c r="BB422" s="0" t="n">
        <f aca="false">IF(AZ422="",0,IF(AZ422&gt;=Assumptions!$I$26,1,0))</f>
        <v>0</v>
      </c>
      <c r="BC422" s="9" t="n">
        <f aca="false">IF(AL422="",2,AL422+2)</f>
        <v>3</v>
      </c>
      <c r="BD422" s="10" t="n">
        <f aca="false">IF(AM422="",ROUND(AVERAGE($AM$2:$AM$921),3),AM422)</f>
        <v>0.548</v>
      </c>
      <c r="BE422" s="9" t="n">
        <f aca="false">1-BD422</f>
        <v>0.452</v>
      </c>
    </row>
    <row r="423" customFormat="false" ht="14.25" hidden="true" customHeight="false" outlineLevel="0" collapsed="false">
      <c r="A423" s="4" t="n">
        <v>460</v>
      </c>
      <c r="B423" s="5" t="n">
        <v>55032838</v>
      </c>
      <c r="C423" s="5"/>
      <c r="D423" s="5" t="s">
        <v>1785</v>
      </c>
      <c r="E423" s="5" t="s">
        <v>1786</v>
      </c>
      <c r="F423" s="5" t="s">
        <v>1787</v>
      </c>
      <c r="G423" s="5" t="s">
        <v>1788</v>
      </c>
      <c r="H423" s="5" t="s">
        <v>1787</v>
      </c>
      <c r="I423" s="5" t="s">
        <v>63</v>
      </c>
      <c r="J423" s="5" t="s">
        <v>76</v>
      </c>
      <c r="K423" s="5" t="s">
        <v>65</v>
      </c>
      <c r="L423" s="6" t="n">
        <v>43535</v>
      </c>
      <c r="M423" s="5" t="s">
        <v>1424</v>
      </c>
      <c r="N423" s="6" t="n">
        <v>28109</v>
      </c>
      <c r="O423" s="5" t="s">
        <v>89</v>
      </c>
      <c r="P423" s="5" t="s">
        <v>90</v>
      </c>
      <c r="Q423" s="5" t="s">
        <v>541</v>
      </c>
      <c r="R423" s="5" t="s">
        <v>1216</v>
      </c>
      <c r="S423" s="5" t="s">
        <v>1789</v>
      </c>
      <c r="T423" s="6"/>
      <c r="U423" s="6"/>
      <c r="V423" s="5" t="s">
        <v>631</v>
      </c>
      <c r="W423" s="5" t="s">
        <v>141</v>
      </c>
      <c r="X423" s="5" t="s">
        <v>141</v>
      </c>
      <c r="Y423" s="5" t="s">
        <v>141</v>
      </c>
      <c r="Z423" s="5" t="s">
        <v>141</v>
      </c>
      <c r="AA423" s="5" t="s">
        <v>1790</v>
      </c>
      <c r="AB423" s="0" t="n">
        <f aca="false">IFERROR(VALUE(R423),0)</f>
        <v>17.7</v>
      </c>
      <c r="AC423" s="0" t="n">
        <f aca="false">IFERROR(VALUE(M423),"")</f>
        <v>49.5</v>
      </c>
      <c r="AD423" s="0" t="n">
        <f aca="false">IFERROR(VALUE(Q423),"")</f>
        <v>7.2</v>
      </c>
      <c r="AE423" s="0" t="n">
        <f aca="false">IFERROR(VALUE(S423),"")</f>
        <v>24.9</v>
      </c>
      <c r="AF423" s="0" t="n">
        <f aca="false">IF(V423="","",VLOOKUP(V423,Assumptions!$B$6:$C$9,2,FALSE()))</f>
        <v>2</v>
      </c>
      <c r="AG423" s="0" t="n">
        <f aca="false">IF(W423="","",VLOOKUP(W423,Assumptions!$B$6:$C$9,2,FALSE()))</f>
        <v>3</v>
      </c>
      <c r="AH423" s="0" t="n">
        <f aca="false">IF(X423="","",VLOOKUP(X423,Assumptions!$B$6:$C$9,2,FALSE()))</f>
        <v>3</v>
      </c>
      <c r="AI423" s="0" t="n">
        <f aca="false">IF(Y423="","",VLOOKUP(Y423,Assumptions!$B$6:$C$9,2,FALSE()))</f>
        <v>3</v>
      </c>
      <c r="AJ423" s="0" t="n">
        <f aca="false">IF(Z423="","",VLOOKUP(Z423,Assumptions!$B$6:$C$9,2,FALSE()))</f>
        <v>3</v>
      </c>
      <c r="AK423" s="7" t="n">
        <f aca="false">IFERROR(ROUND(AVERAGE(AF423:AJ423),3),"")</f>
        <v>2.8</v>
      </c>
      <c r="AL423" s="7" t="n">
        <f aca="false">IF(OR(AF423="",AJ423=""),"",AJ423-AF423)</f>
        <v>1</v>
      </c>
      <c r="AM423" s="7" t="n">
        <f aca="false">IF(COUNT(AF423:AJ423)&gt;=2,ROUND(_xlfn.STDEV.S(AF423:AJ423),3),"")</f>
        <v>0.447</v>
      </c>
      <c r="AN423" s="7" t="n">
        <f aca="false">ROUND((IF(AF423="",0,AF423)*Assumptions!$F$15)+(IF(AG423="",0,AG423)*Assumptions!$F$16)+(IF(AH423="",0,AH423)*Assumptions!$F$17)+(IF(AI423="",0,AI423)*Assumptions!$F$18)+(IF(AJ423="",0,AJ423)*Assumptions!$F$19),3)</f>
        <v>2.9</v>
      </c>
      <c r="AO423" s="0" t="str">
        <f aca="false">IF(AC423&lt;=20,"",IF(AC423&lt;=Assumptions!$F$6,"20-30",IF(AC423&lt;=Assumptions!$F$7,"30-40",IF(AC423&lt;=Assumptions!$F$8,"40-50",IF(AC423&lt;=Assumptions!$F$9,"50-60",IF(AC423&lt;=Assumptions!$F$10,"60+",""))))))</f>
        <v>40-50</v>
      </c>
      <c r="AP423" s="0" t="str">
        <f aca="false">IFERROR(VLOOKUP(O423,Assumptions!$B$14:$C$26,2,FALSE()),"Other")</f>
        <v>Leadership</v>
      </c>
      <c r="AQ423" s="0" t="n">
        <f aca="false">IF(T423="",0,1)</f>
        <v>0</v>
      </c>
      <c r="AR423" s="0" t="n">
        <f aca="false">IF(U423="",0,1)</f>
        <v>0</v>
      </c>
      <c r="AS423" s="8" t="n">
        <f aca="false">IF(AK423="","",IF(MAX($AK$2:$AK$921)=MIN($AK$2:$AK$921),50,ROUND((AK423-MIN($AK$2:$AK$921))/(MAX($AK$2:$AK$921)-MIN($AK$2:$AK$921))*100,2)))</f>
        <v>48.56</v>
      </c>
      <c r="AT423" s="8" t="n">
        <f aca="false">IF(MAX($BC$2:$BC$921)=MIN($BC$2:$BC$921),50,ROUND((BC423-MIN($BC$2:$BC$921))/(MAX($BC$2:$BC$921)-MIN($BC$2:$BC$921))*100,2))</f>
        <v>75</v>
      </c>
      <c r="AU423" s="8" t="n">
        <f aca="false">IF(MAX($BE$2:$BE$921)=MIN($BE$2:$BE$921),50,ROUND((BE423-MIN($BE$2:$BE$921))/(MAX($BE$2:$BE$921)-MIN($BE$2:$BE$921))*100,2))</f>
        <v>74.19</v>
      </c>
      <c r="AV423" s="8" t="n">
        <f aca="false">IF(MAX($AD$2:$AD$921)=MIN($AD$2:$AD$921),50,ROUND((AD423-MIN($AD$2:$AD$921))/(MAX($AD$2:$AD$921)-MIN($AD$2:$AD$921))*100,2))</f>
        <v>19.27</v>
      </c>
      <c r="AW423" s="8" t="n">
        <f aca="false">IF(MAX($AN$2:$AN$921)=MIN($AN$2:$AN$921),50,ROUND((AN423-MIN($AN$2:$AN$921))/(MAX($AN$2:$AN$921)-MIN($AN$2:$AN$921))*100,2))</f>
        <v>72.5</v>
      </c>
      <c r="AX423" s="8" t="n">
        <f aca="false">AQ423*100</f>
        <v>0</v>
      </c>
      <c r="AY423" s="8" t="n">
        <f aca="false">AR423*100</f>
        <v>0</v>
      </c>
      <c r="AZ423" s="8" t="n">
        <f aca="false">IFERROR(ROUND(AS423*Assumptions!$I$6+AW423*Assumptions!$I$7+AT423*Assumptions!$I$8+AU423*Assumptions!$I$9+AV423*Assumptions!$I$10+AX423*Assumptions!$I$11+AY423*Assumptions!$I$12,2),"")</f>
        <v>53.37</v>
      </c>
      <c r="BA423" s="0" t="str">
        <f aca="false">IF(AZ423="","",IF(AZ423&lt;=Assumptions!$I$18,"Below Expectation",IF(AZ423&lt;=Assumptions!$I$19,"Developing",IF(AZ423&lt;=Assumptions!$I$20,"Meets Expectation",IF(AZ423&lt;=Assumptions!$I$21,"Exceeds","Star Performer")))))</f>
        <v>Developing</v>
      </c>
      <c r="BB423" s="0" t="n">
        <f aca="false">IF(AZ423="",0,IF(AZ423&gt;=Assumptions!$I$26,1,0))</f>
        <v>0</v>
      </c>
      <c r="BC423" s="9" t="n">
        <f aca="false">IF(AL423="",2,AL423+2)</f>
        <v>3</v>
      </c>
      <c r="BD423" s="10" t="n">
        <f aca="false">IF(AM423="",ROUND(AVERAGE($AM$2:$AM$921),3),AM423)</f>
        <v>0.447</v>
      </c>
      <c r="BE423" s="9" t="n">
        <f aca="false">1-BD423</f>
        <v>0.553</v>
      </c>
    </row>
    <row r="424" customFormat="false" ht="14.25" hidden="true" customHeight="false" outlineLevel="0" collapsed="false">
      <c r="A424" s="4" t="n">
        <v>408</v>
      </c>
      <c r="B424" s="5" t="n">
        <v>50008740</v>
      </c>
      <c r="C424" s="5" t="s">
        <v>57</v>
      </c>
      <c r="D424" s="5" t="s">
        <v>1791</v>
      </c>
      <c r="E424" s="5" t="s">
        <v>500</v>
      </c>
      <c r="F424" s="5" t="s">
        <v>387</v>
      </c>
      <c r="G424" s="5" t="s">
        <v>388</v>
      </c>
      <c r="H424" s="5" t="s">
        <v>387</v>
      </c>
      <c r="I424" s="5" t="s">
        <v>63</v>
      </c>
      <c r="J424" s="5" t="s">
        <v>100</v>
      </c>
      <c r="K424" s="5" t="s">
        <v>65</v>
      </c>
      <c r="L424" s="6" t="n">
        <v>40665</v>
      </c>
      <c r="M424" s="5" t="s">
        <v>1057</v>
      </c>
      <c r="N424" s="6" t="n">
        <v>32500</v>
      </c>
      <c r="O424" s="5" t="s">
        <v>332</v>
      </c>
      <c r="P424" s="5" t="s">
        <v>333</v>
      </c>
      <c r="Q424" s="5" t="s">
        <v>1060</v>
      </c>
      <c r="R424" s="5" t="s">
        <v>115</v>
      </c>
      <c r="S424" s="5" t="s">
        <v>1060</v>
      </c>
      <c r="T424" s="6"/>
      <c r="U424" s="6" t="n">
        <v>44470</v>
      </c>
      <c r="V424" s="5" t="s">
        <v>141</v>
      </c>
      <c r="W424" s="5" t="s">
        <v>141</v>
      </c>
      <c r="X424" s="5" t="s">
        <v>83</v>
      </c>
      <c r="Y424" s="5" t="s">
        <v>141</v>
      </c>
      <c r="Z424" s="5" t="s">
        <v>631</v>
      </c>
      <c r="AA424" s="5" t="s">
        <v>1792</v>
      </c>
      <c r="AB424" s="0" t="n">
        <f aca="false">IFERROR(VALUE(R424),0)</f>
        <v>0</v>
      </c>
      <c r="AC424" s="0" t="n">
        <f aca="false">IFERROR(VALUE(M424),"")</f>
        <v>37.5</v>
      </c>
      <c r="AD424" s="0" t="n">
        <f aca="false">IFERROR(VALUE(Q424),"")</f>
        <v>15.1</v>
      </c>
      <c r="AE424" s="0" t="n">
        <f aca="false">IFERROR(VALUE(S424),"")</f>
        <v>15.1</v>
      </c>
      <c r="AF424" s="0" t="n">
        <f aca="false">IF(V424="","",VLOOKUP(V424,Assumptions!$B$6:$C$9,2,FALSE()))</f>
        <v>3</v>
      </c>
      <c r="AG424" s="0" t="n">
        <f aca="false">IF(W424="","",VLOOKUP(W424,Assumptions!$B$6:$C$9,2,FALSE()))</f>
        <v>3</v>
      </c>
      <c r="AH424" s="0" t="n">
        <f aca="false">IF(X424="","",VLOOKUP(X424,Assumptions!$B$6:$C$9,2,FALSE()))</f>
        <v>4</v>
      </c>
      <c r="AI424" s="0" t="n">
        <f aca="false">IF(Y424="","",VLOOKUP(Y424,Assumptions!$B$6:$C$9,2,FALSE()))</f>
        <v>3</v>
      </c>
      <c r="AJ424" s="0" t="n">
        <f aca="false">IF(Z424="","",VLOOKUP(Z424,Assumptions!$B$6:$C$9,2,FALSE()))</f>
        <v>2</v>
      </c>
      <c r="AK424" s="7" t="n">
        <f aca="false">IFERROR(ROUND(AVERAGE(AF424:AJ424),3),"")</f>
        <v>3</v>
      </c>
      <c r="AL424" s="7" t="n">
        <f aca="false">IF(OR(AF424="",AJ424=""),"",AJ424-AF424)</f>
        <v>-1</v>
      </c>
      <c r="AM424" s="7" t="n">
        <f aca="false">IF(COUNT(AF424:AJ424)&gt;=2,ROUND(_xlfn.STDEV.S(AF424:AJ424),3),"")</f>
        <v>0.707</v>
      </c>
      <c r="AN424" s="7" t="n">
        <f aca="false">ROUND((IF(AF424="",0,AF424)*Assumptions!$F$15)+(IF(AG424="",0,AG424)*Assumptions!$F$16)+(IF(AH424="",0,AH424)*Assumptions!$F$17)+(IF(AI424="",0,AI424)*Assumptions!$F$18)+(IF(AJ424="",0,AJ424)*Assumptions!$F$19),3)</f>
        <v>2.9</v>
      </c>
      <c r="AO424" s="0" t="str">
        <f aca="false">IF(AC424&lt;=20,"",IF(AC424&lt;=Assumptions!$F$6,"20-30",IF(AC424&lt;=Assumptions!$F$7,"30-40",IF(AC424&lt;=Assumptions!$F$8,"40-50",IF(AC424&lt;=Assumptions!$F$9,"50-60",IF(AC424&lt;=Assumptions!$F$10,"60+",""))))))</f>
        <v>30-40</v>
      </c>
      <c r="AP424" s="0" t="str">
        <f aca="false">IFERROR(VLOOKUP(O424,Assumptions!$B$14:$C$26,2,FALSE()),"Other")</f>
        <v>Manager</v>
      </c>
      <c r="AQ424" s="0" t="n">
        <f aca="false">IF(T424="",0,1)</f>
        <v>0</v>
      </c>
      <c r="AR424" s="0" t="n">
        <f aca="false">IF(U424="",0,1)</f>
        <v>1</v>
      </c>
      <c r="AS424" s="8" t="n">
        <f aca="false">IF(AK424="","",IF(MAX($AK$2:$AK$921)=MIN($AK$2:$AK$921),50,ROUND((AK424-MIN($AK$2:$AK$921))/(MAX($AK$2:$AK$921)-MIN($AK$2:$AK$921))*100,2)))</f>
        <v>57.14</v>
      </c>
      <c r="AT424" s="8" t="n">
        <f aca="false">IF(MAX($BC$2:$BC$921)=MIN($BC$2:$BC$921),50,ROUND((BC424-MIN($BC$2:$BC$921))/(MAX($BC$2:$BC$921)-MIN($BC$2:$BC$921))*100,2))</f>
        <v>25</v>
      </c>
      <c r="AU424" s="8" t="n">
        <f aca="false">IF(MAX($BE$2:$BE$921)=MIN($BE$2:$BE$921),50,ROUND((BE424-MIN($BE$2:$BE$921))/(MAX($BE$2:$BE$921)-MIN($BE$2:$BE$921))*100,2))</f>
        <v>59.18</v>
      </c>
      <c r="AV424" s="8" t="n">
        <f aca="false">IF(MAX($AD$2:$AD$921)=MIN($AD$2:$AD$921),50,ROUND((AD424-MIN($AD$2:$AD$921))/(MAX($AD$2:$AD$921)-MIN($AD$2:$AD$921))*100,2))</f>
        <v>40.74</v>
      </c>
      <c r="AW424" s="8" t="n">
        <f aca="false">IF(MAX($AN$2:$AN$921)=MIN($AN$2:$AN$921),50,ROUND((AN424-MIN($AN$2:$AN$921))/(MAX($AN$2:$AN$921)-MIN($AN$2:$AN$921))*100,2))</f>
        <v>72.5</v>
      </c>
      <c r="AX424" s="8" t="n">
        <f aca="false">AQ424*100</f>
        <v>0</v>
      </c>
      <c r="AY424" s="8" t="n">
        <f aca="false">AR424*100</f>
        <v>100</v>
      </c>
      <c r="AZ424" s="8" t="n">
        <f aca="false">IFERROR(ROUND(AS424*Assumptions!$I$6+AW424*Assumptions!$I$7+AT424*Assumptions!$I$8+AU424*Assumptions!$I$9+AV424*Assumptions!$I$10+AX424*Assumptions!$I$11+AY424*Assumptions!$I$12,2),"")</f>
        <v>53.34</v>
      </c>
      <c r="BA424" s="0" t="str">
        <f aca="false">IF(AZ424="","",IF(AZ424&lt;=Assumptions!$I$18,"Below Expectation",IF(AZ424&lt;=Assumptions!$I$19,"Developing",IF(AZ424&lt;=Assumptions!$I$20,"Meets Expectation",IF(AZ424&lt;=Assumptions!$I$21,"Exceeds","Star Performer")))))</f>
        <v>Developing</v>
      </c>
      <c r="BB424" s="0" t="n">
        <f aca="false">IF(AZ424="",0,IF(AZ424&gt;=Assumptions!$I$26,1,0))</f>
        <v>0</v>
      </c>
      <c r="BC424" s="9" t="n">
        <f aca="false">IF(AL424="",2,AL424+2)</f>
        <v>1</v>
      </c>
      <c r="BD424" s="10" t="n">
        <f aca="false">IF(AM424="",ROUND(AVERAGE($AM$2:$AM$921),3),AM424)</f>
        <v>0.707</v>
      </c>
      <c r="BE424" s="9" t="n">
        <f aca="false">1-BD424</f>
        <v>0.293</v>
      </c>
    </row>
    <row r="425" customFormat="false" ht="14.25" hidden="true" customHeight="false" outlineLevel="0" collapsed="false">
      <c r="A425" s="4" t="n">
        <v>420</v>
      </c>
      <c r="B425" s="5" t="n">
        <v>50010056</v>
      </c>
      <c r="C425" s="5" t="s">
        <v>57</v>
      </c>
      <c r="D425" s="5" t="s">
        <v>1793</v>
      </c>
      <c r="E425" s="5" t="s">
        <v>500</v>
      </c>
      <c r="F425" s="5" t="s">
        <v>608</v>
      </c>
      <c r="G425" s="5" t="s">
        <v>609</v>
      </c>
      <c r="H425" s="5" t="s">
        <v>608</v>
      </c>
      <c r="I425" s="5" t="s">
        <v>63</v>
      </c>
      <c r="J425" s="5" t="s">
        <v>100</v>
      </c>
      <c r="K425" s="5" t="s">
        <v>65</v>
      </c>
      <c r="L425" s="6" t="n">
        <v>40940</v>
      </c>
      <c r="M425" s="5" t="s">
        <v>1794</v>
      </c>
      <c r="N425" s="6" t="n">
        <v>33118</v>
      </c>
      <c r="O425" s="5" t="s">
        <v>332</v>
      </c>
      <c r="P425" s="5" t="s">
        <v>333</v>
      </c>
      <c r="Q425" s="5" t="s">
        <v>249</v>
      </c>
      <c r="R425" s="5" t="s">
        <v>115</v>
      </c>
      <c r="S425" s="5" t="s">
        <v>249</v>
      </c>
      <c r="T425" s="6"/>
      <c r="U425" s="6" t="n">
        <v>45748</v>
      </c>
      <c r="V425" s="5" t="s">
        <v>141</v>
      </c>
      <c r="W425" s="5" t="s">
        <v>141</v>
      </c>
      <c r="X425" s="5" t="s">
        <v>83</v>
      </c>
      <c r="Y425" s="5" t="s">
        <v>141</v>
      </c>
      <c r="Z425" s="5" t="s">
        <v>631</v>
      </c>
      <c r="AA425" s="5" t="s">
        <v>1795</v>
      </c>
      <c r="AB425" s="0" t="n">
        <f aca="false">IFERROR(VALUE(R425),0)</f>
        <v>0</v>
      </c>
      <c r="AC425" s="0" t="n">
        <f aca="false">IFERROR(VALUE(M425),"")</f>
        <v>35.9</v>
      </c>
      <c r="AD425" s="0" t="n">
        <f aca="false">IFERROR(VALUE(Q425),"")</f>
        <v>14.4</v>
      </c>
      <c r="AE425" s="0" t="n">
        <f aca="false">IFERROR(VALUE(S425),"")</f>
        <v>14.4</v>
      </c>
      <c r="AF425" s="0" t="n">
        <f aca="false">IF(V425="","",VLOOKUP(V425,Assumptions!$B$6:$C$9,2,FALSE()))</f>
        <v>3</v>
      </c>
      <c r="AG425" s="0" t="n">
        <f aca="false">IF(W425="","",VLOOKUP(W425,Assumptions!$B$6:$C$9,2,FALSE()))</f>
        <v>3</v>
      </c>
      <c r="AH425" s="0" t="n">
        <f aca="false">IF(X425="","",VLOOKUP(X425,Assumptions!$B$6:$C$9,2,FALSE()))</f>
        <v>4</v>
      </c>
      <c r="AI425" s="0" t="n">
        <f aca="false">IF(Y425="","",VLOOKUP(Y425,Assumptions!$B$6:$C$9,2,FALSE()))</f>
        <v>3</v>
      </c>
      <c r="AJ425" s="0" t="n">
        <f aca="false">IF(Z425="","",VLOOKUP(Z425,Assumptions!$B$6:$C$9,2,FALSE()))</f>
        <v>2</v>
      </c>
      <c r="AK425" s="7" t="n">
        <f aca="false">IFERROR(ROUND(AVERAGE(AF425:AJ425),3),"")</f>
        <v>3</v>
      </c>
      <c r="AL425" s="7" t="n">
        <f aca="false">IF(OR(AF425="",AJ425=""),"",AJ425-AF425)</f>
        <v>-1</v>
      </c>
      <c r="AM425" s="7" t="n">
        <f aca="false">IF(COUNT(AF425:AJ425)&gt;=2,ROUND(_xlfn.STDEV.S(AF425:AJ425),3),"")</f>
        <v>0.707</v>
      </c>
      <c r="AN425" s="7" t="n">
        <f aca="false">ROUND((IF(AF425="",0,AF425)*Assumptions!$F$15)+(IF(AG425="",0,AG425)*Assumptions!$F$16)+(IF(AH425="",0,AH425)*Assumptions!$F$17)+(IF(AI425="",0,AI425)*Assumptions!$F$18)+(IF(AJ425="",0,AJ425)*Assumptions!$F$19),3)</f>
        <v>2.9</v>
      </c>
      <c r="AO425" s="0" t="str">
        <f aca="false">IF(AC425&lt;=20,"",IF(AC425&lt;=Assumptions!$F$6,"20-30",IF(AC425&lt;=Assumptions!$F$7,"30-40",IF(AC425&lt;=Assumptions!$F$8,"40-50",IF(AC425&lt;=Assumptions!$F$9,"50-60",IF(AC425&lt;=Assumptions!$F$10,"60+",""))))))</f>
        <v>30-40</v>
      </c>
      <c r="AP425" s="0" t="str">
        <f aca="false">IFERROR(VLOOKUP(O425,Assumptions!$B$14:$C$26,2,FALSE()),"Other")</f>
        <v>Manager</v>
      </c>
      <c r="AQ425" s="0" t="n">
        <f aca="false">IF(T425="",0,1)</f>
        <v>0</v>
      </c>
      <c r="AR425" s="0" t="n">
        <f aca="false">IF(U425="",0,1)</f>
        <v>1</v>
      </c>
      <c r="AS425" s="8" t="n">
        <f aca="false">IF(AK425="","",IF(MAX($AK$2:$AK$921)=MIN($AK$2:$AK$921),50,ROUND((AK425-MIN($AK$2:$AK$921))/(MAX($AK$2:$AK$921)-MIN($AK$2:$AK$921))*100,2)))</f>
        <v>57.14</v>
      </c>
      <c r="AT425" s="8" t="n">
        <f aca="false">IF(MAX($BC$2:$BC$921)=MIN($BC$2:$BC$921),50,ROUND((BC425-MIN($BC$2:$BC$921))/(MAX($BC$2:$BC$921)-MIN($BC$2:$BC$921))*100,2))</f>
        <v>25</v>
      </c>
      <c r="AU425" s="8" t="n">
        <f aca="false">IF(MAX($BE$2:$BE$921)=MIN($BE$2:$BE$921),50,ROUND((BE425-MIN($BE$2:$BE$921))/(MAX($BE$2:$BE$921)-MIN($BE$2:$BE$921))*100,2))</f>
        <v>59.18</v>
      </c>
      <c r="AV425" s="8" t="n">
        <f aca="false">IF(MAX($AD$2:$AD$921)=MIN($AD$2:$AD$921),50,ROUND((AD425-MIN($AD$2:$AD$921))/(MAX($AD$2:$AD$921)-MIN($AD$2:$AD$921))*100,2))</f>
        <v>38.84</v>
      </c>
      <c r="AW425" s="8" t="n">
        <f aca="false">IF(MAX($AN$2:$AN$921)=MIN($AN$2:$AN$921),50,ROUND((AN425-MIN($AN$2:$AN$921))/(MAX($AN$2:$AN$921)-MIN($AN$2:$AN$921))*100,2))</f>
        <v>72.5</v>
      </c>
      <c r="AX425" s="8" t="n">
        <f aca="false">AQ425*100</f>
        <v>0</v>
      </c>
      <c r="AY425" s="8" t="n">
        <f aca="false">AR425*100</f>
        <v>100</v>
      </c>
      <c r="AZ425" s="8" t="n">
        <f aca="false">IFERROR(ROUND(AS425*Assumptions!$I$6+AW425*Assumptions!$I$7+AT425*Assumptions!$I$8+AU425*Assumptions!$I$9+AV425*Assumptions!$I$10+AX425*Assumptions!$I$11+AY425*Assumptions!$I$12,2),"")</f>
        <v>53.15</v>
      </c>
      <c r="BA425" s="0" t="str">
        <f aca="false">IF(AZ425="","",IF(AZ425&lt;=Assumptions!$I$18,"Below Expectation",IF(AZ425&lt;=Assumptions!$I$19,"Developing",IF(AZ425&lt;=Assumptions!$I$20,"Meets Expectation",IF(AZ425&lt;=Assumptions!$I$21,"Exceeds","Star Performer")))))</f>
        <v>Developing</v>
      </c>
      <c r="BB425" s="0" t="n">
        <f aca="false">IF(AZ425="",0,IF(AZ425&gt;=Assumptions!$I$26,1,0))</f>
        <v>0</v>
      </c>
      <c r="BC425" s="9" t="n">
        <f aca="false">IF(AL425="",2,AL425+2)</f>
        <v>1</v>
      </c>
      <c r="BD425" s="10" t="n">
        <f aca="false">IF(AM425="",ROUND(AVERAGE($AM$2:$AM$921),3),AM425)</f>
        <v>0.707</v>
      </c>
      <c r="BE425" s="9" t="n">
        <f aca="false">1-BD425</f>
        <v>0.293</v>
      </c>
    </row>
    <row r="426" customFormat="false" ht="14.25" hidden="true" customHeight="false" outlineLevel="0" collapsed="false">
      <c r="A426" s="4" t="n">
        <v>344</v>
      </c>
      <c r="B426" s="5" t="n">
        <v>37100180</v>
      </c>
      <c r="C426" s="5" t="s">
        <v>85</v>
      </c>
      <c r="D426" s="5" t="s">
        <v>1796</v>
      </c>
      <c r="E426" s="5" t="s">
        <v>751</v>
      </c>
      <c r="F426" s="5" t="s">
        <v>1341</v>
      </c>
      <c r="G426" s="5" t="s">
        <v>1342</v>
      </c>
      <c r="H426" s="5" t="s">
        <v>1343</v>
      </c>
      <c r="I426" s="5" t="s">
        <v>63</v>
      </c>
      <c r="J426" s="5" t="s">
        <v>76</v>
      </c>
      <c r="K426" s="5" t="s">
        <v>65</v>
      </c>
      <c r="L426" s="6" t="n">
        <v>37649</v>
      </c>
      <c r="M426" s="5" t="s">
        <v>316</v>
      </c>
      <c r="N426" s="6" t="n">
        <v>29090</v>
      </c>
      <c r="O426" s="5" t="s">
        <v>332</v>
      </c>
      <c r="P426" s="5" t="s">
        <v>333</v>
      </c>
      <c r="Q426" s="5" t="s">
        <v>1550</v>
      </c>
      <c r="R426" s="5" t="s">
        <v>366</v>
      </c>
      <c r="S426" s="5" t="s">
        <v>1664</v>
      </c>
      <c r="T426" s="6" t="n">
        <v>41000</v>
      </c>
      <c r="U426" s="6" t="n">
        <v>39173</v>
      </c>
      <c r="V426" s="5" t="s">
        <v>631</v>
      </c>
      <c r="W426" s="5" t="s">
        <v>631</v>
      </c>
      <c r="X426" s="5" t="s">
        <v>631</v>
      </c>
      <c r="Y426" s="5" t="s">
        <v>631</v>
      </c>
      <c r="Z426" s="5" t="s">
        <v>631</v>
      </c>
      <c r="AA426" s="5" t="s">
        <v>1797</v>
      </c>
      <c r="AB426" s="0" t="n">
        <f aca="false">IFERROR(VALUE(R426),0)</f>
        <v>1.1</v>
      </c>
      <c r="AC426" s="0" t="n">
        <f aca="false">IFERROR(VALUE(M426),"")</f>
        <v>46.9</v>
      </c>
      <c r="AD426" s="0" t="n">
        <f aca="false">IFERROR(VALUE(Q426),"")</f>
        <v>23.4</v>
      </c>
      <c r="AE426" s="0" t="n">
        <f aca="false">IFERROR(VALUE(S426),"")</f>
        <v>24.5</v>
      </c>
      <c r="AF426" s="0" t="n">
        <f aca="false">IF(V426="","",VLOOKUP(V426,Assumptions!$B$6:$C$9,2,FALSE()))</f>
        <v>2</v>
      </c>
      <c r="AG426" s="0" t="n">
        <f aca="false">IF(W426="","",VLOOKUP(W426,Assumptions!$B$6:$C$9,2,FALSE()))</f>
        <v>2</v>
      </c>
      <c r="AH426" s="0" t="n">
        <f aca="false">IF(X426="","",VLOOKUP(X426,Assumptions!$B$6:$C$9,2,FALSE()))</f>
        <v>2</v>
      </c>
      <c r="AI426" s="0" t="n">
        <f aca="false">IF(Y426="","",VLOOKUP(Y426,Assumptions!$B$6:$C$9,2,FALSE()))</f>
        <v>2</v>
      </c>
      <c r="AJ426" s="0" t="n">
        <f aca="false">IF(Z426="","",VLOOKUP(Z426,Assumptions!$B$6:$C$9,2,FALSE()))</f>
        <v>2</v>
      </c>
      <c r="AK426" s="7" t="n">
        <f aca="false">IFERROR(ROUND(AVERAGE(AF426:AJ426),3),"")</f>
        <v>2</v>
      </c>
      <c r="AL426" s="7" t="n">
        <f aca="false">IF(OR(AF426="",AJ426=""),"",AJ426-AF426)</f>
        <v>0</v>
      </c>
      <c r="AM426" s="7" t="n">
        <f aca="false">IF(COUNT(AF426:AJ426)&gt;=2,ROUND(_xlfn.STDEV.S(AF426:AJ426),3),"")</f>
        <v>0</v>
      </c>
      <c r="AN426" s="7" t="n">
        <f aca="false">ROUND((IF(AF426="",0,AF426)*Assumptions!$F$15)+(IF(AG426="",0,AG426)*Assumptions!$F$16)+(IF(AH426="",0,AH426)*Assumptions!$F$17)+(IF(AI426="",0,AI426)*Assumptions!$F$18)+(IF(AJ426="",0,AJ426)*Assumptions!$F$19),3)</f>
        <v>2</v>
      </c>
      <c r="AO426" s="0" t="str">
        <f aca="false">IF(AC426&lt;=20,"",IF(AC426&lt;=Assumptions!$F$6,"20-30",IF(AC426&lt;=Assumptions!$F$7,"30-40",IF(AC426&lt;=Assumptions!$F$8,"40-50",IF(AC426&lt;=Assumptions!$F$9,"50-60",IF(AC426&lt;=Assumptions!$F$10,"60+",""))))))</f>
        <v>40-50</v>
      </c>
      <c r="AP426" s="0" t="str">
        <f aca="false">IFERROR(VLOOKUP(O426,Assumptions!$B$14:$C$26,2,FALSE()),"Other")</f>
        <v>Manager</v>
      </c>
      <c r="AQ426" s="0" t="n">
        <f aca="false">IF(T426="",0,1)</f>
        <v>1</v>
      </c>
      <c r="AR426" s="0" t="n">
        <f aca="false">IF(U426="",0,1)</f>
        <v>1</v>
      </c>
      <c r="AS426" s="8" t="n">
        <f aca="false">IF(AK426="","",IF(MAX($AK$2:$AK$921)=MIN($AK$2:$AK$921),50,ROUND((AK426-MIN($AK$2:$AK$921))/(MAX($AK$2:$AK$921)-MIN($AK$2:$AK$921))*100,2)))</f>
        <v>14.27</v>
      </c>
      <c r="AT426" s="8" t="n">
        <f aca="false">IF(MAX($BC$2:$BC$921)=MIN($BC$2:$BC$921),50,ROUND((BC426-MIN($BC$2:$BC$921))/(MAX($BC$2:$BC$921)-MIN($BC$2:$BC$921))*100,2))</f>
        <v>50</v>
      </c>
      <c r="AU426" s="8" t="n">
        <f aca="false">IF(MAX($BE$2:$BE$921)=MIN($BE$2:$BE$921),50,ROUND((BE426-MIN($BE$2:$BE$921))/(MAX($BE$2:$BE$921)-MIN($BE$2:$BE$921))*100,2))</f>
        <v>100</v>
      </c>
      <c r="AV426" s="8" t="n">
        <f aca="false">IF(MAX($AD$2:$AD$921)=MIN($AD$2:$AD$921),50,ROUND((AD426-MIN($AD$2:$AD$921))/(MAX($AD$2:$AD$921)-MIN($AD$2:$AD$921))*100,2))</f>
        <v>63.31</v>
      </c>
      <c r="AW426" s="8" t="n">
        <f aca="false">IF(MAX($AN$2:$AN$921)=MIN($AN$2:$AN$921),50,ROUND((AN426-MIN($AN$2:$AN$921))/(MAX($AN$2:$AN$921)-MIN($AN$2:$AN$921))*100,2))</f>
        <v>50</v>
      </c>
      <c r="AX426" s="8" t="n">
        <f aca="false">AQ426*100</f>
        <v>100</v>
      </c>
      <c r="AY426" s="8" t="n">
        <f aca="false">AR426*100</f>
        <v>100</v>
      </c>
      <c r="AZ426" s="8" t="n">
        <f aca="false">IFERROR(ROUND(AS426*Assumptions!$I$6+AW426*Assumptions!$I$7+AT426*Assumptions!$I$8+AU426*Assumptions!$I$9+AV426*Assumptions!$I$10+AX426*Assumptions!$I$11+AY426*Assumptions!$I$12,2),"")</f>
        <v>53.11</v>
      </c>
      <c r="BA426" s="0" t="str">
        <f aca="false">IF(AZ426="","",IF(AZ426&lt;=Assumptions!$I$18,"Below Expectation",IF(AZ426&lt;=Assumptions!$I$19,"Developing",IF(AZ426&lt;=Assumptions!$I$20,"Meets Expectation",IF(AZ426&lt;=Assumptions!$I$21,"Exceeds","Star Performer")))))</f>
        <v>Developing</v>
      </c>
      <c r="BB426" s="0" t="n">
        <f aca="false">IF(AZ426="",0,IF(AZ426&gt;=Assumptions!$I$26,1,0))</f>
        <v>0</v>
      </c>
      <c r="BC426" s="9" t="n">
        <f aca="false">IF(AL426="",2,AL426+2)</f>
        <v>2</v>
      </c>
      <c r="BD426" s="10" t="n">
        <f aca="false">IF(AM426="",ROUND(AVERAGE($AM$2:$AM$921),3),AM426)</f>
        <v>0</v>
      </c>
      <c r="BE426" s="9" t="n">
        <f aca="false">1-BD426</f>
        <v>1</v>
      </c>
    </row>
    <row r="427" customFormat="false" ht="14.25" hidden="true" customHeight="false" outlineLevel="0" collapsed="false">
      <c r="A427" s="4" t="n">
        <v>131</v>
      </c>
      <c r="B427" s="5" t="n">
        <v>10042429</v>
      </c>
      <c r="C427" s="5" t="s">
        <v>526</v>
      </c>
      <c r="D427" s="5" t="s">
        <v>1798</v>
      </c>
      <c r="E427" s="5" t="s">
        <v>558</v>
      </c>
      <c r="F427" s="5" t="s">
        <v>380</v>
      </c>
      <c r="G427" s="5" t="s">
        <v>379</v>
      </c>
      <c r="H427" s="5" t="s">
        <v>380</v>
      </c>
      <c r="I427" s="5" t="s">
        <v>63</v>
      </c>
      <c r="J427" s="5" t="s">
        <v>100</v>
      </c>
      <c r="K427" s="5" t="s">
        <v>65</v>
      </c>
      <c r="L427" s="6" t="n">
        <v>41722</v>
      </c>
      <c r="M427" s="5" t="s">
        <v>1669</v>
      </c>
      <c r="N427" s="6" t="n">
        <v>31310</v>
      </c>
      <c r="O427" s="5" t="s">
        <v>262</v>
      </c>
      <c r="P427" s="5" t="s">
        <v>263</v>
      </c>
      <c r="Q427" s="5" t="s">
        <v>317</v>
      </c>
      <c r="R427" s="5" t="s">
        <v>591</v>
      </c>
      <c r="S427" s="5" t="s">
        <v>830</v>
      </c>
      <c r="T427" s="6" t="n">
        <v>44228</v>
      </c>
      <c r="U427" s="6" t="n">
        <v>45901</v>
      </c>
      <c r="V427" s="5" t="s">
        <v>83</v>
      </c>
      <c r="W427" s="5" t="s">
        <v>83</v>
      </c>
      <c r="X427" s="5" t="s">
        <v>83</v>
      </c>
      <c r="Y427" s="5" t="s">
        <v>631</v>
      </c>
      <c r="Z427" s="5" t="s">
        <v>631</v>
      </c>
      <c r="AA427" s="5" t="s">
        <v>1651</v>
      </c>
      <c r="AB427" s="0" t="n">
        <f aca="false">IFERROR(VALUE(R427),0)</f>
        <v>3.1</v>
      </c>
      <c r="AC427" s="0" t="n">
        <f aca="false">IFERROR(VALUE(M427),"")</f>
        <v>40.8</v>
      </c>
      <c r="AD427" s="0" t="n">
        <f aca="false">IFERROR(VALUE(Q427),"")</f>
        <v>12.2</v>
      </c>
      <c r="AE427" s="0" t="n">
        <f aca="false">IFERROR(VALUE(S427),"")</f>
        <v>16</v>
      </c>
      <c r="AF427" s="0" t="n">
        <f aca="false">IF(V427="","",VLOOKUP(V427,Assumptions!$B$6:$C$9,2,FALSE()))</f>
        <v>4</v>
      </c>
      <c r="AG427" s="0" t="n">
        <f aca="false">IF(W427="","",VLOOKUP(W427,Assumptions!$B$6:$C$9,2,FALSE()))</f>
        <v>4</v>
      </c>
      <c r="AH427" s="0" t="n">
        <f aca="false">IF(X427="","",VLOOKUP(X427,Assumptions!$B$6:$C$9,2,FALSE()))</f>
        <v>4</v>
      </c>
      <c r="AI427" s="0" t="n">
        <f aca="false">IF(Y427="","",VLOOKUP(Y427,Assumptions!$B$6:$C$9,2,FALSE()))</f>
        <v>2</v>
      </c>
      <c r="AJ427" s="0" t="n">
        <f aca="false">IF(Z427="","",VLOOKUP(Z427,Assumptions!$B$6:$C$9,2,FALSE()))</f>
        <v>2</v>
      </c>
      <c r="AK427" s="7" t="n">
        <f aca="false">IFERROR(ROUND(AVERAGE(AF427:AJ427),3),"")</f>
        <v>3.2</v>
      </c>
      <c r="AL427" s="7" t="n">
        <f aca="false">IF(OR(AF427="",AJ427=""),"",AJ427-AF427)</f>
        <v>-2</v>
      </c>
      <c r="AM427" s="7" t="n">
        <f aca="false">IF(COUNT(AF427:AJ427)&gt;=2,ROUND(_xlfn.STDEV.S(AF427:AJ427),3),"")</f>
        <v>1.095</v>
      </c>
      <c r="AN427" s="7" t="n">
        <f aca="false">ROUND((IF(AF427="",0,AF427)*Assumptions!$F$15)+(IF(AG427="",0,AG427)*Assumptions!$F$16)+(IF(AH427="",0,AH427)*Assumptions!$F$17)+(IF(AI427="",0,AI427)*Assumptions!$F$18)+(IF(AJ427="",0,AJ427)*Assumptions!$F$19),3)</f>
        <v>2.9</v>
      </c>
      <c r="AO427" s="0" t="str">
        <f aca="false">IF(AC427&lt;=20,"",IF(AC427&lt;=Assumptions!$F$6,"20-30",IF(AC427&lt;=Assumptions!$F$7,"30-40",IF(AC427&lt;=Assumptions!$F$8,"40-50",IF(AC427&lt;=Assumptions!$F$9,"50-60",IF(AC427&lt;=Assumptions!$F$10,"60+",""))))))</f>
        <v>40-50</v>
      </c>
      <c r="AP427" s="0" t="str">
        <f aca="false">IFERROR(VLOOKUP(O427,Assumptions!$B$14:$C$26,2,FALSE()),"Other")</f>
        <v>Manager</v>
      </c>
      <c r="AQ427" s="0" t="n">
        <f aca="false">IF(T427="",0,1)</f>
        <v>1</v>
      </c>
      <c r="AR427" s="0" t="n">
        <f aca="false">IF(U427="",0,1)</f>
        <v>1</v>
      </c>
      <c r="AS427" s="8" t="n">
        <f aca="false">IF(AK427="","",IF(MAX($AK$2:$AK$921)=MIN($AK$2:$AK$921),50,ROUND((AK427-MIN($AK$2:$AK$921))/(MAX($AK$2:$AK$921)-MIN($AK$2:$AK$921))*100,2)))</f>
        <v>65.71</v>
      </c>
      <c r="AT427" s="8" t="n">
        <f aca="false">IF(MAX($BC$2:$BC$921)=MIN($BC$2:$BC$921),50,ROUND((BC427-MIN($BC$2:$BC$921))/(MAX($BC$2:$BC$921)-MIN($BC$2:$BC$921))*100,2))</f>
        <v>0</v>
      </c>
      <c r="AU427" s="8" t="n">
        <f aca="false">IF(MAX($BE$2:$BE$921)=MIN($BE$2:$BE$921),50,ROUND((BE427-MIN($BE$2:$BE$921))/(MAX($BE$2:$BE$921)-MIN($BE$2:$BE$921))*100,2))</f>
        <v>36.78</v>
      </c>
      <c r="AV427" s="8" t="n">
        <f aca="false">IF(MAX($AD$2:$AD$921)=MIN($AD$2:$AD$921),50,ROUND((AD427-MIN($AD$2:$AD$921))/(MAX($AD$2:$AD$921)-MIN($AD$2:$AD$921))*100,2))</f>
        <v>32.86</v>
      </c>
      <c r="AW427" s="8" t="n">
        <f aca="false">IF(MAX($AN$2:$AN$921)=MIN($AN$2:$AN$921),50,ROUND((AN427-MIN($AN$2:$AN$921))/(MAX($AN$2:$AN$921)-MIN($AN$2:$AN$921))*100,2))</f>
        <v>72.5</v>
      </c>
      <c r="AX427" s="8" t="n">
        <f aca="false">AQ427*100</f>
        <v>100</v>
      </c>
      <c r="AY427" s="8" t="n">
        <f aca="false">AR427*100</f>
        <v>100</v>
      </c>
      <c r="AZ427" s="8" t="n">
        <f aca="false">IFERROR(ROUND(AS427*Assumptions!$I$6+AW427*Assumptions!$I$7+AT427*Assumptions!$I$8+AU427*Assumptions!$I$9+AV427*Assumptions!$I$10+AX427*Assumptions!$I$11+AY427*Assumptions!$I$12,2),"")</f>
        <v>53.02</v>
      </c>
      <c r="BA427" s="0" t="str">
        <f aca="false">IF(AZ427="","",IF(AZ427&lt;=Assumptions!$I$18,"Below Expectation",IF(AZ427&lt;=Assumptions!$I$19,"Developing",IF(AZ427&lt;=Assumptions!$I$20,"Meets Expectation",IF(AZ427&lt;=Assumptions!$I$21,"Exceeds","Star Performer")))))</f>
        <v>Developing</v>
      </c>
      <c r="BB427" s="0" t="n">
        <f aca="false">IF(AZ427="",0,IF(AZ427&gt;=Assumptions!$I$26,1,0))</f>
        <v>0</v>
      </c>
      <c r="BC427" s="9" t="n">
        <f aca="false">IF(AL427="",2,AL427+2)</f>
        <v>0</v>
      </c>
      <c r="BD427" s="10" t="n">
        <f aca="false">IF(AM427="",ROUND(AVERAGE($AM$2:$AM$921),3),AM427)</f>
        <v>1.095</v>
      </c>
      <c r="BE427" s="9" t="n">
        <f aca="false">1-BD427</f>
        <v>-0.095</v>
      </c>
    </row>
    <row r="428" customFormat="false" ht="14.25" hidden="true" customHeight="false" outlineLevel="0" collapsed="false">
      <c r="A428" s="4" t="n">
        <v>910</v>
      </c>
      <c r="B428" s="5" t="n">
        <v>59901678</v>
      </c>
      <c r="C428" s="5" t="s">
        <v>85</v>
      </c>
      <c r="D428" s="5" t="s">
        <v>1799</v>
      </c>
      <c r="E428" s="5" t="s">
        <v>87</v>
      </c>
      <c r="F428" s="5" t="s">
        <v>705</v>
      </c>
      <c r="G428" s="5" t="s">
        <v>706</v>
      </c>
      <c r="H428" s="5" t="s">
        <v>707</v>
      </c>
      <c r="I428" s="5" t="s">
        <v>63</v>
      </c>
      <c r="J428" s="5" t="s">
        <v>76</v>
      </c>
      <c r="K428" s="5" t="s">
        <v>65</v>
      </c>
      <c r="L428" s="6" t="n">
        <v>39335</v>
      </c>
      <c r="M428" s="5" t="s">
        <v>539</v>
      </c>
      <c r="N428" s="6" t="n">
        <v>27327</v>
      </c>
      <c r="O428" s="5" t="s">
        <v>332</v>
      </c>
      <c r="P428" s="5" t="s">
        <v>333</v>
      </c>
      <c r="Q428" s="5" t="s">
        <v>573</v>
      </c>
      <c r="R428" s="5" t="s">
        <v>997</v>
      </c>
      <c r="S428" s="5" t="s">
        <v>134</v>
      </c>
      <c r="T428" s="6" t="n">
        <v>41000</v>
      </c>
      <c r="U428" s="6"/>
      <c r="V428" s="5" t="s">
        <v>631</v>
      </c>
      <c r="W428" s="5" t="s">
        <v>141</v>
      </c>
      <c r="X428" s="5" t="s">
        <v>141</v>
      </c>
      <c r="Y428" s="5" t="s">
        <v>141</v>
      </c>
      <c r="Z428" s="5" t="s">
        <v>631</v>
      </c>
      <c r="AA428" s="5" t="s">
        <v>1800</v>
      </c>
      <c r="AB428" s="0" t="n">
        <f aca="false">IFERROR(VALUE(R428),0)</f>
        <v>5.11</v>
      </c>
      <c r="AC428" s="0" t="n">
        <f aca="false">IFERROR(VALUE(M428),"")</f>
        <v>51.7</v>
      </c>
      <c r="AD428" s="0" t="n">
        <f aca="false">IFERROR(VALUE(Q428),"")</f>
        <v>18.8</v>
      </c>
      <c r="AE428" s="0" t="n">
        <f aca="false">IFERROR(VALUE(S428),"")</f>
        <v>24.7</v>
      </c>
      <c r="AF428" s="0" t="n">
        <f aca="false">IF(V428="","",VLOOKUP(V428,Assumptions!$B$6:$C$9,2,FALSE()))</f>
        <v>2</v>
      </c>
      <c r="AG428" s="0" t="n">
        <f aca="false">IF(W428="","",VLOOKUP(W428,Assumptions!$B$6:$C$9,2,FALSE()))</f>
        <v>3</v>
      </c>
      <c r="AH428" s="0" t="n">
        <f aca="false">IF(X428="","",VLOOKUP(X428,Assumptions!$B$6:$C$9,2,FALSE()))</f>
        <v>3</v>
      </c>
      <c r="AI428" s="0" t="n">
        <f aca="false">IF(Y428="","",VLOOKUP(Y428,Assumptions!$B$6:$C$9,2,FALSE()))</f>
        <v>3</v>
      </c>
      <c r="AJ428" s="0" t="n">
        <f aca="false">IF(Z428="","",VLOOKUP(Z428,Assumptions!$B$6:$C$9,2,FALSE()))</f>
        <v>2</v>
      </c>
      <c r="AK428" s="7" t="n">
        <f aca="false">IFERROR(ROUND(AVERAGE(AF428:AJ428),3),"")</f>
        <v>2.6</v>
      </c>
      <c r="AL428" s="7" t="n">
        <f aca="false">IF(OR(AF428="",AJ428=""),"",AJ428-AF428)</f>
        <v>0</v>
      </c>
      <c r="AM428" s="7" t="n">
        <f aca="false">IF(COUNT(AF428:AJ428)&gt;=2,ROUND(_xlfn.STDEV.S(AF428:AJ428),3),"")</f>
        <v>0.548</v>
      </c>
      <c r="AN428" s="7" t="n">
        <f aca="false">ROUND((IF(AF428="",0,AF428)*Assumptions!$F$15)+(IF(AG428="",0,AG428)*Assumptions!$F$16)+(IF(AH428="",0,AH428)*Assumptions!$F$17)+(IF(AI428="",0,AI428)*Assumptions!$F$18)+(IF(AJ428="",0,AJ428)*Assumptions!$F$19),3)</f>
        <v>2.6</v>
      </c>
      <c r="AO428" s="0" t="str">
        <f aca="false">IF(AC428&lt;=20,"",IF(AC428&lt;=Assumptions!$F$6,"20-30",IF(AC428&lt;=Assumptions!$F$7,"30-40",IF(AC428&lt;=Assumptions!$F$8,"40-50",IF(AC428&lt;=Assumptions!$F$9,"50-60",IF(AC428&lt;=Assumptions!$F$10,"60+",""))))))</f>
        <v>50-60</v>
      </c>
      <c r="AP428" s="0" t="str">
        <f aca="false">IFERROR(VLOOKUP(O428,Assumptions!$B$14:$C$26,2,FALSE()),"Other")</f>
        <v>Manager</v>
      </c>
      <c r="AQ428" s="0" t="n">
        <f aca="false">IF(T428="",0,1)</f>
        <v>1</v>
      </c>
      <c r="AR428" s="0" t="n">
        <f aca="false">IF(U428="",0,1)</f>
        <v>0</v>
      </c>
      <c r="AS428" s="8" t="n">
        <f aca="false">IF(AK428="","",IF(MAX($AK$2:$AK$921)=MIN($AK$2:$AK$921),50,ROUND((AK428-MIN($AK$2:$AK$921))/(MAX($AK$2:$AK$921)-MIN($AK$2:$AK$921))*100,2)))</f>
        <v>39.99</v>
      </c>
      <c r="AT428" s="8" t="n">
        <f aca="false">IF(MAX($BC$2:$BC$921)=MIN($BC$2:$BC$921),50,ROUND((BC428-MIN($BC$2:$BC$921))/(MAX($BC$2:$BC$921)-MIN($BC$2:$BC$921))*100,2))</f>
        <v>50</v>
      </c>
      <c r="AU428" s="8" t="n">
        <f aca="false">IF(MAX($BE$2:$BE$921)=MIN($BE$2:$BE$921),50,ROUND((BE428-MIN($BE$2:$BE$921))/(MAX($BE$2:$BE$921)-MIN($BE$2:$BE$921))*100,2))</f>
        <v>68.36</v>
      </c>
      <c r="AV428" s="8" t="n">
        <f aca="false">IF(MAX($AD$2:$AD$921)=MIN($AD$2:$AD$921),50,ROUND((AD428-MIN($AD$2:$AD$921))/(MAX($AD$2:$AD$921)-MIN($AD$2:$AD$921))*100,2))</f>
        <v>50.8</v>
      </c>
      <c r="AW428" s="8" t="n">
        <f aca="false">IF(MAX($AN$2:$AN$921)=MIN($AN$2:$AN$921),50,ROUND((AN428-MIN($AN$2:$AN$921))/(MAX($AN$2:$AN$921)-MIN($AN$2:$AN$921))*100,2))</f>
        <v>65</v>
      </c>
      <c r="AX428" s="8" t="n">
        <f aca="false">AQ428*100</f>
        <v>100</v>
      </c>
      <c r="AY428" s="8" t="n">
        <f aca="false">AR428*100</f>
        <v>0</v>
      </c>
      <c r="AZ428" s="8" t="n">
        <f aca="false">IFERROR(ROUND(AS428*Assumptions!$I$6+AW428*Assumptions!$I$7+AT428*Assumptions!$I$8+AU428*Assumptions!$I$9+AV428*Assumptions!$I$10+AX428*Assumptions!$I$11+AY428*Assumptions!$I$12,2),"")</f>
        <v>52.83</v>
      </c>
      <c r="BA428" s="0" t="str">
        <f aca="false">IF(AZ428="","",IF(AZ428&lt;=Assumptions!$I$18,"Below Expectation",IF(AZ428&lt;=Assumptions!$I$19,"Developing",IF(AZ428&lt;=Assumptions!$I$20,"Meets Expectation",IF(AZ428&lt;=Assumptions!$I$21,"Exceeds","Star Performer")))))</f>
        <v>Developing</v>
      </c>
      <c r="BB428" s="0" t="n">
        <f aca="false">IF(AZ428="",0,IF(AZ428&gt;=Assumptions!$I$26,1,0))</f>
        <v>0</v>
      </c>
      <c r="BC428" s="9" t="n">
        <f aca="false">IF(AL428="",2,AL428+2)</f>
        <v>2</v>
      </c>
      <c r="BD428" s="10" t="n">
        <f aca="false">IF(AM428="",ROUND(AVERAGE($AM$2:$AM$921),3),AM428)</f>
        <v>0.548</v>
      </c>
      <c r="BE428" s="9" t="n">
        <f aca="false">1-BD428</f>
        <v>0.452</v>
      </c>
    </row>
    <row r="429" customFormat="false" ht="14.25" hidden="true" customHeight="false" outlineLevel="0" collapsed="false">
      <c r="A429" s="4" t="n">
        <v>404</v>
      </c>
      <c r="B429" s="5" t="n">
        <v>50008552</v>
      </c>
      <c r="C429" s="5" t="s">
        <v>57</v>
      </c>
      <c r="D429" s="5" t="s">
        <v>1801</v>
      </c>
      <c r="E429" s="5" t="s">
        <v>96</v>
      </c>
      <c r="F429" s="5" t="s">
        <v>608</v>
      </c>
      <c r="G429" s="5" t="s">
        <v>609</v>
      </c>
      <c r="H429" s="5" t="s">
        <v>608</v>
      </c>
      <c r="I429" s="5" t="s">
        <v>63</v>
      </c>
      <c r="J429" s="5" t="s">
        <v>100</v>
      </c>
      <c r="K429" s="5" t="s">
        <v>65</v>
      </c>
      <c r="L429" s="6" t="n">
        <v>40623</v>
      </c>
      <c r="M429" s="5" t="s">
        <v>1296</v>
      </c>
      <c r="N429" s="6" t="n">
        <v>29708</v>
      </c>
      <c r="O429" s="5" t="s">
        <v>365</v>
      </c>
      <c r="P429" s="5" t="s">
        <v>365</v>
      </c>
      <c r="Q429" s="5" t="s">
        <v>516</v>
      </c>
      <c r="R429" s="5" t="s">
        <v>81</v>
      </c>
      <c r="S429" s="5" t="s">
        <v>1802</v>
      </c>
      <c r="T429" s="6" t="n">
        <v>41518</v>
      </c>
      <c r="U429" s="6"/>
      <c r="V429" s="5" t="s">
        <v>631</v>
      </c>
      <c r="W429" s="5" t="s">
        <v>631</v>
      </c>
      <c r="X429" s="5" t="s">
        <v>631</v>
      </c>
      <c r="Y429" s="5" t="s">
        <v>141</v>
      </c>
      <c r="Z429" s="5" t="s">
        <v>141</v>
      </c>
      <c r="AA429" s="5" t="s">
        <v>1803</v>
      </c>
      <c r="AB429" s="0" t="n">
        <f aca="false">IFERROR(VALUE(R429),0)</f>
        <v>4.5</v>
      </c>
      <c r="AC429" s="0" t="n">
        <f aca="false">IFERROR(VALUE(M429),"")</f>
        <v>45.1</v>
      </c>
      <c r="AD429" s="0" t="n">
        <f aca="false">IFERROR(VALUE(Q429),"")</f>
        <v>15.2</v>
      </c>
      <c r="AE429" s="0" t="n">
        <f aca="false">IFERROR(VALUE(S429),"")</f>
        <v>19.7</v>
      </c>
      <c r="AF429" s="0" t="n">
        <f aca="false">IF(V429="","",VLOOKUP(V429,Assumptions!$B$6:$C$9,2,FALSE()))</f>
        <v>2</v>
      </c>
      <c r="AG429" s="0" t="n">
        <f aca="false">IF(W429="","",VLOOKUP(W429,Assumptions!$B$6:$C$9,2,FALSE()))</f>
        <v>2</v>
      </c>
      <c r="AH429" s="0" t="n">
        <f aca="false">IF(X429="","",VLOOKUP(X429,Assumptions!$B$6:$C$9,2,FALSE()))</f>
        <v>2</v>
      </c>
      <c r="AI429" s="0" t="n">
        <f aca="false">IF(Y429="","",VLOOKUP(Y429,Assumptions!$B$6:$C$9,2,FALSE()))</f>
        <v>3</v>
      </c>
      <c r="AJ429" s="0" t="n">
        <f aca="false">IF(Z429="","",VLOOKUP(Z429,Assumptions!$B$6:$C$9,2,FALSE()))</f>
        <v>3</v>
      </c>
      <c r="AK429" s="7" t="n">
        <f aca="false">IFERROR(ROUND(AVERAGE(AF429:AJ429),3),"")</f>
        <v>2.4</v>
      </c>
      <c r="AL429" s="7" t="n">
        <f aca="false">IF(OR(AF429="",AJ429=""),"",AJ429-AF429)</f>
        <v>1</v>
      </c>
      <c r="AM429" s="7" t="n">
        <f aca="false">IF(COUNT(AF429:AJ429)&gt;=2,ROUND(_xlfn.STDEV.S(AF429:AJ429),3),"")</f>
        <v>0.548</v>
      </c>
      <c r="AN429" s="7" t="n">
        <f aca="false">ROUND((IF(AF429="",0,AF429)*Assumptions!$F$15)+(IF(AG429="",0,AG429)*Assumptions!$F$16)+(IF(AH429="",0,AH429)*Assumptions!$F$17)+(IF(AI429="",0,AI429)*Assumptions!$F$18)+(IF(AJ429="",0,AJ429)*Assumptions!$F$19),3)</f>
        <v>2.55</v>
      </c>
      <c r="AO429" s="0" t="str">
        <f aca="false">IF(AC429&lt;=20,"",IF(AC429&lt;=Assumptions!$F$6,"20-30",IF(AC429&lt;=Assumptions!$F$7,"30-40",IF(AC429&lt;=Assumptions!$F$8,"40-50",IF(AC429&lt;=Assumptions!$F$9,"50-60",IF(AC429&lt;=Assumptions!$F$10,"60+",""))))))</f>
        <v>40-50</v>
      </c>
      <c r="AP429" s="0" t="str">
        <f aca="false">IFERROR(VLOOKUP(O429,Assumptions!$B$14:$C$26,2,FALSE()),"Other")</f>
        <v>Manager</v>
      </c>
      <c r="AQ429" s="0" t="n">
        <f aca="false">IF(T429="",0,1)</f>
        <v>1</v>
      </c>
      <c r="AR429" s="0" t="n">
        <f aca="false">IF(U429="",0,1)</f>
        <v>0</v>
      </c>
      <c r="AS429" s="8" t="n">
        <f aca="false">IF(AK429="","",IF(MAX($AK$2:$AK$921)=MIN($AK$2:$AK$921),50,ROUND((AK429-MIN($AK$2:$AK$921))/(MAX($AK$2:$AK$921)-MIN($AK$2:$AK$921))*100,2)))</f>
        <v>31.42</v>
      </c>
      <c r="AT429" s="8" t="n">
        <f aca="false">IF(MAX($BC$2:$BC$921)=MIN($BC$2:$BC$921),50,ROUND((BC429-MIN($BC$2:$BC$921))/(MAX($BC$2:$BC$921)-MIN($BC$2:$BC$921))*100,2))</f>
        <v>75</v>
      </c>
      <c r="AU429" s="8" t="n">
        <f aca="false">IF(MAX($BE$2:$BE$921)=MIN($BE$2:$BE$921),50,ROUND((BE429-MIN($BE$2:$BE$921))/(MAX($BE$2:$BE$921)-MIN($BE$2:$BE$921))*100,2))</f>
        <v>68.36</v>
      </c>
      <c r="AV429" s="8" t="n">
        <f aca="false">IF(MAX($AD$2:$AD$921)=MIN($AD$2:$AD$921),50,ROUND((AD429-MIN($AD$2:$AD$921))/(MAX($AD$2:$AD$921)-MIN($AD$2:$AD$921))*100,2))</f>
        <v>41.02</v>
      </c>
      <c r="AW429" s="8" t="n">
        <f aca="false">IF(MAX($AN$2:$AN$921)=MIN($AN$2:$AN$921),50,ROUND((AN429-MIN($AN$2:$AN$921))/(MAX($AN$2:$AN$921)-MIN($AN$2:$AN$921))*100,2))</f>
        <v>63.75</v>
      </c>
      <c r="AX429" s="8" t="n">
        <f aca="false">AQ429*100</f>
        <v>100</v>
      </c>
      <c r="AY429" s="8" t="n">
        <f aca="false">AR429*100</f>
        <v>0</v>
      </c>
      <c r="AZ429" s="8" t="n">
        <f aca="false">IFERROR(ROUND(AS429*Assumptions!$I$6+AW429*Assumptions!$I$7+AT429*Assumptions!$I$8+AU429*Assumptions!$I$9+AV429*Assumptions!$I$10+AX429*Assumptions!$I$11+AY429*Assumptions!$I$12,2),"")</f>
        <v>52.78</v>
      </c>
      <c r="BA429" s="0" t="str">
        <f aca="false">IF(AZ429="","",IF(AZ429&lt;=Assumptions!$I$18,"Below Expectation",IF(AZ429&lt;=Assumptions!$I$19,"Developing",IF(AZ429&lt;=Assumptions!$I$20,"Meets Expectation",IF(AZ429&lt;=Assumptions!$I$21,"Exceeds","Star Performer")))))</f>
        <v>Developing</v>
      </c>
      <c r="BB429" s="0" t="n">
        <f aca="false">IF(AZ429="",0,IF(AZ429&gt;=Assumptions!$I$26,1,0))</f>
        <v>0</v>
      </c>
      <c r="BC429" s="9" t="n">
        <f aca="false">IF(AL429="",2,AL429+2)</f>
        <v>3</v>
      </c>
      <c r="BD429" s="10" t="n">
        <f aca="false">IF(AM429="",ROUND(AVERAGE($AM$2:$AM$921),3),AM429)</f>
        <v>0.548</v>
      </c>
      <c r="BE429" s="9" t="n">
        <f aca="false">1-BD429</f>
        <v>0.452</v>
      </c>
    </row>
    <row r="430" customFormat="false" ht="14.25" hidden="true" customHeight="false" outlineLevel="0" collapsed="false">
      <c r="A430" s="4" t="n">
        <v>486</v>
      </c>
      <c r="B430" s="5" t="n">
        <v>55043430</v>
      </c>
      <c r="C430" s="5" t="s">
        <v>57</v>
      </c>
      <c r="D430" s="5" t="s">
        <v>1804</v>
      </c>
      <c r="E430" s="5" t="s">
        <v>456</v>
      </c>
      <c r="F430" s="5" t="s">
        <v>608</v>
      </c>
      <c r="G430" s="5" t="s">
        <v>609</v>
      </c>
      <c r="H430" s="5" t="s">
        <v>608</v>
      </c>
      <c r="I430" s="5" t="s">
        <v>63</v>
      </c>
      <c r="J430" s="5" t="s">
        <v>100</v>
      </c>
      <c r="K430" s="5" t="s">
        <v>65</v>
      </c>
      <c r="L430" s="6" t="n">
        <v>44473</v>
      </c>
      <c r="M430" s="5" t="s">
        <v>494</v>
      </c>
      <c r="N430" s="6" t="n">
        <v>34551</v>
      </c>
      <c r="O430" s="5" t="s">
        <v>365</v>
      </c>
      <c r="P430" s="5" t="s">
        <v>365</v>
      </c>
      <c r="Q430" s="5" t="s">
        <v>496</v>
      </c>
      <c r="R430" s="5" t="s">
        <v>987</v>
      </c>
      <c r="S430" s="5" t="s">
        <v>660</v>
      </c>
      <c r="T430" s="6"/>
      <c r="U430" s="6"/>
      <c r="V430" s="5" t="s">
        <v>631</v>
      </c>
      <c r="W430" s="5" t="s">
        <v>141</v>
      </c>
      <c r="X430" s="5" t="s">
        <v>141</v>
      </c>
      <c r="Y430" s="5" t="s">
        <v>141</v>
      </c>
      <c r="Z430" s="5" t="s">
        <v>141</v>
      </c>
      <c r="AA430" s="5" t="s">
        <v>1589</v>
      </c>
      <c r="AB430" s="0" t="n">
        <f aca="false">IFERROR(VALUE(R430),0)</f>
        <v>5.1</v>
      </c>
      <c r="AC430" s="0" t="n">
        <f aca="false">IFERROR(VALUE(M430),"")</f>
        <v>31.1</v>
      </c>
      <c r="AD430" s="0" t="n">
        <f aca="false">IFERROR(VALUE(Q430),"")</f>
        <v>4.8</v>
      </c>
      <c r="AE430" s="0" t="n">
        <f aca="false">IFERROR(VALUE(S430),"")</f>
        <v>10.6</v>
      </c>
      <c r="AF430" s="0" t="n">
        <f aca="false">IF(V430="","",VLOOKUP(V430,Assumptions!$B$6:$C$9,2,FALSE()))</f>
        <v>2</v>
      </c>
      <c r="AG430" s="0" t="n">
        <f aca="false">IF(W430="","",VLOOKUP(W430,Assumptions!$B$6:$C$9,2,FALSE()))</f>
        <v>3</v>
      </c>
      <c r="AH430" s="0" t="n">
        <f aca="false">IF(X430="","",VLOOKUP(X430,Assumptions!$B$6:$C$9,2,FALSE()))</f>
        <v>3</v>
      </c>
      <c r="AI430" s="0" t="n">
        <f aca="false">IF(Y430="","",VLOOKUP(Y430,Assumptions!$B$6:$C$9,2,FALSE()))</f>
        <v>3</v>
      </c>
      <c r="AJ430" s="0" t="n">
        <f aca="false">IF(Z430="","",VLOOKUP(Z430,Assumptions!$B$6:$C$9,2,FALSE()))</f>
        <v>3</v>
      </c>
      <c r="AK430" s="7" t="n">
        <f aca="false">IFERROR(ROUND(AVERAGE(AF430:AJ430),3),"")</f>
        <v>2.8</v>
      </c>
      <c r="AL430" s="7" t="n">
        <f aca="false">IF(OR(AF430="",AJ430=""),"",AJ430-AF430)</f>
        <v>1</v>
      </c>
      <c r="AM430" s="7" t="n">
        <f aca="false">IF(COUNT(AF430:AJ430)&gt;=2,ROUND(_xlfn.STDEV.S(AF430:AJ430),3),"")</f>
        <v>0.447</v>
      </c>
      <c r="AN430" s="7" t="n">
        <f aca="false">ROUND((IF(AF430="",0,AF430)*Assumptions!$F$15)+(IF(AG430="",0,AG430)*Assumptions!$F$16)+(IF(AH430="",0,AH430)*Assumptions!$F$17)+(IF(AI430="",0,AI430)*Assumptions!$F$18)+(IF(AJ430="",0,AJ430)*Assumptions!$F$19),3)</f>
        <v>2.9</v>
      </c>
      <c r="AO430" s="0" t="str">
        <f aca="false">IF(AC430&lt;=20,"",IF(AC430&lt;=Assumptions!$F$6,"20-30",IF(AC430&lt;=Assumptions!$F$7,"30-40",IF(AC430&lt;=Assumptions!$F$8,"40-50",IF(AC430&lt;=Assumptions!$F$9,"50-60",IF(AC430&lt;=Assumptions!$F$10,"60+",""))))))</f>
        <v>30-40</v>
      </c>
      <c r="AP430" s="0" t="str">
        <f aca="false">IFERROR(VLOOKUP(O430,Assumptions!$B$14:$C$26,2,FALSE()),"Other")</f>
        <v>Manager</v>
      </c>
      <c r="AQ430" s="0" t="n">
        <f aca="false">IF(T430="",0,1)</f>
        <v>0</v>
      </c>
      <c r="AR430" s="0" t="n">
        <f aca="false">IF(U430="",0,1)</f>
        <v>0</v>
      </c>
      <c r="AS430" s="8" t="n">
        <f aca="false">IF(AK430="","",IF(MAX($AK$2:$AK$921)=MIN($AK$2:$AK$921),50,ROUND((AK430-MIN($AK$2:$AK$921))/(MAX($AK$2:$AK$921)-MIN($AK$2:$AK$921))*100,2)))</f>
        <v>48.56</v>
      </c>
      <c r="AT430" s="8" t="n">
        <f aca="false">IF(MAX($BC$2:$BC$921)=MIN($BC$2:$BC$921),50,ROUND((BC430-MIN($BC$2:$BC$921))/(MAX($BC$2:$BC$921)-MIN($BC$2:$BC$921))*100,2))</f>
        <v>75</v>
      </c>
      <c r="AU430" s="8" t="n">
        <f aca="false">IF(MAX($BE$2:$BE$921)=MIN($BE$2:$BE$921),50,ROUND((BE430-MIN($BE$2:$BE$921))/(MAX($BE$2:$BE$921)-MIN($BE$2:$BE$921))*100,2))</f>
        <v>74.19</v>
      </c>
      <c r="AV430" s="8" t="n">
        <f aca="false">IF(MAX($AD$2:$AD$921)=MIN($AD$2:$AD$921),50,ROUND((AD430-MIN($AD$2:$AD$921))/(MAX($AD$2:$AD$921)-MIN($AD$2:$AD$921))*100,2))</f>
        <v>12.75</v>
      </c>
      <c r="AW430" s="8" t="n">
        <f aca="false">IF(MAX($AN$2:$AN$921)=MIN($AN$2:$AN$921),50,ROUND((AN430-MIN($AN$2:$AN$921))/(MAX($AN$2:$AN$921)-MIN($AN$2:$AN$921))*100,2))</f>
        <v>72.5</v>
      </c>
      <c r="AX430" s="8" t="n">
        <f aca="false">AQ430*100</f>
        <v>0</v>
      </c>
      <c r="AY430" s="8" t="n">
        <f aca="false">AR430*100</f>
        <v>0</v>
      </c>
      <c r="AZ430" s="8" t="n">
        <f aca="false">IFERROR(ROUND(AS430*Assumptions!$I$6+AW430*Assumptions!$I$7+AT430*Assumptions!$I$8+AU430*Assumptions!$I$9+AV430*Assumptions!$I$10+AX430*Assumptions!$I$11+AY430*Assumptions!$I$12,2),"")</f>
        <v>52.72</v>
      </c>
      <c r="BA430" s="0" t="str">
        <f aca="false">IF(AZ430="","",IF(AZ430&lt;=Assumptions!$I$18,"Below Expectation",IF(AZ430&lt;=Assumptions!$I$19,"Developing",IF(AZ430&lt;=Assumptions!$I$20,"Meets Expectation",IF(AZ430&lt;=Assumptions!$I$21,"Exceeds","Star Performer")))))</f>
        <v>Developing</v>
      </c>
      <c r="BB430" s="0" t="n">
        <f aca="false">IF(AZ430="",0,IF(AZ430&gt;=Assumptions!$I$26,1,0))</f>
        <v>0</v>
      </c>
      <c r="BC430" s="9" t="n">
        <f aca="false">IF(AL430="",2,AL430+2)</f>
        <v>3</v>
      </c>
      <c r="BD430" s="10" t="n">
        <f aca="false">IF(AM430="",ROUND(AVERAGE($AM$2:$AM$921),3),AM430)</f>
        <v>0.447</v>
      </c>
      <c r="BE430" s="9" t="n">
        <f aca="false">1-BD430</f>
        <v>0.553</v>
      </c>
    </row>
    <row r="431" customFormat="false" ht="14.25" hidden="true" customHeight="false" outlineLevel="0" collapsed="false">
      <c r="A431" s="4" t="n">
        <v>354</v>
      </c>
      <c r="B431" s="5" t="n">
        <v>37101326</v>
      </c>
      <c r="C431" s="5" t="s">
        <v>57</v>
      </c>
      <c r="D431" s="5" t="s">
        <v>1805</v>
      </c>
      <c r="E431" s="5" t="s">
        <v>520</v>
      </c>
      <c r="F431" s="5" t="s">
        <v>387</v>
      </c>
      <c r="G431" s="5" t="s">
        <v>388</v>
      </c>
      <c r="H431" s="5" t="s">
        <v>387</v>
      </c>
      <c r="I431" s="5" t="s">
        <v>63</v>
      </c>
      <c r="J431" s="5" t="s">
        <v>100</v>
      </c>
      <c r="K431" s="5" t="s">
        <v>65</v>
      </c>
      <c r="L431" s="6" t="n">
        <v>39143</v>
      </c>
      <c r="M431" s="5" t="s">
        <v>121</v>
      </c>
      <c r="N431" s="6" t="n">
        <v>28766</v>
      </c>
      <c r="O431" s="5" t="s">
        <v>332</v>
      </c>
      <c r="P431" s="5" t="s">
        <v>333</v>
      </c>
      <c r="Q431" s="5" t="s">
        <v>635</v>
      </c>
      <c r="R431" s="5" t="s">
        <v>164</v>
      </c>
      <c r="S431" s="5" t="s">
        <v>492</v>
      </c>
      <c r="T431" s="6"/>
      <c r="U431" s="6" t="n">
        <v>44652</v>
      </c>
      <c r="V431" s="5" t="s">
        <v>83</v>
      </c>
      <c r="W431" s="5" t="s">
        <v>141</v>
      </c>
      <c r="X431" s="5" t="s">
        <v>83</v>
      </c>
      <c r="Y431" s="5" t="s">
        <v>141</v>
      </c>
      <c r="Z431" s="5" t="s">
        <v>631</v>
      </c>
      <c r="AA431" s="5" t="s">
        <v>1806</v>
      </c>
      <c r="AB431" s="0" t="n">
        <f aca="false">IFERROR(VALUE(R431),0)</f>
        <v>3.5</v>
      </c>
      <c r="AC431" s="0" t="n">
        <f aca="false">IFERROR(VALUE(M431),"")</f>
        <v>47.8</v>
      </c>
      <c r="AD431" s="0" t="n">
        <f aca="false">IFERROR(VALUE(Q431),"")</f>
        <v>19.3</v>
      </c>
      <c r="AE431" s="0" t="n">
        <f aca="false">IFERROR(VALUE(S431),"")</f>
        <v>22.8</v>
      </c>
      <c r="AF431" s="0" t="n">
        <f aca="false">IF(V431="","",VLOOKUP(V431,Assumptions!$B$6:$C$9,2,FALSE()))</f>
        <v>4</v>
      </c>
      <c r="AG431" s="0" t="n">
        <f aca="false">IF(W431="","",VLOOKUP(W431,Assumptions!$B$6:$C$9,2,FALSE()))</f>
        <v>3</v>
      </c>
      <c r="AH431" s="0" t="n">
        <f aca="false">IF(X431="","",VLOOKUP(X431,Assumptions!$B$6:$C$9,2,FALSE()))</f>
        <v>4</v>
      </c>
      <c r="AI431" s="0" t="n">
        <f aca="false">IF(Y431="","",VLOOKUP(Y431,Assumptions!$B$6:$C$9,2,FALSE()))</f>
        <v>3</v>
      </c>
      <c r="AJ431" s="0" t="n">
        <f aca="false">IF(Z431="","",VLOOKUP(Z431,Assumptions!$B$6:$C$9,2,FALSE()))</f>
        <v>2</v>
      </c>
      <c r="AK431" s="7" t="n">
        <f aca="false">IFERROR(ROUND(AVERAGE(AF431:AJ431),3),"")</f>
        <v>3.2</v>
      </c>
      <c r="AL431" s="7" t="n">
        <f aca="false">IF(OR(AF431="",AJ431=""),"",AJ431-AF431)</f>
        <v>-2</v>
      </c>
      <c r="AM431" s="7" t="n">
        <f aca="false">IF(COUNT(AF431:AJ431)&gt;=2,ROUND(_xlfn.STDEV.S(AF431:AJ431),3),"")</f>
        <v>0.837</v>
      </c>
      <c r="AN431" s="7" t="n">
        <f aca="false">ROUND((IF(AF431="",0,AF431)*Assumptions!$F$15)+(IF(AG431="",0,AG431)*Assumptions!$F$16)+(IF(AH431="",0,AH431)*Assumptions!$F$17)+(IF(AI431="",0,AI431)*Assumptions!$F$18)+(IF(AJ431="",0,AJ431)*Assumptions!$F$19),3)</f>
        <v>3</v>
      </c>
      <c r="AO431" s="0" t="str">
        <f aca="false">IF(AC431&lt;=20,"",IF(AC431&lt;=Assumptions!$F$6,"20-30",IF(AC431&lt;=Assumptions!$F$7,"30-40",IF(AC431&lt;=Assumptions!$F$8,"40-50",IF(AC431&lt;=Assumptions!$F$9,"50-60",IF(AC431&lt;=Assumptions!$F$10,"60+",""))))))</f>
        <v>40-50</v>
      </c>
      <c r="AP431" s="0" t="str">
        <f aca="false">IFERROR(VLOOKUP(O431,Assumptions!$B$14:$C$26,2,FALSE()),"Other")</f>
        <v>Manager</v>
      </c>
      <c r="AQ431" s="0" t="n">
        <f aca="false">IF(T431="",0,1)</f>
        <v>0</v>
      </c>
      <c r="AR431" s="0" t="n">
        <f aca="false">IF(U431="",0,1)</f>
        <v>1</v>
      </c>
      <c r="AS431" s="8" t="n">
        <f aca="false">IF(AK431="","",IF(MAX($AK$2:$AK$921)=MIN($AK$2:$AK$921),50,ROUND((AK431-MIN($AK$2:$AK$921))/(MAX($AK$2:$AK$921)-MIN($AK$2:$AK$921))*100,2)))</f>
        <v>65.71</v>
      </c>
      <c r="AT431" s="8" t="n">
        <f aca="false">IF(MAX($BC$2:$BC$921)=MIN($BC$2:$BC$921),50,ROUND((BC431-MIN($BC$2:$BC$921))/(MAX($BC$2:$BC$921)-MIN($BC$2:$BC$921))*100,2))</f>
        <v>0</v>
      </c>
      <c r="AU431" s="8" t="n">
        <f aca="false">IF(MAX($BE$2:$BE$921)=MIN($BE$2:$BE$921),50,ROUND((BE431-MIN($BE$2:$BE$921))/(MAX($BE$2:$BE$921)-MIN($BE$2:$BE$921))*100,2))</f>
        <v>51.67</v>
      </c>
      <c r="AV431" s="8" t="n">
        <f aca="false">IF(MAX($AD$2:$AD$921)=MIN($AD$2:$AD$921),50,ROUND((AD431-MIN($AD$2:$AD$921))/(MAX($AD$2:$AD$921)-MIN($AD$2:$AD$921))*100,2))</f>
        <v>52.16</v>
      </c>
      <c r="AW431" s="8" t="n">
        <f aca="false">IF(MAX($AN$2:$AN$921)=MIN($AN$2:$AN$921),50,ROUND((AN431-MIN($AN$2:$AN$921))/(MAX($AN$2:$AN$921)-MIN($AN$2:$AN$921))*100,2))</f>
        <v>75</v>
      </c>
      <c r="AX431" s="8" t="n">
        <f aca="false">AQ431*100</f>
        <v>0</v>
      </c>
      <c r="AY431" s="8" t="n">
        <f aca="false">AR431*100</f>
        <v>100</v>
      </c>
      <c r="AZ431" s="8" t="n">
        <f aca="false">IFERROR(ROUND(AS431*Assumptions!$I$6+AW431*Assumptions!$I$7+AT431*Assumptions!$I$8+AU431*Assumptions!$I$9+AV431*Assumptions!$I$10+AX431*Assumptions!$I$11+AY431*Assumptions!$I$12,2),"")</f>
        <v>52.68</v>
      </c>
      <c r="BA431" s="0" t="str">
        <f aca="false">IF(AZ431="","",IF(AZ431&lt;=Assumptions!$I$18,"Below Expectation",IF(AZ431&lt;=Assumptions!$I$19,"Developing",IF(AZ431&lt;=Assumptions!$I$20,"Meets Expectation",IF(AZ431&lt;=Assumptions!$I$21,"Exceeds","Star Performer")))))</f>
        <v>Developing</v>
      </c>
      <c r="BB431" s="0" t="n">
        <f aca="false">IF(AZ431="",0,IF(AZ431&gt;=Assumptions!$I$26,1,0))</f>
        <v>0</v>
      </c>
      <c r="BC431" s="9" t="n">
        <f aca="false">IF(AL431="",2,AL431+2)</f>
        <v>0</v>
      </c>
      <c r="BD431" s="10" t="n">
        <f aca="false">IF(AM431="",ROUND(AVERAGE($AM$2:$AM$921),3),AM431)</f>
        <v>0.837</v>
      </c>
      <c r="BE431" s="9" t="n">
        <f aca="false">1-BD431</f>
        <v>0.163</v>
      </c>
    </row>
    <row r="432" customFormat="false" ht="14.25" hidden="true" customHeight="false" outlineLevel="0" collapsed="false">
      <c r="A432" s="4" t="n">
        <v>713</v>
      </c>
      <c r="B432" s="5" t="n">
        <v>55066387</v>
      </c>
      <c r="C432" s="5" t="s">
        <v>57</v>
      </c>
      <c r="D432" s="5" t="s">
        <v>1807</v>
      </c>
      <c r="E432" s="5" t="s">
        <v>520</v>
      </c>
      <c r="F432" s="5" t="s">
        <v>387</v>
      </c>
      <c r="G432" s="5" t="s">
        <v>388</v>
      </c>
      <c r="H432" s="5" t="s">
        <v>387</v>
      </c>
      <c r="I432" s="5" t="s">
        <v>63</v>
      </c>
      <c r="J432" s="5" t="s">
        <v>100</v>
      </c>
      <c r="K432" s="5" t="s">
        <v>65</v>
      </c>
      <c r="L432" s="6" t="n">
        <v>44984</v>
      </c>
      <c r="M432" s="5" t="s">
        <v>780</v>
      </c>
      <c r="N432" s="6" t="n">
        <v>33919</v>
      </c>
      <c r="O432" s="5" t="s">
        <v>332</v>
      </c>
      <c r="P432" s="5" t="s">
        <v>333</v>
      </c>
      <c r="Q432" s="5" t="s">
        <v>1042</v>
      </c>
      <c r="R432" s="5" t="s">
        <v>791</v>
      </c>
      <c r="S432" s="5" t="s">
        <v>714</v>
      </c>
      <c r="T432" s="6"/>
      <c r="U432" s="6"/>
      <c r="V432" s="5"/>
      <c r="W432" s="5"/>
      <c r="X432" s="5" t="s">
        <v>141</v>
      </c>
      <c r="Y432" s="5" t="s">
        <v>83</v>
      </c>
      <c r="Z432" s="5" t="s">
        <v>141</v>
      </c>
      <c r="AA432" s="5" t="s">
        <v>1808</v>
      </c>
      <c r="AB432" s="0" t="n">
        <f aca="false">IFERROR(VALUE(R432),0)</f>
        <v>8.5</v>
      </c>
      <c r="AC432" s="0" t="n">
        <f aca="false">IFERROR(VALUE(M432),"")</f>
        <v>33.6</v>
      </c>
      <c r="AD432" s="0" t="n">
        <f aca="false">IFERROR(VALUE(Q432),"")</f>
        <v>3.3</v>
      </c>
      <c r="AE432" s="0" t="n">
        <f aca="false">IFERROR(VALUE(S432),"")</f>
        <v>11.8</v>
      </c>
      <c r="AF432" s="0" t="str">
        <f aca="false">IF(V432="","",VLOOKUP(V432,Assumptions!$B$6:$C$9,2,FALSE()))</f>
        <v/>
      </c>
      <c r="AG432" s="0" t="str">
        <f aca="false">IF(W432="","",VLOOKUP(W432,Assumptions!$B$6:$C$9,2,FALSE()))</f>
        <v/>
      </c>
      <c r="AH432" s="0" t="n">
        <f aca="false">IF(X432="","",VLOOKUP(X432,Assumptions!$B$6:$C$9,2,FALSE()))</f>
        <v>3</v>
      </c>
      <c r="AI432" s="0" t="n">
        <f aca="false">IF(Y432="","",VLOOKUP(Y432,Assumptions!$B$6:$C$9,2,FALSE()))</f>
        <v>4</v>
      </c>
      <c r="AJ432" s="0" t="n">
        <f aca="false">IF(Z432="","",VLOOKUP(Z432,Assumptions!$B$6:$C$9,2,FALSE()))</f>
        <v>3</v>
      </c>
      <c r="AK432" s="7" t="n">
        <f aca="false">IFERROR(ROUND(AVERAGE(AF432:AJ432),3),"")</f>
        <v>3.333</v>
      </c>
      <c r="AL432" s="7" t="str">
        <f aca="false">IF(OR(AF432="",AJ432=""),"",AJ432-AF432)</f>
        <v/>
      </c>
      <c r="AM432" s="7" t="n">
        <f aca="false">IF(COUNT(AF432:AJ432)&gt;=2,ROUND(_xlfn.STDEV.S(AF432:AJ432),3),"")</f>
        <v>0.577</v>
      </c>
      <c r="AN432" s="7" t="n">
        <f aca="false">ROUND((IF(AF432="",0,AF432)*Assumptions!$F$15)+(IF(AG432="",0,AG432)*Assumptions!$F$16)+(IF(AH432="",0,AH432)*Assumptions!$F$17)+(IF(AI432="",0,AI432)*Assumptions!$F$18)+(IF(AJ432="",0,AJ432)*Assumptions!$F$19),3)</f>
        <v>2.5</v>
      </c>
      <c r="AO432" s="0" t="str">
        <f aca="false">IF(AC432&lt;=20,"",IF(AC432&lt;=Assumptions!$F$6,"20-30",IF(AC432&lt;=Assumptions!$F$7,"30-40",IF(AC432&lt;=Assumptions!$F$8,"40-50",IF(AC432&lt;=Assumptions!$F$9,"50-60",IF(AC432&lt;=Assumptions!$F$10,"60+",""))))))</f>
        <v>30-40</v>
      </c>
      <c r="AP432" s="0" t="str">
        <f aca="false">IFERROR(VLOOKUP(O432,Assumptions!$B$14:$C$26,2,FALSE()),"Other")</f>
        <v>Manager</v>
      </c>
      <c r="AQ432" s="0" t="n">
        <f aca="false">IF(T432="",0,1)</f>
        <v>0</v>
      </c>
      <c r="AR432" s="0" t="n">
        <f aca="false">IF(U432="",0,1)</f>
        <v>0</v>
      </c>
      <c r="AS432" s="8" t="n">
        <f aca="false">IF(AK432="","",IF(MAX($AK$2:$AK$921)=MIN($AK$2:$AK$921),50,ROUND((AK432-MIN($AK$2:$AK$921))/(MAX($AK$2:$AK$921)-MIN($AK$2:$AK$921))*100,2)))</f>
        <v>71.41</v>
      </c>
      <c r="AT432" s="8" t="n">
        <f aca="false">IF(MAX($BC$2:$BC$921)=MIN($BC$2:$BC$921),50,ROUND((BC432-MIN($BC$2:$BC$921))/(MAX($BC$2:$BC$921)-MIN($BC$2:$BC$921))*100,2))</f>
        <v>50</v>
      </c>
      <c r="AU432" s="8" t="n">
        <f aca="false">IF(MAX($BE$2:$BE$921)=MIN($BE$2:$BE$921),50,ROUND((BE432-MIN($BE$2:$BE$921))/(MAX($BE$2:$BE$921)-MIN($BE$2:$BE$921))*100,2))</f>
        <v>66.69</v>
      </c>
      <c r="AV432" s="8" t="n">
        <f aca="false">IF(MAX($AD$2:$AD$921)=MIN($AD$2:$AD$921),50,ROUND((AD432-MIN($AD$2:$AD$921))/(MAX($AD$2:$AD$921)-MIN($AD$2:$AD$921))*100,2))</f>
        <v>8.67</v>
      </c>
      <c r="AW432" s="8" t="n">
        <f aca="false">IF(MAX($AN$2:$AN$921)=MIN($AN$2:$AN$921),50,ROUND((AN432-MIN($AN$2:$AN$921))/(MAX($AN$2:$AN$921)-MIN($AN$2:$AN$921))*100,2))</f>
        <v>62.5</v>
      </c>
      <c r="AX432" s="8" t="n">
        <f aca="false">AQ432*100</f>
        <v>0</v>
      </c>
      <c r="AY432" s="8" t="n">
        <f aca="false">AR432*100</f>
        <v>0</v>
      </c>
      <c r="AZ432" s="8" t="n">
        <f aca="false">IFERROR(ROUND(AS432*Assumptions!$I$6+AW432*Assumptions!$I$7+AT432*Assumptions!$I$8+AU432*Assumptions!$I$9+AV432*Assumptions!$I$10+AX432*Assumptions!$I$11+AY432*Assumptions!$I$12,2),"")</f>
        <v>52.29</v>
      </c>
      <c r="BA432" s="0" t="str">
        <f aca="false">IF(AZ432="","",IF(AZ432&lt;=Assumptions!$I$18,"Below Expectation",IF(AZ432&lt;=Assumptions!$I$19,"Developing",IF(AZ432&lt;=Assumptions!$I$20,"Meets Expectation",IF(AZ432&lt;=Assumptions!$I$21,"Exceeds","Star Performer")))))</f>
        <v>Developing</v>
      </c>
      <c r="BB432" s="0" t="n">
        <f aca="false">IF(AZ432="",0,IF(AZ432&gt;=Assumptions!$I$26,1,0))</f>
        <v>0</v>
      </c>
      <c r="BC432" s="9" t="n">
        <f aca="false">IF(AL432="",2,AL432+2)</f>
        <v>2</v>
      </c>
      <c r="BD432" s="10" t="n">
        <f aca="false">IF(AM432="",ROUND(AVERAGE($AM$2:$AM$921),3),AM432)</f>
        <v>0.577</v>
      </c>
      <c r="BE432" s="9" t="n">
        <f aca="false">1-BD432</f>
        <v>0.423</v>
      </c>
    </row>
    <row r="433" customFormat="false" ht="14.25" hidden="true" customHeight="false" outlineLevel="0" collapsed="false">
      <c r="A433" s="4" t="n">
        <v>413</v>
      </c>
      <c r="B433" s="5" t="n">
        <v>50009379</v>
      </c>
      <c r="C433" s="5" t="s">
        <v>85</v>
      </c>
      <c r="D433" s="5" t="s">
        <v>1809</v>
      </c>
      <c r="E433" s="5" t="s">
        <v>235</v>
      </c>
      <c r="F433" s="5" t="s">
        <v>192</v>
      </c>
      <c r="G433" s="5" t="s">
        <v>191</v>
      </c>
      <c r="H433" s="5" t="s">
        <v>192</v>
      </c>
      <c r="I433" s="5" t="s">
        <v>63</v>
      </c>
      <c r="J433" s="5" t="s">
        <v>76</v>
      </c>
      <c r="K433" s="5" t="s">
        <v>65</v>
      </c>
      <c r="L433" s="6" t="n">
        <v>40777</v>
      </c>
      <c r="M433" s="5" t="s">
        <v>1263</v>
      </c>
      <c r="N433" s="6" t="n">
        <v>32227</v>
      </c>
      <c r="O433" s="5" t="s">
        <v>262</v>
      </c>
      <c r="P433" s="5" t="s">
        <v>263</v>
      </c>
      <c r="Q433" s="5" t="s">
        <v>1545</v>
      </c>
      <c r="R433" s="5" t="s">
        <v>115</v>
      </c>
      <c r="S433" s="5" t="s">
        <v>1545</v>
      </c>
      <c r="T433" s="6" t="n">
        <v>42826</v>
      </c>
      <c r="U433" s="6" t="n">
        <v>44652</v>
      </c>
      <c r="V433" s="5" t="s">
        <v>141</v>
      </c>
      <c r="W433" s="5" t="s">
        <v>141</v>
      </c>
      <c r="X433" s="5" t="s">
        <v>141</v>
      </c>
      <c r="Y433" s="5" t="s">
        <v>631</v>
      </c>
      <c r="Z433" s="5" t="s">
        <v>631</v>
      </c>
      <c r="AA433" s="5" t="s">
        <v>1055</v>
      </c>
      <c r="AB433" s="0" t="n">
        <f aca="false">IFERROR(VALUE(R433),0)</f>
        <v>0</v>
      </c>
      <c r="AC433" s="0" t="n">
        <f aca="false">IFERROR(VALUE(M433),"")</f>
        <v>38.2</v>
      </c>
      <c r="AD433" s="0" t="n">
        <f aca="false">IFERROR(VALUE(Q433),"")</f>
        <v>14.9</v>
      </c>
      <c r="AE433" s="0" t="n">
        <f aca="false">IFERROR(VALUE(S433),"")</f>
        <v>14.9</v>
      </c>
      <c r="AF433" s="0" t="n">
        <f aca="false">IF(V433="","",VLOOKUP(V433,Assumptions!$B$6:$C$9,2,FALSE()))</f>
        <v>3</v>
      </c>
      <c r="AG433" s="0" t="n">
        <f aca="false">IF(W433="","",VLOOKUP(W433,Assumptions!$B$6:$C$9,2,FALSE()))</f>
        <v>3</v>
      </c>
      <c r="AH433" s="0" t="n">
        <f aca="false">IF(X433="","",VLOOKUP(X433,Assumptions!$B$6:$C$9,2,FALSE()))</f>
        <v>3</v>
      </c>
      <c r="AI433" s="0" t="n">
        <f aca="false">IF(Y433="","",VLOOKUP(Y433,Assumptions!$B$6:$C$9,2,FALSE()))</f>
        <v>2</v>
      </c>
      <c r="AJ433" s="0" t="n">
        <f aca="false">IF(Z433="","",VLOOKUP(Z433,Assumptions!$B$6:$C$9,2,FALSE()))</f>
        <v>2</v>
      </c>
      <c r="AK433" s="7" t="n">
        <f aca="false">IFERROR(ROUND(AVERAGE(AF433:AJ433),3),"")</f>
        <v>2.6</v>
      </c>
      <c r="AL433" s="7" t="n">
        <f aca="false">IF(OR(AF433="",AJ433=""),"",AJ433-AF433)</f>
        <v>-1</v>
      </c>
      <c r="AM433" s="7" t="n">
        <f aca="false">IF(COUNT(AF433:AJ433)&gt;=2,ROUND(_xlfn.STDEV.S(AF433:AJ433),3),"")</f>
        <v>0.548</v>
      </c>
      <c r="AN433" s="7" t="n">
        <f aca="false">ROUND((IF(AF433="",0,AF433)*Assumptions!$F$15)+(IF(AG433="",0,AG433)*Assumptions!$F$16)+(IF(AH433="",0,AH433)*Assumptions!$F$17)+(IF(AI433="",0,AI433)*Assumptions!$F$18)+(IF(AJ433="",0,AJ433)*Assumptions!$F$19),3)</f>
        <v>2.45</v>
      </c>
      <c r="AO433" s="0" t="str">
        <f aca="false">IF(AC433&lt;=20,"",IF(AC433&lt;=Assumptions!$F$6,"20-30",IF(AC433&lt;=Assumptions!$F$7,"30-40",IF(AC433&lt;=Assumptions!$F$8,"40-50",IF(AC433&lt;=Assumptions!$F$9,"50-60",IF(AC433&lt;=Assumptions!$F$10,"60+",""))))))</f>
        <v>30-40</v>
      </c>
      <c r="AP433" s="0" t="str">
        <f aca="false">IFERROR(VLOOKUP(O433,Assumptions!$B$14:$C$26,2,FALSE()),"Other")</f>
        <v>Manager</v>
      </c>
      <c r="AQ433" s="0" t="n">
        <f aca="false">IF(T433="",0,1)</f>
        <v>1</v>
      </c>
      <c r="AR433" s="0" t="n">
        <f aca="false">IF(U433="",0,1)</f>
        <v>1</v>
      </c>
      <c r="AS433" s="8" t="n">
        <f aca="false">IF(AK433="","",IF(MAX($AK$2:$AK$921)=MIN($AK$2:$AK$921),50,ROUND((AK433-MIN($AK$2:$AK$921))/(MAX($AK$2:$AK$921)-MIN($AK$2:$AK$921))*100,2)))</f>
        <v>39.99</v>
      </c>
      <c r="AT433" s="8" t="n">
        <f aca="false">IF(MAX($BC$2:$BC$921)=MIN($BC$2:$BC$921),50,ROUND((BC433-MIN($BC$2:$BC$921))/(MAX($BC$2:$BC$921)-MIN($BC$2:$BC$921))*100,2))</f>
        <v>25</v>
      </c>
      <c r="AU433" s="8" t="n">
        <f aca="false">IF(MAX($BE$2:$BE$921)=MIN($BE$2:$BE$921),50,ROUND((BE433-MIN($BE$2:$BE$921))/(MAX($BE$2:$BE$921)-MIN($BE$2:$BE$921))*100,2))</f>
        <v>68.36</v>
      </c>
      <c r="AV433" s="8" t="n">
        <f aca="false">IF(MAX($AD$2:$AD$921)=MIN($AD$2:$AD$921),50,ROUND((AD433-MIN($AD$2:$AD$921))/(MAX($AD$2:$AD$921)-MIN($AD$2:$AD$921))*100,2))</f>
        <v>40.2</v>
      </c>
      <c r="AW433" s="8" t="n">
        <f aca="false">IF(MAX($AN$2:$AN$921)=MIN($AN$2:$AN$921),50,ROUND((AN433-MIN($AN$2:$AN$921))/(MAX($AN$2:$AN$921)-MIN($AN$2:$AN$921))*100,2))</f>
        <v>61.25</v>
      </c>
      <c r="AX433" s="8" t="n">
        <f aca="false">AQ433*100</f>
        <v>100</v>
      </c>
      <c r="AY433" s="8" t="n">
        <f aca="false">AR433*100</f>
        <v>100</v>
      </c>
      <c r="AZ433" s="8" t="n">
        <f aca="false">IFERROR(ROUND(AS433*Assumptions!$I$6+AW433*Assumptions!$I$7+AT433*Assumptions!$I$8+AU433*Assumptions!$I$9+AV433*Assumptions!$I$10+AX433*Assumptions!$I$11+AY433*Assumptions!$I$12,2),"")</f>
        <v>52.27</v>
      </c>
      <c r="BA433" s="0" t="str">
        <f aca="false">IF(AZ433="","",IF(AZ433&lt;=Assumptions!$I$18,"Below Expectation",IF(AZ433&lt;=Assumptions!$I$19,"Developing",IF(AZ433&lt;=Assumptions!$I$20,"Meets Expectation",IF(AZ433&lt;=Assumptions!$I$21,"Exceeds","Star Performer")))))</f>
        <v>Developing</v>
      </c>
      <c r="BB433" s="0" t="n">
        <f aca="false">IF(AZ433="",0,IF(AZ433&gt;=Assumptions!$I$26,1,0))</f>
        <v>0</v>
      </c>
      <c r="BC433" s="9" t="n">
        <f aca="false">IF(AL433="",2,AL433+2)</f>
        <v>1</v>
      </c>
      <c r="BD433" s="10" t="n">
        <f aca="false">IF(AM433="",ROUND(AVERAGE($AM$2:$AM$921),3),AM433)</f>
        <v>0.548</v>
      </c>
      <c r="BE433" s="9" t="n">
        <f aca="false">1-BD433</f>
        <v>0.452</v>
      </c>
    </row>
    <row r="434" customFormat="false" ht="14.25" hidden="true" customHeight="false" outlineLevel="0" collapsed="false">
      <c r="A434" s="4" t="n">
        <v>719</v>
      </c>
      <c r="B434" s="5" t="n">
        <v>55066846</v>
      </c>
      <c r="C434" s="5" t="s">
        <v>57</v>
      </c>
      <c r="D434" s="5" t="s">
        <v>1810</v>
      </c>
      <c r="E434" s="5" t="s">
        <v>607</v>
      </c>
      <c r="F434" s="5" t="s">
        <v>608</v>
      </c>
      <c r="G434" s="5" t="s">
        <v>609</v>
      </c>
      <c r="H434" s="5" t="s">
        <v>608</v>
      </c>
      <c r="I434" s="5" t="s">
        <v>63</v>
      </c>
      <c r="J434" s="5" t="s">
        <v>100</v>
      </c>
      <c r="K434" s="5" t="s">
        <v>309</v>
      </c>
      <c r="L434" s="6" t="n">
        <v>44995</v>
      </c>
      <c r="M434" s="5" t="s">
        <v>1379</v>
      </c>
      <c r="N434" s="6" t="n">
        <v>35004</v>
      </c>
      <c r="O434" s="5" t="s">
        <v>365</v>
      </c>
      <c r="P434" s="5" t="s">
        <v>365</v>
      </c>
      <c r="Q434" s="5" t="s">
        <v>103</v>
      </c>
      <c r="R434" s="5" t="s">
        <v>213</v>
      </c>
      <c r="S434" s="5" t="s">
        <v>467</v>
      </c>
      <c r="T434" s="6"/>
      <c r="U434" s="6"/>
      <c r="V434" s="5"/>
      <c r="W434" s="5"/>
      <c r="X434" s="5" t="s">
        <v>141</v>
      </c>
      <c r="Y434" s="5" t="s">
        <v>83</v>
      </c>
      <c r="Z434" s="5" t="s">
        <v>141</v>
      </c>
      <c r="AA434" s="5" t="s">
        <v>1811</v>
      </c>
      <c r="AB434" s="0" t="n">
        <f aca="false">IFERROR(VALUE(R434),0)</f>
        <v>5.2</v>
      </c>
      <c r="AC434" s="0" t="n">
        <f aca="false">IFERROR(VALUE(M434),"")</f>
        <v>30.7</v>
      </c>
      <c r="AD434" s="0" t="n">
        <f aca="false">IFERROR(VALUE(Q434),"")</f>
        <v>3.2</v>
      </c>
      <c r="AE434" s="0" t="n">
        <f aca="false">IFERROR(VALUE(S434),"")</f>
        <v>8.4</v>
      </c>
      <c r="AF434" s="0" t="str">
        <f aca="false">IF(V434="","",VLOOKUP(V434,Assumptions!$B$6:$C$9,2,FALSE()))</f>
        <v/>
      </c>
      <c r="AG434" s="0" t="str">
        <f aca="false">IF(W434="","",VLOOKUP(W434,Assumptions!$B$6:$C$9,2,FALSE()))</f>
        <v/>
      </c>
      <c r="AH434" s="0" t="n">
        <f aca="false">IF(X434="","",VLOOKUP(X434,Assumptions!$B$6:$C$9,2,FALSE()))</f>
        <v>3</v>
      </c>
      <c r="AI434" s="0" t="n">
        <f aca="false">IF(Y434="","",VLOOKUP(Y434,Assumptions!$B$6:$C$9,2,FALSE()))</f>
        <v>4</v>
      </c>
      <c r="AJ434" s="0" t="n">
        <f aca="false">IF(Z434="","",VLOOKUP(Z434,Assumptions!$B$6:$C$9,2,FALSE()))</f>
        <v>3</v>
      </c>
      <c r="AK434" s="7" t="n">
        <f aca="false">IFERROR(ROUND(AVERAGE(AF434:AJ434),3),"")</f>
        <v>3.333</v>
      </c>
      <c r="AL434" s="7" t="str">
        <f aca="false">IF(OR(AF434="",AJ434=""),"",AJ434-AF434)</f>
        <v/>
      </c>
      <c r="AM434" s="7" t="n">
        <f aca="false">IF(COUNT(AF434:AJ434)&gt;=2,ROUND(_xlfn.STDEV.S(AF434:AJ434),3),"")</f>
        <v>0.577</v>
      </c>
      <c r="AN434" s="7" t="n">
        <f aca="false">ROUND((IF(AF434="",0,AF434)*Assumptions!$F$15)+(IF(AG434="",0,AG434)*Assumptions!$F$16)+(IF(AH434="",0,AH434)*Assumptions!$F$17)+(IF(AI434="",0,AI434)*Assumptions!$F$18)+(IF(AJ434="",0,AJ434)*Assumptions!$F$19),3)</f>
        <v>2.5</v>
      </c>
      <c r="AO434" s="0" t="str">
        <f aca="false">IF(AC434&lt;=20,"",IF(AC434&lt;=Assumptions!$F$6,"20-30",IF(AC434&lt;=Assumptions!$F$7,"30-40",IF(AC434&lt;=Assumptions!$F$8,"40-50",IF(AC434&lt;=Assumptions!$F$9,"50-60",IF(AC434&lt;=Assumptions!$F$10,"60+",""))))))</f>
        <v>30-40</v>
      </c>
      <c r="AP434" s="0" t="str">
        <f aca="false">IFERROR(VLOOKUP(O434,Assumptions!$B$14:$C$26,2,FALSE()),"Other")</f>
        <v>Manager</v>
      </c>
      <c r="AQ434" s="0" t="n">
        <f aca="false">IF(T434="",0,1)</f>
        <v>0</v>
      </c>
      <c r="AR434" s="0" t="n">
        <f aca="false">IF(U434="",0,1)</f>
        <v>0</v>
      </c>
      <c r="AS434" s="8" t="n">
        <f aca="false">IF(AK434="","",IF(MAX($AK$2:$AK$921)=MIN($AK$2:$AK$921),50,ROUND((AK434-MIN($AK$2:$AK$921))/(MAX($AK$2:$AK$921)-MIN($AK$2:$AK$921))*100,2)))</f>
        <v>71.41</v>
      </c>
      <c r="AT434" s="8" t="n">
        <f aca="false">IF(MAX($BC$2:$BC$921)=MIN($BC$2:$BC$921),50,ROUND((BC434-MIN($BC$2:$BC$921))/(MAX($BC$2:$BC$921)-MIN($BC$2:$BC$921))*100,2))</f>
        <v>50</v>
      </c>
      <c r="AU434" s="8" t="n">
        <f aca="false">IF(MAX($BE$2:$BE$921)=MIN($BE$2:$BE$921),50,ROUND((BE434-MIN($BE$2:$BE$921))/(MAX($BE$2:$BE$921)-MIN($BE$2:$BE$921))*100,2))</f>
        <v>66.69</v>
      </c>
      <c r="AV434" s="8" t="n">
        <f aca="false">IF(MAX($AD$2:$AD$921)=MIN($AD$2:$AD$921),50,ROUND((AD434-MIN($AD$2:$AD$921))/(MAX($AD$2:$AD$921)-MIN($AD$2:$AD$921))*100,2))</f>
        <v>8.4</v>
      </c>
      <c r="AW434" s="8" t="n">
        <f aca="false">IF(MAX($AN$2:$AN$921)=MIN($AN$2:$AN$921),50,ROUND((AN434-MIN($AN$2:$AN$921))/(MAX($AN$2:$AN$921)-MIN($AN$2:$AN$921))*100,2))</f>
        <v>62.5</v>
      </c>
      <c r="AX434" s="8" t="n">
        <f aca="false">AQ434*100</f>
        <v>0</v>
      </c>
      <c r="AY434" s="8" t="n">
        <f aca="false">AR434*100</f>
        <v>0</v>
      </c>
      <c r="AZ434" s="8" t="n">
        <f aca="false">IFERROR(ROUND(AS434*Assumptions!$I$6+AW434*Assumptions!$I$7+AT434*Assumptions!$I$8+AU434*Assumptions!$I$9+AV434*Assumptions!$I$10+AX434*Assumptions!$I$11+AY434*Assumptions!$I$12,2),"")</f>
        <v>52.27</v>
      </c>
      <c r="BA434" s="0" t="str">
        <f aca="false">IF(AZ434="","",IF(AZ434&lt;=Assumptions!$I$18,"Below Expectation",IF(AZ434&lt;=Assumptions!$I$19,"Developing",IF(AZ434&lt;=Assumptions!$I$20,"Meets Expectation",IF(AZ434&lt;=Assumptions!$I$21,"Exceeds","Star Performer")))))</f>
        <v>Developing</v>
      </c>
      <c r="BB434" s="0" t="n">
        <f aca="false">IF(AZ434="",0,IF(AZ434&gt;=Assumptions!$I$26,1,0))</f>
        <v>0</v>
      </c>
      <c r="BC434" s="9" t="n">
        <f aca="false">IF(AL434="",2,AL434+2)</f>
        <v>2</v>
      </c>
      <c r="BD434" s="10" t="n">
        <f aca="false">IF(AM434="",ROUND(AVERAGE($AM$2:$AM$921),3),AM434)</f>
        <v>0.577</v>
      </c>
      <c r="BE434" s="9" t="n">
        <f aca="false">1-BD434</f>
        <v>0.423</v>
      </c>
    </row>
    <row r="435" customFormat="false" ht="14.25" hidden="true" customHeight="false" outlineLevel="0" collapsed="false">
      <c r="A435" s="4" t="n">
        <v>725</v>
      </c>
      <c r="B435" s="5" t="n">
        <v>55067516</v>
      </c>
      <c r="C435" s="5" t="s">
        <v>57</v>
      </c>
      <c r="D435" s="5" t="s">
        <v>1812</v>
      </c>
      <c r="E435" s="5" t="s">
        <v>208</v>
      </c>
      <c r="F435" s="5" t="s">
        <v>608</v>
      </c>
      <c r="G435" s="5" t="s">
        <v>609</v>
      </c>
      <c r="H435" s="5" t="s">
        <v>608</v>
      </c>
      <c r="I435" s="5" t="s">
        <v>63</v>
      </c>
      <c r="J435" s="5" t="s">
        <v>100</v>
      </c>
      <c r="K435" s="5" t="s">
        <v>65</v>
      </c>
      <c r="L435" s="6" t="n">
        <v>45013</v>
      </c>
      <c r="M435" s="5" t="s">
        <v>104</v>
      </c>
      <c r="N435" s="6" t="n">
        <v>34576</v>
      </c>
      <c r="O435" s="5" t="s">
        <v>365</v>
      </c>
      <c r="P435" s="5" t="s">
        <v>365</v>
      </c>
      <c r="Q435" s="5" t="s">
        <v>103</v>
      </c>
      <c r="R435" s="5" t="s">
        <v>701</v>
      </c>
      <c r="S435" s="5" t="s">
        <v>399</v>
      </c>
      <c r="T435" s="6"/>
      <c r="U435" s="6"/>
      <c r="V435" s="5"/>
      <c r="W435" s="5"/>
      <c r="X435" s="5" t="s">
        <v>141</v>
      </c>
      <c r="Y435" s="5" t="s">
        <v>83</v>
      </c>
      <c r="Z435" s="5" t="s">
        <v>141</v>
      </c>
      <c r="AA435" s="5" t="s">
        <v>1813</v>
      </c>
      <c r="AB435" s="0" t="n">
        <f aca="false">IFERROR(VALUE(R435),0)</f>
        <v>6.11</v>
      </c>
      <c r="AC435" s="0" t="n">
        <f aca="false">IFERROR(VALUE(M435),"")</f>
        <v>31.9</v>
      </c>
      <c r="AD435" s="0" t="n">
        <f aca="false">IFERROR(VALUE(Q435),"")</f>
        <v>3.2</v>
      </c>
      <c r="AE435" s="0" t="n">
        <f aca="false">IFERROR(VALUE(S435),"")</f>
        <v>10.1</v>
      </c>
      <c r="AF435" s="0" t="str">
        <f aca="false">IF(V435="","",VLOOKUP(V435,Assumptions!$B$6:$C$9,2,FALSE()))</f>
        <v/>
      </c>
      <c r="AG435" s="0" t="str">
        <f aca="false">IF(W435="","",VLOOKUP(W435,Assumptions!$B$6:$C$9,2,FALSE()))</f>
        <v/>
      </c>
      <c r="AH435" s="0" t="n">
        <f aca="false">IF(X435="","",VLOOKUP(X435,Assumptions!$B$6:$C$9,2,FALSE()))</f>
        <v>3</v>
      </c>
      <c r="AI435" s="0" t="n">
        <f aca="false">IF(Y435="","",VLOOKUP(Y435,Assumptions!$B$6:$C$9,2,FALSE()))</f>
        <v>4</v>
      </c>
      <c r="AJ435" s="0" t="n">
        <f aca="false">IF(Z435="","",VLOOKUP(Z435,Assumptions!$B$6:$C$9,2,FALSE()))</f>
        <v>3</v>
      </c>
      <c r="AK435" s="7" t="n">
        <f aca="false">IFERROR(ROUND(AVERAGE(AF435:AJ435),3),"")</f>
        <v>3.333</v>
      </c>
      <c r="AL435" s="7" t="str">
        <f aca="false">IF(OR(AF435="",AJ435=""),"",AJ435-AF435)</f>
        <v/>
      </c>
      <c r="AM435" s="7" t="n">
        <f aca="false">IF(COUNT(AF435:AJ435)&gt;=2,ROUND(_xlfn.STDEV.S(AF435:AJ435),3),"")</f>
        <v>0.577</v>
      </c>
      <c r="AN435" s="7" t="n">
        <f aca="false">ROUND((IF(AF435="",0,AF435)*Assumptions!$F$15)+(IF(AG435="",0,AG435)*Assumptions!$F$16)+(IF(AH435="",0,AH435)*Assumptions!$F$17)+(IF(AI435="",0,AI435)*Assumptions!$F$18)+(IF(AJ435="",0,AJ435)*Assumptions!$F$19),3)</f>
        <v>2.5</v>
      </c>
      <c r="AO435" s="0" t="str">
        <f aca="false">IF(AC435&lt;=20,"",IF(AC435&lt;=Assumptions!$F$6,"20-30",IF(AC435&lt;=Assumptions!$F$7,"30-40",IF(AC435&lt;=Assumptions!$F$8,"40-50",IF(AC435&lt;=Assumptions!$F$9,"50-60",IF(AC435&lt;=Assumptions!$F$10,"60+",""))))))</f>
        <v>30-40</v>
      </c>
      <c r="AP435" s="0" t="str">
        <f aca="false">IFERROR(VLOOKUP(O435,Assumptions!$B$14:$C$26,2,FALSE()),"Other")</f>
        <v>Manager</v>
      </c>
      <c r="AQ435" s="0" t="n">
        <f aca="false">IF(T435="",0,1)</f>
        <v>0</v>
      </c>
      <c r="AR435" s="0" t="n">
        <f aca="false">IF(U435="",0,1)</f>
        <v>0</v>
      </c>
      <c r="AS435" s="8" t="n">
        <f aca="false">IF(AK435="","",IF(MAX($AK$2:$AK$921)=MIN($AK$2:$AK$921),50,ROUND((AK435-MIN($AK$2:$AK$921))/(MAX($AK$2:$AK$921)-MIN($AK$2:$AK$921))*100,2)))</f>
        <v>71.41</v>
      </c>
      <c r="AT435" s="8" t="n">
        <f aca="false">IF(MAX($BC$2:$BC$921)=MIN($BC$2:$BC$921),50,ROUND((BC435-MIN($BC$2:$BC$921))/(MAX($BC$2:$BC$921)-MIN($BC$2:$BC$921))*100,2))</f>
        <v>50</v>
      </c>
      <c r="AU435" s="8" t="n">
        <f aca="false">IF(MAX($BE$2:$BE$921)=MIN($BE$2:$BE$921),50,ROUND((BE435-MIN($BE$2:$BE$921))/(MAX($BE$2:$BE$921)-MIN($BE$2:$BE$921))*100,2))</f>
        <v>66.69</v>
      </c>
      <c r="AV435" s="8" t="n">
        <f aca="false">IF(MAX($AD$2:$AD$921)=MIN($AD$2:$AD$921),50,ROUND((AD435-MIN($AD$2:$AD$921))/(MAX($AD$2:$AD$921)-MIN($AD$2:$AD$921))*100,2))</f>
        <v>8.4</v>
      </c>
      <c r="AW435" s="8" t="n">
        <f aca="false">IF(MAX($AN$2:$AN$921)=MIN($AN$2:$AN$921),50,ROUND((AN435-MIN($AN$2:$AN$921))/(MAX($AN$2:$AN$921)-MIN($AN$2:$AN$921))*100,2))</f>
        <v>62.5</v>
      </c>
      <c r="AX435" s="8" t="n">
        <f aca="false">AQ435*100</f>
        <v>0</v>
      </c>
      <c r="AY435" s="8" t="n">
        <f aca="false">AR435*100</f>
        <v>0</v>
      </c>
      <c r="AZ435" s="8" t="n">
        <f aca="false">IFERROR(ROUND(AS435*Assumptions!$I$6+AW435*Assumptions!$I$7+AT435*Assumptions!$I$8+AU435*Assumptions!$I$9+AV435*Assumptions!$I$10+AX435*Assumptions!$I$11+AY435*Assumptions!$I$12,2),"")</f>
        <v>52.27</v>
      </c>
      <c r="BA435" s="0" t="str">
        <f aca="false">IF(AZ435="","",IF(AZ435&lt;=Assumptions!$I$18,"Below Expectation",IF(AZ435&lt;=Assumptions!$I$19,"Developing",IF(AZ435&lt;=Assumptions!$I$20,"Meets Expectation",IF(AZ435&lt;=Assumptions!$I$21,"Exceeds","Star Performer")))))</f>
        <v>Developing</v>
      </c>
      <c r="BB435" s="0" t="n">
        <f aca="false">IF(AZ435="",0,IF(AZ435&gt;=Assumptions!$I$26,1,0))</f>
        <v>0</v>
      </c>
      <c r="BC435" s="9" t="n">
        <f aca="false">IF(AL435="",2,AL435+2)</f>
        <v>2</v>
      </c>
      <c r="BD435" s="10" t="n">
        <f aca="false">IF(AM435="",ROUND(AVERAGE($AM$2:$AM$921),3),AM435)</f>
        <v>0.577</v>
      </c>
      <c r="BE435" s="9" t="n">
        <f aca="false">1-BD435</f>
        <v>0.423</v>
      </c>
    </row>
    <row r="436" customFormat="false" ht="14.25" hidden="true" customHeight="false" outlineLevel="0" collapsed="false">
      <c r="A436" s="4" t="n">
        <v>43</v>
      </c>
      <c r="B436" s="5" t="n">
        <v>10006847</v>
      </c>
      <c r="C436" s="5" t="s">
        <v>85</v>
      </c>
      <c r="D436" s="5" t="s">
        <v>1814</v>
      </c>
      <c r="E436" s="5" t="s">
        <v>775</v>
      </c>
      <c r="F436" s="5" t="s">
        <v>1187</v>
      </c>
      <c r="G436" s="5" t="s">
        <v>619</v>
      </c>
      <c r="H436" s="5" t="s">
        <v>618</v>
      </c>
      <c r="I436" s="5" t="s">
        <v>63</v>
      </c>
      <c r="J436" s="5" t="s">
        <v>76</v>
      </c>
      <c r="K436" s="5" t="s">
        <v>65</v>
      </c>
      <c r="L436" s="6" t="n">
        <v>38420</v>
      </c>
      <c r="M436" s="5" t="s">
        <v>1815</v>
      </c>
      <c r="N436" s="6" t="n">
        <v>28219</v>
      </c>
      <c r="O436" s="5" t="s">
        <v>262</v>
      </c>
      <c r="P436" s="5" t="s">
        <v>263</v>
      </c>
      <c r="Q436" s="5" t="s">
        <v>996</v>
      </c>
      <c r="R436" s="5" t="s">
        <v>81</v>
      </c>
      <c r="S436" s="5" t="s">
        <v>124</v>
      </c>
      <c r="T436" s="6" t="n">
        <v>41000</v>
      </c>
      <c r="U436" s="6" t="n">
        <v>44440</v>
      </c>
      <c r="V436" s="5" t="s">
        <v>631</v>
      </c>
      <c r="W436" s="5" t="s">
        <v>141</v>
      </c>
      <c r="X436" s="5" t="s">
        <v>631</v>
      </c>
      <c r="Y436" s="5" t="s">
        <v>631</v>
      </c>
      <c r="Z436" s="5" t="s">
        <v>631</v>
      </c>
      <c r="AA436" s="5" t="s">
        <v>1816</v>
      </c>
      <c r="AB436" s="0" t="n">
        <f aca="false">IFERROR(VALUE(R436),0)</f>
        <v>4.5</v>
      </c>
      <c r="AC436" s="0" t="n">
        <f aca="false">IFERROR(VALUE(M436),"")</f>
        <v>49.2</v>
      </c>
      <c r="AD436" s="0" t="n">
        <f aca="false">IFERROR(VALUE(Q436),"")</f>
        <v>21.2</v>
      </c>
      <c r="AE436" s="0" t="n">
        <f aca="false">IFERROR(VALUE(S436),"")</f>
        <v>25.7</v>
      </c>
      <c r="AF436" s="0" t="n">
        <f aca="false">IF(V436="","",VLOOKUP(V436,Assumptions!$B$6:$C$9,2,FALSE()))</f>
        <v>2</v>
      </c>
      <c r="AG436" s="0" t="n">
        <f aca="false">IF(W436="","",VLOOKUP(W436,Assumptions!$B$6:$C$9,2,FALSE()))</f>
        <v>3</v>
      </c>
      <c r="AH436" s="0" t="n">
        <f aca="false">IF(X436="","",VLOOKUP(X436,Assumptions!$B$6:$C$9,2,FALSE()))</f>
        <v>2</v>
      </c>
      <c r="AI436" s="0" t="n">
        <f aca="false">IF(Y436="","",VLOOKUP(Y436,Assumptions!$B$6:$C$9,2,FALSE()))</f>
        <v>2</v>
      </c>
      <c r="AJ436" s="0" t="n">
        <f aca="false">IF(Z436="","",VLOOKUP(Z436,Assumptions!$B$6:$C$9,2,FALSE()))</f>
        <v>2</v>
      </c>
      <c r="AK436" s="7" t="n">
        <f aca="false">IFERROR(ROUND(AVERAGE(AF436:AJ436),3),"")</f>
        <v>2.2</v>
      </c>
      <c r="AL436" s="7" t="n">
        <f aca="false">IF(OR(AF436="",AJ436=""),"",AJ436-AF436)</f>
        <v>0</v>
      </c>
      <c r="AM436" s="7" t="n">
        <f aca="false">IF(COUNT(AF436:AJ436)&gt;=2,ROUND(_xlfn.STDEV.S(AF436:AJ436),3),"")</f>
        <v>0.447</v>
      </c>
      <c r="AN436" s="7" t="n">
        <f aca="false">ROUND((IF(AF436="",0,AF436)*Assumptions!$F$15)+(IF(AG436="",0,AG436)*Assumptions!$F$16)+(IF(AH436="",0,AH436)*Assumptions!$F$17)+(IF(AI436="",0,AI436)*Assumptions!$F$18)+(IF(AJ436="",0,AJ436)*Assumptions!$F$19),3)</f>
        <v>2.15</v>
      </c>
      <c r="AO436" s="0" t="str">
        <f aca="false">IF(AC436&lt;=20,"",IF(AC436&lt;=Assumptions!$F$6,"20-30",IF(AC436&lt;=Assumptions!$F$7,"30-40",IF(AC436&lt;=Assumptions!$F$8,"40-50",IF(AC436&lt;=Assumptions!$F$9,"50-60",IF(AC436&lt;=Assumptions!$F$10,"60+",""))))))</f>
        <v>40-50</v>
      </c>
      <c r="AP436" s="0" t="str">
        <f aca="false">IFERROR(VLOOKUP(O436,Assumptions!$B$14:$C$26,2,FALSE()),"Other")</f>
        <v>Manager</v>
      </c>
      <c r="AQ436" s="0" t="n">
        <f aca="false">IF(T436="",0,1)</f>
        <v>1</v>
      </c>
      <c r="AR436" s="0" t="n">
        <f aca="false">IF(U436="",0,1)</f>
        <v>1</v>
      </c>
      <c r="AS436" s="8" t="n">
        <f aca="false">IF(AK436="","",IF(MAX($AK$2:$AK$921)=MIN($AK$2:$AK$921),50,ROUND((AK436-MIN($AK$2:$AK$921))/(MAX($AK$2:$AK$921)-MIN($AK$2:$AK$921))*100,2)))</f>
        <v>22.85</v>
      </c>
      <c r="AT436" s="8" t="n">
        <f aca="false">IF(MAX($BC$2:$BC$921)=MIN($BC$2:$BC$921),50,ROUND((BC436-MIN($BC$2:$BC$921))/(MAX($BC$2:$BC$921)-MIN($BC$2:$BC$921))*100,2))</f>
        <v>50</v>
      </c>
      <c r="AU436" s="8" t="n">
        <f aca="false">IF(MAX($BE$2:$BE$921)=MIN($BE$2:$BE$921),50,ROUND((BE436-MIN($BE$2:$BE$921))/(MAX($BE$2:$BE$921)-MIN($BE$2:$BE$921))*100,2))</f>
        <v>74.19</v>
      </c>
      <c r="AV436" s="8" t="n">
        <f aca="false">IF(MAX($AD$2:$AD$921)=MIN($AD$2:$AD$921),50,ROUND((AD436-MIN($AD$2:$AD$921))/(MAX($AD$2:$AD$921)-MIN($AD$2:$AD$921))*100,2))</f>
        <v>57.33</v>
      </c>
      <c r="AW436" s="8" t="n">
        <f aca="false">IF(MAX($AN$2:$AN$921)=MIN($AN$2:$AN$921),50,ROUND((AN436-MIN($AN$2:$AN$921))/(MAX($AN$2:$AN$921)-MIN($AN$2:$AN$921))*100,2))</f>
        <v>53.75</v>
      </c>
      <c r="AX436" s="8" t="n">
        <f aca="false">AQ436*100</f>
        <v>100</v>
      </c>
      <c r="AY436" s="8" t="n">
        <f aca="false">AR436*100</f>
        <v>100</v>
      </c>
      <c r="AZ436" s="8" t="n">
        <f aca="false">IFERROR(ROUND(AS436*Assumptions!$I$6+AW436*Assumptions!$I$7+AT436*Assumptions!$I$8+AU436*Assumptions!$I$9+AV436*Assumptions!$I$10+AX436*Assumptions!$I$11+AY436*Assumptions!$I$12,2),"")</f>
        <v>51.97</v>
      </c>
      <c r="BA436" s="0" t="str">
        <f aca="false">IF(AZ436="","",IF(AZ436&lt;=Assumptions!$I$18,"Below Expectation",IF(AZ436&lt;=Assumptions!$I$19,"Developing",IF(AZ436&lt;=Assumptions!$I$20,"Meets Expectation",IF(AZ436&lt;=Assumptions!$I$21,"Exceeds","Star Performer")))))</f>
        <v>Developing</v>
      </c>
      <c r="BB436" s="0" t="n">
        <f aca="false">IF(AZ436="",0,IF(AZ436&gt;=Assumptions!$I$26,1,0))</f>
        <v>0</v>
      </c>
      <c r="BC436" s="9" t="n">
        <f aca="false">IF(AL436="",2,AL436+2)</f>
        <v>2</v>
      </c>
      <c r="BD436" s="10" t="n">
        <f aca="false">IF(AM436="",ROUND(AVERAGE($AM$2:$AM$921),3),AM436)</f>
        <v>0.447</v>
      </c>
      <c r="BE436" s="9" t="n">
        <f aca="false">1-BD436</f>
        <v>0.553</v>
      </c>
    </row>
    <row r="437" customFormat="false" ht="14.25" hidden="true" customHeight="false" outlineLevel="0" collapsed="false">
      <c r="A437" s="4" t="n">
        <v>414</v>
      </c>
      <c r="B437" s="5" t="n">
        <v>50009432</v>
      </c>
      <c r="C437" s="5" t="s">
        <v>57</v>
      </c>
      <c r="D437" s="5" t="s">
        <v>1817</v>
      </c>
      <c r="E437" s="5" t="s">
        <v>500</v>
      </c>
      <c r="F437" s="5" t="s">
        <v>387</v>
      </c>
      <c r="G437" s="5" t="s">
        <v>388</v>
      </c>
      <c r="H437" s="5" t="s">
        <v>387</v>
      </c>
      <c r="I437" s="5" t="s">
        <v>63</v>
      </c>
      <c r="J437" s="5" t="s">
        <v>100</v>
      </c>
      <c r="K437" s="5" t="s">
        <v>65</v>
      </c>
      <c r="L437" s="6" t="n">
        <v>40791</v>
      </c>
      <c r="M437" s="5" t="s">
        <v>907</v>
      </c>
      <c r="N437" s="6" t="n">
        <v>29976</v>
      </c>
      <c r="O437" s="5" t="s">
        <v>262</v>
      </c>
      <c r="P437" s="5" t="s">
        <v>263</v>
      </c>
      <c r="Q437" s="5" t="s">
        <v>1545</v>
      </c>
      <c r="R437" s="5" t="s">
        <v>726</v>
      </c>
      <c r="S437" s="5" t="s">
        <v>517</v>
      </c>
      <c r="T437" s="6"/>
      <c r="U437" s="6" t="n">
        <v>45748</v>
      </c>
      <c r="V437" s="5" t="s">
        <v>141</v>
      </c>
      <c r="W437" s="5" t="s">
        <v>141</v>
      </c>
      <c r="X437" s="5" t="s">
        <v>141</v>
      </c>
      <c r="Y437" s="5" t="s">
        <v>141</v>
      </c>
      <c r="Z437" s="5" t="s">
        <v>631</v>
      </c>
      <c r="AA437" s="5" t="s">
        <v>1818</v>
      </c>
      <c r="AB437" s="0" t="n">
        <f aca="false">IFERROR(VALUE(R437),0)</f>
        <v>5.5</v>
      </c>
      <c r="AC437" s="0" t="n">
        <f aca="false">IFERROR(VALUE(M437),"")</f>
        <v>44.4</v>
      </c>
      <c r="AD437" s="0" t="n">
        <f aca="false">IFERROR(VALUE(Q437),"")</f>
        <v>14.9</v>
      </c>
      <c r="AE437" s="0" t="n">
        <f aca="false">IFERROR(VALUE(S437),"")</f>
        <v>20.2</v>
      </c>
      <c r="AF437" s="0" t="n">
        <f aca="false">IF(V437="","",VLOOKUP(V437,Assumptions!$B$6:$C$9,2,FALSE()))</f>
        <v>3</v>
      </c>
      <c r="AG437" s="0" t="n">
        <f aca="false">IF(W437="","",VLOOKUP(W437,Assumptions!$B$6:$C$9,2,FALSE()))</f>
        <v>3</v>
      </c>
      <c r="AH437" s="0" t="n">
        <f aca="false">IF(X437="","",VLOOKUP(X437,Assumptions!$B$6:$C$9,2,FALSE()))</f>
        <v>3</v>
      </c>
      <c r="AI437" s="0" t="n">
        <f aca="false">IF(Y437="","",VLOOKUP(Y437,Assumptions!$B$6:$C$9,2,FALSE()))</f>
        <v>3</v>
      </c>
      <c r="AJ437" s="0" t="n">
        <f aca="false">IF(Z437="","",VLOOKUP(Z437,Assumptions!$B$6:$C$9,2,FALSE()))</f>
        <v>2</v>
      </c>
      <c r="AK437" s="7" t="n">
        <f aca="false">IFERROR(ROUND(AVERAGE(AF437:AJ437),3),"")</f>
        <v>2.8</v>
      </c>
      <c r="AL437" s="7" t="n">
        <f aca="false">IF(OR(AF437="",AJ437=""),"",AJ437-AF437)</f>
        <v>-1</v>
      </c>
      <c r="AM437" s="7" t="n">
        <f aca="false">IF(COUNT(AF437:AJ437)&gt;=2,ROUND(_xlfn.STDEV.S(AF437:AJ437),3),"")</f>
        <v>0.447</v>
      </c>
      <c r="AN437" s="7" t="n">
        <f aca="false">ROUND((IF(AF437="",0,AF437)*Assumptions!$F$15)+(IF(AG437="",0,AG437)*Assumptions!$F$16)+(IF(AH437="",0,AH437)*Assumptions!$F$17)+(IF(AI437="",0,AI437)*Assumptions!$F$18)+(IF(AJ437="",0,AJ437)*Assumptions!$F$19),3)</f>
        <v>2.7</v>
      </c>
      <c r="AO437" s="0" t="str">
        <f aca="false">IF(AC437&lt;=20,"",IF(AC437&lt;=Assumptions!$F$6,"20-30",IF(AC437&lt;=Assumptions!$F$7,"30-40",IF(AC437&lt;=Assumptions!$F$8,"40-50",IF(AC437&lt;=Assumptions!$F$9,"50-60",IF(AC437&lt;=Assumptions!$F$10,"60+",""))))))</f>
        <v>40-50</v>
      </c>
      <c r="AP437" s="0" t="str">
        <f aca="false">IFERROR(VLOOKUP(O437,Assumptions!$B$14:$C$26,2,FALSE()),"Other")</f>
        <v>Manager</v>
      </c>
      <c r="AQ437" s="0" t="n">
        <f aca="false">IF(T437="",0,1)</f>
        <v>0</v>
      </c>
      <c r="AR437" s="0" t="n">
        <f aca="false">IF(U437="",0,1)</f>
        <v>1</v>
      </c>
      <c r="AS437" s="8" t="n">
        <f aca="false">IF(AK437="","",IF(MAX($AK$2:$AK$921)=MIN($AK$2:$AK$921),50,ROUND((AK437-MIN($AK$2:$AK$921))/(MAX($AK$2:$AK$921)-MIN($AK$2:$AK$921))*100,2)))</f>
        <v>48.56</v>
      </c>
      <c r="AT437" s="8" t="n">
        <f aca="false">IF(MAX($BC$2:$BC$921)=MIN($BC$2:$BC$921),50,ROUND((BC437-MIN($BC$2:$BC$921))/(MAX($BC$2:$BC$921)-MIN($BC$2:$BC$921))*100,2))</f>
        <v>25</v>
      </c>
      <c r="AU437" s="8" t="n">
        <f aca="false">IF(MAX($BE$2:$BE$921)=MIN($BE$2:$BE$921),50,ROUND((BE437-MIN($BE$2:$BE$921))/(MAX($BE$2:$BE$921)-MIN($BE$2:$BE$921))*100,2))</f>
        <v>74.19</v>
      </c>
      <c r="AV437" s="8" t="n">
        <f aca="false">IF(MAX($AD$2:$AD$921)=MIN($AD$2:$AD$921),50,ROUND((AD437-MIN($AD$2:$AD$921))/(MAX($AD$2:$AD$921)-MIN($AD$2:$AD$921))*100,2))</f>
        <v>40.2</v>
      </c>
      <c r="AW437" s="8" t="n">
        <f aca="false">IF(MAX($AN$2:$AN$921)=MIN($AN$2:$AN$921),50,ROUND((AN437-MIN($AN$2:$AN$921))/(MAX($AN$2:$AN$921)-MIN($AN$2:$AN$921))*100,2))</f>
        <v>67.5</v>
      </c>
      <c r="AX437" s="8" t="n">
        <f aca="false">AQ437*100</f>
        <v>0</v>
      </c>
      <c r="AY437" s="8" t="n">
        <f aca="false">AR437*100</f>
        <v>100</v>
      </c>
      <c r="AZ437" s="8" t="n">
        <f aca="false">IFERROR(ROUND(AS437*Assumptions!$I$6+AW437*Assumptions!$I$7+AT437*Assumptions!$I$8+AU437*Assumptions!$I$9+AV437*Assumptions!$I$10+AX437*Assumptions!$I$11+AY437*Assumptions!$I$12,2),"")</f>
        <v>51.97</v>
      </c>
      <c r="BA437" s="0" t="str">
        <f aca="false">IF(AZ437="","",IF(AZ437&lt;=Assumptions!$I$18,"Below Expectation",IF(AZ437&lt;=Assumptions!$I$19,"Developing",IF(AZ437&lt;=Assumptions!$I$20,"Meets Expectation",IF(AZ437&lt;=Assumptions!$I$21,"Exceeds","Star Performer")))))</f>
        <v>Developing</v>
      </c>
      <c r="BB437" s="0" t="n">
        <f aca="false">IF(AZ437="",0,IF(AZ437&gt;=Assumptions!$I$26,1,0))</f>
        <v>0</v>
      </c>
      <c r="BC437" s="9" t="n">
        <f aca="false">IF(AL437="",2,AL437+2)</f>
        <v>1</v>
      </c>
      <c r="BD437" s="10" t="n">
        <f aca="false">IF(AM437="",ROUND(AVERAGE($AM$2:$AM$921),3),AM437)</f>
        <v>0.447</v>
      </c>
      <c r="BE437" s="9" t="n">
        <f aca="false">1-BD437</f>
        <v>0.553</v>
      </c>
    </row>
    <row r="438" customFormat="false" ht="14.25" hidden="true" customHeight="false" outlineLevel="0" collapsed="false">
      <c r="A438" s="4" t="n">
        <v>345</v>
      </c>
      <c r="B438" s="5" t="n">
        <v>37100187</v>
      </c>
      <c r="C438" s="5" t="s">
        <v>85</v>
      </c>
      <c r="D438" s="5" t="s">
        <v>1819</v>
      </c>
      <c r="E438" s="5" t="s">
        <v>865</v>
      </c>
      <c r="F438" s="5" t="s">
        <v>62</v>
      </c>
      <c r="G438" s="5" t="s">
        <v>61</v>
      </c>
      <c r="H438" s="5" t="s">
        <v>62</v>
      </c>
      <c r="I438" s="5" t="s">
        <v>63</v>
      </c>
      <c r="J438" s="5" t="s">
        <v>76</v>
      </c>
      <c r="K438" s="5" t="s">
        <v>65</v>
      </c>
      <c r="L438" s="6" t="n">
        <v>36769</v>
      </c>
      <c r="M438" s="5" t="s">
        <v>692</v>
      </c>
      <c r="N438" s="6" t="n">
        <v>25403</v>
      </c>
      <c r="O438" s="5" t="s">
        <v>89</v>
      </c>
      <c r="P438" s="5" t="s">
        <v>90</v>
      </c>
      <c r="Q438" s="5" t="s">
        <v>574</v>
      </c>
      <c r="R438" s="5" t="s">
        <v>545</v>
      </c>
      <c r="S438" s="5" t="s">
        <v>1103</v>
      </c>
      <c r="T438" s="6" t="n">
        <v>39539</v>
      </c>
      <c r="U438" s="6" t="n">
        <v>44440</v>
      </c>
      <c r="V438" s="5" t="s">
        <v>141</v>
      </c>
      <c r="W438" s="5" t="s">
        <v>631</v>
      </c>
      <c r="X438" s="5" t="s">
        <v>141</v>
      </c>
      <c r="Y438" s="5" t="s">
        <v>631</v>
      </c>
      <c r="Z438" s="5" t="s">
        <v>631</v>
      </c>
      <c r="AA438" s="5" t="s">
        <v>1820</v>
      </c>
      <c r="AB438" s="0" t="n">
        <f aca="false">IFERROR(VALUE(R438),0)</f>
        <v>4.4</v>
      </c>
      <c r="AC438" s="0" t="n">
        <f aca="false">IFERROR(VALUE(M438),"")</f>
        <v>56.1</v>
      </c>
      <c r="AD438" s="0" t="n">
        <f aca="false">IFERROR(VALUE(Q438),"")</f>
        <v>25.9</v>
      </c>
      <c r="AE438" s="0" t="n">
        <f aca="false">IFERROR(VALUE(S438),"")</f>
        <v>30.1</v>
      </c>
      <c r="AF438" s="0" t="n">
        <f aca="false">IF(V438="","",VLOOKUP(V438,Assumptions!$B$6:$C$9,2,FALSE()))</f>
        <v>3</v>
      </c>
      <c r="AG438" s="0" t="n">
        <f aca="false">IF(W438="","",VLOOKUP(W438,Assumptions!$B$6:$C$9,2,FALSE()))</f>
        <v>2</v>
      </c>
      <c r="AH438" s="0" t="n">
        <f aca="false">IF(X438="","",VLOOKUP(X438,Assumptions!$B$6:$C$9,2,FALSE()))</f>
        <v>3</v>
      </c>
      <c r="AI438" s="0" t="n">
        <f aca="false">IF(Y438="","",VLOOKUP(Y438,Assumptions!$B$6:$C$9,2,FALSE()))</f>
        <v>2</v>
      </c>
      <c r="AJ438" s="0" t="n">
        <f aca="false">IF(Z438="","",VLOOKUP(Z438,Assumptions!$B$6:$C$9,2,FALSE()))</f>
        <v>2</v>
      </c>
      <c r="AK438" s="7" t="n">
        <f aca="false">IFERROR(ROUND(AVERAGE(AF438:AJ438),3),"")</f>
        <v>2.4</v>
      </c>
      <c r="AL438" s="7" t="n">
        <f aca="false">IF(OR(AF438="",AJ438=""),"",AJ438-AF438)</f>
        <v>-1</v>
      </c>
      <c r="AM438" s="7" t="n">
        <f aca="false">IF(COUNT(AF438:AJ438)&gt;=2,ROUND(_xlfn.STDEV.S(AF438:AJ438),3),"")</f>
        <v>0.548</v>
      </c>
      <c r="AN438" s="7" t="n">
        <f aca="false">ROUND((IF(AF438="",0,AF438)*Assumptions!$F$15)+(IF(AG438="",0,AG438)*Assumptions!$F$16)+(IF(AH438="",0,AH438)*Assumptions!$F$17)+(IF(AI438="",0,AI438)*Assumptions!$F$18)+(IF(AJ438="",0,AJ438)*Assumptions!$F$19),3)</f>
        <v>2.3</v>
      </c>
      <c r="AO438" s="0" t="str">
        <f aca="false">IF(AC438&lt;=20,"",IF(AC438&lt;=Assumptions!$F$6,"20-30",IF(AC438&lt;=Assumptions!$F$7,"30-40",IF(AC438&lt;=Assumptions!$F$8,"40-50",IF(AC438&lt;=Assumptions!$F$9,"50-60",IF(AC438&lt;=Assumptions!$F$10,"60+",""))))))</f>
        <v>50-60</v>
      </c>
      <c r="AP438" s="0" t="str">
        <f aca="false">IFERROR(VLOOKUP(O438,Assumptions!$B$14:$C$26,2,FALSE()),"Other")</f>
        <v>Leadership</v>
      </c>
      <c r="AQ438" s="0" t="n">
        <f aca="false">IF(T438="",0,1)</f>
        <v>1</v>
      </c>
      <c r="AR438" s="0" t="n">
        <f aca="false">IF(U438="",0,1)</f>
        <v>1</v>
      </c>
      <c r="AS438" s="8" t="n">
        <f aca="false">IF(AK438="","",IF(MAX($AK$2:$AK$921)=MIN($AK$2:$AK$921),50,ROUND((AK438-MIN($AK$2:$AK$921))/(MAX($AK$2:$AK$921)-MIN($AK$2:$AK$921))*100,2)))</f>
        <v>31.42</v>
      </c>
      <c r="AT438" s="8" t="n">
        <f aca="false">IF(MAX($BC$2:$BC$921)=MIN($BC$2:$BC$921),50,ROUND((BC438-MIN($BC$2:$BC$921))/(MAX($BC$2:$BC$921)-MIN($BC$2:$BC$921))*100,2))</f>
        <v>25</v>
      </c>
      <c r="AU438" s="8" t="n">
        <f aca="false">IF(MAX($BE$2:$BE$921)=MIN($BE$2:$BE$921),50,ROUND((BE438-MIN($BE$2:$BE$921))/(MAX($BE$2:$BE$921)-MIN($BE$2:$BE$921))*100,2))</f>
        <v>68.36</v>
      </c>
      <c r="AV438" s="8" t="n">
        <f aca="false">IF(MAX($AD$2:$AD$921)=MIN($AD$2:$AD$921),50,ROUND((AD438-MIN($AD$2:$AD$921))/(MAX($AD$2:$AD$921)-MIN($AD$2:$AD$921))*100,2))</f>
        <v>70.1</v>
      </c>
      <c r="AW438" s="8" t="n">
        <f aca="false">IF(MAX($AN$2:$AN$921)=MIN($AN$2:$AN$921),50,ROUND((AN438-MIN($AN$2:$AN$921))/(MAX($AN$2:$AN$921)-MIN($AN$2:$AN$921))*100,2))</f>
        <v>57.5</v>
      </c>
      <c r="AX438" s="8" t="n">
        <f aca="false">AQ438*100</f>
        <v>100</v>
      </c>
      <c r="AY438" s="8" t="n">
        <f aca="false">AR438*100</f>
        <v>100</v>
      </c>
      <c r="AZ438" s="8" t="n">
        <f aca="false">IFERROR(ROUND(AS438*Assumptions!$I$6+AW438*Assumptions!$I$7+AT438*Assumptions!$I$8+AU438*Assumptions!$I$9+AV438*Assumptions!$I$10+AX438*Assumptions!$I$11+AY438*Assumptions!$I$12,2),"")</f>
        <v>51.94</v>
      </c>
      <c r="BA438" s="0" t="str">
        <f aca="false">IF(AZ438="","",IF(AZ438&lt;=Assumptions!$I$18,"Below Expectation",IF(AZ438&lt;=Assumptions!$I$19,"Developing",IF(AZ438&lt;=Assumptions!$I$20,"Meets Expectation",IF(AZ438&lt;=Assumptions!$I$21,"Exceeds","Star Performer")))))</f>
        <v>Developing</v>
      </c>
      <c r="BB438" s="0" t="n">
        <f aca="false">IF(AZ438="",0,IF(AZ438&gt;=Assumptions!$I$26,1,0))</f>
        <v>0</v>
      </c>
      <c r="BC438" s="9" t="n">
        <f aca="false">IF(AL438="",2,AL438+2)</f>
        <v>1</v>
      </c>
      <c r="BD438" s="10" t="n">
        <f aca="false">IF(AM438="",ROUND(AVERAGE($AM$2:$AM$921),3),AM438)</f>
        <v>0.548</v>
      </c>
      <c r="BE438" s="9" t="n">
        <f aca="false">1-BD438</f>
        <v>0.452</v>
      </c>
    </row>
    <row r="439" customFormat="false" ht="14.25" hidden="true" customHeight="false" outlineLevel="0" collapsed="false">
      <c r="A439" s="4" t="n">
        <v>697</v>
      </c>
      <c r="B439" s="5" t="n">
        <v>55063940</v>
      </c>
      <c r="C439" s="5" t="s">
        <v>57</v>
      </c>
      <c r="D439" s="5" t="s">
        <v>1821</v>
      </c>
      <c r="E439" s="5" t="s">
        <v>500</v>
      </c>
      <c r="F439" s="5" t="s">
        <v>608</v>
      </c>
      <c r="G439" s="5" t="s">
        <v>609</v>
      </c>
      <c r="H439" s="5" t="s">
        <v>608</v>
      </c>
      <c r="I439" s="5" t="s">
        <v>63</v>
      </c>
      <c r="J439" s="5" t="s">
        <v>100</v>
      </c>
      <c r="K439" s="5" t="s">
        <v>65</v>
      </c>
      <c r="L439" s="6" t="n">
        <v>44929</v>
      </c>
      <c r="M439" s="5" t="s">
        <v>1822</v>
      </c>
      <c r="N439" s="6" t="n">
        <v>34430</v>
      </c>
      <c r="O439" s="5" t="s">
        <v>365</v>
      </c>
      <c r="P439" s="5" t="s">
        <v>365</v>
      </c>
      <c r="Q439" s="5" t="s">
        <v>164</v>
      </c>
      <c r="R439" s="5" t="s">
        <v>459</v>
      </c>
      <c r="S439" s="5" t="s">
        <v>324</v>
      </c>
      <c r="T439" s="6"/>
      <c r="U439" s="6"/>
      <c r="V439" s="5"/>
      <c r="W439" s="5"/>
      <c r="X439" s="5" t="s">
        <v>141</v>
      </c>
      <c r="Y439" s="5" t="s">
        <v>141</v>
      </c>
      <c r="Z439" s="5" t="s">
        <v>141</v>
      </c>
      <c r="AA439" s="5" t="s">
        <v>1823</v>
      </c>
      <c r="AB439" s="0" t="n">
        <f aca="false">IFERROR(VALUE(R439),0)</f>
        <v>7</v>
      </c>
      <c r="AC439" s="0" t="n">
        <f aca="false">IFERROR(VALUE(M439),"")</f>
        <v>32.2</v>
      </c>
      <c r="AD439" s="0" t="n">
        <f aca="false">IFERROR(VALUE(Q439),"")</f>
        <v>3.5</v>
      </c>
      <c r="AE439" s="0" t="n">
        <f aca="false">IFERROR(VALUE(S439),"")</f>
        <v>10.5</v>
      </c>
      <c r="AF439" s="0" t="str">
        <f aca="false">IF(V439="","",VLOOKUP(V439,Assumptions!$B$6:$C$9,2,FALSE()))</f>
        <v/>
      </c>
      <c r="AG439" s="0" t="str">
        <f aca="false">IF(W439="","",VLOOKUP(W439,Assumptions!$B$6:$C$9,2,FALSE()))</f>
        <v/>
      </c>
      <c r="AH439" s="0" t="n">
        <f aca="false">IF(X439="","",VLOOKUP(X439,Assumptions!$B$6:$C$9,2,FALSE()))</f>
        <v>3</v>
      </c>
      <c r="AI439" s="0" t="n">
        <f aca="false">IF(Y439="","",VLOOKUP(Y439,Assumptions!$B$6:$C$9,2,FALSE()))</f>
        <v>3</v>
      </c>
      <c r="AJ439" s="0" t="n">
        <f aca="false">IF(Z439="","",VLOOKUP(Z439,Assumptions!$B$6:$C$9,2,FALSE()))</f>
        <v>3</v>
      </c>
      <c r="AK439" s="7" t="n">
        <f aca="false">IFERROR(ROUND(AVERAGE(AF439:AJ439),3),"")</f>
        <v>3</v>
      </c>
      <c r="AL439" s="7" t="str">
        <f aca="false">IF(OR(AF439="",AJ439=""),"",AJ439-AF439)</f>
        <v/>
      </c>
      <c r="AM439" s="7" t="n">
        <f aca="false">IF(COUNT(AF439:AJ439)&gt;=2,ROUND(_xlfn.STDEV.S(AF439:AJ439),3),"")</f>
        <v>0</v>
      </c>
      <c r="AN439" s="7" t="n">
        <f aca="false">ROUND((IF(AF439="",0,AF439)*Assumptions!$F$15)+(IF(AG439="",0,AG439)*Assumptions!$F$16)+(IF(AH439="",0,AH439)*Assumptions!$F$17)+(IF(AI439="",0,AI439)*Assumptions!$F$18)+(IF(AJ439="",0,AJ439)*Assumptions!$F$19),3)</f>
        <v>2.25</v>
      </c>
      <c r="AO439" s="0" t="str">
        <f aca="false">IF(AC439&lt;=20,"",IF(AC439&lt;=Assumptions!$F$6,"20-30",IF(AC439&lt;=Assumptions!$F$7,"30-40",IF(AC439&lt;=Assumptions!$F$8,"40-50",IF(AC439&lt;=Assumptions!$F$9,"50-60",IF(AC439&lt;=Assumptions!$F$10,"60+",""))))))</f>
        <v>30-40</v>
      </c>
      <c r="AP439" s="0" t="str">
        <f aca="false">IFERROR(VLOOKUP(O439,Assumptions!$B$14:$C$26,2,FALSE()),"Other")</f>
        <v>Manager</v>
      </c>
      <c r="AQ439" s="0" t="n">
        <f aca="false">IF(T439="",0,1)</f>
        <v>0</v>
      </c>
      <c r="AR439" s="0" t="n">
        <f aca="false">IF(U439="",0,1)</f>
        <v>0</v>
      </c>
      <c r="AS439" s="8" t="n">
        <f aca="false">IF(AK439="","",IF(MAX($AK$2:$AK$921)=MIN($AK$2:$AK$921),50,ROUND((AK439-MIN($AK$2:$AK$921))/(MAX($AK$2:$AK$921)-MIN($AK$2:$AK$921))*100,2)))</f>
        <v>57.14</v>
      </c>
      <c r="AT439" s="8" t="n">
        <f aca="false">IF(MAX($BC$2:$BC$921)=MIN($BC$2:$BC$921),50,ROUND((BC439-MIN($BC$2:$BC$921))/(MAX($BC$2:$BC$921)-MIN($BC$2:$BC$921))*100,2))</f>
        <v>50</v>
      </c>
      <c r="AU439" s="8" t="n">
        <f aca="false">IF(MAX($BE$2:$BE$921)=MIN($BE$2:$BE$921),50,ROUND((BE439-MIN($BE$2:$BE$921))/(MAX($BE$2:$BE$921)-MIN($BE$2:$BE$921))*100,2))</f>
        <v>100</v>
      </c>
      <c r="AV439" s="8" t="n">
        <f aca="false">IF(MAX($AD$2:$AD$921)=MIN($AD$2:$AD$921),50,ROUND((AD439-MIN($AD$2:$AD$921))/(MAX($AD$2:$AD$921)-MIN($AD$2:$AD$921))*100,2))</f>
        <v>9.21</v>
      </c>
      <c r="AW439" s="8" t="n">
        <f aca="false">IF(MAX($AN$2:$AN$921)=MIN($AN$2:$AN$921),50,ROUND((AN439-MIN($AN$2:$AN$921))/(MAX($AN$2:$AN$921)-MIN($AN$2:$AN$921))*100,2))</f>
        <v>56.25</v>
      </c>
      <c r="AX439" s="8" t="n">
        <f aca="false">AQ439*100</f>
        <v>0</v>
      </c>
      <c r="AY439" s="8" t="n">
        <f aca="false">AR439*100</f>
        <v>0</v>
      </c>
      <c r="AZ439" s="8" t="n">
        <f aca="false">IFERROR(ROUND(AS439*Assumptions!$I$6+AW439*Assumptions!$I$7+AT439*Assumptions!$I$8+AU439*Assumptions!$I$9+AV439*Assumptions!$I$10+AX439*Assumptions!$I$11+AY439*Assumptions!$I$12,2),"")</f>
        <v>51.81</v>
      </c>
      <c r="BA439" s="0" t="str">
        <f aca="false">IF(AZ439="","",IF(AZ439&lt;=Assumptions!$I$18,"Below Expectation",IF(AZ439&lt;=Assumptions!$I$19,"Developing",IF(AZ439&lt;=Assumptions!$I$20,"Meets Expectation",IF(AZ439&lt;=Assumptions!$I$21,"Exceeds","Star Performer")))))</f>
        <v>Developing</v>
      </c>
      <c r="BB439" s="0" t="n">
        <f aca="false">IF(AZ439="",0,IF(AZ439&gt;=Assumptions!$I$26,1,0))</f>
        <v>0</v>
      </c>
      <c r="BC439" s="9" t="n">
        <f aca="false">IF(AL439="",2,AL439+2)</f>
        <v>2</v>
      </c>
      <c r="BD439" s="10" t="n">
        <f aca="false">IF(AM439="",ROUND(AVERAGE($AM$2:$AM$921),3),AM439)</f>
        <v>0</v>
      </c>
      <c r="BE439" s="9" t="n">
        <f aca="false">1-BD439</f>
        <v>1</v>
      </c>
    </row>
    <row r="440" customFormat="false" ht="14.25" hidden="true" customHeight="false" outlineLevel="0" collapsed="false">
      <c r="A440" s="4" t="n">
        <v>724</v>
      </c>
      <c r="B440" s="5" t="n">
        <v>55067233</v>
      </c>
      <c r="C440" s="5" t="s">
        <v>149</v>
      </c>
      <c r="D440" s="5" t="s">
        <v>1824</v>
      </c>
      <c r="E440" s="5" t="s">
        <v>1226</v>
      </c>
      <c r="F440" s="5" t="s">
        <v>1399</v>
      </c>
      <c r="G440" s="5" t="s">
        <v>1400</v>
      </c>
      <c r="H440" s="5" t="s">
        <v>1399</v>
      </c>
      <c r="I440" s="5" t="s">
        <v>63</v>
      </c>
      <c r="J440" s="5" t="s">
        <v>100</v>
      </c>
      <c r="K440" s="5" t="s">
        <v>65</v>
      </c>
      <c r="L440" s="6" t="n">
        <v>45005</v>
      </c>
      <c r="M440" s="5" t="s">
        <v>1825</v>
      </c>
      <c r="N440" s="6" t="n">
        <v>35467</v>
      </c>
      <c r="O440" s="5" t="s">
        <v>365</v>
      </c>
      <c r="P440" s="5" t="s">
        <v>365</v>
      </c>
      <c r="Q440" s="5" t="s">
        <v>103</v>
      </c>
      <c r="R440" s="5" t="s">
        <v>820</v>
      </c>
      <c r="S440" s="5" t="s">
        <v>147</v>
      </c>
      <c r="T440" s="6"/>
      <c r="U440" s="6"/>
      <c r="V440" s="5"/>
      <c r="W440" s="5"/>
      <c r="X440" s="5" t="s">
        <v>141</v>
      </c>
      <c r="Y440" s="5" t="s">
        <v>141</v>
      </c>
      <c r="Z440" s="5" t="s">
        <v>141</v>
      </c>
      <c r="AA440" s="5" t="s">
        <v>1826</v>
      </c>
      <c r="AB440" s="0" t="n">
        <f aca="false">IFERROR(VALUE(R440),0)</f>
        <v>2.4</v>
      </c>
      <c r="AC440" s="0" t="n">
        <f aca="false">IFERROR(VALUE(M440),"")</f>
        <v>29.4</v>
      </c>
      <c r="AD440" s="0" t="n">
        <f aca="false">IFERROR(VALUE(Q440),"")</f>
        <v>3.2</v>
      </c>
      <c r="AE440" s="0" t="n">
        <f aca="false">IFERROR(VALUE(S440),"")</f>
        <v>5.6</v>
      </c>
      <c r="AF440" s="0" t="str">
        <f aca="false">IF(V440="","",VLOOKUP(V440,Assumptions!$B$6:$C$9,2,FALSE()))</f>
        <v/>
      </c>
      <c r="AG440" s="0" t="str">
        <f aca="false">IF(W440="","",VLOOKUP(W440,Assumptions!$B$6:$C$9,2,FALSE()))</f>
        <v/>
      </c>
      <c r="AH440" s="0" t="n">
        <f aca="false">IF(X440="","",VLOOKUP(X440,Assumptions!$B$6:$C$9,2,FALSE()))</f>
        <v>3</v>
      </c>
      <c r="AI440" s="0" t="n">
        <f aca="false">IF(Y440="","",VLOOKUP(Y440,Assumptions!$B$6:$C$9,2,FALSE()))</f>
        <v>3</v>
      </c>
      <c r="AJ440" s="0" t="n">
        <f aca="false">IF(Z440="","",VLOOKUP(Z440,Assumptions!$B$6:$C$9,2,FALSE()))</f>
        <v>3</v>
      </c>
      <c r="AK440" s="7" t="n">
        <f aca="false">IFERROR(ROUND(AVERAGE(AF440:AJ440),3),"")</f>
        <v>3</v>
      </c>
      <c r="AL440" s="7" t="str">
        <f aca="false">IF(OR(AF440="",AJ440=""),"",AJ440-AF440)</f>
        <v/>
      </c>
      <c r="AM440" s="7" t="n">
        <f aca="false">IF(COUNT(AF440:AJ440)&gt;=2,ROUND(_xlfn.STDEV.S(AF440:AJ440),3),"")</f>
        <v>0</v>
      </c>
      <c r="AN440" s="7" t="n">
        <f aca="false">ROUND((IF(AF440="",0,AF440)*Assumptions!$F$15)+(IF(AG440="",0,AG440)*Assumptions!$F$16)+(IF(AH440="",0,AH440)*Assumptions!$F$17)+(IF(AI440="",0,AI440)*Assumptions!$F$18)+(IF(AJ440="",0,AJ440)*Assumptions!$F$19),3)</f>
        <v>2.25</v>
      </c>
      <c r="AO440" s="0" t="str">
        <f aca="false">IF(AC440&lt;=20,"",IF(AC440&lt;=Assumptions!$F$6,"20-30",IF(AC440&lt;=Assumptions!$F$7,"30-40",IF(AC440&lt;=Assumptions!$F$8,"40-50",IF(AC440&lt;=Assumptions!$F$9,"50-60",IF(AC440&lt;=Assumptions!$F$10,"60+",""))))))</f>
        <v>20-30</v>
      </c>
      <c r="AP440" s="0" t="str">
        <f aca="false">IFERROR(VLOOKUP(O440,Assumptions!$B$14:$C$26,2,FALSE()),"Other")</f>
        <v>Manager</v>
      </c>
      <c r="AQ440" s="0" t="n">
        <f aca="false">IF(T440="",0,1)</f>
        <v>0</v>
      </c>
      <c r="AR440" s="0" t="n">
        <f aca="false">IF(U440="",0,1)</f>
        <v>0</v>
      </c>
      <c r="AS440" s="8" t="n">
        <f aca="false">IF(AK440="","",IF(MAX($AK$2:$AK$921)=MIN($AK$2:$AK$921),50,ROUND((AK440-MIN($AK$2:$AK$921))/(MAX($AK$2:$AK$921)-MIN($AK$2:$AK$921))*100,2)))</f>
        <v>57.14</v>
      </c>
      <c r="AT440" s="8" t="n">
        <f aca="false">IF(MAX($BC$2:$BC$921)=MIN($BC$2:$BC$921),50,ROUND((BC440-MIN($BC$2:$BC$921))/(MAX($BC$2:$BC$921)-MIN($BC$2:$BC$921))*100,2))</f>
        <v>50</v>
      </c>
      <c r="AU440" s="8" t="n">
        <f aca="false">IF(MAX($BE$2:$BE$921)=MIN($BE$2:$BE$921),50,ROUND((BE440-MIN($BE$2:$BE$921))/(MAX($BE$2:$BE$921)-MIN($BE$2:$BE$921))*100,2))</f>
        <v>100</v>
      </c>
      <c r="AV440" s="8" t="n">
        <f aca="false">IF(MAX($AD$2:$AD$921)=MIN($AD$2:$AD$921),50,ROUND((AD440-MIN($AD$2:$AD$921))/(MAX($AD$2:$AD$921)-MIN($AD$2:$AD$921))*100,2))</f>
        <v>8.4</v>
      </c>
      <c r="AW440" s="8" t="n">
        <f aca="false">IF(MAX($AN$2:$AN$921)=MIN($AN$2:$AN$921),50,ROUND((AN440-MIN($AN$2:$AN$921))/(MAX($AN$2:$AN$921)-MIN($AN$2:$AN$921))*100,2))</f>
        <v>56.25</v>
      </c>
      <c r="AX440" s="8" t="n">
        <f aca="false">AQ440*100</f>
        <v>0</v>
      </c>
      <c r="AY440" s="8" t="n">
        <f aca="false">AR440*100</f>
        <v>0</v>
      </c>
      <c r="AZ440" s="8" t="n">
        <f aca="false">IFERROR(ROUND(AS440*Assumptions!$I$6+AW440*Assumptions!$I$7+AT440*Assumptions!$I$8+AU440*Assumptions!$I$9+AV440*Assumptions!$I$10+AX440*Assumptions!$I$11+AY440*Assumptions!$I$12,2),"")</f>
        <v>51.73</v>
      </c>
      <c r="BA440" s="0" t="str">
        <f aca="false">IF(AZ440="","",IF(AZ440&lt;=Assumptions!$I$18,"Below Expectation",IF(AZ440&lt;=Assumptions!$I$19,"Developing",IF(AZ440&lt;=Assumptions!$I$20,"Meets Expectation",IF(AZ440&lt;=Assumptions!$I$21,"Exceeds","Star Performer")))))</f>
        <v>Developing</v>
      </c>
      <c r="BB440" s="0" t="n">
        <f aca="false">IF(AZ440="",0,IF(AZ440&gt;=Assumptions!$I$26,1,0))</f>
        <v>0</v>
      </c>
      <c r="BC440" s="9" t="n">
        <f aca="false">IF(AL440="",2,AL440+2)</f>
        <v>2</v>
      </c>
      <c r="BD440" s="10" t="n">
        <f aca="false">IF(AM440="",ROUND(AVERAGE($AM$2:$AM$921),3),AM440)</f>
        <v>0</v>
      </c>
      <c r="BE440" s="9" t="n">
        <f aca="false">1-BD440</f>
        <v>1</v>
      </c>
    </row>
    <row r="441" customFormat="false" ht="14.25" hidden="false" customHeight="false" outlineLevel="0" collapsed="false">
      <c r="A441" s="4" t="n">
        <v>727</v>
      </c>
      <c r="B441" s="5" t="n">
        <v>55067523</v>
      </c>
      <c r="C441" s="5" t="s">
        <v>106</v>
      </c>
      <c r="D441" s="5" t="s">
        <v>1827</v>
      </c>
      <c r="E441" s="5" t="s">
        <v>108</v>
      </c>
      <c r="F441" s="5" t="s">
        <v>378</v>
      </c>
      <c r="G441" s="5" t="s">
        <v>379</v>
      </c>
      <c r="H441" s="5" t="s">
        <v>380</v>
      </c>
      <c r="I441" s="5" t="s">
        <v>63</v>
      </c>
      <c r="J441" s="5" t="s">
        <v>112</v>
      </c>
      <c r="K441" s="5" t="s">
        <v>65</v>
      </c>
      <c r="L441" s="6" t="n">
        <v>45013</v>
      </c>
      <c r="M441" s="5" t="s">
        <v>659</v>
      </c>
      <c r="N441" s="6" t="n">
        <v>33820</v>
      </c>
      <c r="O441" s="5" t="s">
        <v>332</v>
      </c>
      <c r="P441" s="5" t="s">
        <v>333</v>
      </c>
      <c r="Q441" s="5" t="s">
        <v>103</v>
      </c>
      <c r="R441" s="5" t="s">
        <v>940</v>
      </c>
      <c r="S441" s="5" t="s">
        <v>1401</v>
      </c>
      <c r="T441" s="6"/>
      <c r="U441" s="6"/>
      <c r="V441" s="5"/>
      <c r="W441" s="5"/>
      <c r="X441" s="5" t="s">
        <v>141</v>
      </c>
      <c r="Y441" s="5" t="s">
        <v>141</v>
      </c>
      <c r="Z441" s="5" t="s">
        <v>141</v>
      </c>
      <c r="AA441" s="5" t="s">
        <v>1828</v>
      </c>
      <c r="AB441" s="0" t="n">
        <f aca="false">IFERROR(VALUE(R441),0)</f>
        <v>7.1</v>
      </c>
      <c r="AC441" s="0" t="n">
        <f aca="false">IFERROR(VALUE(M441),"")</f>
        <v>33.1</v>
      </c>
      <c r="AD441" s="0" t="n">
        <f aca="false">IFERROR(VALUE(Q441),"")</f>
        <v>3.2</v>
      </c>
      <c r="AE441" s="0" t="n">
        <f aca="false">IFERROR(VALUE(S441),"")</f>
        <v>11</v>
      </c>
      <c r="AF441" s="0" t="str">
        <f aca="false">IF(V441="","",VLOOKUP(V441,Assumptions!$B$6:$C$9,2,FALSE()))</f>
        <v/>
      </c>
      <c r="AG441" s="0" t="str">
        <f aca="false">IF(W441="","",VLOOKUP(W441,Assumptions!$B$6:$C$9,2,FALSE()))</f>
        <v/>
      </c>
      <c r="AH441" s="0" t="n">
        <f aca="false">IF(X441="","",VLOOKUP(X441,Assumptions!$B$6:$C$9,2,FALSE()))</f>
        <v>3</v>
      </c>
      <c r="AI441" s="0" t="n">
        <f aca="false">IF(Y441="","",VLOOKUP(Y441,Assumptions!$B$6:$C$9,2,FALSE()))</f>
        <v>3</v>
      </c>
      <c r="AJ441" s="0" t="n">
        <f aca="false">IF(Z441="","",VLOOKUP(Z441,Assumptions!$B$6:$C$9,2,FALSE()))</f>
        <v>3</v>
      </c>
      <c r="AK441" s="7" t="n">
        <f aca="false">IFERROR(ROUND(AVERAGE(AF441:AJ441),3),"")</f>
        <v>3</v>
      </c>
      <c r="AL441" s="7" t="str">
        <f aca="false">IF(OR(AF441="",AJ441=""),"",AJ441-AF441)</f>
        <v/>
      </c>
      <c r="AM441" s="7" t="n">
        <f aca="false">IF(COUNT(AF441:AJ441)&gt;=2,ROUND(_xlfn.STDEV.S(AF441:AJ441),3),"")</f>
        <v>0</v>
      </c>
      <c r="AN441" s="7" t="n">
        <f aca="false">ROUND((IF(AF441="",0,AF441)*Assumptions!$F$15)+(IF(AG441="",0,AG441)*Assumptions!$F$16)+(IF(AH441="",0,AH441)*Assumptions!$F$17)+(IF(AI441="",0,AI441)*Assumptions!$F$18)+(IF(AJ441="",0,AJ441)*Assumptions!$F$19),3)</f>
        <v>2.25</v>
      </c>
      <c r="AO441" s="0" t="str">
        <f aca="false">IF(AC441&lt;=20,"",IF(AC441&lt;=Assumptions!$F$6,"20-30",IF(AC441&lt;=Assumptions!$F$7,"30-40",IF(AC441&lt;=Assumptions!$F$8,"40-50",IF(AC441&lt;=Assumptions!$F$9,"50-60",IF(AC441&lt;=Assumptions!$F$10,"60+",""))))))</f>
        <v>30-40</v>
      </c>
      <c r="AP441" s="0" t="str">
        <f aca="false">IFERROR(VLOOKUP(O441,Assumptions!$B$14:$C$26,2,FALSE()),"Other")</f>
        <v>Manager</v>
      </c>
      <c r="AQ441" s="0" t="n">
        <f aca="false">IF(T441="",0,1)</f>
        <v>0</v>
      </c>
      <c r="AR441" s="0" t="n">
        <f aca="false">IF(U441="",0,1)</f>
        <v>0</v>
      </c>
      <c r="AS441" s="8" t="n">
        <f aca="false">IF(AK441="","",IF(MAX($AK$2:$AK$921)=MIN($AK$2:$AK$921),50,ROUND((AK441-MIN($AK$2:$AK$921))/(MAX($AK$2:$AK$921)-MIN($AK$2:$AK$921))*100,2)))</f>
        <v>57.14</v>
      </c>
      <c r="AT441" s="8" t="n">
        <f aca="false">IF(MAX($BC$2:$BC$921)=MIN($BC$2:$BC$921),50,ROUND((BC441-MIN($BC$2:$BC$921))/(MAX($BC$2:$BC$921)-MIN($BC$2:$BC$921))*100,2))</f>
        <v>50</v>
      </c>
      <c r="AU441" s="8" t="n">
        <f aca="false">IF(MAX($BE$2:$BE$921)=MIN($BE$2:$BE$921),50,ROUND((BE441-MIN($BE$2:$BE$921))/(MAX($BE$2:$BE$921)-MIN($BE$2:$BE$921))*100,2))</f>
        <v>100</v>
      </c>
      <c r="AV441" s="8" t="n">
        <f aca="false">IF(MAX($AD$2:$AD$921)=MIN($AD$2:$AD$921),50,ROUND((AD441-MIN($AD$2:$AD$921))/(MAX($AD$2:$AD$921)-MIN($AD$2:$AD$921))*100,2))</f>
        <v>8.4</v>
      </c>
      <c r="AW441" s="8" t="n">
        <f aca="false">IF(MAX($AN$2:$AN$921)=MIN($AN$2:$AN$921),50,ROUND((AN441-MIN($AN$2:$AN$921))/(MAX($AN$2:$AN$921)-MIN($AN$2:$AN$921))*100,2))</f>
        <v>56.25</v>
      </c>
      <c r="AX441" s="8" t="n">
        <f aca="false">AQ441*100</f>
        <v>0</v>
      </c>
      <c r="AY441" s="8" t="n">
        <f aca="false">AR441*100</f>
        <v>0</v>
      </c>
      <c r="AZ441" s="8" t="n">
        <f aca="false">IFERROR(ROUND(AS441*Assumptions!$I$6+AW441*Assumptions!$I$7+AT441*Assumptions!$I$8+AU441*Assumptions!$I$9+AV441*Assumptions!$I$10+AX441*Assumptions!$I$11+AY441*Assumptions!$I$12,2),"")</f>
        <v>51.73</v>
      </c>
      <c r="BA441" s="0" t="str">
        <f aca="false">IF(AZ441="","",IF(AZ441&lt;=Assumptions!$I$18,"Below Expectation",IF(AZ441&lt;=Assumptions!$I$19,"Developing",IF(AZ441&lt;=Assumptions!$I$20,"Meets Expectation",IF(AZ441&lt;=Assumptions!$I$21,"Exceeds","Star Performer")))))</f>
        <v>Developing</v>
      </c>
      <c r="BB441" s="0" t="n">
        <f aca="false">IF(AZ441="",0,IF(AZ441&gt;=Assumptions!$I$26,1,0))</f>
        <v>0</v>
      </c>
      <c r="BC441" s="9" t="n">
        <f aca="false">IF(AL441="",2,AL441+2)</f>
        <v>2</v>
      </c>
      <c r="BD441" s="10" t="n">
        <f aca="false">IF(AM441="",ROUND(AVERAGE($AM$2:$AM$921),3),AM441)</f>
        <v>0</v>
      </c>
      <c r="BE441" s="9" t="n">
        <f aca="false">1-BD441</f>
        <v>1</v>
      </c>
    </row>
    <row r="442" customFormat="false" ht="14.25" hidden="true" customHeight="false" outlineLevel="0" collapsed="false">
      <c r="A442" s="4" t="n">
        <v>733</v>
      </c>
      <c r="B442" s="5" t="n">
        <v>55068688</v>
      </c>
      <c r="C442" s="5" t="s">
        <v>149</v>
      </c>
      <c r="D442" s="5" t="s">
        <v>1829</v>
      </c>
      <c r="E442" s="5" t="s">
        <v>718</v>
      </c>
      <c r="F442" s="5" t="s">
        <v>1399</v>
      </c>
      <c r="G442" s="5" t="s">
        <v>1400</v>
      </c>
      <c r="H442" s="5" t="s">
        <v>1399</v>
      </c>
      <c r="I442" s="5" t="s">
        <v>63</v>
      </c>
      <c r="J442" s="5" t="s">
        <v>100</v>
      </c>
      <c r="K442" s="5" t="s">
        <v>65</v>
      </c>
      <c r="L442" s="6" t="n">
        <v>45054</v>
      </c>
      <c r="M442" s="5" t="s">
        <v>277</v>
      </c>
      <c r="N442" s="6" t="n">
        <v>34692</v>
      </c>
      <c r="O442" s="5" t="s">
        <v>365</v>
      </c>
      <c r="P442" s="5" t="s">
        <v>365</v>
      </c>
      <c r="Q442" s="5" t="s">
        <v>1002</v>
      </c>
      <c r="R442" s="5" t="s">
        <v>523</v>
      </c>
      <c r="S442" s="5" t="s">
        <v>1830</v>
      </c>
      <c r="T442" s="6"/>
      <c r="U442" s="6"/>
      <c r="V442" s="5"/>
      <c r="W442" s="5"/>
      <c r="X442" s="5" t="s">
        <v>141</v>
      </c>
      <c r="Y442" s="5" t="s">
        <v>141</v>
      </c>
      <c r="Z442" s="5" t="s">
        <v>141</v>
      </c>
      <c r="AA442" s="5" t="s">
        <v>1831</v>
      </c>
      <c r="AB442" s="0" t="n">
        <f aca="false">IFERROR(VALUE(R442),0)</f>
        <v>4.1</v>
      </c>
      <c r="AC442" s="0" t="n">
        <f aca="false">IFERROR(VALUE(M442),"")</f>
        <v>31.5</v>
      </c>
      <c r="AD442" s="0" t="n">
        <f aca="false">IFERROR(VALUE(Q442),"")</f>
        <v>3.1</v>
      </c>
      <c r="AE442" s="0" t="n">
        <f aca="false">IFERROR(VALUE(S442),"")</f>
        <v>7.11</v>
      </c>
      <c r="AF442" s="0" t="str">
        <f aca="false">IF(V442="","",VLOOKUP(V442,Assumptions!$B$6:$C$9,2,FALSE()))</f>
        <v/>
      </c>
      <c r="AG442" s="0" t="str">
        <f aca="false">IF(W442="","",VLOOKUP(W442,Assumptions!$B$6:$C$9,2,FALSE()))</f>
        <v/>
      </c>
      <c r="AH442" s="0" t="n">
        <f aca="false">IF(X442="","",VLOOKUP(X442,Assumptions!$B$6:$C$9,2,FALSE()))</f>
        <v>3</v>
      </c>
      <c r="AI442" s="0" t="n">
        <f aca="false">IF(Y442="","",VLOOKUP(Y442,Assumptions!$B$6:$C$9,2,FALSE()))</f>
        <v>3</v>
      </c>
      <c r="AJ442" s="0" t="n">
        <f aca="false">IF(Z442="","",VLOOKUP(Z442,Assumptions!$B$6:$C$9,2,FALSE()))</f>
        <v>3</v>
      </c>
      <c r="AK442" s="7" t="n">
        <f aca="false">IFERROR(ROUND(AVERAGE(AF442:AJ442),3),"")</f>
        <v>3</v>
      </c>
      <c r="AL442" s="7" t="str">
        <f aca="false">IF(OR(AF442="",AJ442=""),"",AJ442-AF442)</f>
        <v/>
      </c>
      <c r="AM442" s="7" t="n">
        <f aca="false">IF(COUNT(AF442:AJ442)&gt;=2,ROUND(_xlfn.STDEV.S(AF442:AJ442),3),"")</f>
        <v>0</v>
      </c>
      <c r="AN442" s="7" t="n">
        <f aca="false">ROUND((IF(AF442="",0,AF442)*Assumptions!$F$15)+(IF(AG442="",0,AG442)*Assumptions!$F$16)+(IF(AH442="",0,AH442)*Assumptions!$F$17)+(IF(AI442="",0,AI442)*Assumptions!$F$18)+(IF(AJ442="",0,AJ442)*Assumptions!$F$19),3)</f>
        <v>2.25</v>
      </c>
      <c r="AO442" s="0" t="str">
        <f aca="false">IF(AC442&lt;=20,"",IF(AC442&lt;=Assumptions!$F$6,"20-30",IF(AC442&lt;=Assumptions!$F$7,"30-40",IF(AC442&lt;=Assumptions!$F$8,"40-50",IF(AC442&lt;=Assumptions!$F$9,"50-60",IF(AC442&lt;=Assumptions!$F$10,"60+",""))))))</f>
        <v>30-40</v>
      </c>
      <c r="AP442" s="0" t="str">
        <f aca="false">IFERROR(VLOOKUP(O442,Assumptions!$B$14:$C$26,2,FALSE()),"Other")</f>
        <v>Manager</v>
      </c>
      <c r="AQ442" s="0" t="n">
        <f aca="false">IF(T442="",0,1)</f>
        <v>0</v>
      </c>
      <c r="AR442" s="0" t="n">
        <f aca="false">IF(U442="",0,1)</f>
        <v>0</v>
      </c>
      <c r="AS442" s="8" t="n">
        <f aca="false">IF(AK442="","",IF(MAX($AK$2:$AK$921)=MIN($AK$2:$AK$921),50,ROUND((AK442-MIN($AK$2:$AK$921))/(MAX($AK$2:$AK$921)-MIN($AK$2:$AK$921))*100,2)))</f>
        <v>57.14</v>
      </c>
      <c r="AT442" s="8" t="n">
        <f aca="false">IF(MAX($BC$2:$BC$921)=MIN($BC$2:$BC$921),50,ROUND((BC442-MIN($BC$2:$BC$921))/(MAX($BC$2:$BC$921)-MIN($BC$2:$BC$921))*100,2))</f>
        <v>50</v>
      </c>
      <c r="AU442" s="8" t="n">
        <f aca="false">IF(MAX($BE$2:$BE$921)=MIN($BE$2:$BE$921),50,ROUND((BE442-MIN($BE$2:$BE$921))/(MAX($BE$2:$BE$921)-MIN($BE$2:$BE$921))*100,2))</f>
        <v>100</v>
      </c>
      <c r="AV442" s="8" t="n">
        <f aca="false">IF(MAX($AD$2:$AD$921)=MIN($AD$2:$AD$921),50,ROUND((AD442-MIN($AD$2:$AD$921))/(MAX($AD$2:$AD$921)-MIN($AD$2:$AD$921))*100,2))</f>
        <v>8.13</v>
      </c>
      <c r="AW442" s="8" t="n">
        <f aca="false">IF(MAX($AN$2:$AN$921)=MIN($AN$2:$AN$921),50,ROUND((AN442-MIN($AN$2:$AN$921))/(MAX($AN$2:$AN$921)-MIN($AN$2:$AN$921))*100,2))</f>
        <v>56.25</v>
      </c>
      <c r="AX442" s="8" t="n">
        <f aca="false">AQ442*100</f>
        <v>0</v>
      </c>
      <c r="AY442" s="8" t="n">
        <f aca="false">AR442*100</f>
        <v>0</v>
      </c>
      <c r="AZ442" s="8" t="n">
        <f aca="false">IFERROR(ROUND(AS442*Assumptions!$I$6+AW442*Assumptions!$I$7+AT442*Assumptions!$I$8+AU442*Assumptions!$I$9+AV442*Assumptions!$I$10+AX442*Assumptions!$I$11+AY442*Assumptions!$I$12,2),"")</f>
        <v>51.71</v>
      </c>
      <c r="BA442" s="0" t="str">
        <f aca="false">IF(AZ442="","",IF(AZ442&lt;=Assumptions!$I$18,"Below Expectation",IF(AZ442&lt;=Assumptions!$I$19,"Developing",IF(AZ442&lt;=Assumptions!$I$20,"Meets Expectation",IF(AZ442&lt;=Assumptions!$I$21,"Exceeds","Star Performer")))))</f>
        <v>Developing</v>
      </c>
      <c r="BB442" s="0" t="n">
        <f aca="false">IF(AZ442="",0,IF(AZ442&gt;=Assumptions!$I$26,1,0))</f>
        <v>0</v>
      </c>
      <c r="BC442" s="9" t="n">
        <f aca="false">IF(AL442="",2,AL442+2)</f>
        <v>2</v>
      </c>
      <c r="BD442" s="10" t="n">
        <f aca="false">IF(AM442="",ROUND(AVERAGE($AM$2:$AM$921),3),AM442)</f>
        <v>0</v>
      </c>
      <c r="BE442" s="9" t="n">
        <f aca="false">1-BD442</f>
        <v>1</v>
      </c>
    </row>
    <row r="443" customFormat="false" ht="14.25" hidden="true" customHeight="false" outlineLevel="0" collapsed="false">
      <c r="A443" s="4" t="n">
        <v>734</v>
      </c>
      <c r="B443" s="5" t="n">
        <v>55068730</v>
      </c>
      <c r="C443" s="5"/>
      <c r="D443" s="5" t="s">
        <v>1832</v>
      </c>
      <c r="E443" s="5" t="s">
        <v>257</v>
      </c>
      <c r="F443" s="5" t="s">
        <v>1675</v>
      </c>
      <c r="G443" s="5" t="s">
        <v>1676</v>
      </c>
      <c r="H443" s="5" t="s">
        <v>1675</v>
      </c>
      <c r="I443" s="5" t="s">
        <v>63</v>
      </c>
      <c r="J443" s="5" t="s">
        <v>76</v>
      </c>
      <c r="K443" s="5" t="s">
        <v>65</v>
      </c>
      <c r="L443" s="6" t="n">
        <v>45054</v>
      </c>
      <c r="M443" s="5" t="s">
        <v>515</v>
      </c>
      <c r="N443" s="6" t="n">
        <v>28946</v>
      </c>
      <c r="O443" s="5" t="s">
        <v>365</v>
      </c>
      <c r="P443" s="5" t="s">
        <v>365</v>
      </c>
      <c r="Q443" s="5" t="s">
        <v>1002</v>
      </c>
      <c r="R443" s="5" t="s">
        <v>792</v>
      </c>
      <c r="S443" s="5" t="s">
        <v>301</v>
      </c>
      <c r="T443" s="6"/>
      <c r="U443" s="6"/>
      <c r="V443" s="5"/>
      <c r="W443" s="5"/>
      <c r="X443" s="5" t="s">
        <v>141</v>
      </c>
      <c r="Y443" s="5" t="s">
        <v>141</v>
      </c>
      <c r="Z443" s="5" t="s">
        <v>141</v>
      </c>
      <c r="AA443" s="5" t="s">
        <v>1833</v>
      </c>
      <c r="AB443" s="0" t="n">
        <f aca="false">IFERROR(VALUE(R443),0)</f>
        <v>19.2</v>
      </c>
      <c r="AC443" s="0" t="n">
        <f aca="false">IFERROR(VALUE(M443),"")</f>
        <v>47.2</v>
      </c>
      <c r="AD443" s="0" t="n">
        <f aca="false">IFERROR(VALUE(Q443),"")</f>
        <v>3.1</v>
      </c>
      <c r="AE443" s="0" t="n">
        <f aca="false">IFERROR(VALUE(S443),"")</f>
        <v>22.3</v>
      </c>
      <c r="AF443" s="0" t="str">
        <f aca="false">IF(V443="","",VLOOKUP(V443,Assumptions!$B$6:$C$9,2,FALSE()))</f>
        <v/>
      </c>
      <c r="AG443" s="0" t="str">
        <f aca="false">IF(W443="","",VLOOKUP(W443,Assumptions!$B$6:$C$9,2,FALSE()))</f>
        <v/>
      </c>
      <c r="AH443" s="0" t="n">
        <f aca="false">IF(X443="","",VLOOKUP(X443,Assumptions!$B$6:$C$9,2,FALSE()))</f>
        <v>3</v>
      </c>
      <c r="AI443" s="0" t="n">
        <f aca="false">IF(Y443="","",VLOOKUP(Y443,Assumptions!$B$6:$C$9,2,FALSE()))</f>
        <v>3</v>
      </c>
      <c r="AJ443" s="0" t="n">
        <f aca="false">IF(Z443="","",VLOOKUP(Z443,Assumptions!$B$6:$C$9,2,FALSE()))</f>
        <v>3</v>
      </c>
      <c r="AK443" s="7" t="n">
        <f aca="false">IFERROR(ROUND(AVERAGE(AF443:AJ443),3),"")</f>
        <v>3</v>
      </c>
      <c r="AL443" s="7" t="str">
        <f aca="false">IF(OR(AF443="",AJ443=""),"",AJ443-AF443)</f>
        <v/>
      </c>
      <c r="AM443" s="7" t="n">
        <f aca="false">IF(COUNT(AF443:AJ443)&gt;=2,ROUND(_xlfn.STDEV.S(AF443:AJ443),3),"")</f>
        <v>0</v>
      </c>
      <c r="AN443" s="7" t="n">
        <f aca="false">ROUND((IF(AF443="",0,AF443)*Assumptions!$F$15)+(IF(AG443="",0,AG443)*Assumptions!$F$16)+(IF(AH443="",0,AH443)*Assumptions!$F$17)+(IF(AI443="",0,AI443)*Assumptions!$F$18)+(IF(AJ443="",0,AJ443)*Assumptions!$F$19),3)</f>
        <v>2.25</v>
      </c>
      <c r="AO443" s="0" t="str">
        <f aca="false">IF(AC443&lt;=20,"",IF(AC443&lt;=Assumptions!$F$6,"20-30",IF(AC443&lt;=Assumptions!$F$7,"30-40",IF(AC443&lt;=Assumptions!$F$8,"40-50",IF(AC443&lt;=Assumptions!$F$9,"50-60",IF(AC443&lt;=Assumptions!$F$10,"60+",""))))))</f>
        <v>40-50</v>
      </c>
      <c r="AP443" s="0" t="str">
        <f aca="false">IFERROR(VLOOKUP(O443,Assumptions!$B$14:$C$26,2,FALSE()),"Other")</f>
        <v>Manager</v>
      </c>
      <c r="AQ443" s="0" t="n">
        <f aca="false">IF(T443="",0,1)</f>
        <v>0</v>
      </c>
      <c r="AR443" s="0" t="n">
        <f aca="false">IF(U443="",0,1)</f>
        <v>0</v>
      </c>
      <c r="AS443" s="8" t="n">
        <f aca="false">IF(AK443="","",IF(MAX($AK$2:$AK$921)=MIN($AK$2:$AK$921),50,ROUND((AK443-MIN($AK$2:$AK$921))/(MAX($AK$2:$AK$921)-MIN($AK$2:$AK$921))*100,2)))</f>
        <v>57.14</v>
      </c>
      <c r="AT443" s="8" t="n">
        <f aca="false">IF(MAX($BC$2:$BC$921)=MIN($BC$2:$BC$921),50,ROUND((BC443-MIN($BC$2:$BC$921))/(MAX($BC$2:$BC$921)-MIN($BC$2:$BC$921))*100,2))</f>
        <v>50</v>
      </c>
      <c r="AU443" s="8" t="n">
        <f aca="false">IF(MAX($BE$2:$BE$921)=MIN($BE$2:$BE$921),50,ROUND((BE443-MIN($BE$2:$BE$921))/(MAX($BE$2:$BE$921)-MIN($BE$2:$BE$921))*100,2))</f>
        <v>100</v>
      </c>
      <c r="AV443" s="8" t="n">
        <f aca="false">IF(MAX($AD$2:$AD$921)=MIN($AD$2:$AD$921),50,ROUND((AD443-MIN($AD$2:$AD$921))/(MAX($AD$2:$AD$921)-MIN($AD$2:$AD$921))*100,2))</f>
        <v>8.13</v>
      </c>
      <c r="AW443" s="8" t="n">
        <f aca="false">IF(MAX($AN$2:$AN$921)=MIN($AN$2:$AN$921),50,ROUND((AN443-MIN($AN$2:$AN$921))/(MAX($AN$2:$AN$921)-MIN($AN$2:$AN$921))*100,2))</f>
        <v>56.25</v>
      </c>
      <c r="AX443" s="8" t="n">
        <f aca="false">AQ443*100</f>
        <v>0</v>
      </c>
      <c r="AY443" s="8" t="n">
        <f aca="false">AR443*100</f>
        <v>0</v>
      </c>
      <c r="AZ443" s="8" t="n">
        <f aca="false">IFERROR(ROUND(AS443*Assumptions!$I$6+AW443*Assumptions!$I$7+AT443*Assumptions!$I$8+AU443*Assumptions!$I$9+AV443*Assumptions!$I$10+AX443*Assumptions!$I$11+AY443*Assumptions!$I$12,2),"")</f>
        <v>51.71</v>
      </c>
      <c r="BA443" s="0" t="str">
        <f aca="false">IF(AZ443="","",IF(AZ443&lt;=Assumptions!$I$18,"Below Expectation",IF(AZ443&lt;=Assumptions!$I$19,"Developing",IF(AZ443&lt;=Assumptions!$I$20,"Meets Expectation",IF(AZ443&lt;=Assumptions!$I$21,"Exceeds","Star Performer")))))</f>
        <v>Developing</v>
      </c>
      <c r="BB443" s="0" t="n">
        <f aca="false">IF(AZ443="",0,IF(AZ443&gt;=Assumptions!$I$26,1,0))</f>
        <v>0</v>
      </c>
      <c r="BC443" s="9" t="n">
        <f aca="false">IF(AL443="",2,AL443+2)</f>
        <v>2</v>
      </c>
      <c r="BD443" s="10" t="n">
        <f aca="false">IF(AM443="",ROUND(AVERAGE($AM$2:$AM$921),3),AM443)</f>
        <v>0</v>
      </c>
      <c r="BE443" s="9" t="n">
        <f aca="false">1-BD443</f>
        <v>1</v>
      </c>
    </row>
    <row r="444" customFormat="false" ht="14.25" hidden="true" customHeight="false" outlineLevel="0" collapsed="false">
      <c r="A444" s="4" t="n">
        <v>433</v>
      </c>
      <c r="B444" s="5" t="n">
        <v>50011287</v>
      </c>
      <c r="C444" s="5" t="s">
        <v>57</v>
      </c>
      <c r="D444" s="5" t="s">
        <v>1834</v>
      </c>
      <c r="E444" s="5" t="s">
        <v>208</v>
      </c>
      <c r="F444" s="5" t="s">
        <v>387</v>
      </c>
      <c r="G444" s="5" t="s">
        <v>388</v>
      </c>
      <c r="H444" s="5" t="s">
        <v>387</v>
      </c>
      <c r="I444" s="5" t="s">
        <v>63</v>
      </c>
      <c r="J444" s="5" t="s">
        <v>100</v>
      </c>
      <c r="K444" s="5" t="s">
        <v>65</v>
      </c>
      <c r="L444" s="6" t="n">
        <v>41244</v>
      </c>
      <c r="M444" s="5" t="s">
        <v>1374</v>
      </c>
      <c r="N444" s="6" t="n">
        <v>33420</v>
      </c>
      <c r="O444" s="5" t="s">
        <v>332</v>
      </c>
      <c r="P444" s="5" t="s">
        <v>333</v>
      </c>
      <c r="Q444" s="5" t="s">
        <v>295</v>
      </c>
      <c r="R444" s="5" t="s">
        <v>801</v>
      </c>
      <c r="S444" s="5" t="s">
        <v>1009</v>
      </c>
      <c r="T444" s="6"/>
      <c r="U444" s="6" t="n">
        <v>44197</v>
      </c>
      <c r="V444" s="5" t="s">
        <v>141</v>
      </c>
      <c r="W444" s="5" t="s">
        <v>631</v>
      </c>
      <c r="X444" s="5" t="s">
        <v>631</v>
      </c>
      <c r="Y444" s="5" t="s">
        <v>141</v>
      </c>
      <c r="Z444" s="5" t="s">
        <v>141</v>
      </c>
      <c r="AA444" s="5" t="s">
        <v>1835</v>
      </c>
      <c r="AB444" s="0" t="n">
        <f aca="false">IFERROR(VALUE(R444),0)</f>
        <v>1.5</v>
      </c>
      <c r="AC444" s="0" t="n">
        <f aca="false">IFERROR(VALUE(M444),"")</f>
        <v>34.11</v>
      </c>
      <c r="AD444" s="0" t="n">
        <f aca="false">IFERROR(VALUE(Q444),"")</f>
        <v>13.6</v>
      </c>
      <c r="AE444" s="0" t="n">
        <f aca="false">IFERROR(VALUE(S444),"")</f>
        <v>14.11</v>
      </c>
      <c r="AF444" s="0" t="n">
        <f aca="false">IF(V444="","",VLOOKUP(V444,Assumptions!$B$6:$C$9,2,FALSE()))</f>
        <v>3</v>
      </c>
      <c r="AG444" s="0" t="n">
        <f aca="false">IF(W444="","",VLOOKUP(W444,Assumptions!$B$6:$C$9,2,FALSE()))</f>
        <v>2</v>
      </c>
      <c r="AH444" s="0" t="n">
        <f aca="false">IF(X444="","",VLOOKUP(X444,Assumptions!$B$6:$C$9,2,FALSE()))</f>
        <v>2</v>
      </c>
      <c r="AI444" s="0" t="n">
        <f aca="false">IF(Y444="","",VLOOKUP(Y444,Assumptions!$B$6:$C$9,2,FALSE()))</f>
        <v>3</v>
      </c>
      <c r="AJ444" s="0" t="n">
        <f aca="false">IF(Z444="","",VLOOKUP(Z444,Assumptions!$B$6:$C$9,2,FALSE()))</f>
        <v>3</v>
      </c>
      <c r="AK444" s="7" t="n">
        <f aca="false">IFERROR(ROUND(AVERAGE(AF444:AJ444),3),"")</f>
        <v>2.6</v>
      </c>
      <c r="AL444" s="7" t="n">
        <f aca="false">IF(OR(AF444="",AJ444=""),"",AJ444-AF444)</f>
        <v>0</v>
      </c>
      <c r="AM444" s="7" t="n">
        <f aca="false">IF(COUNT(AF444:AJ444)&gt;=2,ROUND(_xlfn.STDEV.S(AF444:AJ444),3),"")</f>
        <v>0.548</v>
      </c>
      <c r="AN444" s="7" t="n">
        <f aca="false">ROUND((IF(AF444="",0,AF444)*Assumptions!$F$15)+(IF(AG444="",0,AG444)*Assumptions!$F$16)+(IF(AH444="",0,AH444)*Assumptions!$F$17)+(IF(AI444="",0,AI444)*Assumptions!$F$18)+(IF(AJ444="",0,AJ444)*Assumptions!$F$19),3)</f>
        <v>2.65</v>
      </c>
      <c r="AO444" s="0" t="str">
        <f aca="false">IF(AC444&lt;=20,"",IF(AC444&lt;=Assumptions!$F$6,"20-30",IF(AC444&lt;=Assumptions!$F$7,"30-40",IF(AC444&lt;=Assumptions!$F$8,"40-50",IF(AC444&lt;=Assumptions!$F$9,"50-60",IF(AC444&lt;=Assumptions!$F$10,"60+",""))))))</f>
        <v>30-40</v>
      </c>
      <c r="AP444" s="0" t="str">
        <f aca="false">IFERROR(VLOOKUP(O444,Assumptions!$B$14:$C$26,2,FALSE()),"Other")</f>
        <v>Manager</v>
      </c>
      <c r="AQ444" s="0" t="n">
        <f aca="false">IF(T444="",0,1)</f>
        <v>0</v>
      </c>
      <c r="AR444" s="0" t="n">
        <f aca="false">IF(U444="",0,1)</f>
        <v>1</v>
      </c>
      <c r="AS444" s="8" t="n">
        <f aca="false">IF(AK444="","",IF(MAX($AK$2:$AK$921)=MIN($AK$2:$AK$921),50,ROUND((AK444-MIN($AK$2:$AK$921))/(MAX($AK$2:$AK$921)-MIN($AK$2:$AK$921))*100,2)))</f>
        <v>39.99</v>
      </c>
      <c r="AT444" s="8" t="n">
        <f aca="false">IF(MAX($BC$2:$BC$921)=MIN($BC$2:$BC$921),50,ROUND((BC444-MIN($BC$2:$BC$921))/(MAX($BC$2:$BC$921)-MIN($BC$2:$BC$921))*100,2))</f>
        <v>50</v>
      </c>
      <c r="AU444" s="8" t="n">
        <f aca="false">IF(MAX($BE$2:$BE$921)=MIN($BE$2:$BE$921),50,ROUND((BE444-MIN($BE$2:$BE$921))/(MAX($BE$2:$BE$921)-MIN($BE$2:$BE$921))*100,2))</f>
        <v>68.36</v>
      </c>
      <c r="AV444" s="8" t="n">
        <f aca="false">IF(MAX($AD$2:$AD$921)=MIN($AD$2:$AD$921),50,ROUND((AD444-MIN($AD$2:$AD$921))/(MAX($AD$2:$AD$921)-MIN($AD$2:$AD$921))*100,2))</f>
        <v>36.67</v>
      </c>
      <c r="AW444" s="8" t="n">
        <f aca="false">IF(MAX($AN$2:$AN$921)=MIN($AN$2:$AN$921),50,ROUND((AN444-MIN($AN$2:$AN$921))/(MAX($AN$2:$AN$921)-MIN($AN$2:$AN$921))*100,2))</f>
        <v>66.25</v>
      </c>
      <c r="AX444" s="8" t="n">
        <f aca="false">AQ444*100</f>
        <v>0</v>
      </c>
      <c r="AY444" s="8" t="n">
        <f aca="false">AR444*100</f>
        <v>100</v>
      </c>
      <c r="AZ444" s="8" t="n">
        <f aca="false">IFERROR(ROUND(AS444*Assumptions!$I$6+AW444*Assumptions!$I$7+AT444*Assumptions!$I$8+AU444*Assumptions!$I$9+AV444*Assumptions!$I$10+AX444*Assumptions!$I$11+AY444*Assumptions!$I$12,2),"")</f>
        <v>51.67</v>
      </c>
      <c r="BA444" s="0" t="str">
        <f aca="false">IF(AZ444="","",IF(AZ444&lt;=Assumptions!$I$18,"Below Expectation",IF(AZ444&lt;=Assumptions!$I$19,"Developing",IF(AZ444&lt;=Assumptions!$I$20,"Meets Expectation",IF(AZ444&lt;=Assumptions!$I$21,"Exceeds","Star Performer")))))</f>
        <v>Developing</v>
      </c>
      <c r="BB444" s="0" t="n">
        <f aca="false">IF(AZ444="",0,IF(AZ444&gt;=Assumptions!$I$26,1,0))</f>
        <v>0</v>
      </c>
      <c r="BC444" s="9" t="n">
        <f aca="false">IF(AL444="",2,AL444+2)</f>
        <v>2</v>
      </c>
      <c r="BD444" s="10" t="n">
        <f aca="false">IF(AM444="",ROUND(AVERAGE($AM$2:$AM$921),3),AM444)</f>
        <v>0.548</v>
      </c>
      <c r="BE444" s="9" t="n">
        <f aca="false">1-BD444</f>
        <v>0.452</v>
      </c>
    </row>
    <row r="445" customFormat="false" ht="14.25" hidden="false" customHeight="false" outlineLevel="0" collapsed="false">
      <c r="A445" s="4" t="n">
        <v>456</v>
      </c>
      <c r="B445" s="5" t="n">
        <v>55024709</v>
      </c>
      <c r="C445" s="5" t="s">
        <v>106</v>
      </c>
      <c r="D445" s="5" t="s">
        <v>1836</v>
      </c>
      <c r="E445" s="5" t="s">
        <v>108</v>
      </c>
      <c r="F445" s="5" t="s">
        <v>463</v>
      </c>
      <c r="G445" s="5" t="s">
        <v>464</v>
      </c>
      <c r="H445" s="5" t="s">
        <v>465</v>
      </c>
      <c r="I445" s="5" t="s">
        <v>63</v>
      </c>
      <c r="J445" s="5" t="s">
        <v>112</v>
      </c>
      <c r="K445" s="5" t="s">
        <v>65</v>
      </c>
      <c r="L445" s="6" t="n">
        <v>42905</v>
      </c>
      <c r="M445" s="5" t="s">
        <v>630</v>
      </c>
      <c r="N445" s="6" t="n">
        <v>34782</v>
      </c>
      <c r="O445" s="5" t="s">
        <v>585</v>
      </c>
      <c r="P445" s="5" t="s">
        <v>586</v>
      </c>
      <c r="Q445" s="5" t="s">
        <v>875</v>
      </c>
      <c r="R445" s="5" t="s">
        <v>115</v>
      </c>
      <c r="S445" s="5" t="s">
        <v>875</v>
      </c>
      <c r="T445" s="6"/>
      <c r="U445" s="6" t="n">
        <v>44287</v>
      </c>
      <c r="V445" s="5" t="s">
        <v>83</v>
      </c>
      <c r="W445" s="5" t="s">
        <v>141</v>
      </c>
      <c r="X445" s="5" t="s">
        <v>141</v>
      </c>
      <c r="Y445" s="5" t="s">
        <v>631</v>
      </c>
      <c r="Z445" s="5" t="s">
        <v>141</v>
      </c>
      <c r="AA445" s="5" t="s">
        <v>1837</v>
      </c>
      <c r="AB445" s="0" t="n">
        <f aca="false">IFERROR(VALUE(R445),0)</f>
        <v>0</v>
      </c>
      <c r="AC445" s="0" t="n">
        <f aca="false">IFERROR(VALUE(M445),"")</f>
        <v>31.2</v>
      </c>
      <c r="AD445" s="0" t="n">
        <f aca="false">IFERROR(VALUE(Q445),"")</f>
        <v>8.11</v>
      </c>
      <c r="AE445" s="0" t="n">
        <f aca="false">IFERROR(VALUE(S445),"")</f>
        <v>8.11</v>
      </c>
      <c r="AF445" s="0" t="n">
        <f aca="false">IF(V445="","",VLOOKUP(V445,Assumptions!$B$6:$C$9,2,FALSE()))</f>
        <v>4</v>
      </c>
      <c r="AG445" s="0" t="n">
        <f aca="false">IF(W445="","",VLOOKUP(W445,Assumptions!$B$6:$C$9,2,FALSE()))</f>
        <v>3</v>
      </c>
      <c r="AH445" s="0" t="n">
        <f aca="false">IF(X445="","",VLOOKUP(X445,Assumptions!$B$6:$C$9,2,FALSE()))</f>
        <v>3</v>
      </c>
      <c r="AI445" s="0" t="n">
        <f aca="false">IF(Y445="","",VLOOKUP(Y445,Assumptions!$B$6:$C$9,2,FALSE()))</f>
        <v>2</v>
      </c>
      <c r="AJ445" s="0" t="n">
        <f aca="false">IF(Z445="","",VLOOKUP(Z445,Assumptions!$B$6:$C$9,2,FALSE()))</f>
        <v>3</v>
      </c>
      <c r="AK445" s="7" t="n">
        <f aca="false">IFERROR(ROUND(AVERAGE(AF445:AJ445),3),"")</f>
        <v>3</v>
      </c>
      <c r="AL445" s="7" t="n">
        <f aca="false">IF(OR(AF445="",AJ445=""),"",AJ445-AF445)</f>
        <v>-1</v>
      </c>
      <c r="AM445" s="7" t="n">
        <f aca="false">IF(COUNT(AF445:AJ445)&gt;=2,ROUND(_xlfn.STDEV.S(AF445:AJ445),3),"")</f>
        <v>0.707</v>
      </c>
      <c r="AN445" s="7" t="n">
        <f aca="false">ROUND((IF(AF445="",0,AF445)*Assumptions!$F$15)+(IF(AG445="",0,AG445)*Assumptions!$F$16)+(IF(AH445="",0,AH445)*Assumptions!$F$17)+(IF(AI445="",0,AI445)*Assumptions!$F$18)+(IF(AJ445="",0,AJ445)*Assumptions!$F$19),3)</f>
        <v>2.85</v>
      </c>
      <c r="AO445" s="0" t="str">
        <f aca="false">IF(AC445&lt;=20,"",IF(AC445&lt;=Assumptions!$F$6,"20-30",IF(AC445&lt;=Assumptions!$F$7,"30-40",IF(AC445&lt;=Assumptions!$F$8,"40-50",IF(AC445&lt;=Assumptions!$F$9,"50-60",IF(AC445&lt;=Assumptions!$F$10,"60+",""))))))</f>
        <v>30-40</v>
      </c>
      <c r="AP445" s="0" t="str">
        <f aca="false">IFERROR(VLOOKUP(O445,Assumptions!$B$14:$C$26,2,FALSE()),"Other")</f>
        <v>Manager</v>
      </c>
      <c r="AQ445" s="0" t="n">
        <f aca="false">IF(T445="",0,1)</f>
        <v>0</v>
      </c>
      <c r="AR445" s="0" t="n">
        <f aca="false">IF(U445="",0,1)</f>
        <v>1</v>
      </c>
      <c r="AS445" s="8" t="n">
        <f aca="false">IF(AK445="","",IF(MAX($AK$2:$AK$921)=MIN($AK$2:$AK$921),50,ROUND((AK445-MIN($AK$2:$AK$921))/(MAX($AK$2:$AK$921)-MIN($AK$2:$AK$921))*100,2)))</f>
        <v>57.14</v>
      </c>
      <c r="AT445" s="8" t="n">
        <f aca="false">IF(MAX($BC$2:$BC$921)=MIN($BC$2:$BC$921),50,ROUND((BC445-MIN($BC$2:$BC$921))/(MAX($BC$2:$BC$921)-MIN($BC$2:$BC$921))*100,2))</f>
        <v>25</v>
      </c>
      <c r="AU445" s="8" t="n">
        <f aca="false">IF(MAX($BE$2:$BE$921)=MIN($BE$2:$BE$921),50,ROUND((BE445-MIN($BE$2:$BE$921))/(MAX($BE$2:$BE$921)-MIN($BE$2:$BE$921))*100,2))</f>
        <v>59.18</v>
      </c>
      <c r="AV445" s="8" t="n">
        <f aca="false">IF(MAX($AD$2:$AD$921)=MIN($AD$2:$AD$921),50,ROUND((AD445-MIN($AD$2:$AD$921))/(MAX($AD$2:$AD$921)-MIN($AD$2:$AD$921))*100,2))</f>
        <v>21.75</v>
      </c>
      <c r="AW445" s="8" t="n">
        <f aca="false">IF(MAX($AN$2:$AN$921)=MIN($AN$2:$AN$921),50,ROUND((AN445-MIN($AN$2:$AN$921))/(MAX($AN$2:$AN$921)-MIN($AN$2:$AN$921))*100,2))</f>
        <v>71.25</v>
      </c>
      <c r="AX445" s="8" t="n">
        <f aca="false">AQ445*100</f>
        <v>0</v>
      </c>
      <c r="AY445" s="8" t="n">
        <f aca="false">AR445*100</f>
        <v>100</v>
      </c>
      <c r="AZ445" s="8" t="n">
        <f aca="false">IFERROR(ROUND(AS445*Assumptions!$I$6+AW445*Assumptions!$I$7+AT445*Assumptions!$I$8+AU445*Assumptions!$I$9+AV445*Assumptions!$I$10+AX445*Assumptions!$I$11+AY445*Assumptions!$I$12,2),"")</f>
        <v>51.19</v>
      </c>
      <c r="BA445" s="0" t="str">
        <f aca="false">IF(AZ445="","",IF(AZ445&lt;=Assumptions!$I$18,"Below Expectation",IF(AZ445&lt;=Assumptions!$I$19,"Developing",IF(AZ445&lt;=Assumptions!$I$20,"Meets Expectation",IF(AZ445&lt;=Assumptions!$I$21,"Exceeds","Star Performer")))))</f>
        <v>Developing</v>
      </c>
      <c r="BB445" s="0" t="n">
        <f aca="false">IF(AZ445="",0,IF(AZ445&gt;=Assumptions!$I$26,1,0))</f>
        <v>0</v>
      </c>
      <c r="BC445" s="9" t="n">
        <f aca="false">IF(AL445="",2,AL445+2)</f>
        <v>1</v>
      </c>
      <c r="BD445" s="10" t="n">
        <f aca="false">IF(AM445="",ROUND(AVERAGE($AM$2:$AM$921),3),AM445)</f>
        <v>0.707</v>
      </c>
      <c r="BE445" s="9" t="n">
        <f aca="false">1-BD445</f>
        <v>0.293</v>
      </c>
    </row>
    <row r="446" customFormat="false" ht="14.25" hidden="true" customHeight="false" outlineLevel="0" collapsed="false">
      <c r="A446" s="4" t="n">
        <v>431</v>
      </c>
      <c r="B446" s="5" t="n">
        <v>50011096</v>
      </c>
      <c r="C446" s="5" t="s">
        <v>57</v>
      </c>
      <c r="D446" s="5" t="s">
        <v>1838</v>
      </c>
      <c r="E446" s="5" t="s">
        <v>299</v>
      </c>
      <c r="F446" s="5" t="s">
        <v>608</v>
      </c>
      <c r="G446" s="5" t="s">
        <v>609</v>
      </c>
      <c r="H446" s="5" t="s">
        <v>608</v>
      </c>
      <c r="I446" s="5" t="s">
        <v>63</v>
      </c>
      <c r="J446" s="5" t="s">
        <v>100</v>
      </c>
      <c r="K446" s="5" t="s">
        <v>65</v>
      </c>
      <c r="L446" s="6" t="n">
        <v>41204</v>
      </c>
      <c r="M446" s="5" t="s">
        <v>1089</v>
      </c>
      <c r="N446" s="6" t="n">
        <v>31128</v>
      </c>
      <c r="O446" s="5" t="s">
        <v>365</v>
      </c>
      <c r="P446" s="5" t="s">
        <v>365</v>
      </c>
      <c r="Q446" s="5" t="s">
        <v>734</v>
      </c>
      <c r="R446" s="5" t="s">
        <v>711</v>
      </c>
      <c r="S446" s="5" t="s">
        <v>1212</v>
      </c>
      <c r="T446" s="6"/>
      <c r="U446" s="6"/>
      <c r="V446" s="5" t="s">
        <v>141</v>
      </c>
      <c r="W446" s="5" t="s">
        <v>631</v>
      </c>
      <c r="X446" s="5" t="s">
        <v>141</v>
      </c>
      <c r="Y446" s="5" t="s">
        <v>141</v>
      </c>
      <c r="Z446" s="5" t="s">
        <v>141</v>
      </c>
      <c r="AA446" s="5" t="s">
        <v>1839</v>
      </c>
      <c r="AB446" s="0" t="n">
        <f aca="false">IFERROR(VALUE(R446),0)</f>
        <v>6.8</v>
      </c>
      <c r="AC446" s="0" t="n">
        <f aca="false">IFERROR(VALUE(M446),"")</f>
        <v>41.2</v>
      </c>
      <c r="AD446" s="0" t="n">
        <f aca="false">IFERROR(VALUE(Q446),"")</f>
        <v>13.7</v>
      </c>
      <c r="AE446" s="0" t="n">
        <f aca="false">IFERROR(VALUE(S446),"")</f>
        <v>20.3</v>
      </c>
      <c r="AF446" s="0" t="n">
        <f aca="false">IF(V446="","",VLOOKUP(V446,Assumptions!$B$6:$C$9,2,FALSE()))</f>
        <v>3</v>
      </c>
      <c r="AG446" s="0" t="n">
        <f aca="false">IF(W446="","",VLOOKUP(W446,Assumptions!$B$6:$C$9,2,FALSE()))</f>
        <v>2</v>
      </c>
      <c r="AH446" s="0" t="n">
        <f aca="false">IF(X446="","",VLOOKUP(X446,Assumptions!$B$6:$C$9,2,FALSE()))</f>
        <v>3</v>
      </c>
      <c r="AI446" s="0" t="n">
        <f aca="false">IF(Y446="","",VLOOKUP(Y446,Assumptions!$B$6:$C$9,2,FALSE()))</f>
        <v>3</v>
      </c>
      <c r="AJ446" s="0" t="n">
        <f aca="false">IF(Z446="","",VLOOKUP(Z446,Assumptions!$B$6:$C$9,2,FALSE()))</f>
        <v>3</v>
      </c>
      <c r="AK446" s="7" t="n">
        <f aca="false">IFERROR(ROUND(AVERAGE(AF446:AJ446),3),"")</f>
        <v>2.8</v>
      </c>
      <c r="AL446" s="7" t="n">
        <f aca="false">IF(OR(AF446="",AJ446=""),"",AJ446-AF446)</f>
        <v>0</v>
      </c>
      <c r="AM446" s="7" t="n">
        <f aca="false">IF(COUNT(AF446:AJ446)&gt;=2,ROUND(_xlfn.STDEV.S(AF446:AJ446),3),"")</f>
        <v>0.447</v>
      </c>
      <c r="AN446" s="7" t="n">
        <f aca="false">ROUND((IF(AF446="",0,AF446)*Assumptions!$F$15)+(IF(AG446="",0,AG446)*Assumptions!$F$16)+(IF(AH446="",0,AH446)*Assumptions!$F$17)+(IF(AI446="",0,AI446)*Assumptions!$F$18)+(IF(AJ446="",0,AJ446)*Assumptions!$F$19),3)</f>
        <v>2.85</v>
      </c>
      <c r="AO446" s="0" t="str">
        <f aca="false">IF(AC446&lt;=20,"",IF(AC446&lt;=Assumptions!$F$6,"20-30",IF(AC446&lt;=Assumptions!$F$7,"30-40",IF(AC446&lt;=Assumptions!$F$8,"40-50",IF(AC446&lt;=Assumptions!$F$9,"50-60",IF(AC446&lt;=Assumptions!$F$10,"60+",""))))))</f>
        <v>40-50</v>
      </c>
      <c r="AP446" s="0" t="str">
        <f aca="false">IFERROR(VLOOKUP(O446,Assumptions!$B$14:$C$26,2,FALSE()),"Other")</f>
        <v>Manager</v>
      </c>
      <c r="AQ446" s="0" t="n">
        <f aca="false">IF(T446="",0,1)</f>
        <v>0</v>
      </c>
      <c r="AR446" s="0" t="n">
        <f aca="false">IF(U446="",0,1)</f>
        <v>0</v>
      </c>
      <c r="AS446" s="8" t="n">
        <f aca="false">IF(AK446="","",IF(MAX($AK$2:$AK$921)=MIN($AK$2:$AK$921),50,ROUND((AK446-MIN($AK$2:$AK$921))/(MAX($AK$2:$AK$921)-MIN($AK$2:$AK$921))*100,2)))</f>
        <v>48.56</v>
      </c>
      <c r="AT446" s="8" t="n">
        <f aca="false">IF(MAX($BC$2:$BC$921)=MIN($BC$2:$BC$921),50,ROUND((BC446-MIN($BC$2:$BC$921))/(MAX($BC$2:$BC$921)-MIN($BC$2:$BC$921))*100,2))</f>
        <v>50</v>
      </c>
      <c r="AU446" s="8" t="n">
        <f aca="false">IF(MAX($BE$2:$BE$921)=MIN($BE$2:$BE$921),50,ROUND((BE446-MIN($BE$2:$BE$921))/(MAX($BE$2:$BE$921)-MIN($BE$2:$BE$921))*100,2))</f>
        <v>74.19</v>
      </c>
      <c r="AV446" s="8" t="n">
        <f aca="false">IF(MAX($AD$2:$AD$921)=MIN($AD$2:$AD$921),50,ROUND((AD446-MIN($AD$2:$AD$921))/(MAX($AD$2:$AD$921)-MIN($AD$2:$AD$921))*100,2))</f>
        <v>36.94</v>
      </c>
      <c r="AW446" s="8" t="n">
        <f aca="false">IF(MAX($AN$2:$AN$921)=MIN($AN$2:$AN$921),50,ROUND((AN446-MIN($AN$2:$AN$921))/(MAX($AN$2:$AN$921)-MIN($AN$2:$AN$921))*100,2))</f>
        <v>71.25</v>
      </c>
      <c r="AX446" s="8" t="n">
        <f aca="false">AQ446*100</f>
        <v>0</v>
      </c>
      <c r="AY446" s="8" t="n">
        <f aca="false">AR446*100</f>
        <v>0</v>
      </c>
      <c r="AZ446" s="8" t="n">
        <f aca="false">IFERROR(ROUND(AS446*Assumptions!$I$6+AW446*Assumptions!$I$7+AT446*Assumptions!$I$8+AU446*Assumptions!$I$9+AV446*Assumptions!$I$10+AX446*Assumptions!$I$11+AY446*Assumptions!$I$12,2),"")</f>
        <v>51.14</v>
      </c>
      <c r="BA446" s="0" t="str">
        <f aca="false">IF(AZ446="","",IF(AZ446&lt;=Assumptions!$I$18,"Below Expectation",IF(AZ446&lt;=Assumptions!$I$19,"Developing",IF(AZ446&lt;=Assumptions!$I$20,"Meets Expectation",IF(AZ446&lt;=Assumptions!$I$21,"Exceeds","Star Performer")))))</f>
        <v>Developing</v>
      </c>
      <c r="BB446" s="0" t="n">
        <f aca="false">IF(AZ446="",0,IF(AZ446&gt;=Assumptions!$I$26,1,0))</f>
        <v>0</v>
      </c>
      <c r="BC446" s="9" t="n">
        <f aca="false">IF(AL446="",2,AL446+2)</f>
        <v>2</v>
      </c>
      <c r="BD446" s="10" t="n">
        <f aca="false">IF(AM446="",ROUND(AVERAGE($AM$2:$AM$921),3),AM446)</f>
        <v>0.447</v>
      </c>
      <c r="BE446" s="9" t="n">
        <f aca="false">1-BD446</f>
        <v>0.553</v>
      </c>
    </row>
    <row r="447" customFormat="false" ht="14.25" hidden="true" customHeight="false" outlineLevel="0" collapsed="false">
      <c r="A447" s="4" t="n">
        <v>434</v>
      </c>
      <c r="B447" s="5" t="n">
        <v>50011431</v>
      </c>
      <c r="C447" s="5" t="s">
        <v>57</v>
      </c>
      <c r="D447" s="5" t="s">
        <v>1840</v>
      </c>
      <c r="E447" s="5" t="s">
        <v>520</v>
      </c>
      <c r="F447" s="5" t="s">
        <v>387</v>
      </c>
      <c r="G447" s="5" t="s">
        <v>388</v>
      </c>
      <c r="H447" s="5" t="s">
        <v>387</v>
      </c>
      <c r="I447" s="5" t="s">
        <v>63</v>
      </c>
      <c r="J447" s="5" t="s">
        <v>100</v>
      </c>
      <c r="K447" s="5" t="s">
        <v>65</v>
      </c>
      <c r="L447" s="6" t="n">
        <v>41288</v>
      </c>
      <c r="M447" s="5" t="s">
        <v>1841</v>
      </c>
      <c r="N447" s="6" t="n">
        <v>31401</v>
      </c>
      <c r="O447" s="5" t="s">
        <v>332</v>
      </c>
      <c r="P447" s="5" t="s">
        <v>333</v>
      </c>
      <c r="Q447" s="5" t="s">
        <v>1359</v>
      </c>
      <c r="R447" s="5" t="s">
        <v>726</v>
      </c>
      <c r="S447" s="5" t="s">
        <v>196</v>
      </c>
      <c r="T447" s="6"/>
      <c r="U447" s="6" t="n">
        <v>44652</v>
      </c>
      <c r="V447" s="5" t="s">
        <v>83</v>
      </c>
      <c r="W447" s="5" t="s">
        <v>141</v>
      </c>
      <c r="X447" s="5" t="s">
        <v>83</v>
      </c>
      <c r="Y447" s="5" t="s">
        <v>141</v>
      </c>
      <c r="Z447" s="5" t="s">
        <v>631</v>
      </c>
      <c r="AA447" s="5" t="s">
        <v>1842</v>
      </c>
      <c r="AB447" s="0" t="n">
        <f aca="false">IFERROR(VALUE(R447),0)</f>
        <v>5.5</v>
      </c>
      <c r="AC447" s="0" t="n">
        <f aca="false">IFERROR(VALUE(M447),"")</f>
        <v>40.5</v>
      </c>
      <c r="AD447" s="0" t="n">
        <f aca="false">IFERROR(VALUE(Q447),"")</f>
        <v>13.4</v>
      </c>
      <c r="AE447" s="0" t="n">
        <f aca="false">IFERROR(VALUE(S447),"")</f>
        <v>18.9</v>
      </c>
      <c r="AF447" s="0" t="n">
        <f aca="false">IF(V447="","",VLOOKUP(V447,Assumptions!$B$6:$C$9,2,FALSE()))</f>
        <v>4</v>
      </c>
      <c r="AG447" s="0" t="n">
        <f aca="false">IF(W447="","",VLOOKUP(W447,Assumptions!$B$6:$C$9,2,FALSE()))</f>
        <v>3</v>
      </c>
      <c r="AH447" s="0" t="n">
        <f aca="false">IF(X447="","",VLOOKUP(X447,Assumptions!$B$6:$C$9,2,FALSE()))</f>
        <v>4</v>
      </c>
      <c r="AI447" s="0" t="n">
        <f aca="false">IF(Y447="","",VLOOKUP(Y447,Assumptions!$B$6:$C$9,2,FALSE()))</f>
        <v>3</v>
      </c>
      <c r="AJ447" s="0" t="n">
        <f aca="false">IF(Z447="","",VLOOKUP(Z447,Assumptions!$B$6:$C$9,2,FALSE()))</f>
        <v>2</v>
      </c>
      <c r="AK447" s="7" t="n">
        <f aca="false">IFERROR(ROUND(AVERAGE(AF447:AJ447),3),"")</f>
        <v>3.2</v>
      </c>
      <c r="AL447" s="7" t="n">
        <f aca="false">IF(OR(AF447="",AJ447=""),"",AJ447-AF447)</f>
        <v>-2</v>
      </c>
      <c r="AM447" s="7" t="n">
        <f aca="false">IF(COUNT(AF447:AJ447)&gt;=2,ROUND(_xlfn.STDEV.S(AF447:AJ447),3),"")</f>
        <v>0.837</v>
      </c>
      <c r="AN447" s="7" t="n">
        <f aca="false">ROUND((IF(AF447="",0,AF447)*Assumptions!$F$15)+(IF(AG447="",0,AG447)*Assumptions!$F$16)+(IF(AH447="",0,AH447)*Assumptions!$F$17)+(IF(AI447="",0,AI447)*Assumptions!$F$18)+(IF(AJ447="",0,AJ447)*Assumptions!$F$19),3)</f>
        <v>3</v>
      </c>
      <c r="AO447" s="0" t="str">
        <f aca="false">IF(AC447&lt;=20,"",IF(AC447&lt;=Assumptions!$F$6,"20-30",IF(AC447&lt;=Assumptions!$F$7,"30-40",IF(AC447&lt;=Assumptions!$F$8,"40-50",IF(AC447&lt;=Assumptions!$F$9,"50-60",IF(AC447&lt;=Assumptions!$F$10,"60+",""))))))</f>
        <v>40-50</v>
      </c>
      <c r="AP447" s="0" t="str">
        <f aca="false">IFERROR(VLOOKUP(O447,Assumptions!$B$14:$C$26,2,FALSE()),"Other")</f>
        <v>Manager</v>
      </c>
      <c r="AQ447" s="0" t="n">
        <f aca="false">IF(T447="",0,1)</f>
        <v>0</v>
      </c>
      <c r="AR447" s="0" t="n">
        <f aca="false">IF(U447="",0,1)</f>
        <v>1</v>
      </c>
      <c r="AS447" s="8" t="n">
        <f aca="false">IF(AK447="","",IF(MAX($AK$2:$AK$921)=MIN($AK$2:$AK$921),50,ROUND((AK447-MIN($AK$2:$AK$921))/(MAX($AK$2:$AK$921)-MIN($AK$2:$AK$921))*100,2)))</f>
        <v>65.71</v>
      </c>
      <c r="AT447" s="8" t="n">
        <f aca="false">IF(MAX($BC$2:$BC$921)=MIN($BC$2:$BC$921),50,ROUND((BC447-MIN($BC$2:$BC$921))/(MAX($BC$2:$BC$921)-MIN($BC$2:$BC$921))*100,2))</f>
        <v>0</v>
      </c>
      <c r="AU447" s="8" t="n">
        <f aca="false">IF(MAX($BE$2:$BE$921)=MIN($BE$2:$BE$921),50,ROUND((BE447-MIN($BE$2:$BE$921))/(MAX($BE$2:$BE$921)-MIN($BE$2:$BE$921))*100,2))</f>
        <v>51.67</v>
      </c>
      <c r="AV447" s="8" t="n">
        <f aca="false">IF(MAX($AD$2:$AD$921)=MIN($AD$2:$AD$921),50,ROUND((AD447-MIN($AD$2:$AD$921))/(MAX($AD$2:$AD$921)-MIN($AD$2:$AD$921))*100,2))</f>
        <v>36.12</v>
      </c>
      <c r="AW447" s="8" t="n">
        <f aca="false">IF(MAX($AN$2:$AN$921)=MIN($AN$2:$AN$921),50,ROUND((AN447-MIN($AN$2:$AN$921))/(MAX($AN$2:$AN$921)-MIN($AN$2:$AN$921))*100,2))</f>
        <v>75</v>
      </c>
      <c r="AX447" s="8" t="n">
        <f aca="false">AQ447*100</f>
        <v>0</v>
      </c>
      <c r="AY447" s="8" t="n">
        <f aca="false">AR447*100</f>
        <v>100</v>
      </c>
      <c r="AZ447" s="8" t="n">
        <f aca="false">IFERROR(ROUND(AS447*Assumptions!$I$6+AW447*Assumptions!$I$7+AT447*Assumptions!$I$8+AU447*Assumptions!$I$9+AV447*Assumptions!$I$10+AX447*Assumptions!$I$11+AY447*Assumptions!$I$12,2),"")</f>
        <v>51.08</v>
      </c>
      <c r="BA447" s="0" t="str">
        <f aca="false">IF(AZ447="","",IF(AZ447&lt;=Assumptions!$I$18,"Below Expectation",IF(AZ447&lt;=Assumptions!$I$19,"Developing",IF(AZ447&lt;=Assumptions!$I$20,"Meets Expectation",IF(AZ447&lt;=Assumptions!$I$21,"Exceeds","Star Performer")))))</f>
        <v>Developing</v>
      </c>
      <c r="BB447" s="0" t="n">
        <f aca="false">IF(AZ447="",0,IF(AZ447&gt;=Assumptions!$I$26,1,0))</f>
        <v>0</v>
      </c>
      <c r="BC447" s="9" t="n">
        <f aca="false">IF(AL447="",2,AL447+2)</f>
        <v>0</v>
      </c>
      <c r="BD447" s="10" t="n">
        <f aca="false">IF(AM447="",ROUND(AVERAGE($AM$2:$AM$921),3),AM447)</f>
        <v>0.837</v>
      </c>
      <c r="BE447" s="9" t="n">
        <f aca="false">1-BD447</f>
        <v>0.163</v>
      </c>
    </row>
    <row r="448" customFormat="false" ht="14.25" hidden="true" customHeight="false" outlineLevel="0" collapsed="false">
      <c r="A448" s="4" t="n">
        <v>114</v>
      </c>
      <c r="B448" s="5" t="n">
        <v>10035194</v>
      </c>
      <c r="C448" s="5" t="s">
        <v>85</v>
      </c>
      <c r="D448" s="5" t="s">
        <v>1843</v>
      </c>
      <c r="E448" s="5" t="s">
        <v>1108</v>
      </c>
      <c r="F448" s="5" t="s">
        <v>292</v>
      </c>
      <c r="G448" s="5" t="s">
        <v>293</v>
      </c>
      <c r="H448" s="5" t="s">
        <v>292</v>
      </c>
      <c r="I448" s="5" t="s">
        <v>63</v>
      </c>
      <c r="J448" s="5" t="s">
        <v>76</v>
      </c>
      <c r="K448" s="5" t="s">
        <v>65</v>
      </c>
      <c r="L448" s="6" t="n">
        <v>41229</v>
      </c>
      <c r="M448" s="5" t="s">
        <v>1844</v>
      </c>
      <c r="N448" s="6" t="n">
        <v>26756</v>
      </c>
      <c r="O448" s="5" t="s">
        <v>122</v>
      </c>
      <c r="P448" s="5" t="s">
        <v>123</v>
      </c>
      <c r="Q448" s="5" t="s">
        <v>295</v>
      </c>
      <c r="R448" s="5" t="s">
        <v>471</v>
      </c>
      <c r="S448" s="5" t="s">
        <v>1845</v>
      </c>
      <c r="T448" s="6"/>
      <c r="U448" s="6"/>
      <c r="V448" s="5" t="s">
        <v>631</v>
      </c>
      <c r="W448" s="5" t="s">
        <v>631</v>
      </c>
      <c r="X448" s="5" t="s">
        <v>141</v>
      </c>
      <c r="Y448" s="5" t="s">
        <v>141</v>
      </c>
      <c r="Z448" s="5" t="s">
        <v>141</v>
      </c>
      <c r="AA448" s="5" t="s">
        <v>1846</v>
      </c>
      <c r="AB448" s="0" t="n">
        <f aca="false">IFERROR(VALUE(R448),0)</f>
        <v>18.1</v>
      </c>
      <c r="AC448" s="0" t="n">
        <f aca="false">IFERROR(VALUE(M448),"")</f>
        <v>53.2</v>
      </c>
      <c r="AD448" s="0" t="n">
        <f aca="false">IFERROR(VALUE(Q448),"")</f>
        <v>13.6</v>
      </c>
      <c r="AE448" s="0" t="n">
        <f aca="false">IFERROR(VALUE(S448),"")</f>
        <v>31.7</v>
      </c>
      <c r="AF448" s="0" t="n">
        <f aca="false">IF(V448="","",VLOOKUP(V448,Assumptions!$B$6:$C$9,2,FALSE()))</f>
        <v>2</v>
      </c>
      <c r="AG448" s="0" t="n">
        <f aca="false">IF(W448="","",VLOOKUP(W448,Assumptions!$B$6:$C$9,2,FALSE()))</f>
        <v>2</v>
      </c>
      <c r="AH448" s="0" t="n">
        <f aca="false">IF(X448="","",VLOOKUP(X448,Assumptions!$B$6:$C$9,2,FALSE()))</f>
        <v>3</v>
      </c>
      <c r="AI448" s="0" t="n">
        <f aca="false">IF(Y448="","",VLOOKUP(Y448,Assumptions!$B$6:$C$9,2,FALSE()))</f>
        <v>3</v>
      </c>
      <c r="AJ448" s="0" t="n">
        <f aca="false">IF(Z448="","",VLOOKUP(Z448,Assumptions!$B$6:$C$9,2,FALSE()))</f>
        <v>3</v>
      </c>
      <c r="AK448" s="7" t="n">
        <f aca="false">IFERROR(ROUND(AVERAGE(AF448:AJ448),3),"")</f>
        <v>2.6</v>
      </c>
      <c r="AL448" s="7" t="n">
        <f aca="false">IF(OR(AF448="",AJ448=""),"",AJ448-AF448)</f>
        <v>1</v>
      </c>
      <c r="AM448" s="7" t="n">
        <f aca="false">IF(COUNT(AF448:AJ448)&gt;=2,ROUND(_xlfn.STDEV.S(AF448:AJ448),3),"")</f>
        <v>0.548</v>
      </c>
      <c r="AN448" s="7" t="n">
        <f aca="false">ROUND((IF(AF448="",0,AF448)*Assumptions!$F$15)+(IF(AG448="",0,AG448)*Assumptions!$F$16)+(IF(AH448="",0,AH448)*Assumptions!$F$17)+(IF(AI448="",0,AI448)*Assumptions!$F$18)+(IF(AJ448="",0,AJ448)*Assumptions!$F$19),3)</f>
        <v>2.75</v>
      </c>
      <c r="AO448" s="0" t="str">
        <f aca="false">IF(AC448&lt;=20,"",IF(AC448&lt;=Assumptions!$F$6,"20-30",IF(AC448&lt;=Assumptions!$F$7,"30-40",IF(AC448&lt;=Assumptions!$F$8,"40-50",IF(AC448&lt;=Assumptions!$F$9,"50-60",IF(AC448&lt;=Assumptions!$F$10,"60+",""))))))</f>
        <v>50-60</v>
      </c>
      <c r="AP448" s="0" t="str">
        <f aca="false">IFERROR(VLOOKUP(O448,Assumptions!$B$14:$C$26,2,FALSE()),"Other")</f>
        <v>Leadership</v>
      </c>
      <c r="AQ448" s="0" t="n">
        <f aca="false">IF(T448="",0,1)</f>
        <v>0</v>
      </c>
      <c r="AR448" s="0" t="n">
        <f aca="false">IF(U448="",0,1)</f>
        <v>0</v>
      </c>
      <c r="AS448" s="8" t="n">
        <f aca="false">IF(AK448="","",IF(MAX($AK$2:$AK$921)=MIN($AK$2:$AK$921),50,ROUND((AK448-MIN($AK$2:$AK$921))/(MAX($AK$2:$AK$921)-MIN($AK$2:$AK$921))*100,2)))</f>
        <v>39.99</v>
      </c>
      <c r="AT448" s="8" t="n">
        <f aca="false">IF(MAX($BC$2:$BC$921)=MIN($BC$2:$BC$921),50,ROUND((BC448-MIN($BC$2:$BC$921))/(MAX($BC$2:$BC$921)-MIN($BC$2:$BC$921))*100,2))</f>
        <v>75</v>
      </c>
      <c r="AU448" s="8" t="n">
        <f aca="false">IF(MAX($BE$2:$BE$921)=MIN($BE$2:$BE$921),50,ROUND((BE448-MIN($BE$2:$BE$921))/(MAX($BE$2:$BE$921)-MIN($BE$2:$BE$921))*100,2))</f>
        <v>68.36</v>
      </c>
      <c r="AV448" s="8" t="n">
        <f aca="false">IF(MAX($AD$2:$AD$921)=MIN($AD$2:$AD$921),50,ROUND((AD448-MIN($AD$2:$AD$921))/(MAX($AD$2:$AD$921)-MIN($AD$2:$AD$921))*100,2))</f>
        <v>36.67</v>
      </c>
      <c r="AW448" s="8" t="n">
        <f aca="false">IF(MAX($AN$2:$AN$921)=MIN($AN$2:$AN$921),50,ROUND((AN448-MIN($AN$2:$AN$921))/(MAX($AN$2:$AN$921)-MIN($AN$2:$AN$921))*100,2))</f>
        <v>68.75</v>
      </c>
      <c r="AX448" s="8" t="n">
        <f aca="false">AQ448*100</f>
        <v>0</v>
      </c>
      <c r="AY448" s="8" t="n">
        <f aca="false">AR448*100</f>
        <v>0</v>
      </c>
      <c r="AZ448" s="8" t="n">
        <f aca="false">IFERROR(ROUND(AS448*Assumptions!$I$6+AW448*Assumptions!$I$7+AT448*Assumptions!$I$8+AU448*Assumptions!$I$9+AV448*Assumptions!$I$10+AX448*Assumptions!$I$11+AY448*Assumptions!$I$12,2),"")</f>
        <v>50.92</v>
      </c>
      <c r="BA448" s="0" t="str">
        <f aca="false">IF(AZ448="","",IF(AZ448&lt;=Assumptions!$I$18,"Below Expectation",IF(AZ448&lt;=Assumptions!$I$19,"Developing",IF(AZ448&lt;=Assumptions!$I$20,"Meets Expectation",IF(AZ448&lt;=Assumptions!$I$21,"Exceeds","Star Performer")))))</f>
        <v>Developing</v>
      </c>
      <c r="BB448" s="0" t="n">
        <f aca="false">IF(AZ448="",0,IF(AZ448&gt;=Assumptions!$I$26,1,0))</f>
        <v>0</v>
      </c>
      <c r="BC448" s="9" t="n">
        <f aca="false">IF(AL448="",2,AL448+2)</f>
        <v>3</v>
      </c>
      <c r="BD448" s="10" t="n">
        <f aca="false">IF(AM448="",ROUND(AVERAGE($AM$2:$AM$921),3),AM448)</f>
        <v>0.548</v>
      </c>
      <c r="BE448" s="9" t="n">
        <f aca="false">1-BD448</f>
        <v>0.452</v>
      </c>
    </row>
    <row r="449" customFormat="false" ht="14.25" hidden="true" customHeight="false" outlineLevel="0" collapsed="false">
      <c r="A449" s="4" t="n">
        <v>557</v>
      </c>
      <c r="B449" s="5" t="n">
        <v>55049408</v>
      </c>
      <c r="C449" s="5" t="s">
        <v>85</v>
      </c>
      <c r="D449" s="5" t="s">
        <v>1847</v>
      </c>
      <c r="E449" s="5" t="s">
        <v>185</v>
      </c>
      <c r="F449" s="5" t="s">
        <v>1848</v>
      </c>
      <c r="G449" s="5" t="s">
        <v>1849</v>
      </c>
      <c r="H449" s="5" t="s">
        <v>1848</v>
      </c>
      <c r="I449" s="5" t="s">
        <v>63</v>
      </c>
      <c r="J449" s="5" t="s">
        <v>76</v>
      </c>
      <c r="K449" s="5" t="s">
        <v>309</v>
      </c>
      <c r="L449" s="6" t="n">
        <v>44665</v>
      </c>
      <c r="M449" s="5" t="s">
        <v>1739</v>
      </c>
      <c r="N449" s="6" t="n">
        <v>36437</v>
      </c>
      <c r="O449" s="5" t="s">
        <v>1264</v>
      </c>
      <c r="P449" s="5" t="s">
        <v>1559</v>
      </c>
      <c r="Q449" s="5" t="s">
        <v>1534</v>
      </c>
      <c r="R449" s="5" t="s">
        <v>115</v>
      </c>
      <c r="S449" s="5" t="s">
        <v>1534</v>
      </c>
      <c r="T449" s="6"/>
      <c r="U449" s="6"/>
      <c r="V449" s="5"/>
      <c r="W449" s="5" t="s">
        <v>631</v>
      </c>
      <c r="X449" s="5" t="s">
        <v>83</v>
      </c>
      <c r="Y449" s="5" t="s">
        <v>141</v>
      </c>
      <c r="Z449" s="5" t="s">
        <v>83</v>
      </c>
      <c r="AA449" s="5" t="s">
        <v>1734</v>
      </c>
      <c r="AB449" s="0" t="n">
        <f aca="false">IFERROR(VALUE(R449),0)</f>
        <v>0</v>
      </c>
      <c r="AC449" s="0" t="n">
        <f aca="false">IFERROR(VALUE(M449),"")</f>
        <v>26.8</v>
      </c>
      <c r="AD449" s="0" t="n">
        <f aca="false">IFERROR(VALUE(Q449),"")</f>
        <v>4.1</v>
      </c>
      <c r="AE449" s="0" t="n">
        <f aca="false">IFERROR(VALUE(S449),"")</f>
        <v>4.1</v>
      </c>
      <c r="AF449" s="0" t="str">
        <f aca="false">IF(V449="","",VLOOKUP(V449,Assumptions!$B$6:$C$9,2,FALSE()))</f>
        <v/>
      </c>
      <c r="AG449" s="0" t="n">
        <f aca="false">IF(W449="","",VLOOKUP(W449,Assumptions!$B$6:$C$9,2,FALSE()))</f>
        <v>2</v>
      </c>
      <c r="AH449" s="0" t="n">
        <f aca="false">IF(X449="","",VLOOKUP(X449,Assumptions!$B$6:$C$9,2,FALSE()))</f>
        <v>4</v>
      </c>
      <c r="AI449" s="0" t="n">
        <f aca="false">IF(Y449="","",VLOOKUP(Y449,Assumptions!$B$6:$C$9,2,FALSE()))</f>
        <v>3</v>
      </c>
      <c r="AJ449" s="0" t="n">
        <f aca="false">IF(Z449="","",VLOOKUP(Z449,Assumptions!$B$6:$C$9,2,FALSE()))</f>
        <v>4</v>
      </c>
      <c r="AK449" s="7" t="n">
        <f aca="false">IFERROR(ROUND(AVERAGE(AF449:AJ449),3),"")</f>
        <v>3.25</v>
      </c>
      <c r="AL449" s="7" t="str">
        <f aca="false">IF(OR(AF449="",AJ449=""),"",AJ449-AF449)</f>
        <v/>
      </c>
      <c r="AM449" s="7" t="n">
        <f aca="false">IF(COUNT(AF449:AJ449)&gt;=2,ROUND(_xlfn.STDEV.S(AF449:AJ449),3),"")</f>
        <v>0.957</v>
      </c>
      <c r="AN449" s="7" t="n">
        <f aca="false">ROUND((IF(AF449="",0,AF449)*Assumptions!$F$15)+(IF(AG449="",0,AG449)*Assumptions!$F$16)+(IF(AH449="",0,AH449)*Assumptions!$F$17)+(IF(AI449="",0,AI449)*Assumptions!$F$18)+(IF(AJ449="",0,AJ449)*Assumptions!$F$19),3)</f>
        <v>3.05</v>
      </c>
      <c r="AO449" s="0" t="str">
        <f aca="false">IF(AC449&lt;=20,"",IF(AC449&lt;=Assumptions!$F$6,"20-30",IF(AC449&lt;=Assumptions!$F$7,"30-40",IF(AC449&lt;=Assumptions!$F$8,"40-50",IF(AC449&lt;=Assumptions!$F$9,"50-60",IF(AC449&lt;=Assumptions!$F$10,"60+",""))))))</f>
        <v>20-30</v>
      </c>
      <c r="AP449" s="0" t="str">
        <f aca="false">IFERROR(VLOOKUP(O449,Assumptions!$B$14:$C$26,2,FALSE()),"Other")</f>
        <v>Manager</v>
      </c>
      <c r="AQ449" s="0" t="n">
        <f aca="false">IF(T449="",0,1)</f>
        <v>0</v>
      </c>
      <c r="AR449" s="0" t="n">
        <f aca="false">IF(U449="",0,1)</f>
        <v>0</v>
      </c>
      <c r="AS449" s="8" t="n">
        <f aca="false">IF(AK449="","",IF(MAX($AK$2:$AK$921)=MIN($AK$2:$AK$921),50,ROUND((AK449-MIN($AK$2:$AK$921))/(MAX($AK$2:$AK$921)-MIN($AK$2:$AK$921))*100,2)))</f>
        <v>67.85</v>
      </c>
      <c r="AT449" s="8" t="n">
        <f aca="false">IF(MAX($BC$2:$BC$921)=MIN($BC$2:$BC$921),50,ROUND((BC449-MIN($BC$2:$BC$921))/(MAX($BC$2:$BC$921)-MIN($BC$2:$BC$921))*100,2))</f>
        <v>50</v>
      </c>
      <c r="AU449" s="8" t="n">
        <f aca="false">IF(MAX($BE$2:$BE$921)=MIN($BE$2:$BE$921),50,ROUND((BE449-MIN($BE$2:$BE$921))/(MAX($BE$2:$BE$921)-MIN($BE$2:$BE$921))*100,2))</f>
        <v>44.75</v>
      </c>
      <c r="AV449" s="8" t="n">
        <f aca="false">IF(MAX($AD$2:$AD$921)=MIN($AD$2:$AD$921),50,ROUND((AD449-MIN($AD$2:$AD$921))/(MAX($AD$2:$AD$921)-MIN($AD$2:$AD$921))*100,2))</f>
        <v>10.85</v>
      </c>
      <c r="AW449" s="8" t="n">
        <f aca="false">IF(MAX($AN$2:$AN$921)=MIN($AN$2:$AN$921),50,ROUND((AN449-MIN($AN$2:$AN$921))/(MAX($AN$2:$AN$921)-MIN($AN$2:$AN$921))*100,2))</f>
        <v>76.25</v>
      </c>
      <c r="AX449" s="8" t="n">
        <f aca="false">AQ449*100</f>
        <v>0</v>
      </c>
      <c r="AY449" s="8" t="n">
        <f aca="false">AR449*100</f>
        <v>0</v>
      </c>
      <c r="AZ449" s="8" t="n">
        <f aca="false">IFERROR(ROUND(AS449*Assumptions!$I$6+AW449*Assumptions!$I$7+AT449*Assumptions!$I$8+AU449*Assumptions!$I$9+AV449*Assumptions!$I$10+AX449*Assumptions!$I$11+AY449*Assumptions!$I$12,2),"")</f>
        <v>50.9</v>
      </c>
      <c r="BA449" s="0" t="str">
        <f aca="false">IF(AZ449="","",IF(AZ449&lt;=Assumptions!$I$18,"Below Expectation",IF(AZ449&lt;=Assumptions!$I$19,"Developing",IF(AZ449&lt;=Assumptions!$I$20,"Meets Expectation",IF(AZ449&lt;=Assumptions!$I$21,"Exceeds","Star Performer")))))</f>
        <v>Developing</v>
      </c>
      <c r="BB449" s="0" t="n">
        <f aca="false">IF(AZ449="",0,IF(AZ449&gt;=Assumptions!$I$26,1,0))</f>
        <v>0</v>
      </c>
      <c r="BC449" s="9" t="n">
        <f aca="false">IF(AL449="",2,AL449+2)</f>
        <v>2</v>
      </c>
      <c r="BD449" s="10" t="n">
        <f aca="false">IF(AM449="",ROUND(AVERAGE($AM$2:$AM$921),3),AM449)</f>
        <v>0.957</v>
      </c>
      <c r="BE449" s="9" t="n">
        <f aca="false">1-BD449</f>
        <v>0.043</v>
      </c>
    </row>
    <row r="450" customFormat="false" ht="14.25" hidden="true" customHeight="false" outlineLevel="0" collapsed="false">
      <c r="A450" s="4" t="n">
        <v>195</v>
      </c>
      <c r="B450" s="5" t="n">
        <v>10055682</v>
      </c>
      <c r="C450" s="5" t="s">
        <v>57</v>
      </c>
      <c r="D450" s="5" t="s">
        <v>1850</v>
      </c>
      <c r="E450" s="5" t="s">
        <v>1497</v>
      </c>
      <c r="F450" s="5" t="s">
        <v>608</v>
      </c>
      <c r="G450" s="5" t="s">
        <v>609</v>
      </c>
      <c r="H450" s="5" t="s">
        <v>608</v>
      </c>
      <c r="I450" s="5" t="s">
        <v>63</v>
      </c>
      <c r="J450" s="5" t="s">
        <v>100</v>
      </c>
      <c r="K450" s="5" t="s">
        <v>65</v>
      </c>
      <c r="L450" s="6" t="n">
        <v>42639</v>
      </c>
      <c r="M450" s="5" t="s">
        <v>708</v>
      </c>
      <c r="N450" s="6" t="n">
        <v>32947</v>
      </c>
      <c r="O450" s="5" t="s">
        <v>365</v>
      </c>
      <c r="P450" s="5" t="s">
        <v>365</v>
      </c>
      <c r="Q450" s="5" t="s">
        <v>418</v>
      </c>
      <c r="R450" s="5" t="s">
        <v>1677</v>
      </c>
      <c r="S450" s="5" t="s">
        <v>341</v>
      </c>
      <c r="T450" s="6"/>
      <c r="U450" s="6"/>
      <c r="V450" s="5" t="s">
        <v>631</v>
      </c>
      <c r="W450" s="5" t="s">
        <v>631</v>
      </c>
      <c r="X450" s="5" t="s">
        <v>141</v>
      </c>
      <c r="Y450" s="5" t="s">
        <v>631</v>
      </c>
      <c r="Z450" s="5" t="s">
        <v>83</v>
      </c>
      <c r="AA450" s="5" t="s">
        <v>1851</v>
      </c>
      <c r="AB450" s="0" t="n">
        <f aca="false">IFERROR(VALUE(R450),0)</f>
        <v>2.2</v>
      </c>
      <c r="AC450" s="0" t="n">
        <f aca="false">IFERROR(VALUE(M450),"")</f>
        <v>36.2</v>
      </c>
      <c r="AD450" s="0" t="n">
        <f aca="false">IFERROR(VALUE(Q450),"")</f>
        <v>9.8</v>
      </c>
      <c r="AE450" s="0" t="n">
        <f aca="false">IFERROR(VALUE(S450),"")</f>
        <v>11.1</v>
      </c>
      <c r="AF450" s="0" t="n">
        <f aca="false">IF(V450="","",VLOOKUP(V450,Assumptions!$B$6:$C$9,2,FALSE()))</f>
        <v>2</v>
      </c>
      <c r="AG450" s="0" t="n">
        <f aca="false">IF(W450="","",VLOOKUP(W450,Assumptions!$B$6:$C$9,2,FALSE()))</f>
        <v>2</v>
      </c>
      <c r="AH450" s="0" t="n">
        <f aca="false">IF(X450="","",VLOOKUP(X450,Assumptions!$B$6:$C$9,2,FALSE()))</f>
        <v>3</v>
      </c>
      <c r="AI450" s="0" t="n">
        <f aca="false">IF(Y450="","",VLOOKUP(Y450,Assumptions!$B$6:$C$9,2,FALSE()))</f>
        <v>2</v>
      </c>
      <c r="AJ450" s="0" t="n">
        <f aca="false">IF(Z450="","",VLOOKUP(Z450,Assumptions!$B$6:$C$9,2,FALSE()))</f>
        <v>4</v>
      </c>
      <c r="AK450" s="7" t="n">
        <f aca="false">IFERROR(ROUND(AVERAGE(AF450:AJ450),3),"")</f>
        <v>2.6</v>
      </c>
      <c r="AL450" s="7" t="n">
        <f aca="false">IF(OR(AF450="",AJ450=""),"",AJ450-AF450)</f>
        <v>2</v>
      </c>
      <c r="AM450" s="7" t="n">
        <f aca="false">IF(COUNT(AF450:AJ450)&gt;=2,ROUND(_xlfn.STDEV.S(AF450:AJ450),3),"")</f>
        <v>0.894</v>
      </c>
      <c r="AN450" s="7" t="n">
        <f aca="false">ROUND((IF(AF450="",0,AF450)*Assumptions!$F$15)+(IF(AG450="",0,AG450)*Assumptions!$F$16)+(IF(AH450="",0,AH450)*Assumptions!$F$17)+(IF(AI450="",0,AI450)*Assumptions!$F$18)+(IF(AJ450="",0,AJ450)*Assumptions!$F$19),3)</f>
        <v>2.8</v>
      </c>
      <c r="AO450" s="0" t="str">
        <f aca="false">IF(AC450&lt;=20,"",IF(AC450&lt;=Assumptions!$F$6,"20-30",IF(AC450&lt;=Assumptions!$F$7,"30-40",IF(AC450&lt;=Assumptions!$F$8,"40-50",IF(AC450&lt;=Assumptions!$F$9,"50-60",IF(AC450&lt;=Assumptions!$F$10,"60+",""))))))</f>
        <v>30-40</v>
      </c>
      <c r="AP450" s="0" t="str">
        <f aca="false">IFERROR(VLOOKUP(O450,Assumptions!$B$14:$C$26,2,FALSE()),"Other")</f>
        <v>Manager</v>
      </c>
      <c r="AQ450" s="0" t="n">
        <f aca="false">IF(T450="",0,1)</f>
        <v>0</v>
      </c>
      <c r="AR450" s="0" t="n">
        <f aca="false">IF(U450="",0,1)</f>
        <v>0</v>
      </c>
      <c r="AS450" s="8" t="n">
        <f aca="false">IF(AK450="","",IF(MAX($AK$2:$AK$921)=MIN($AK$2:$AK$921),50,ROUND((AK450-MIN($AK$2:$AK$921))/(MAX($AK$2:$AK$921)-MIN($AK$2:$AK$921))*100,2)))</f>
        <v>39.99</v>
      </c>
      <c r="AT450" s="8" t="n">
        <f aca="false">IF(MAX($BC$2:$BC$921)=MIN($BC$2:$BC$921),50,ROUND((BC450-MIN($BC$2:$BC$921))/(MAX($BC$2:$BC$921)-MIN($BC$2:$BC$921))*100,2))</f>
        <v>100</v>
      </c>
      <c r="AU450" s="8" t="n">
        <f aca="false">IF(MAX($BE$2:$BE$921)=MIN($BE$2:$BE$921),50,ROUND((BE450-MIN($BE$2:$BE$921))/(MAX($BE$2:$BE$921)-MIN($BE$2:$BE$921))*100,2))</f>
        <v>48.38</v>
      </c>
      <c r="AV450" s="8" t="n">
        <f aca="false">IF(MAX($AD$2:$AD$921)=MIN($AD$2:$AD$921),50,ROUND((AD450-MIN($AD$2:$AD$921))/(MAX($AD$2:$AD$921)-MIN($AD$2:$AD$921))*100,2))</f>
        <v>26.34</v>
      </c>
      <c r="AW450" s="8" t="n">
        <f aca="false">IF(MAX($AN$2:$AN$921)=MIN($AN$2:$AN$921),50,ROUND((AN450-MIN($AN$2:$AN$921))/(MAX($AN$2:$AN$921)-MIN($AN$2:$AN$921))*100,2))</f>
        <v>70</v>
      </c>
      <c r="AX450" s="8" t="n">
        <f aca="false">AQ450*100</f>
        <v>0</v>
      </c>
      <c r="AY450" s="8" t="n">
        <f aca="false">AR450*100</f>
        <v>0</v>
      </c>
      <c r="AZ450" s="8" t="n">
        <f aca="false">IFERROR(ROUND(AS450*Assumptions!$I$6+AW450*Assumptions!$I$7+AT450*Assumptions!$I$8+AU450*Assumptions!$I$9+AV450*Assumptions!$I$10+AX450*Assumptions!$I$11+AY450*Assumptions!$I$12,2),"")</f>
        <v>50.89</v>
      </c>
      <c r="BA450" s="0" t="str">
        <f aca="false">IF(AZ450="","",IF(AZ450&lt;=Assumptions!$I$18,"Below Expectation",IF(AZ450&lt;=Assumptions!$I$19,"Developing",IF(AZ450&lt;=Assumptions!$I$20,"Meets Expectation",IF(AZ450&lt;=Assumptions!$I$21,"Exceeds","Star Performer")))))</f>
        <v>Developing</v>
      </c>
      <c r="BB450" s="0" t="n">
        <f aca="false">IF(AZ450="",0,IF(AZ450&gt;=Assumptions!$I$26,1,0))</f>
        <v>0</v>
      </c>
      <c r="BC450" s="9" t="n">
        <f aca="false">IF(AL450="",2,AL450+2)</f>
        <v>4</v>
      </c>
      <c r="BD450" s="10" t="n">
        <f aca="false">IF(AM450="",ROUND(AVERAGE($AM$2:$AM$921),3),AM450)</f>
        <v>0.894</v>
      </c>
      <c r="BE450" s="9" t="n">
        <f aca="false">1-BD450</f>
        <v>0.106</v>
      </c>
    </row>
    <row r="451" customFormat="false" ht="14.25" hidden="true" customHeight="false" outlineLevel="0" collapsed="false">
      <c r="A451" s="4" t="n">
        <v>614</v>
      </c>
      <c r="B451" s="5" t="n">
        <v>55054333</v>
      </c>
      <c r="C451" s="5" t="s">
        <v>85</v>
      </c>
      <c r="D451" s="5" t="s">
        <v>1852</v>
      </c>
      <c r="E451" s="5" t="s">
        <v>751</v>
      </c>
      <c r="F451" s="5" t="s">
        <v>1731</v>
      </c>
      <c r="G451" s="5" t="s">
        <v>1732</v>
      </c>
      <c r="H451" s="5" t="s">
        <v>1731</v>
      </c>
      <c r="I451" s="5" t="s">
        <v>63</v>
      </c>
      <c r="J451" s="5" t="s">
        <v>76</v>
      </c>
      <c r="K451" s="5" t="s">
        <v>309</v>
      </c>
      <c r="L451" s="6" t="n">
        <v>44763</v>
      </c>
      <c r="M451" s="5" t="s">
        <v>910</v>
      </c>
      <c r="N451" s="6" t="n">
        <v>37079</v>
      </c>
      <c r="O451" s="5" t="s">
        <v>1264</v>
      </c>
      <c r="P451" s="5" t="s">
        <v>1559</v>
      </c>
      <c r="Q451" s="5" t="s">
        <v>591</v>
      </c>
      <c r="R451" s="5" t="s">
        <v>115</v>
      </c>
      <c r="S451" s="5" t="s">
        <v>591</v>
      </c>
      <c r="T451" s="6"/>
      <c r="U451" s="6"/>
      <c r="V451" s="5"/>
      <c r="W451" s="5" t="s">
        <v>631</v>
      </c>
      <c r="X451" s="5" t="s">
        <v>141</v>
      </c>
      <c r="Y451" s="5" t="s">
        <v>83</v>
      </c>
      <c r="Z451" s="5" t="s">
        <v>83</v>
      </c>
      <c r="AA451" s="5" t="s">
        <v>1853</v>
      </c>
      <c r="AB451" s="0" t="n">
        <f aca="false">IFERROR(VALUE(R451),0)</f>
        <v>0</v>
      </c>
      <c r="AC451" s="0" t="n">
        <f aca="false">IFERROR(VALUE(M451),"")</f>
        <v>24.11</v>
      </c>
      <c r="AD451" s="0" t="n">
        <f aca="false">IFERROR(VALUE(Q451),"")</f>
        <v>3.1</v>
      </c>
      <c r="AE451" s="0" t="n">
        <f aca="false">IFERROR(VALUE(S451),"")</f>
        <v>3.1</v>
      </c>
      <c r="AF451" s="0" t="str">
        <f aca="false">IF(V451="","",VLOOKUP(V451,Assumptions!$B$6:$C$9,2,FALSE()))</f>
        <v/>
      </c>
      <c r="AG451" s="0" t="n">
        <f aca="false">IF(W451="","",VLOOKUP(W451,Assumptions!$B$6:$C$9,2,FALSE()))</f>
        <v>2</v>
      </c>
      <c r="AH451" s="0" t="n">
        <f aca="false">IF(X451="","",VLOOKUP(X451,Assumptions!$B$6:$C$9,2,FALSE()))</f>
        <v>3</v>
      </c>
      <c r="AI451" s="0" t="n">
        <f aca="false">IF(Y451="","",VLOOKUP(Y451,Assumptions!$B$6:$C$9,2,FALSE()))</f>
        <v>4</v>
      </c>
      <c r="AJ451" s="0" t="n">
        <f aca="false">IF(Z451="","",VLOOKUP(Z451,Assumptions!$B$6:$C$9,2,FALSE()))</f>
        <v>4</v>
      </c>
      <c r="AK451" s="7" t="n">
        <f aca="false">IFERROR(ROUND(AVERAGE(AF451:AJ451),3),"")</f>
        <v>3.25</v>
      </c>
      <c r="AL451" s="7" t="str">
        <f aca="false">IF(OR(AF451="",AJ451=""),"",AJ451-AF451)</f>
        <v/>
      </c>
      <c r="AM451" s="7" t="n">
        <f aca="false">IF(COUNT(AF451:AJ451)&gt;=2,ROUND(_xlfn.STDEV.S(AF451:AJ451),3),"")</f>
        <v>0.957</v>
      </c>
      <c r="AN451" s="7" t="n">
        <f aca="false">ROUND((IF(AF451="",0,AF451)*Assumptions!$F$15)+(IF(AG451="",0,AG451)*Assumptions!$F$16)+(IF(AH451="",0,AH451)*Assumptions!$F$17)+(IF(AI451="",0,AI451)*Assumptions!$F$18)+(IF(AJ451="",0,AJ451)*Assumptions!$F$19),3)</f>
        <v>3.1</v>
      </c>
      <c r="AO451" s="0" t="str">
        <f aca="false">IF(AC451&lt;=20,"",IF(AC451&lt;=Assumptions!$F$6,"20-30",IF(AC451&lt;=Assumptions!$F$7,"30-40",IF(AC451&lt;=Assumptions!$F$8,"40-50",IF(AC451&lt;=Assumptions!$F$9,"50-60",IF(AC451&lt;=Assumptions!$F$10,"60+",""))))))</f>
        <v>20-30</v>
      </c>
      <c r="AP451" s="0" t="str">
        <f aca="false">IFERROR(VLOOKUP(O451,Assumptions!$B$14:$C$26,2,FALSE()),"Other")</f>
        <v>Manager</v>
      </c>
      <c r="AQ451" s="0" t="n">
        <f aca="false">IF(T451="",0,1)</f>
        <v>0</v>
      </c>
      <c r="AR451" s="0" t="n">
        <f aca="false">IF(U451="",0,1)</f>
        <v>0</v>
      </c>
      <c r="AS451" s="8" t="n">
        <f aca="false">IF(AK451="","",IF(MAX($AK$2:$AK$921)=MIN($AK$2:$AK$921),50,ROUND((AK451-MIN($AK$2:$AK$921))/(MAX($AK$2:$AK$921)-MIN($AK$2:$AK$921))*100,2)))</f>
        <v>67.85</v>
      </c>
      <c r="AT451" s="8" t="n">
        <f aca="false">IF(MAX($BC$2:$BC$921)=MIN($BC$2:$BC$921),50,ROUND((BC451-MIN($BC$2:$BC$921))/(MAX($BC$2:$BC$921)-MIN($BC$2:$BC$921))*100,2))</f>
        <v>50</v>
      </c>
      <c r="AU451" s="8" t="n">
        <f aca="false">IF(MAX($BE$2:$BE$921)=MIN($BE$2:$BE$921),50,ROUND((BE451-MIN($BE$2:$BE$921))/(MAX($BE$2:$BE$921)-MIN($BE$2:$BE$921))*100,2))</f>
        <v>44.75</v>
      </c>
      <c r="AV451" s="8" t="n">
        <f aca="false">IF(MAX($AD$2:$AD$921)=MIN($AD$2:$AD$921),50,ROUND((AD451-MIN($AD$2:$AD$921))/(MAX($AD$2:$AD$921)-MIN($AD$2:$AD$921))*100,2))</f>
        <v>8.13</v>
      </c>
      <c r="AW451" s="8" t="n">
        <f aca="false">IF(MAX($AN$2:$AN$921)=MIN($AN$2:$AN$921),50,ROUND((AN451-MIN($AN$2:$AN$921))/(MAX($AN$2:$AN$921)-MIN($AN$2:$AN$921))*100,2))</f>
        <v>77.5</v>
      </c>
      <c r="AX451" s="8" t="n">
        <f aca="false">AQ451*100</f>
        <v>0</v>
      </c>
      <c r="AY451" s="8" t="n">
        <f aca="false">AR451*100</f>
        <v>0</v>
      </c>
      <c r="AZ451" s="8" t="n">
        <f aca="false">IFERROR(ROUND(AS451*Assumptions!$I$6+AW451*Assumptions!$I$7+AT451*Assumptions!$I$8+AU451*Assumptions!$I$9+AV451*Assumptions!$I$10+AX451*Assumptions!$I$11+AY451*Assumptions!$I$12,2),"")</f>
        <v>50.88</v>
      </c>
      <c r="BA451" s="0" t="str">
        <f aca="false">IF(AZ451="","",IF(AZ451&lt;=Assumptions!$I$18,"Below Expectation",IF(AZ451&lt;=Assumptions!$I$19,"Developing",IF(AZ451&lt;=Assumptions!$I$20,"Meets Expectation",IF(AZ451&lt;=Assumptions!$I$21,"Exceeds","Star Performer")))))</f>
        <v>Developing</v>
      </c>
      <c r="BB451" s="0" t="n">
        <f aca="false">IF(AZ451="",0,IF(AZ451&gt;=Assumptions!$I$26,1,0))</f>
        <v>0</v>
      </c>
      <c r="BC451" s="9" t="n">
        <f aca="false">IF(AL451="",2,AL451+2)</f>
        <v>2</v>
      </c>
      <c r="BD451" s="10" t="n">
        <f aca="false">IF(AM451="",ROUND(AVERAGE($AM$2:$AM$921),3),AM451)</f>
        <v>0.957</v>
      </c>
      <c r="BE451" s="9" t="n">
        <f aca="false">1-BD451</f>
        <v>0.043</v>
      </c>
    </row>
    <row r="452" customFormat="false" ht="14.25" hidden="true" customHeight="false" outlineLevel="0" collapsed="false">
      <c r="A452" s="4" t="n">
        <v>617</v>
      </c>
      <c r="B452" s="5" t="n">
        <v>55054340</v>
      </c>
      <c r="C452" s="5" t="s">
        <v>85</v>
      </c>
      <c r="D452" s="5" t="s">
        <v>1854</v>
      </c>
      <c r="E452" s="5" t="s">
        <v>836</v>
      </c>
      <c r="F452" s="5" t="s">
        <v>1382</v>
      </c>
      <c r="G452" s="5" t="s">
        <v>1383</v>
      </c>
      <c r="H452" s="5" t="s">
        <v>1382</v>
      </c>
      <c r="I452" s="5" t="s">
        <v>63</v>
      </c>
      <c r="J452" s="5" t="s">
        <v>76</v>
      </c>
      <c r="K452" s="5" t="s">
        <v>309</v>
      </c>
      <c r="L452" s="6" t="n">
        <v>44763</v>
      </c>
      <c r="M452" s="5" t="s">
        <v>1513</v>
      </c>
      <c r="N452" s="6" t="n">
        <v>36651</v>
      </c>
      <c r="O452" s="5" t="s">
        <v>1264</v>
      </c>
      <c r="P452" s="5" t="s">
        <v>1559</v>
      </c>
      <c r="Q452" s="5" t="s">
        <v>591</v>
      </c>
      <c r="R452" s="5" t="s">
        <v>115</v>
      </c>
      <c r="S452" s="5" t="s">
        <v>591</v>
      </c>
      <c r="T452" s="6"/>
      <c r="U452" s="6"/>
      <c r="V452" s="5"/>
      <c r="W452" s="5" t="s">
        <v>631</v>
      </c>
      <c r="X452" s="5" t="s">
        <v>141</v>
      </c>
      <c r="Y452" s="5" t="s">
        <v>83</v>
      </c>
      <c r="Z452" s="5" t="s">
        <v>83</v>
      </c>
      <c r="AA452" s="5" t="s">
        <v>1855</v>
      </c>
      <c r="AB452" s="0" t="n">
        <f aca="false">IFERROR(VALUE(R452),0)</f>
        <v>0</v>
      </c>
      <c r="AC452" s="0" t="n">
        <f aca="false">IFERROR(VALUE(M452),"")</f>
        <v>26.1</v>
      </c>
      <c r="AD452" s="0" t="n">
        <f aca="false">IFERROR(VALUE(Q452),"")</f>
        <v>3.1</v>
      </c>
      <c r="AE452" s="0" t="n">
        <f aca="false">IFERROR(VALUE(S452),"")</f>
        <v>3.1</v>
      </c>
      <c r="AF452" s="0" t="str">
        <f aca="false">IF(V452="","",VLOOKUP(V452,Assumptions!$B$6:$C$9,2,FALSE()))</f>
        <v/>
      </c>
      <c r="AG452" s="0" t="n">
        <f aca="false">IF(W452="","",VLOOKUP(W452,Assumptions!$B$6:$C$9,2,FALSE()))</f>
        <v>2</v>
      </c>
      <c r="AH452" s="0" t="n">
        <f aca="false">IF(X452="","",VLOOKUP(X452,Assumptions!$B$6:$C$9,2,FALSE()))</f>
        <v>3</v>
      </c>
      <c r="AI452" s="0" t="n">
        <f aca="false">IF(Y452="","",VLOOKUP(Y452,Assumptions!$B$6:$C$9,2,FALSE()))</f>
        <v>4</v>
      </c>
      <c r="AJ452" s="0" t="n">
        <f aca="false">IF(Z452="","",VLOOKUP(Z452,Assumptions!$B$6:$C$9,2,FALSE()))</f>
        <v>4</v>
      </c>
      <c r="AK452" s="7" t="n">
        <f aca="false">IFERROR(ROUND(AVERAGE(AF452:AJ452),3),"")</f>
        <v>3.25</v>
      </c>
      <c r="AL452" s="7" t="str">
        <f aca="false">IF(OR(AF452="",AJ452=""),"",AJ452-AF452)</f>
        <v/>
      </c>
      <c r="AM452" s="7" t="n">
        <f aca="false">IF(COUNT(AF452:AJ452)&gt;=2,ROUND(_xlfn.STDEV.S(AF452:AJ452),3),"")</f>
        <v>0.957</v>
      </c>
      <c r="AN452" s="7" t="n">
        <f aca="false">ROUND((IF(AF452="",0,AF452)*Assumptions!$F$15)+(IF(AG452="",0,AG452)*Assumptions!$F$16)+(IF(AH452="",0,AH452)*Assumptions!$F$17)+(IF(AI452="",0,AI452)*Assumptions!$F$18)+(IF(AJ452="",0,AJ452)*Assumptions!$F$19),3)</f>
        <v>3.1</v>
      </c>
      <c r="AO452" s="0" t="str">
        <f aca="false">IF(AC452&lt;=20,"",IF(AC452&lt;=Assumptions!$F$6,"20-30",IF(AC452&lt;=Assumptions!$F$7,"30-40",IF(AC452&lt;=Assumptions!$F$8,"40-50",IF(AC452&lt;=Assumptions!$F$9,"50-60",IF(AC452&lt;=Assumptions!$F$10,"60+",""))))))</f>
        <v>20-30</v>
      </c>
      <c r="AP452" s="0" t="str">
        <f aca="false">IFERROR(VLOOKUP(O452,Assumptions!$B$14:$C$26,2,FALSE()),"Other")</f>
        <v>Manager</v>
      </c>
      <c r="AQ452" s="0" t="n">
        <f aca="false">IF(T452="",0,1)</f>
        <v>0</v>
      </c>
      <c r="AR452" s="0" t="n">
        <f aca="false">IF(U452="",0,1)</f>
        <v>0</v>
      </c>
      <c r="AS452" s="8" t="n">
        <f aca="false">IF(AK452="","",IF(MAX($AK$2:$AK$921)=MIN($AK$2:$AK$921),50,ROUND((AK452-MIN($AK$2:$AK$921))/(MAX($AK$2:$AK$921)-MIN($AK$2:$AK$921))*100,2)))</f>
        <v>67.85</v>
      </c>
      <c r="AT452" s="8" t="n">
        <f aca="false">IF(MAX($BC$2:$BC$921)=MIN($BC$2:$BC$921),50,ROUND((BC452-MIN($BC$2:$BC$921))/(MAX($BC$2:$BC$921)-MIN($BC$2:$BC$921))*100,2))</f>
        <v>50</v>
      </c>
      <c r="AU452" s="8" t="n">
        <f aca="false">IF(MAX($BE$2:$BE$921)=MIN($BE$2:$BE$921),50,ROUND((BE452-MIN($BE$2:$BE$921))/(MAX($BE$2:$BE$921)-MIN($BE$2:$BE$921))*100,2))</f>
        <v>44.75</v>
      </c>
      <c r="AV452" s="8" t="n">
        <f aca="false">IF(MAX($AD$2:$AD$921)=MIN($AD$2:$AD$921),50,ROUND((AD452-MIN($AD$2:$AD$921))/(MAX($AD$2:$AD$921)-MIN($AD$2:$AD$921))*100,2))</f>
        <v>8.13</v>
      </c>
      <c r="AW452" s="8" t="n">
        <f aca="false">IF(MAX($AN$2:$AN$921)=MIN($AN$2:$AN$921),50,ROUND((AN452-MIN($AN$2:$AN$921))/(MAX($AN$2:$AN$921)-MIN($AN$2:$AN$921))*100,2))</f>
        <v>77.5</v>
      </c>
      <c r="AX452" s="8" t="n">
        <f aca="false">AQ452*100</f>
        <v>0</v>
      </c>
      <c r="AY452" s="8" t="n">
        <f aca="false">AR452*100</f>
        <v>0</v>
      </c>
      <c r="AZ452" s="8" t="n">
        <f aca="false">IFERROR(ROUND(AS452*Assumptions!$I$6+AW452*Assumptions!$I$7+AT452*Assumptions!$I$8+AU452*Assumptions!$I$9+AV452*Assumptions!$I$10+AX452*Assumptions!$I$11+AY452*Assumptions!$I$12,2),"")</f>
        <v>50.88</v>
      </c>
      <c r="BA452" s="0" t="str">
        <f aca="false">IF(AZ452="","",IF(AZ452&lt;=Assumptions!$I$18,"Below Expectation",IF(AZ452&lt;=Assumptions!$I$19,"Developing",IF(AZ452&lt;=Assumptions!$I$20,"Meets Expectation",IF(AZ452&lt;=Assumptions!$I$21,"Exceeds","Star Performer")))))</f>
        <v>Developing</v>
      </c>
      <c r="BB452" s="0" t="n">
        <f aca="false">IF(AZ452="",0,IF(AZ452&gt;=Assumptions!$I$26,1,0))</f>
        <v>0</v>
      </c>
      <c r="BC452" s="9" t="n">
        <f aca="false">IF(AL452="",2,AL452+2)</f>
        <v>2</v>
      </c>
      <c r="BD452" s="10" t="n">
        <f aca="false">IF(AM452="",ROUND(AVERAGE($AM$2:$AM$921),3),AM452)</f>
        <v>0.957</v>
      </c>
      <c r="BE452" s="9" t="n">
        <f aca="false">1-BD452</f>
        <v>0.043</v>
      </c>
    </row>
    <row r="453" customFormat="false" ht="14.25" hidden="true" customHeight="false" outlineLevel="0" collapsed="false">
      <c r="A453" s="4" t="n">
        <v>686</v>
      </c>
      <c r="B453" s="5" t="n">
        <v>55059868</v>
      </c>
      <c r="C453" s="5" t="s">
        <v>149</v>
      </c>
      <c r="D453" s="5" t="s">
        <v>1856</v>
      </c>
      <c r="E453" s="5" t="s">
        <v>1127</v>
      </c>
      <c r="F453" s="5" t="s">
        <v>1399</v>
      </c>
      <c r="G453" s="5" t="s">
        <v>1400</v>
      </c>
      <c r="H453" s="5" t="s">
        <v>1399</v>
      </c>
      <c r="I453" s="5" t="s">
        <v>63</v>
      </c>
      <c r="J453" s="5" t="s">
        <v>100</v>
      </c>
      <c r="K453" s="5" t="s">
        <v>309</v>
      </c>
      <c r="L453" s="6" t="n">
        <v>44861</v>
      </c>
      <c r="M453" s="5" t="s">
        <v>758</v>
      </c>
      <c r="N453" s="6" t="n">
        <v>36034</v>
      </c>
      <c r="O453" s="5" t="s">
        <v>332</v>
      </c>
      <c r="P453" s="5" t="s">
        <v>333</v>
      </c>
      <c r="Q453" s="5" t="s">
        <v>335</v>
      </c>
      <c r="R453" s="5" t="s">
        <v>412</v>
      </c>
      <c r="S453" s="5" t="s">
        <v>506</v>
      </c>
      <c r="T453" s="6"/>
      <c r="U453" s="6" t="n">
        <v>46113</v>
      </c>
      <c r="V453" s="5"/>
      <c r="W453" s="5" t="s">
        <v>631</v>
      </c>
      <c r="X453" s="5" t="s">
        <v>141</v>
      </c>
      <c r="Y453" s="5" t="s">
        <v>141</v>
      </c>
      <c r="Z453" s="5" t="s">
        <v>141</v>
      </c>
      <c r="AA453" s="5" t="s">
        <v>1857</v>
      </c>
      <c r="AB453" s="0" t="n">
        <f aca="false">IFERROR(VALUE(R453),0)</f>
        <v>2.6</v>
      </c>
      <c r="AC453" s="0" t="n">
        <f aca="false">IFERROR(VALUE(M453),"")</f>
        <v>27.9</v>
      </c>
      <c r="AD453" s="0" t="n">
        <f aca="false">IFERROR(VALUE(Q453),"")</f>
        <v>3.7</v>
      </c>
      <c r="AE453" s="0" t="n">
        <f aca="false">IFERROR(VALUE(S453),"")</f>
        <v>6.1</v>
      </c>
      <c r="AF453" s="0" t="str">
        <f aca="false">IF(V453="","",VLOOKUP(V453,Assumptions!$B$6:$C$9,2,FALSE()))</f>
        <v/>
      </c>
      <c r="AG453" s="0" t="n">
        <f aca="false">IF(W453="","",VLOOKUP(W453,Assumptions!$B$6:$C$9,2,FALSE()))</f>
        <v>2</v>
      </c>
      <c r="AH453" s="0" t="n">
        <f aca="false">IF(X453="","",VLOOKUP(X453,Assumptions!$B$6:$C$9,2,FALSE()))</f>
        <v>3</v>
      </c>
      <c r="AI453" s="0" t="n">
        <f aca="false">IF(Y453="","",VLOOKUP(Y453,Assumptions!$B$6:$C$9,2,FALSE()))</f>
        <v>3</v>
      </c>
      <c r="AJ453" s="0" t="n">
        <f aca="false">IF(Z453="","",VLOOKUP(Z453,Assumptions!$B$6:$C$9,2,FALSE()))</f>
        <v>3</v>
      </c>
      <c r="AK453" s="7" t="n">
        <f aca="false">IFERROR(ROUND(AVERAGE(AF453:AJ453),3),"")</f>
        <v>2.75</v>
      </c>
      <c r="AL453" s="7" t="str">
        <f aca="false">IF(OR(AF453="",AJ453=""),"",AJ453-AF453)</f>
        <v/>
      </c>
      <c r="AM453" s="7" t="n">
        <f aca="false">IF(COUNT(AF453:AJ453)&gt;=2,ROUND(_xlfn.STDEV.S(AF453:AJ453),3),"")</f>
        <v>0.5</v>
      </c>
      <c r="AN453" s="7" t="n">
        <f aca="false">ROUND((IF(AF453="",0,AF453)*Assumptions!$F$15)+(IF(AG453="",0,AG453)*Assumptions!$F$16)+(IF(AH453="",0,AH453)*Assumptions!$F$17)+(IF(AI453="",0,AI453)*Assumptions!$F$18)+(IF(AJ453="",0,AJ453)*Assumptions!$F$19),3)</f>
        <v>2.55</v>
      </c>
      <c r="AO453" s="0" t="str">
        <f aca="false">IF(AC453&lt;=20,"",IF(AC453&lt;=Assumptions!$F$6,"20-30",IF(AC453&lt;=Assumptions!$F$7,"30-40",IF(AC453&lt;=Assumptions!$F$8,"40-50",IF(AC453&lt;=Assumptions!$F$9,"50-60",IF(AC453&lt;=Assumptions!$F$10,"60+",""))))))</f>
        <v>20-30</v>
      </c>
      <c r="AP453" s="0" t="str">
        <f aca="false">IFERROR(VLOOKUP(O453,Assumptions!$B$14:$C$26,2,FALSE()),"Other")</f>
        <v>Manager</v>
      </c>
      <c r="AQ453" s="0" t="n">
        <f aca="false">IF(T453="",0,1)</f>
        <v>0</v>
      </c>
      <c r="AR453" s="0" t="n">
        <f aca="false">IF(U453="",0,1)</f>
        <v>1</v>
      </c>
      <c r="AS453" s="8" t="n">
        <f aca="false">IF(AK453="","",IF(MAX($AK$2:$AK$921)=MIN($AK$2:$AK$921),50,ROUND((AK453-MIN($AK$2:$AK$921))/(MAX($AK$2:$AK$921)-MIN($AK$2:$AK$921))*100,2)))</f>
        <v>46.42</v>
      </c>
      <c r="AT453" s="8" t="n">
        <f aca="false">IF(MAX($BC$2:$BC$921)=MIN($BC$2:$BC$921),50,ROUND((BC453-MIN($BC$2:$BC$921))/(MAX($BC$2:$BC$921)-MIN($BC$2:$BC$921))*100,2))</f>
        <v>50</v>
      </c>
      <c r="AU453" s="8" t="n">
        <f aca="false">IF(MAX($BE$2:$BE$921)=MIN($BE$2:$BE$921),50,ROUND((BE453-MIN($BE$2:$BE$921))/(MAX($BE$2:$BE$921)-MIN($BE$2:$BE$921))*100,2))</f>
        <v>71.13</v>
      </c>
      <c r="AV453" s="8" t="n">
        <f aca="false">IF(MAX($AD$2:$AD$921)=MIN($AD$2:$AD$921),50,ROUND((AD453-MIN($AD$2:$AD$921))/(MAX($AD$2:$AD$921)-MIN($AD$2:$AD$921))*100,2))</f>
        <v>9.76</v>
      </c>
      <c r="AW453" s="8" t="n">
        <f aca="false">IF(MAX($AN$2:$AN$921)=MIN($AN$2:$AN$921),50,ROUND((AN453-MIN($AN$2:$AN$921))/(MAX($AN$2:$AN$921)-MIN($AN$2:$AN$921))*100,2))</f>
        <v>63.75</v>
      </c>
      <c r="AX453" s="8" t="n">
        <f aca="false">AQ453*100</f>
        <v>0</v>
      </c>
      <c r="AY453" s="8" t="n">
        <f aca="false">AR453*100</f>
        <v>100</v>
      </c>
      <c r="AZ453" s="8" t="n">
        <f aca="false">IFERROR(ROUND(AS453*Assumptions!$I$6+AW453*Assumptions!$I$7+AT453*Assumptions!$I$8+AU453*Assumptions!$I$9+AV453*Assumptions!$I$10+AX453*Assumptions!$I$11+AY453*Assumptions!$I$12,2),"")</f>
        <v>50.82</v>
      </c>
      <c r="BA453" s="0" t="str">
        <f aca="false">IF(AZ453="","",IF(AZ453&lt;=Assumptions!$I$18,"Below Expectation",IF(AZ453&lt;=Assumptions!$I$19,"Developing",IF(AZ453&lt;=Assumptions!$I$20,"Meets Expectation",IF(AZ453&lt;=Assumptions!$I$21,"Exceeds","Star Performer")))))</f>
        <v>Developing</v>
      </c>
      <c r="BB453" s="0" t="n">
        <f aca="false">IF(AZ453="",0,IF(AZ453&gt;=Assumptions!$I$26,1,0))</f>
        <v>0</v>
      </c>
      <c r="BC453" s="9" t="n">
        <f aca="false">IF(AL453="",2,AL453+2)</f>
        <v>2</v>
      </c>
      <c r="BD453" s="10" t="n">
        <f aca="false">IF(AM453="",ROUND(AVERAGE($AM$2:$AM$921),3),AM453)</f>
        <v>0.5</v>
      </c>
      <c r="BE453" s="9" t="n">
        <f aca="false">1-BD453</f>
        <v>0.5</v>
      </c>
    </row>
    <row r="454" customFormat="false" ht="14.25" hidden="true" customHeight="false" outlineLevel="0" collapsed="false">
      <c r="A454" s="4" t="n">
        <v>695</v>
      </c>
      <c r="B454" s="5" t="n">
        <v>55063127</v>
      </c>
      <c r="C454" s="5" t="s">
        <v>149</v>
      </c>
      <c r="D454" s="5" t="s">
        <v>1858</v>
      </c>
      <c r="E454" s="5" t="s">
        <v>1127</v>
      </c>
      <c r="F454" s="5" t="s">
        <v>422</v>
      </c>
      <c r="G454" s="5" t="s">
        <v>423</v>
      </c>
      <c r="H454" s="5" t="s">
        <v>424</v>
      </c>
      <c r="I454" s="5" t="s">
        <v>63</v>
      </c>
      <c r="J454" s="5" t="s">
        <v>100</v>
      </c>
      <c r="K454" s="5" t="s">
        <v>65</v>
      </c>
      <c r="L454" s="6" t="n">
        <v>44914</v>
      </c>
      <c r="M454" s="5" t="s">
        <v>842</v>
      </c>
      <c r="N454" s="6" t="n">
        <v>32798</v>
      </c>
      <c r="O454" s="5" t="s">
        <v>262</v>
      </c>
      <c r="P454" s="5" t="s">
        <v>263</v>
      </c>
      <c r="Q454" s="5" t="s">
        <v>164</v>
      </c>
      <c r="R454" s="5" t="s">
        <v>1395</v>
      </c>
      <c r="S454" s="5" t="s">
        <v>1137</v>
      </c>
      <c r="T454" s="6"/>
      <c r="U454" s="6" t="n">
        <v>46113</v>
      </c>
      <c r="V454" s="5"/>
      <c r="W454" s="5" t="s">
        <v>631</v>
      </c>
      <c r="X454" s="5" t="s">
        <v>141</v>
      </c>
      <c r="Y454" s="5" t="s">
        <v>141</v>
      </c>
      <c r="Z454" s="5" t="s">
        <v>141</v>
      </c>
      <c r="AA454" s="5" t="s">
        <v>548</v>
      </c>
      <c r="AB454" s="0" t="n">
        <f aca="false">IFERROR(VALUE(R454),0)</f>
        <v>11</v>
      </c>
      <c r="AC454" s="0" t="n">
        <f aca="false">IFERROR(VALUE(M454),"")</f>
        <v>36.7</v>
      </c>
      <c r="AD454" s="0" t="n">
        <f aca="false">IFERROR(VALUE(Q454),"")</f>
        <v>3.5</v>
      </c>
      <c r="AE454" s="0" t="n">
        <f aca="false">IFERROR(VALUE(S454),"")</f>
        <v>14.5</v>
      </c>
      <c r="AF454" s="0" t="str">
        <f aca="false">IF(V454="","",VLOOKUP(V454,Assumptions!$B$6:$C$9,2,FALSE()))</f>
        <v/>
      </c>
      <c r="AG454" s="0" t="n">
        <f aca="false">IF(W454="","",VLOOKUP(W454,Assumptions!$B$6:$C$9,2,FALSE()))</f>
        <v>2</v>
      </c>
      <c r="AH454" s="0" t="n">
        <f aca="false">IF(X454="","",VLOOKUP(X454,Assumptions!$B$6:$C$9,2,FALSE()))</f>
        <v>3</v>
      </c>
      <c r="AI454" s="0" t="n">
        <f aca="false">IF(Y454="","",VLOOKUP(Y454,Assumptions!$B$6:$C$9,2,FALSE()))</f>
        <v>3</v>
      </c>
      <c r="AJ454" s="0" t="n">
        <f aca="false">IF(Z454="","",VLOOKUP(Z454,Assumptions!$B$6:$C$9,2,FALSE()))</f>
        <v>3</v>
      </c>
      <c r="AK454" s="7" t="n">
        <f aca="false">IFERROR(ROUND(AVERAGE(AF454:AJ454),3),"")</f>
        <v>2.75</v>
      </c>
      <c r="AL454" s="7" t="str">
        <f aca="false">IF(OR(AF454="",AJ454=""),"",AJ454-AF454)</f>
        <v/>
      </c>
      <c r="AM454" s="7" t="n">
        <f aca="false">IF(COUNT(AF454:AJ454)&gt;=2,ROUND(_xlfn.STDEV.S(AF454:AJ454),3),"")</f>
        <v>0.5</v>
      </c>
      <c r="AN454" s="7" t="n">
        <f aca="false">ROUND((IF(AF454="",0,AF454)*Assumptions!$F$15)+(IF(AG454="",0,AG454)*Assumptions!$F$16)+(IF(AH454="",0,AH454)*Assumptions!$F$17)+(IF(AI454="",0,AI454)*Assumptions!$F$18)+(IF(AJ454="",0,AJ454)*Assumptions!$F$19),3)</f>
        <v>2.55</v>
      </c>
      <c r="AO454" s="0" t="str">
        <f aca="false">IF(AC454&lt;=20,"",IF(AC454&lt;=Assumptions!$F$6,"20-30",IF(AC454&lt;=Assumptions!$F$7,"30-40",IF(AC454&lt;=Assumptions!$F$8,"40-50",IF(AC454&lt;=Assumptions!$F$9,"50-60",IF(AC454&lt;=Assumptions!$F$10,"60+",""))))))</f>
        <v>30-40</v>
      </c>
      <c r="AP454" s="0" t="str">
        <f aca="false">IFERROR(VLOOKUP(O454,Assumptions!$B$14:$C$26,2,FALSE()),"Other")</f>
        <v>Manager</v>
      </c>
      <c r="AQ454" s="0" t="n">
        <f aca="false">IF(T454="",0,1)</f>
        <v>0</v>
      </c>
      <c r="AR454" s="0" t="n">
        <f aca="false">IF(U454="",0,1)</f>
        <v>1</v>
      </c>
      <c r="AS454" s="8" t="n">
        <f aca="false">IF(AK454="","",IF(MAX($AK$2:$AK$921)=MIN($AK$2:$AK$921),50,ROUND((AK454-MIN($AK$2:$AK$921))/(MAX($AK$2:$AK$921)-MIN($AK$2:$AK$921))*100,2)))</f>
        <v>46.42</v>
      </c>
      <c r="AT454" s="8" t="n">
        <f aca="false">IF(MAX($BC$2:$BC$921)=MIN($BC$2:$BC$921),50,ROUND((BC454-MIN($BC$2:$BC$921))/(MAX($BC$2:$BC$921)-MIN($BC$2:$BC$921))*100,2))</f>
        <v>50</v>
      </c>
      <c r="AU454" s="8" t="n">
        <f aca="false">IF(MAX($BE$2:$BE$921)=MIN($BE$2:$BE$921),50,ROUND((BE454-MIN($BE$2:$BE$921))/(MAX($BE$2:$BE$921)-MIN($BE$2:$BE$921))*100,2))</f>
        <v>71.13</v>
      </c>
      <c r="AV454" s="8" t="n">
        <f aca="false">IF(MAX($AD$2:$AD$921)=MIN($AD$2:$AD$921),50,ROUND((AD454-MIN($AD$2:$AD$921))/(MAX($AD$2:$AD$921)-MIN($AD$2:$AD$921))*100,2))</f>
        <v>9.21</v>
      </c>
      <c r="AW454" s="8" t="n">
        <f aca="false">IF(MAX($AN$2:$AN$921)=MIN($AN$2:$AN$921),50,ROUND((AN454-MIN($AN$2:$AN$921))/(MAX($AN$2:$AN$921)-MIN($AN$2:$AN$921))*100,2))</f>
        <v>63.75</v>
      </c>
      <c r="AX454" s="8" t="n">
        <f aca="false">AQ454*100</f>
        <v>0</v>
      </c>
      <c r="AY454" s="8" t="n">
        <f aca="false">AR454*100</f>
        <v>100</v>
      </c>
      <c r="AZ454" s="8" t="n">
        <f aca="false">IFERROR(ROUND(AS454*Assumptions!$I$6+AW454*Assumptions!$I$7+AT454*Assumptions!$I$8+AU454*Assumptions!$I$9+AV454*Assumptions!$I$10+AX454*Assumptions!$I$11+AY454*Assumptions!$I$12,2),"")</f>
        <v>50.77</v>
      </c>
      <c r="BA454" s="0" t="str">
        <f aca="false">IF(AZ454="","",IF(AZ454&lt;=Assumptions!$I$18,"Below Expectation",IF(AZ454&lt;=Assumptions!$I$19,"Developing",IF(AZ454&lt;=Assumptions!$I$20,"Meets Expectation",IF(AZ454&lt;=Assumptions!$I$21,"Exceeds","Star Performer")))))</f>
        <v>Developing</v>
      </c>
      <c r="BB454" s="0" t="n">
        <f aca="false">IF(AZ454="",0,IF(AZ454&gt;=Assumptions!$I$26,1,0))</f>
        <v>0</v>
      </c>
      <c r="BC454" s="9" t="n">
        <f aca="false">IF(AL454="",2,AL454+2)</f>
        <v>2</v>
      </c>
      <c r="BD454" s="10" t="n">
        <f aca="false">IF(AM454="",ROUND(AVERAGE($AM$2:$AM$921),3),AM454)</f>
        <v>0.5</v>
      </c>
      <c r="BE454" s="9" t="n">
        <f aca="false">1-BD454</f>
        <v>0.5</v>
      </c>
    </row>
    <row r="455" customFormat="false" ht="14.25" hidden="true" customHeight="false" outlineLevel="0" collapsed="false">
      <c r="A455" s="4" t="n">
        <v>122</v>
      </c>
      <c r="B455" s="5" t="n">
        <v>10039718</v>
      </c>
      <c r="C455" s="5" t="s">
        <v>85</v>
      </c>
      <c r="D455" s="5" t="s">
        <v>1859</v>
      </c>
      <c r="E455" s="5" t="s">
        <v>137</v>
      </c>
      <c r="F455" s="5" t="s">
        <v>483</v>
      </c>
      <c r="G455" s="5" t="s">
        <v>484</v>
      </c>
      <c r="H455" s="5" t="s">
        <v>483</v>
      </c>
      <c r="I455" s="5" t="s">
        <v>63</v>
      </c>
      <c r="J455" s="5" t="s">
        <v>76</v>
      </c>
      <c r="K455" s="5" t="s">
        <v>65</v>
      </c>
      <c r="L455" s="6" t="n">
        <v>41554</v>
      </c>
      <c r="M455" s="5" t="s">
        <v>700</v>
      </c>
      <c r="N455" s="6" t="n">
        <v>32045</v>
      </c>
      <c r="O455" s="5" t="s">
        <v>365</v>
      </c>
      <c r="P455" s="5" t="s">
        <v>365</v>
      </c>
      <c r="Q455" s="5" t="s">
        <v>1134</v>
      </c>
      <c r="R455" s="5" t="s">
        <v>1860</v>
      </c>
      <c r="S455" s="5" t="s">
        <v>218</v>
      </c>
      <c r="T455" s="6"/>
      <c r="U455" s="6"/>
      <c r="V455" s="5" t="s">
        <v>631</v>
      </c>
      <c r="W455" s="5" t="s">
        <v>631</v>
      </c>
      <c r="X455" s="5" t="s">
        <v>141</v>
      </c>
      <c r="Y455" s="5" t="s">
        <v>141</v>
      </c>
      <c r="Z455" s="5" t="s">
        <v>141</v>
      </c>
      <c r="AA455" s="5" t="s">
        <v>420</v>
      </c>
      <c r="AB455" s="0" t="n">
        <f aca="false">IFERROR(VALUE(R455),0)</f>
        <v>1.1</v>
      </c>
      <c r="AC455" s="0" t="n">
        <f aca="false">IFERROR(VALUE(M455),"")</f>
        <v>38.8</v>
      </c>
      <c r="AD455" s="0" t="n">
        <f aca="false">IFERROR(VALUE(Q455),"")</f>
        <v>12.8</v>
      </c>
      <c r="AE455" s="0" t="n">
        <f aca="false">IFERROR(VALUE(S455),"")</f>
        <v>14.6</v>
      </c>
      <c r="AF455" s="0" t="n">
        <f aca="false">IF(V455="","",VLOOKUP(V455,Assumptions!$B$6:$C$9,2,FALSE()))</f>
        <v>2</v>
      </c>
      <c r="AG455" s="0" t="n">
        <f aca="false">IF(W455="","",VLOOKUP(W455,Assumptions!$B$6:$C$9,2,FALSE()))</f>
        <v>2</v>
      </c>
      <c r="AH455" s="0" t="n">
        <f aca="false">IF(X455="","",VLOOKUP(X455,Assumptions!$B$6:$C$9,2,FALSE()))</f>
        <v>3</v>
      </c>
      <c r="AI455" s="0" t="n">
        <f aca="false">IF(Y455="","",VLOOKUP(Y455,Assumptions!$B$6:$C$9,2,FALSE()))</f>
        <v>3</v>
      </c>
      <c r="AJ455" s="0" t="n">
        <f aca="false">IF(Z455="","",VLOOKUP(Z455,Assumptions!$B$6:$C$9,2,FALSE()))</f>
        <v>3</v>
      </c>
      <c r="AK455" s="7" t="n">
        <f aca="false">IFERROR(ROUND(AVERAGE(AF455:AJ455),3),"")</f>
        <v>2.6</v>
      </c>
      <c r="AL455" s="7" t="n">
        <f aca="false">IF(OR(AF455="",AJ455=""),"",AJ455-AF455)</f>
        <v>1</v>
      </c>
      <c r="AM455" s="7" t="n">
        <f aca="false">IF(COUNT(AF455:AJ455)&gt;=2,ROUND(_xlfn.STDEV.S(AF455:AJ455),3),"")</f>
        <v>0.548</v>
      </c>
      <c r="AN455" s="7" t="n">
        <f aca="false">ROUND((IF(AF455="",0,AF455)*Assumptions!$F$15)+(IF(AG455="",0,AG455)*Assumptions!$F$16)+(IF(AH455="",0,AH455)*Assumptions!$F$17)+(IF(AI455="",0,AI455)*Assumptions!$F$18)+(IF(AJ455="",0,AJ455)*Assumptions!$F$19),3)</f>
        <v>2.75</v>
      </c>
      <c r="AO455" s="0" t="str">
        <f aca="false">IF(AC455&lt;=20,"",IF(AC455&lt;=Assumptions!$F$6,"20-30",IF(AC455&lt;=Assumptions!$F$7,"30-40",IF(AC455&lt;=Assumptions!$F$8,"40-50",IF(AC455&lt;=Assumptions!$F$9,"50-60",IF(AC455&lt;=Assumptions!$F$10,"60+",""))))))</f>
        <v>30-40</v>
      </c>
      <c r="AP455" s="0" t="str">
        <f aca="false">IFERROR(VLOOKUP(O455,Assumptions!$B$14:$C$26,2,FALSE()),"Other")</f>
        <v>Manager</v>
      </c>
      <c r="AQ455" s="0" t="n">
        <f aca="false">IF(T455="",0,1)</f>
        <v>0</v>
      </c>
      <c r="AR455" s="0" t="n">
        <f aca="false">IF(U455="",0,1)</f>
        <v>0</v>
      </c>
      <c r="AS455" s="8" t="n">
        <f aca="false">IF(AK455="","",IF(MAX($AK$2:$AK$921)=MIN($AK$2:$AK$921),50,ROUND((AK455-MIN($AK$2:$AK$921))/(MAX($AK$2:$AK$921)-MIN($AK$2:$AK$921))*100,2)))</f>
        <v>39.99</v>
      </c>
      <c r="AT455" s="8" t="n">
        <f aca="false">IF(MAX($BC$2:$BC$921)=MIN($BC$2:$BC$921),50,ROUND((BC455-MIN($BC$2:$BC$921))/(MAX($BC$2:$BC$921)-MIN($BC$2:$BC$921))*100,2))</f>
        <v>75</v>
      </c>
      <c r="AU455" s="8" t="n">
        <f aca="false">IF(MAX($BE$2:$BE$921)=MIN($BE$2:$BE$921),50,ROUND((BE455-MIN($BE$2:$BE$921))/(MAX($BE$2:$BE$921)-MIN($BE$2:$BE$921))*100,2))</f>
        <v>68.36</v>
      </c>
      <c r="AV455" s="8" t="n">
        <f aca="false">IF(MAX($AD$2:$AD$921)=MIN($AD$2:$AD$921),50,ROUND((AD455-MIN($AD$2:$AD$921))/(MAX($AD$2:$AD$921)-MIN($AD$2:$AD$921))*100,2))</f>
        <v>34.49</v>
      </c>
      <c r="AW455" s="8" t="n">
        <f aca="false">IF(MAX($AN$2:$AN$921)=MIN($AN$2:$AN$921),50,ROUND((AN455-MIN($AN$2:$AN$921))/(MAX($AN$2:$AN$921)-MIN($AN$2:$AN$921))*100,2))</f>
        <v>68.75</v>
      </c>
      <c r="AX455" s="8" t="n">
        <f aca="false">AQ455*100</f>
        <v>0</v>
      </c>
      <c r="AY455" s="8" t="n">
        <f aca="false">AR455*100</f>
        <v>0</v>
      </c>
      <c r="AZ455" s="8" t="n">
        <f aca="false">IFERROR(ROUND(AS455*Assumptions!$I$6+AW455*Assumptions!$I$7+AT455*Assumptions!$I$8+AU455*Assumptions!$I$9+AV455*Assumptions!$I$10+AX455*Assumptions!$I$11+AY455*Assumptions!$I$12,2),"")</f>
        <v>50.7</v>
      </c>
      <c r="BA455" s="0" t="str">
        <f aca="false">IF(AZ455="","",IF(AZ455&lt;=Assumptions!$I$18,"Below Expectation",IF(AZ455&lt;=Assumptions!$I$19,"Developing",IF(AZ455&lt;=Assumptions!$I$20,"Meets Expectation",IF(AZ455&lt;=Assumptions!$I$21,"Exceeds","Star Performer")))))</f>
        <v>Developing</v>
      </c>
      <c r="BB455" s="0" t="n">
        <f aca="false">IF(AZ455="",0,IF(AZ455&gt;=Assumptions!$I$26,1,0))</f>
        <v>0</v>
      </c>
      <c r="BC455" s="9" t="n">
        <f aca="false">IF(AL455="",2,AL455+2)</f>
        <v>3</v>
      </c>
      <c r="BD455" s="10" t="n">
        <f aca="false">IF(AM455="",ROUND(AVERAGE($AM$2:$AM$921),3),AM455)</f>
        <v>0.548</v>
      </c>
      <c r="BE455" s="9" t="n">
        <f aca="false">1-BD455</f>
        <v>0.452</v>
      </c>
    </row>
    <row r="456" customFormat="false" ht="14.25" hidden="true" customHeight="false" outlineLevel="0" collapsed="false">
      <c r="A456" s="4" t="n">
        <v>246</v>
      </c>
      <c r="B456" s="5" t="n">
        <v>10064145</v>
      </c>
      <c r="C456" s="5" t="s">
        <v>1762</v>
      </c>
      <c r="D456" s="5" t="s">
        <v>1861</v>
      </c>
      <c r="E456" s="5" t="s">
        <v>1764</v>
      </c>
      <c r="F456" s="5" t="s">
        <v>861</v>
      </c>
      <c r="G456" s="5" t="s">
        <v>1862</v>
      </c>
      <c r="H456" s="5" t="s">
        <v>1863</v>
      </c>
      <c r="I456" s="5" t="s">
        <v>63</v>
      </c>
      <c r="J456" s="5" t="s">
        <v>76</v>
      </c>
      <c r="K456" s="5" t="s">
        <v>309</v>
      </c>
      <c r="L456" s="6" t="n">
        <v>43297</v>
      </c>
      <c r="M456" s="5" t="s">
        <v>1864</v>
      </c>
      <c r="N456" s="6" t="n">
        <v>35038</v>
      </c>
      <c r="O456" s="5" t="s">
        <v>365</v>
      </c>
      <c r="P456" s="5" t="s">
        <v>365</v>
      </c>
      <c r="Q456" s="5" t="s">
        <v>940</v>
      </c>
      <c r="R456" s="5" t="s">
        <v>115</v>
      </c>
      <c r="S456" s="5" t="s">
        <v>940</v>
      </c>
      <c r="T456" s="6"/>
      <c r="U456" s="6"/>
      <c r="V456" s="5" t="s">
        <v>141</v>
      </c>
      <c r="W456" s="5" t="s">
        <v>141</v>
      </c>
      <c r="X456" s="5" t="s">
        <v>631</v>
      </c>
      <c r="Y456" s="5" t="s">
        <v>83</v>
      </c>
      <c r="Z456" s="5" t="s">
        <v>141</v>
      </c>
      <c r="AA456" s="5" t="s">
        <v>1865</v>
      </c>
      <c r="AB456" s="0" t="n">
        <f aca="false">IFERROR(VALUE(R456),0)</f>
        <v>0</v>
      </c>
      <c r="AC456" s="0" t="n">
        <f aca="false">IFERROR(VALUE(M456),"")</f>
        <v>30.6</v>
      </c>
      <c r="AD456" s="0" t="n">
        <f aca="false">IFERROR(VALUE(Q456),"")</f>
        <v>7.1</v>
      </c>
      <c r="AE456" s="0" t="n">
        <f aca="false">IFERROR(VALUE(S456),"")</f>
        <v>7.1</v>
      </c>
      <c r="AF456" s="0" t="n">
        <f aca="false">IF(V456="","",VLOOKUP(V456,Assumptions!$B$6:$C$9,2,FALSE()))</f>
        <v>3</v>
      </c>
      <c r="AG456" s="0" t="n">
        <f aca="false">IF(W456="","",VLOOKUP(W456,Assumptions!$B$6:$C$9,2,FALSE()))</f>
        <v>3</v>
      </c>
      <c r="AH456" s="0" t="n">
        <f aca="false">IF(X456="","",VLOOKUP(X456,Assumptions!$B$6:$C$9,2,FALSE()))</f>
        <v>2</v>
      </c>
      <c r="AI456" s="0" t="n">
        <f aca="false">IF(Y456="","",VLOOKUP(Y456,Assumptions!$B$6:$C$9,2,FALSE()))</f>
        <v>4</v>
      </c>
      <c r="AJ456" s="0" t="n">
        <f aca="false">IF(Z456="","",VLOOKUP(Z456,Assumptions!$B$6:$C$9,2,FALSE()))</f>
        <v>3</v>
      </c>
      <c r="AK456" s="7" t="n">
        <f aca="false">IFERROR(ROUND(AVERAGE(AF456:AJ456),3),"")</f>
        <v>3</v>
      </c>
      <c r="AL456" s="7" t="n">
        <f aca="false">IF(OR(AF456="",AJ456=""),"",AJ456-AF456)</f>
        <v>0</v>
      </c>
      <c r="AM456" s="7" t="n">
        <f aca="false">IF(COUNT(AF456:AJ456)&gt;=2,ROUND(_xlfn.STDEV.S(AF456:AJ456),3),"")</f>
        <v>0.707</v>
      </c>
      <c r="AN456" s="7" t="n">
        <f aca="false">ROUND((IF(AF456="",0,AF456)*Assumptions!$F$15)+(IF(AG456="",0,AG456)*Assumptions!$F$16)+(IF(AH456="",0,AH456)*Assumptions!$F$17)+(IF(AI456="",0,AI456)*Assumptions!$F$18)+(IF(AJ456="",0,AJ456)*Assumptions!$F$19),3)</f>
        <v>3.05</v>
      </c>
      <c r="AO456" s="0" t="str">
        <f aca="false">IF(AC456&lt;=20,"",IF(AC456&lt;=Assumptions!$F$6,"20-30",IF(AC456&lt;=Assumptions!$F$7,"30-40",IF(AC456&lt;=Assumptions!$F$8,"40-50",IF(AC456&lt;=Assumptions!$F$9,"50-60",IF(AC456&lt;=Assumptions!$F$10,"60+",""))))))</f>
        <v>30-40</v>
      </c>
      <c r="AP456" s="0" t="str">
        <f aca="false">IFERROR(VLOOKUP(O456,Assumptions!$B$14:$C$26,2,FALSE()),"Other")</f>
        <v>Manager</v>
      </c>
      <c r="AQ456" s="0" t="n">
        <f aca="false">IF(T456="",0,1)</f>
        <v>0</v>
      </c>
      <c r="AR456" s="0" t="n">
        <f aca="false">IF(U456="",0,1)</f>
        <v>0</v>
      </c>
      <c r="AS456" s="8" t="n">
        <f aca="false">IF(AK456="","",IF(MAX($AK$2:$AK$921)=MIN($AK$2:$AK$921),50,ROUND((AK456-MIN($AK$2:$AK$921))/(MAX($AK$2:$AK$921)-MIN($AK$2:$AK$921))*100,2)))</f>
        <v>57.14</v>
      </c>
      <c r="AT456" s="8" t="n">
        <f aca="false">IF(MAX($BC$2:$BC$921)=MIN($BC$2:$BC$921),50,ROUND((BC456-MIN($BC$2:$BC$921))/(MAX($BC$2:$BC$921)-MIN($BC$2:$BC$921))*100,2))</f>
        <v>50</v>
      </c>
      <c r="AU456" s="8" t="n">
        <f aca="false">IF(MAX($BE$2:$BE$921)=MIN($BE$2:$BE$921),50,ROUND((BE456-MIN($BE$2:$BE$921))/(MAX($BE$2:$BE$921)-MIN($BE$2:$BE$921))*100,2))</f>
        <v>59.18</v>
      </c>
      <c r="AV456" s="8" t="n">
        <f aca="false">IF(MAX($AD$2:$AD$921)=MIN($AD$2:$AD$921),50,ROUND((AD456-MIN($AD$2:$AD$921))/(MAX($AD$2:$AD$921)-MIN($AD$2:$AD$921))*100,2))</f>
        <v>19</v>
      </c>
      <c r="AW456" s="8" t="n">
        <f aca="false">IF(MAX($AN$2:$AN$921)=MIN($AN$2:$AN$921),50,ROUND((AN456-MIN($AN$2:$AN$921))/(MAX($AN$2:$AN$921)-MIN($AN$2:$AN$921))*100,2))</f>
        <v>76.25</v>
      </c>
      <c r="AX456" s="8" t="n">
        <f aca="false">AQ456*100</f>
        <v>0</v>
      </c>
      <c r="AY456" s="8" t="n">
        <f aca="false">AR456*100</f>
        <v>0</v>
      </c>
      <c r="AZ456" s="8" t="n">
        <f aca="false">IFERROR(ROUND(AS456*Assumptions!$I$6+AW456*Assumptions!$I$7+AT456*Assumptions!$I$8+AU456*Assumptions!$I$9+AV456*Assumptions!$I$10+AX456*Assumptions!$I$11+AY456*Assumptions!$I$12,2),"")</f>
        <v>50.67</v>
      </c>
      <c r="BA456" s="0" t="str">
        <f aca="false">IF(AZ456="","",IF(AZ456&lt;=Assumptions!$I$18,"Below Expectation",IF(AZ456&lt;=Assumptions!$I$19,"Developing",IF(AZ456&lt;=Assumptions!$I$20,"Meets Expectation",IF(AZ456&lt;=Assumptions!$I$21,"Exceeds","Star Performer")))))</f>
        <v>Developing</v>
      </c>
      <c r="BB456" s="0" t="n">
        <f aca="false">IF(AZ456="",0,IF(AZ456&gt;=Assumptions!$I$26,1,0))</f>
        <v>0</v>
      </c>
      <c r="BC456" s="9" t="n">
        <f aca="false">IF(AL456="",2,AL456+2)</f>
        <v>2</v>
      </c>
      <c r="BD456" s="10" t="n">
        <f aca="false">IF(AM456="",ROUND(AVERAGE($AM$2:$AM$921),3),AM456)</f>
        <v>0.707</v>
      </c>
      <c r="BE456" s="9" t="n">
        <f aca="false">1-BD456</f>
        <v>0.293</v>
      </c>
    </row>
    <row r="457" customFormat="false" ht="14.25" hidden="true" customHeight="false" outlineLevel="0" collapsed="false">
      <c r="A457" s="4" t="n">
        <v>581</v>
      </c>
      <c r="B457" s="5" t="n">
        <v>55052289</v>
      </c>
      <c r="C457" s="5" t="s">
        <v>85</v>
      </c>
      <c r="D457" s="5" t="s">
        <v>1866</v>
      </c>
      <c r="E457" s="5" t="s">
        <v>291</v>
      </c>
      <c r="F457" s="5" t="s">
        <v>581</v>
      </c>
      <c r="G457" s="5" t="s">
        <v>582</v>
      </c>
      <c r="H457" s="5" t="s">
        <v>583</v>
      </c>
      <c r="I457" s="5" t="s">
        <v>63</v>
      </c>
      <c r="J457" s="5" t="s">
        <v>76</v>
      </c>
      <c r="K457" s="5" t="s">
        <v>65</v>
      </c>
      <c r="L457" s="6" t="n">
        <v>44732</v>
      </c>
      <c r="M457" s="5" t="s">
        <v>1867</v>
      </c>
      <c r="N457" s="6" t="n">
        <v>35831</v>
      </c>
      <c r="O457" s="5" t="s">
        <v>585</v>
      </c>
      <c r="P457" s="5" t="s">
        <v>586</v>
      </c>
      <c r="Q457" s="5" t="s">
        <v>345</v>
      </c>
      <c r="R457" s="5" t="s">
        <v>115</v>
      </c>
      <c r="S457" s="5" t="s">
        <v>345</v>
      </c>
      <c r="T457" s="6"/>
      <c r="U457" s="6" t="n">
        <v>45108</v>
      </c>
      <c r="V457" s="5"/>
      <c r="W457" s="5" t="s">
        <v>631</v>
      </c>
      <c r="X457" s="5" t="s">
        <v>141</v>
      </c>
      <c r="Y457" s="5" t="s">
        <v>141</v>
      </c>
      <c r="Z457" s="5" t="s">
        <v>141</v>
      </c>
      <c r="AA457" s="5" t="s">
        <v>1868</v>
      </c>
      <c r="AB457" s="0" t="n">
        <f aca="false">IFERROR(VALUE(R457),0)</f>
        <v>0</v>
      </c>
      <c r="AC457" s="0" t="n">
        <f aca="false">IFERROR(VALUE(M457),"")</f>
        <v>28.4</v>
      </c>
      <c r="AD457" s="0" t="n">
        <f aca="false">IFERROR(VALUE(Q457),"")</f>
        <v>3.11</v>
      </c>
      <c r="AE457" s="0" t="n">
        <f aca="false">IFERROR(VALUE(S457),"")</f>
        <v>3.11</v>
      </c>
      <c r="AF457" s="0" t="str">
        <f aca="false">IF(V457="","",VLOOKUP(V457,Assumptions!$B$6:$C$9,2,FALSE()))</f>
        <v/>
      </c>
      <c r="AG457" s="0" t="n">
        <f aca="false">IF(W457="","",VLOOKUP(W457,Assumptions!$B$6:$C$9,2,FALSE()))</f>
        <v>2</v>
      </c>
      <c r="AH457" s="0" t="n">
        <f aca="false">IF(X457="","",VLOOKUP(X457,Assumptions!$B$6:$C$9,2,FALSE()))</f>
        <v>3</v>
      </c>
      <c r="AI457" s="0" t="n">
        <f aca="false">IF(Y457="","",VLOOKUP(Y457,Assumptions!$B$6:$C$9,2,FALSE()))</f>
        <v>3</v>
      </c>
      <c r="AJ457" s="0" t="n">
        <f aca="false">IF(Z457="","",VLOOKUP(Z457,Assumptions!$B$6:$C$9,2,FALSE()))</f>
        <v>3</v>
      </c>
      <c r="AK457" s="7" t="n">
        <f aca="false">IFERROR(ROUND(AVERAGE(AF457:AJ457),3),"")</f>
        <v>2.75</v>
      </c>
      <c r="AL457" s="7" t="str">
        <f aca="false">IF(OR(AF457="",AJ457=""),"",AJ457-AF457)</f>
        <v/>
      </c>
      <c r="AM457" s="7" t="n">
        <f aca="false">IF(COUNT(AF457:AJ457)&gt;=2,ROUND(_xlfn.STDEV.S(AF457:AJ457),3),"")</f>
        <v>0.5</v>
      </c>
      <c r="AN457" s="7" t="n">
        <f aca="false">ROUND((IF(AF457="",0,AF457)*Assumptions!$F$15)+(IF(AG457="",0,AG457)*Assumptions!$F$16)+(IF(AH457="",0,AH457)*Assumptions!$F$17)+(IF(AI457="",0,AI457)*Assumptions!$F$18)+(IF(AJ457="",0,AJ457)*Assumptions!$F$19),3)</f>
        <v>2.55</v>
      </c>
      <c r="AO457" s="0" t="str">
        <f aca="false">IF(AC457&lt;=20,"",IF(AC457&lt;=Assumptions!$F$6,"20-30",IF(AC457&lt;=Assumptions!$F$7,"30-40",IF(AC457&lt;=Assumptions!$F$8,"40-50",IF(AC457&lt;=Assumptions!$F$9,"50-60",IF(AC457&lt;=Assumptions!$F$10,"60+",""))))))</f>
        <v>20-30</v>
      </c>
      <c r="AP457" s="0" t="str">
        <f aca="false">IFERROR(VLOOKUP(O457,Assumptions!$B$14:$C$26,2,FALSE()),"Other")</f>
        <v>Manager</v>
      </c>
      <c r="AQ457" s="0" t="n">
        <f aca="false">IF(T457="",0,1)</f>
        <v>0</v>
      </c>
      <c r="AR457" s="0" t="n">
        <f aca="false">IF(U457="",0,1)</f>
        <v>1</v>
      </c>
      <c r="AS457" s="8" t="n">
        <f aca="false">IF(AK457="","",IF(MAX($AK$2:$AK$921)=MIN($AK$2:$AK$921),50,ROUND((AK457-MIN($AK$2:$AK$921))/(MAX($AK$2:$AK$921)-MIN($AK$2:$AK$921))*100,2)))</f>
        <v>46.42</v>
      </c>
      <c r="AT457" s="8" t="n">
        <f aca="false">IF(MAX($BC$2:$BC$921)=MIN($BC$2:$BC$921),50,ROUND((BC457-MIN($BC$2:$BC$921))/(MAX($BC$2:$BC$921)-MIN($BC$2:$BC$921))*100,2))</f>
        <v>50</v>
      </c>
      <c r="AU457" s="8" t="n">
        <f aca="false">IF(MAX($BE$2:$BE$921)=MIN($BE$2:$BE$921),50,ROUND((BE457-MIN($BE$2:$BE$921))/(MAX($BE$2:$BE$921)-MIN($BE$2:$BE$921))*100,2))</f>
        <v>71.13</v>
      </c>
      <c r="AV457" s="8" t="n">
        <f aca="false">IF(MAX($AD$2:$AD$921)=MIN($AD$2:$AD$921),50,ROUND((AD457-MIN($AD$2:$AD$921))/(MAX($AD$2:$AD$921)-MIN($AD$2:$AD$921))*100,2))</f>
        <v>8.15</v>
      </c>
      <c r="AW457" s="8" t="n">
        <f aca="false">IF(MAX($AN$2:$AN$921)=MIN($AN$2:$AN$921),50,ROUND((AN457-MIN($AN$2:$AN$921))/(MAX($AN$2:$AN$921)-MIN($AN$2:$AN$921))*100,2))</f>
        <v>63.75</v>
      </c>
      <c r="AX457" s="8" t="n">
        <f aca="false">AQ457*100</f>
        <v>0</v>
      </c>
      <c r="AY457" s="8" t="n">
        <f aca="false">AR457*100</f>
        <v>100</v>
      </c>
      <c r="AZ457" s="8" t="n">
        <f aca="false">IFERROR(ROUND(AS457*Assumptions!$I$6+AW457*Assumptions!$I$7+AT457*Assumptions!$I$8+AU457*Assumptions!$I$9+AV457*Assumptions!$I$10+AX457*Assumptions!$I$11+AY457*Assumptions!$I$12,2),"")</f>
        <v>50.66</v>
      </c>
      <c r="BA457" s="0" t="str">
        <f aca="false">IF(AZ457="","",IF(AZ457&lt;=Assumptions!$I$18,"Below Expectation",IF(AZ457&lt;=Assumptions!$I$19,"Developing",IF(AZ457&lt;=Assumptions!$I$20,"Meets Expectation",IF(AZ457&lt;=Assumptions!$I$21,"Exceeds","Star Performer")))))</f>
        <v>Developing</v>
      </c>
      <c r="BB457" s="0" t="n">
        <f aca="false">IF(AZ457="",0,IF(AZ457&gt;=Assumptions!$I$26,1,0))</f>
        <v>0</v>
      </c>
      <c r="BC457" s="9" t="n">
        <f aca="false">IF(AL457="",2,AL457+2)</f>
        <v>2</v>
      </c>
      <c r="BD457" s="10" t="n">
        <f aca="false">IF(AM457="",ROUND(AVERAGE($AM$2:$AM$921),3),AM457)</f>
        <v>0.5</v>
      </c>
      <c r="BE457" s="9" t="n">
        <f aca="false">1-BD457</f>
        <v>0.5</v>
      </c>
    </row>
    <row r="458" customFormat="false" ht="14.25" hidden="true" customHeight="false" outlineLevel="0" collapsed="false">
      <c r="A458" s="4" t="n">
        <v>613</v>
      </c>
      <c r="B458" s="5" t="n">
        <v>55054330</v>
      </c>
      <c r="C458" s="5" t="s">
        <v>85</v>
      </c>
      <c r="D458" s="5" t="s">
        <v>1869</v>
      </c>
      <c r="E458" s="5" t="s">
        <v>137</v>
      </c>
      <c r="F458" s="5" t="s">
        <v>1848</v>
      </c>
      <c r="G458" s="5" t="s">
        <v>1849</v>
      </c>
      <c r="H458" s="5" t="s">
        <v>1848</v>
      </c>
      <c r="I458" s="5" t="s">
        <v>63</v>
      </c>
      <c r="J458" s="5" t="s">
        <v>76</v>
      </c>
      <c r="K458" s="5" t="s">
        <v>309</v>
      </c>
      <c r="L458" s="6" t="n">
        <v>44763</v>
      </c>
      <c r="M458" s="5" t="s">
        <v>1690</v>
      </c>
      <c r="N458" s="6" t="n">
        <v>36536</v>
      </c>
      <c r="O458" s="5" t="s">
        <v>1264</v>
      </c>
      <c r="P458" s="5" t="s">
        <v>1559</v>
      </c>
      <c r="Q458" s="5" t="s">
        <v>591</v>
      </c>
      <c r="R458" s="5" t="s">
        <v>115</v>
      </c>
      <c r="S458" s="5" t="s">
        <v>591</v>
      </c>
      <c r="T458" s="6"/>
      <c r="U458" s="6"/>
      <c r="V458" s="5"/>
      <c r="W458" s="5" t="s">
        <v>631</v>
      </c>
      <c r="X458" s="5" t="s">
        <v>83</v>
      </c>
      <c r="Y458" s="5" t="s">
        <v>141</v>
      </c>
      <c r="Z458" s="5" t="s">
        <v>83</v>
      </c>
      <c r="AA458" s="5" t="s">
        <v>1870</v>
      </c>
      <c r="AB458" s="0" t="n">
        <f aca="false">IFERROR(VALUE(R458),0)</f>
        <v>0</v>
      </c>
      <c r="AC458" s="0" t="n">
        <f aca="false">IFERROR(VALUE(M458),"")</f>
        <v>26.4</v>
      </c>
      <c r="AD458" s="0" t="n">
        <f aca="false">IFERROR(VALUE(Q458),"")</f>
        <v>3.1</v>
      </c>
      <c r="AE458" s="0" t="n">
        <f aca="false">IFERROR(VALUE(S458),"")</f>
        <v>3.1</v>
      </c>
      <c r="AF458" s="0" t="str">
        <f aca="false">IF(V458="","",VLOOKUP(V458,Assumptions!$B$6:$C$9,2,FALSE()))</f>
        <v/>
      </c>
      <c r="AG458" s="0" t="n">
        <f aca="false">IF(W458="","",VLOOKUP(W458,Assumptions!$B$6:$C$9,2,FALSE()))</f>
        <v>2</v>
      </c>
      <c r="AH458" s="0" t="n">
        <f aca="false">IF(X458="","",VLOOKUP(X458,Assumptions!$B$6:$C$9,2,FALSE()))</f>
        <v>4</v>
      </c>
      <c r="AI458" s="0" t="n">
        <f aca="false">IF(Y458="","",VLOOKUP(Y458,Assumptions!$B$6:$C$9,2,FALSE()))</f>
        <v>3</v>
      </c>
      <c r="AJ458" s="0" t="n">
        <f aca="false">IF(Z458="","",VLOOKUP(Z458,Assumptions!$B$6:$C$9,2,FALSE()))</f>
        <v>4</v>
      </c>
      <c r="AK458" s="7" t="n">
        <f aca="false">IFERROR(ROUND(AVERAGE(AF458:AJ458),3),"")</f>
        <v>3.25</v>
      </c>
      <c r="AL458" s="7" t="str">
        <f aca="false">IF(OR(AF458="",AJ458=""),"",AJ458-AF458)</f>
        <v/>
      </c>
      <c r="AM458" s="7" t="n">
        <f aca="false">IF(COUNT(AF458:AJ458)&gt;=2,ROUND(_xlfn.STDEV.S(AF458:AJ458),3),"")</f>
        <v>0.957</v>
      </c>
      <c r="AN458" s="7" t="n">
        <f aca="false">ROUND((IF(AF458="",0,AF458)*Assumptions!$F$15)+(IF(AG458="",0,AG458)*Assumptions!$F$16)+(IF(AH458="",0,AH458)*Assumptions!$F$17)+(IF(AI458="",0,AI458)*Assumptions!$F$18)+(IF(AJ458="",0,AJ458)*Assumptions!$F$19),3)</f>
        <v>3.05</v>
      </c>
      <c r="AO458" s="0" t="str">
        <f aca="false">IF(AC458&lt;=20,"",IF(AC458&lt;=Assumptions!$F$6,"20-30",IF(AC458&lt;=Assumptions!$F$7,"30-40",IF(AC458&lt;=Assumptions!$F$8,"40-50",IF(AC458&lt;=Assumptions!$F$9,"50-60",IF(AC458&lt;=Assumptions!$F$10,"60+",""))))))</f>
        <v>20-30</v>
      </c>
      <c r="AP458" s="0" t="str">
        <f aca="false">IFERROR(VLOOKUP(O458,Assumptions!$B$14:$C$26,2,FALSE()),"Other")</f>
        <v>Manager</v>
      </c>
      <c r="AQ458" s="0" t="n">
        <f aca="false">IF(T458="",0,1)</f>
        <v>0</v>
      </c>
      <c r="AR458" s="0" t="n">
        <f aca="false">IF(U458="",0,1)</f>
        <v>0</v>
      </c>
      <c r="AS458" s="8" t="n">
        <f aca="false">IF(AK458="","",IF(MAX($AK$2:$AK$921)=MIN($AK$2:$AK$921),50,ROUND((AK458-MIN($AK$2:$AK$921))/(MAX($AK$2:$AK$921)-MIN($AK$2:$AK$921))*100,2)))</f>
        <v>67.85</v>
      </c>
      <c r="AT458" s="8" t="n">
        <f aca="false">IF(MAX($BC$2:$BC$921)=MIN($BC$2:$BC$921),50,ROUND((BC458-MIN($BC$2:$BC$921))/(MAX($BC$2:$BC$921)-MIN($BC$2:$BC$921))*100,2))</f>
        <v>50</v>
      </c>
      <c r="AU458" s="8" t="n">
        <f aca="false">IF(MAX($BE$2:$BE$921)=MIN($BE$2:$BE$921),50,ROUND((BE458-MIN($BE$2:$BE$921))/(MAX($BE$2:$BE$921)-MIN($BE$2:$BE$921))*100,2))</f>
        <v>44.75</v>
      </c>
      <c r="AV458" s="8" t="n">
        <f aca="false">IF(MAX($AD$2:$AD$921)=MIN($AD$2:$AD$921),50,ROUND((AD458-MIN($AD$2:$AD$921))/(MAX($AD$2:$AD$921)-MIN($AD$2:$AD$921))*100,2))</f>
        <v>8.13</v>
      </c>
      <c r="AW458" s="8" t="n">
        <f aca="false">IF(MAX($AN$2:$AN$921)=MIN($AN$2:$AN$921),50,ROUND((AN458-MIN($AN$2:$AN$921))/(MAX($AN$2:$AN$921)-MIN($AN$2:$AN$921))*100,2))</f>
        <v>76.25</v>
      </c>
      <c r="AX458" s="8" t="n">
        <f aca="false">AQ458*100</f>
        <v>0</v>
      </c>
      <c r="AY458" s="8" t="n">
        <f aca="false">AR458*100</f>
        <v>0</v>
      </c>
      <c r="AZ458" s="8" t="n">
        <f aca="false">IFERROR(ROUND(AS458*Assumptions!$I$6+AW458*Assumptions!$I$7+AT458*Assumptions!$I$8+AU458*Assumptions!$I$9+AV458*Assumptions!$I$10+AX458*Assumptions!$I$11+AY458*Assumptions!$I$12,2),"")</f>
        <v>50.63</v>
      </c>
      <c r="BA458" s="0" t="str">
        <f aca="false">IF(AZ458="","",IF(AZ458&lt;=Assumptions!$I$18,"Below Expectation",IF(AZ458&lt;=Assumptions!$I$19,"Developing",IF(AZ458&lt;=Assumptions!$I$20,"Meets Expectation",IF(AZ458&lt;=Assumptions!$I$21,"Exceeds","Star Performer")))))</f>
        <v>Developing</v>
      </c>
      <c r="BB458" s="0" t="n">
        <f aca="false">IF(AZ458="",0,IF(AZ458&gt;=Assumptions!$I$26,1,0))</f>
        <v>0</v>
      </c>
      <c r="BC458" s="9" t="n">
        <f aca="false">IF(AL458="",2,AL458+2)</f>
        <v>2</v>
      </c>
      <c r="BD458" s="10" t="n">
        <f aca="false">IF(AM458="",ROUND(AVERAGE($AM$2:$AM$921),3),AM458)</f>
        <v>0.957</v>
      </c>
      <c r="BE458" s="9" t="n">
        <f aca="false">1-BD458</f>
        <v>0.043</v>
      </c>
    </row>
    <row r="459" customFormat="false" ht="14.25" hidden="true" customHeight="false" outlineLevel="0" collapsed="false">
      <c r="A459" s="4" t="n">
        <v>165</v>
      </c>
      <c r="B459" s="5" t="n">
        <v>10051427</v>
      </c>
      <c r="C459" s="5" t="s">
        <v>57</v>
      </c>
      <c r="D459" s="5" t="s">
        <v>1871</v>
      </c>
      <c r="E459" s="5" t="s">
        <v>520</v>
      </c>
      <c r="F459" s="5" t="s">
        <v>387</v>
      </c>
      <c r="G459" s="5" t="s">
        <v>388</v>
      </c>
      <c r="H459" s="5" t="s">
        <v>387</v>
      </c>
      <c r="I459" s="5" t="s">
        <v>63</v>
      </c>
      <c r="J459" s="5" t="s">
        <v>100</v>
      </c>
      <c r="K459" s="5" t="s">
        <v>65</v>
      </c>
      <c r="L459" s="6" t="n">
        <v>42247</v>
      </c>
      <c r="M459" s="5" t="s">
        <v>1374</v>
      </c>
      <c r="N459" s="6" t="n">
        <v>33414</v>
      </c>
      <c r="O459" s="5" t="s">
        <v>332</v>
      </c>
      <c r="P459" s="5" t="s">
        <v>333</v>
      </c>
      <c r="Q459" s="5" t="s">
        <v>790</v>
      </c>
      <c r="R459" s="5" t="s">
        <v>1872</v>
      </c>
      <c r="S459" s="5" t="s">
        <v>1245</v>
      </c>
      <c r="T459" s="6"/>
      <c r="U459" s="6" t="n">
        <v>44652</v>
      </c>
      <c r="V459" s="5" t="s">
        <v>83</v>
      </c>
      <c r="W459" s="5" t="s">
        <v>141</v>
      </c>
      <c r="X459" s="5" t="s">
        <v>83</v>
      </c>
      <c r="Y459" s="5" t="s">
        <v>141</v>
      </c>
      <c r="Z459" s="5" t="s">
        <v>631</v>
      </c>
      <c r="AA459" s="5" t="s">
        <v>1643</v>
      </c>
      <c r="AB459" s="0" t="n">
        <f aca="false">IFERROR(VALUE(R459),0)</f>
        <v>1.9</v>
      </c>
      <c r="AC459" s="0" t="n">
        <f aca="false">IFERROR(VALUE(M459),"")</f>
        <v>34.11</v>
      </c>
      <c r="AD459" s="0" t="n">
        <f aca="false">IFERROR(VALUE(Q459),"")</f>
        <v>10.9</v>
      </c>
      <c r="AE459" s="0" t="n">
        <f aca="false">IFERROR(VALUE(S459),"")</f>
        <v>12.6</v>
      </c>
      <c r="AF459" s="0" t="n">
        <f aca="false">IF(V459="","",VLOOKUP(V459,Assumptions!$B$6:$C$9,2,FALSE()))</f>
        <v>4</v>
      </c>
      <c r="AG459" s="0" t="n">
        <f aca="false">IF(W459="","",VLOOKUP(W459,Assumptions!$B$6:$C$9,2,FALSE()))</f>
        <v>3</v>
      </c>
      <c r="AH459" s="0" t="n">
        <f aca="false">IF(X459="","",VLOOKUP(X459,Assumptions!$B$6:$C$9,2,FALSE()))</f>
        <v>4</v>
      </c>
      <c r="AI459" s="0" t="n">
        <f aca="false">IF(Y459="","",VLOOKUP(Y459,Assumptions!$B$6:$C$9,2,FALSE()))</f>
        <v>3</v>
      </c>
      <c r="AJ459" s="0" t="n">
        <f aca="false">IF(Z459="","",VLOOKUP(Z459,Assumptions!$B$6:$C$9,2,FALSE()))</f>
        <v>2</v>
      </c>
      <c r="AK459" s="7" t="n">
        <f aca="false">IFERROR(ROUND(AVERAGE(AF459:AJ459),3),"")</f>
        <v>3.2</v>
      </c>
      <c r="AL459" s="7" t="n">
        <f aca="false">IF(OR(AF459="",AJ459=""),"",AJ459-AF459)</f>
        <v>-2</v>
      </c>
      <c r="AM459" s="7" t="n">
        <f aca="false">IF(COUNT(AF459:AJ459)&gt;=2,ROUND(_xlfn.STDEV.S(AF459:AJ459),3),"")</f>
        <v>0.837</v>
      </c>
      <c r="AN459" s="7" t="n">
        <f aca="false">ROUND((IF(AF459="",0,AF459)*Assumptions!$F$15)+(IF(AG459="",0,AG459)*Assumptions!$F$16)+(IF(AH459="",0,AH459)*Assumptions!$F$17)+(IF(AI459="",0,AI459)*Assumptions!$F$18)+(IF(AJ459="",0,AJ459)*Assumptions!$F$19),3)</f>
        <v>3</v>
      </c>
      <c r="AO459" s="0" t="str">
        <f aca="false">IF(AC459&lt;=20,"",IF(AC459&lt;=Assumptions!$F$6,"20-30",IF(AC459&lt;=Assumptions!$F$7,"30-40",IF(AC459&lt;=Assumptions!$F$8,"40-50",IF(AC459&lt;=Assumptions!$F$9,"50-60",IF(AC459&lt;=Assumptions!$F$10,"60+",""))))))</f>
        <v>30-40</v>
      </c>
      <c r="AP459" s="0" t="str">
        <f aca="false">IFERROR(VLOOKUP(O459,Assumptions!$B$14:$C$26,2,FALSE()),"Other")</f>
        <v>Manager</v>
      </c>
      <c r="AQ459" s="0" t="n">
        <f aca="false">IF(T459="",0,1)</f>
        <v>0</v>
      </c>
      <c r="AR459" s="0" t="n">
        <f aca="false">IF(U459="",0,1)</f>
        <v>1</v>
      </c>
      <c r="AS459" s="8" t="n">
        <f aca="false">IF(AK459="","",IF(MAX($AK$2:$AK$921)=MIN($AK$2:$AK$921),50,ROUND((AK459-MIN($AK$2:$AK$921))/(MAX($AK$2:$AK$921)-MIN($AK$2:$AK$921))*100,2)))</f>
        <v>65.71</v>
      </c>
      <c r="AT459" s="8" t="n">
        <f aca="false">IF(MAX($BC$2:$BC$921)=MIN($BC$2:$BC$921),50,ROUND((BC459-MIN($BC$2:$BC$921))/(MAX($BC$2:$BC$921)-MIN($BC$2:$BC$921))*100,2))</f>
        <v>0</v>
      </c>
      <c r="AU459" s="8" t="n">
        <f aca="false">IF(MAX($BE$2:$BE$921)=MIN($BE$2:$BE$921),50,ROUND((BE459-MIN($BE$2:$BE$921))/(MAX($BE$2:$BE$921)-MIN($BE$2:$BE$921))*100,2))</f>
        <v>51.67</v>
      </c>
      <c r="AV459" s="8" t="n">
        <f aca="false">IF(MAX($AD$2:$AD$921)=MIN($AD$2:$AD$921),50,ROUND((AD459-MIN($AD$2:$AD$921))/(MAX($AD$2:$AD$921)-MIN($AD$2:$AD$921))*100,2))</f>
        <v>29.33</v>
      </c>
      <c r="AW459" s="8" t="n">
        <f aca="false">IF(MAX($AN$2:$AN$921)=MIN($AN$2:$AN$921),50,ROUND((AN459-MIN($AN$2:$AN$921))/(MAX($AN$2:$AN$921)-MIN($AN$2:$AN$921))*100,2))</f>
        <v>75</v>
      </c>
      <c r="AX459" s="8" t="n">
        <f aca="false">AQ459*100</f>
        <v>0</v>
      </c>
      <c r="AY459" s="8" t="n">
        <f aca="false">AR459*100</f>
        <v>100</v>
      </c>
      <c r="AZ459" s="8" t="n">
        <f aca="false">IFERROR(ROUND(AS459*Assumptions!$I$6+AW459*Assumptions!$I$7+AT459*Assumptions!$I$8+AU459*Assumptions!$I$9+AV459*Assumptions!$I$10+AX459*Assumptions!$I$11+AY459*Assumptions!$I$12,2),"")</f>
        <v>50.4</v>
      </c>
      <c r="BA459" s="0" t="str">
        <f aca="false">IF(AZ459="","",IF(AZ459&lt;=Assumptions!$I$18,"Below Expectation",IF(AZ459&lt;=Assumptions!$I$19,"Developing",IF(AZ459&lt;=Assumptions!$I$20,"Meets Expectation",IF(AZ459&lt;=Assumptions!$I$21,"Exceeds","Star Performer")))))</f>
        <v>Developing</v>
      </c>
      <c r="BB459" s="0" t="n">
        <f aca="false">IF(AZ459="",0,IF(AZ459&gt;=Assumptions!$I$26,1,0))</f>
        <v>0</v>
      </c>
      <c r="BC459" s="9" t="n">
        <f aca="false">IF(AL459="",2,AL459+2)</f>
        <v>0</v>
      </c>
      <c r="BD459" s="10" t="n">
        <f aca="false">IF(AM459="",ROUND(AVERAGE($AM$2:$AM$921),3),AM459)</f>
        <v>0.837</v>
      </c>
      <c r="BE459" s="9" t="n">
        <f aca="false">1-BD459</f>
        <v>0.163</v>
      </c>
    </row>
    <row r="460" customFormat="false" ht="14.25" hidden="true" customHeight="false" outlineLevel="0" collapsed="false">
      <c r="A460" s="4" t="n">
        <v>182</v>
      </c>
      <c r="B460" s="5" t="n">
        <v>10054274</v>
      </c>
      <c r="C460" s="5" t="s">
        <v>85</v>
      </c>
      <c r="D460" s="5" t="s">
        <v>1873</v>
      </c>
      <c r="E460" s="5" t="s">
        <v>185</v>
      </c>
      <c r="F460" s="5" t="s">
        <v>349</v>
      </c>
      <c r="G460" s="5" t="s">
        <v>350</v>
      </c>
      <c r="H460" s="5" t="s">
        <v>349</v>
      </c>
      <c r="I460" s="5" t="s">
        <v>63</v>
      </c>
      <c r="J460" s="5" t="s">
        <v>76</v>
      </c>
      <c r="K460" s="5" t="s">
        <v>65</v>
      </c>
      <c r="L460" s="6" t="n">
        <v>42534</v>
      </c>
      <c r="M460" s="5" t="s">
        <v>1637</v>
      </c>
      <c r="N460" s="6" t="n">
        <v>28542</v>
      </c>
      <c r="O460" s="5" t="s">
        <v>332</v>
      </c>
      <c r="P460" s="5" t="s">
        <v>333</v>
      </c>
      <c r="Q460" s="5" t="s">
        <v>599</v>
      </c>
      <c r="R460" s="5" t="s">
        <v>1387</v>
      </c>
      <c r="S460" s="5" t="s">
        <v>697</v>
      </c>
      <c r="T460" s="6"/>
      <c r="U460" s="6" t="n">
        <v>44652</v>
      </c>
      <c r="V460" s="5" t="s">
        <v>141</v>
      </c>
      <c r="W460" s="5" t="s">
        <v>141</v>
      </c>
      <c r="X460" s="5" t="s">
        <v>141</v>
      </c>
      <c r="Y460" s="5" t="s">
        <v>141</v>
      </c>
      <c r="Z460" s="5" t="s">
        <v>631</v>
      </c>
      <c r="AA460" s="5" t="s">
        <v>1874</v>
      </c>
      <c r="AB460" s="0" t="n">
        <f aca="false">IFERROR(VALUE(R460),0)</f>
        <v>11.4</v>
      </c>
      <c r="AC460" s="0" t="n">
        <f aca="false">IFERROR(VALUE(M460),"")</f>
        <v>48.3</v>
      </c>
      <c r="AD460" s="0" t="n">
        <f aca="false">IFERROR(VALUE(Q460),"")</f>
        <v>9.11</v>
      </c>
      <c r="AE460" s="0" t="n">
        <f aca="false">IFERROR(VALUE(S460),"")</f>
        <v>21.3</v>
      </c>
      <c r="AF460" s="0" t="n">
        <f aca="false">IF(V460="","",VLOOKUP(V460,Assumptions!$B$6:$C$9,2,FALSE()))</f>
        <v>3</v>
      </c>
      <c r="AG460" s="0" t="n">
        <f aca="false">IF(W460="","",VLOOKUP(W460,Assumptions!$B$6:$C$9,2,FALSE()))</f>
        <v>3</v>
      </c>
      <c r="AH460" s="0" t="n">
        <f aca="false">IF(X460="","",VLOOKUP(X460,Assumptions!$B$6:$C$9,2,FALSE()))</f>
        <v>3</v>
      </c>
      <c r="AI460" s="0" t="n">
        <f aca="false">IF(Y460="","",VLOOKUP(Y460,Assumptions!$B$6:$C$9,2,FALSE()))</f>
        <v>3</v>
      </c>
      <c r="AJ460" s="0" t="n">
        <f aca="false">IF(Z460="","",VLOOKUP(Z460,Assumptions!$B$6:$C$9,2,FALSE()))</f>
        <v>2</v>
      </c>
      <c r="AK460" s="7" t="n">
        <f aca="false">IFERROR(ROUND(AVERAGE(AF460:AJ460),3),"")</f>
        <v>2.8</v>
      </c>
      <c r="AL460" s="7" t="n">
        <f aca="false">IF(OR(AF460="",AJ460=""),"",AJ460-AF460)</f>
        <v>-1</v>
      </c>
      <c r="AM460" s="7" t="n">
        <f aca="false">IF(COUNT(AF460:AJ460)&gt;=2,ROUND(_xlfn.STDEV.S(AF460:AJ460),3),"")</f>
        <v>0.447</v>
      </c>
      <c r="AN460" s="7" t="n">
        <f aca="false">ROUND((IF(AF460="",0,AF460)*Assumptions!$F$15)+(IF(AG460="",0,AG460)*Assumptions!$F$16)+(IF(AH460="",0,AH460)*Assumptions!$F$17)+(IF(AI460="",0,AI460)*Assumptions!$F$18)+(IF(AJ460="",0,AJ460)*Assumptions!$F$19),3)</f>
        <v>2.7</v>
      </c>
      <c r="AO460" s="0" t="str">
        <f aca="false">IF(AC460&lt;=20,"",IF(AC460&lt;=Assumptions!$F$6,"20-30",IF(AC460&lt;=Assumptions!$F$7,"30-40",IF(AC460&lt;=Assumptions!$F$8,"40-50",IF(AC460&lt;=Assumptions!$F$9,"50-60",IF(AC460&lt;=Assumptions!$F$10,"60+",""))))))</f>
        <v>40-50</v>
      </c>
      <c r="AP460" s="0" t="str">
        <f aca="false">IFERROR(VLOOKUP(O460,Assumptions!$B$14:$C$26,2,FALSE()),"Other")</f>
        <v>Manager</v>
      </c>
      <c r="AQ460" s="0" t="n">
        <f aca="false">IF(T460="",0,1)</f>
        <v>0</v>
      </c>
      <c r="AR460" s="0" t="n">
        <f aca="false">IF(U460="",0,1)</f>
        <v>1</v>
      </c>
      <c r="AS460" s="8" t="n">
        <f aca="false">IF(AK460="","",IF(MAX($AK$2:$AK$921)=MIN($AK$2:$AK$921),50,ROUND((AK460-MIN($AK$2:$AK$921))/(MAX($AK$2:$AK$921)-MIN($AK$2:$AK$921))*100,2)))</f>
        <v>48.56</v>
      </c>
      <c r="AT460" s="8" t="n">
        <f aca="false">IF(MAX($BC$2:$BC$921)=MIN($BC$2:$BC$921),50,ROUND((BC460-MIN($BC$2:$BC$921))/(MAX($BC$2:$BC$921)-MIN($BC$2:$BC$921))*100,2))</f>
        <v>25</v>
      </c>
      <c r="AU460" s="8" t="n">
        <f aca="false">IF(MAX($BE$2:$BE$921)=MIN($BE$2:$BE$921),50,ROUND((BE460-MIN($BE$2:$BE$921))/(MAX($BE$2:$BE$921)-MIN($BE$2:$BE$921))*100,2))</f>
        <v>74.19</v>
      </c>
      <c r="AV460" s="8" t="n">
        <f aca="false">IF(MAX($AD$2:$AD$921)=MIN($AD$2:$AD$921),50,ROUND((AD460-MIN($AD$2:$AD$921))/(MAX($AD$2:$AD$921)-MIN($AD$2:$AD$921))*100,2))</f>
        <v>24.46</v>
      </c>
      <c r="AW460" s="8" t="n">
        <f aca="false">IF(MAX($AN$2:$AN$921)=MIN($AN$2:$AN$921),50,ROUND((AN460-MIN($AN$2:$AN$921))/(MAX($AN$2:$AN$921)-MIN($AN$2:$AN$921))*100,2))</f>
        <v>67.5</v>
      </c>
      <c r="AX460" s="8" t="n">
        <f aca="false">AQ460*100</f>
        <v>0</v>
      </c>
      <c r="AY460" s="8" t="n">
        <f aca="false">AR460*100</f>
        <v>100</v>
      </c>
      <c r="AZ460" s="8" t="n">
        <f aca="false">IFERROR(ROUND(AS460*Assumptions!$I$6+AW460*Assumptions!$I$7+AT460*Assumptions!$I$8+AU460*Assumptions!$I$9+AV460*Assumptions!$I$10+AX460*Assumptions!$I$11+AY460*Assumptions!$I$12,2),"")</f>
        <v>50.39</v>
      </c>
      <c r="BA460" s="0" t="str">
        <f aca="false">IF(AZ460="","",IF(AZ460&lt;=Assumptions!$I$18,"Below Expectation",IF(AZ460&lt;=Assumptions!$I$19,"Developing",IF(AZ460&lt;=Assumptions!$I$20,"Meets Expectation",IF(AZ460&lt;=Assumptions!$I$21,"Exceeds","Star Performer")))))</f>
        <v>Developing</v>
      </c>
      <c r="BB460" s="0" t="n">
        <f aca="false">IF(AZ460="",0,IF(AZ460&gt;=Assumptions!$I$26,1,0))</f>
        <v>0</v>
      </c>
      <c r="BC460" s="9" t="n">
        <f aca="false">IF(AL460="",2,AL460+2)</f>
        <v>1</v>
      </c>
      <c r="BD460" s="10" t="n">
        <f aca="false">IF(AM460="",ROUND(AVERAGE($AM$2:$AM$921),3),AM460)</f>
        <v>0.447</v>
      </c>
      <c r="BE460" s="9" t="n">
        <f aca="false">1-BD460</f>
        <v>0.553</v>
      </c>
    </row>
    <row r="461" customFormat="false" ht="14.25" hidden="true" customHeight="false" outlineLevel="0" collapsed="false">
      <c r="A461" s="4" t="n">
        <v>190</v>
      </c>
      <c r="B461" s="5" t="n">
        <v>10055080</v>
      </c>
      <c r="C461" s="5" t="s">
        <v>85</v>
      </c>
      <c r="D461" s="5" t="s">
        <v>1875</v>
      </c>
      <c r="E461" s="5" t="s">
        <v>137</v>
      </c>
      <c r="F461" s="5" t="s">
        <v>380</v>
      </c>
      <c r="G461" s="5" t="s">
        <v>379</v>
      </c>
      <c r="H461" s="5" t="s">
        <v>380</v>
      </c>
      <c r="I461" s="5" t="s">
        <v>63</v>
      </c>
      <c r="J461" s="5" t="s">
        <v>76</v>
      </c>
      <c r="K461" s="5" t="s">
        <v>65</v>
      </c>
      <c r="L461" s="6" t="n">
        <v>42576</v>
      </c>
      <c r="M461" s="5" t="s">
        <v>1452</v>
      </c>
      <c r="N461" s="6" t="n">
        <v>31703</v>
      </c>
      <c r="O461" s="5" t="s">
        <v>332</v>
      </c>
      <c r="P461" s="5" t="s">
        <v>333</v>
      </c>
      <c r="Q461" s="5" t="s">
        <v>546</v>
      </c>
      <c r="R461" s="5" t="s">
        <v>1297</v>
      </c>
      <c r="S461" s="5" t="s">
        <v>1525</v>
      </c>
      <c r="T461" s="6"/>
      <c r="U461" s="6" t="n">
        <v>44652</v>
      </c>
      <c r="V461" s="5" t="s">
        <v>141</v>
      </c>
      <c r="W461" s="5" t="s">
        <v>141</v>
      </c>
      <c r="X461" s="5" t="s">
        <v>141</v>
      </c>
      <c r="Y461" s="5" t="s">
        <v>141</v>
      </c>
      <c r="Z461" s="5" t="s">
        <v>631</v>
      </c>
      <c r="AA461" s="5" t="s">
        <v>1876</v>
      </c>
      <c r="AB461" s="0" t="n">
        <f aca="false">IFERROR(VALUE(R461),0)</f>
        <v>4.9</v>
      </c>
      <c r="AC461" s="0" t="n">
        <f aca="false">IFERROR(VALUE(M461),"")</f>
        <v>39.7</v>
      </c>
      <c r="AD461" s="0" t="n">
        <f aca="false">IFERROR(VALUE(Q461),"")</f>
        <v>9.1</v>
      </c>
      <c r="AE461" s="0" t="n">
        <f aca="false">IFERROR(VALUE(S461),"")</f>
        <v>14.7</v>
      </c>
      <c r="AF461" s="0" t="n">
        <f aca="false">IF(V461="","",VLOOKUP(V461,Assumptions!$B$6:$C$9,2,FALSE()))</f>
        <v>3</v>
      </c>
      <c r="AG461" s="0" t="n">
        <f aca="false">IF(W461="","",VLOOKUP(W461,Assumptions!$B$6:$C$9,2,FALSE()))</f>
        <v>3</v>
      </c>
      <c r="AH461" s="0" t="n">
        <f aca="false">IF(X461="","",VLOOKUP(X461,Assumptions!$B$6:$C$9,2,FALSE()))</f>
        <v>3</v>
      </c>
      <c r="AI461" s="0" t="n">
        <f aca="false">IF(Y461="","",VLOOKUP(Y461,Assumptions!$B$6:$C$9,2,FALSE()))</f>
        <v>3</v>
      </c>
      <c r="AJ461" s="0" t="n">
        <f aca="false">IF(Z461="","",VLOOKUP(Z461,Assumptions!$B$6:$C$9,2,FALSE()))</f>
        <v>2</v>
      </c>
      <c r="AK461" s="7" t="n">
        <f aca="false">IFERROR(ROUND(AVERAGE(AF461:AJ461),3),"")</f>
        <v>2.8</v>
      </c>
      <c r="AL461" s="7" t="n">
        <f aca="false">IF(OR(AF461="",AJ461=""),"",AJ461-AF461)</f>
        <v>-1</v>
      </c>
      <c r="AM461" s="7" t="n">
        <f aca="false">IF(COUNT(AF461:AJ461)&gt;=2,ROUND(_xlfn.STDEV.S(AF461:AJ461),3),"")</f>
        <v>0.447</v>
      </c>
      <c r="AN461" s="7" t="n">
        <f aca="false">ROUND((IF(AF461="",0,AF461)*Assumptions!$F$15)+(IF(AG461="",0,AG461)*Assumptions!$F$16)+(IF(AH461="",0,AH461)*Assumptions!$F$17)+(IF(AI461="",0,AI461)*Assumptions!$F$18)+(IF(AJ461="",0,AJ461)*Assumptions!$F$19),3)</f>
        <v>2.7</v>
      </c>
      <c r="AO461" s="0" t="str">
        <f aca="false">IF(AC461&lt;=20,"",IF(AC461&lt;=Assumptions!$F$6,"20-30",IF(AC461&lt;=Assumptions!$F$7,"30-40",IF(AC461&lt;=Assumptions!$F$8,"40-50",IF(AC461&lt;=Assumptions!$F$9,"50-60",IF(AC461&lt;=Assumptions!$F$10,"60+",""))))))</f>
        <v>30-40</v>
      </c>
      <c r="AP461" s="0" t="str">
        <f aca="false">IFERROR(VLOOKUP(O461,Assumptions!$B$14:$C$26,2,FALSE()),"Other")</f>
        <v>Manager</v>
      </c>
      <c r="AQ461" s="0" t="n">
        <f aca="false">IF(T461="",0,1)</f>
        <v>0</v>
      </c>
      <c r="AR461" s="0" t="n">
        <f aca="false">IF(U461="",0,1)</f>
        <v>1</v>
      </c>
      <c r="AS461" s="8" t="n">
        <f aca="false">IF(AK461="","",IF(MAX($AK$2:$AK$921)=MIN($AK$2:$AK$921),50,ROUND((AK461-MIN($AK$2:$AK$921))/(MAX($AK$2:$AK$921)-MIN($AK$2:$AK$921))*100,2)))</f>
        <v>48.56</v>
      </c>
      <c r="AT461" s="8" t="n">
        <f aca="false">IF(MAX($BC$2:$BC$921)=MIN($BC$2:$BC$921),50,ROUND((BC461-MIN($BC$2:$BC$921))/(MAX($BC$2:$BC$921)-MIN($BC$2:$BC$921))*100,2))</f>
        <v>25</v>
      </c>
      <c r="AU461" s="8" t="n">
        <f aca="false">IF(MAX($BE$2:$BE$921)=MIN($BE$2:$BE$921),50,ROUND((BE461-MIN($BE$2:$BE$921))/(MAX($BE$2:$BE$921)-MIN($BE$2:$BE$921))*100,2))</f>
        <v>74.19</v>
      </c>
      <c r="AV461" s="8" t="n">
        <f aca="false">IF(MAX($AD$2:$AD$921)=MIN($AD$2:$AD$921),50,ROUND((AD461-MIN($AD$2:$AD$921))/(MAX($AD$2:$AD$921)-MIN($AD$2:$AD$921))*100,2))</f>
        <v>24.44</v>
      </c>
      <c r="AW461" s="8" t="n">
        <f aca="false">IF(MAX($AN$2:$AN$921)=MIN($AN$2:$AN$921),50,ROUND((AN461-MIN($AN$2:$AN$921))/(MAX($AN$2:$AN$921)-MIN($AN$2:$AN$921))*100,2))</f>
        <v>67.5</v>
      </c>
      <c r="AX461" s="8" t="n">
        <f aca="false">AQ461*100</f>
        <v>0</v>
      </c>
      <c r="AY461" s="8" t="n">
        <f aca="false">AR461*100</f>
        <v>100</v>
      </c>
      <c r="AZ461" s="8" t="n">
        <f aca="false">IFERROR(ROUND(AS461*Assumptions!$I$6+AW461*Assumptions!$I$7+AT461*Assumptions!$I$8+AU461*Assumptions!$I$9+AV461*Assumptions!$I$10+AX461*Assumptions!$I$11+AY461*Assumptions!$I$12,2),"")</f>
        <v>50.39</v>
      </c>
      <c r="BA461" s="0" t="str">
        <f aca="false">IF(AZ461="","",IF(AZ461&lt;=Assumptions!$I$18,"Below Expectation",IF(AZ461&lt;=Assumptions!$I$19,"Developing",IF(AZ461&lt;=Assumptions!$I$20,"Meets Expectation",IF(AZ461&lt;=Assumptions!$I$21,"Exceeds","Star Performer")))))</f>
        <v>Developing</v>
      </c>
      <c r="BB461" s="0" t="n">
        <f aca="false">IF(AZ461="",0,IF(AZ461&gt;=Assumptions!$I$26,1,0))</f>
        <v>0</v>
      </c>
      <c r="BC461" s="9" t="n">
        <f aca="false">IF(AL461="",2,AL461+2)</f>
        <v>1</v>
      </c>
      <c r="BD461" s="10" t="n">
        <f aca="false">IF(AM461="",ROUND(AVERAGE($AM$2:$AM$921),3),AM461)</f>
        <v>0.447</v>
      </c>
      <c r="BE461" s="9" t="n">
        <f aca="false">1-BD461</f>
        <v>0.553</v>
      </c>
    </row>
    <row r="462" customFormat="false" ht="14.25" hidden="true" customHeight="false" outlineLevel="0" collapsed="false">
      <c r="A462" s="4" t="n">
        <v>874</v>
      </c>
      <c r="B462" s="5" t="n">
        <v>55114154</v>
      </c>
      <c r="C462" s="5" t="s">
        <v>149</v>
      </c>
      <c r="D462" s="5" t="s">
        <v>1877</v>
      </c>
      <c r="E462" s="5" t="s">
        <v>151</v>
      </c>
      <c r="F462" s="5" t="s">
        <v>1399</v>
      </c>
      <c r="G462" s="5" t="s">
        <v>1400</v>
      </c>
      <c r="H462" s="5" t="s">
        <v>1399</v>
      </c>
      <c r="I462" s="5" t="s">
        <v>63</v>
      </c>
      <c r="J462" s="5" t="s">
        <v>100</v>
      </c>
      <c r="K462" s="5" t="s">
        <v>309</v>
      </c>
      <c r="L462" s="6" t="n">
        <v>45414</v>
      </c>
      <c r="M462" s="5" t="s">
        <v>1878</v>
      </c>
      <c r="N462" s="6" t="n">
        <v>34876</v>
      </c>
      <c r="O462" s="5" t="s">
        <v>365</v>
      </c>
      <c r="P462" s="5" t="s">
        <v>365</v>
      </c>
      <c r="Q462" s="5" t="s">
        <v>629</v>
      </c>
      <c r="R462" s="5" t="s">
        <v>164</v>
      </c>
      <c r="S462" s="5" t="s">
        <v>147</v>
      </c>
      <c r="T462" s="6"/>
      <c r="U462" s="6"/>
      <c r="V462" s="5"/>
      <c r="W462" s="5"/>
      <c r="X462" s="5"/>
      <c r="Y462" s="5" t="s">
        <v>141</v>
      </c>
      <c r="Z462" s="5" t="s">
        <v>83</v>
      </c>
      <c r="AA462" s="5" t="s">
        <v>1879</v>
      </c>
      <c r="AB462" s="0" t="n">
        <f aca="false">IFERROR(VALUE(R462),0)</f>
        <v>3.5</v>
      </c>
      <c r="AC462" s="0" t="n">
        <f aca="false">IFERROR(VALUE(M462),"")</f>
        <v>30.11</v>
      </c>
      <c r="AD462" s="0" t="n">
        <f aca="false">IFERROR(VALUE(Q462),"")</f>
        <v>2.1</v>
      </c>
      <c r="AE462" s="0" t="n">
        <f aca="false">IFERROR(VALUE(S462),"")</f>
        <v>5.6</v>
      </c>
      <c r="AF462" s="0" t="str">
        <f aca="false">IF(V462="","",VLOOKUP(V462,Assumptions!$B$6:$C$9,2,FALSE()))</f>
        <v/>
      </c>
      <c r="AG462" s="0" t="str">
        <f aca="false">IF(W462="","",VLOOKUP(W462,Assumptions!$B$6:$C$9,2,FALSE()))</f>
        <v/>
      </c>
      <c r="AH462" s="0" t="str">
        <f aca="false">IF(X462="","",VLOOKUP(X462,Assumptions!$B$6:$C$9,2,FALSE()))</f>
        <v/>
      </c>
      <c r="AI462" s="0" t="n">
        <f aca="false">IF(Y462="","",VLOOKUP(Y462,Assumptions!$B$6:$C$9,2,FALSE()))</f>
        <v>3</v>
      </c>
      <c r="AJ462" s="0" t="n">
        <f aca="false">IF(Z462="","",VLOOKUP(Z462,Assumptions!$B$6:$C$9,2,FALSE()))</f>
        <v>4</v>
      </c>
      <c r="AK462" s="7" t="n">
        <f aca="false">IFERROR(ROUND(AVERAGE(AF462:AJ462),3),"")</f>
        <v>3.5</v>
      </c>
      <c r="AL462" s="7" t="str">
        <f aca="false">IF(OR(AF462="",AJ462=""),"",AJ462-AF462)</f>
        <v/>
      </c>
      <c r="AM462" s="7" t="n">
        <f aca="false">IF(COUNT(AF462:AJ462)&gt;=2,ROUND(_xlfn.STDEV.S(AF462:AJ462),3),"")</f>
        <v>0.707</v>
      </c>
      <c r="AN462" s="7" t="n">
        <f aca="false">ROUND((IF(AF462="",0,AF462)*Assumptions!$F$15)+(IF(AG462="",0,AG462)*Assumptions!$F$16)+(IF(AH462="",0,AH462)*Assumptions!$F$17)+(IF(AI462="",0,AI462)*Assumptions!$F$18)+(IF(AJ462="",0,AJ462)*Assumptions!$F$19),3)</f>
        <v>1.95</v>
      </c>
      <c r="AO462" s="0" t="str">
        <f aca="false">IF(AC462&lt;=20,"",IF(AC462&lt;=Assumptions!$F$6,"20-30",IF(AC462&lt;=Assumptions!$F$7,"30-40",IF(AC462&lt;=Assumptions!$F$8,"40-50",IF(AC462&lt;=Assumptions!$F$9,"50-60",IF(AC462&lt;=Assumptions!$F$10,"60+",""))))))</f>
        <v>30-40</v>
      </c>
      <c r="AP462" s="0" t="str">
        <f aca="false">IFERROR(VLOOKUP(O462,Assumptions!$B$14:$C$26,2,FALSE()),"Other")</f>
        <v>Manager</v>
      </c>
      <c r="AQ462" s="0" t="n">
        <f aca="false">IF(T462="",0,1)</f>
        <v>0</v>
      </c>
      <c r="AR462" s="0" t="n">
        <f aca="false">IF(U462="",0,1)</f>
        <v>0</v>
      </c>
      <c r="AS462" s="8" t="n">
        <f aca="false">IF(AK462="","",IF(MAX($AK$2:$AK$921)=MIN($AK$2:$AK$921),50,ROUND((AK462-MIN($AK$2:$AK$921))/(MAX($AK$2:$AK$921)-MIN($AK$2:$AK$921))*100,2)))</f>
        <v>78.57</v>
      </c>
      <c r="AT462" s="8" t="n">
        <f aca="false">IF(MAX($BC$2:$BC$921)=MIN($BC$2:$BC$921),50,ROUND((BC462-MIN($BC$2:$BC$921))/(MAX($BC$2:$BC$921)-MIN($BC$2:$BC$921))*100,2))</f>
        <v>50</v>
      </c>
      <c r="AU462" s="8" t="n">
        <f aca="false">IF(MAX($BE$2:$BE$921)=MIN($BE$2:$BE$921),50,ROUND((BE462-MIN($BE$2:$BE$921))/(MAX($BE$2:$BE$921)-MIN($BE$2:$BE$921))*100,2))</f>
        <v>59.18</v>
      </c>
      <c r="AV462" s="8" t="n">
        <f aca="false">IF(MAX($AD$2:$AD$921)=MIN($AD$2:$AD$921),50,ROUND((AD462-MIN($AD$2:$AD$921))/(MAX($AD$2:$AD$921)-MIN($AD$2:$AD$921))*100,2))</f>
        <v>5.41</v>
      </c>
      <c r="AW462" s="8" t="n">
        <f aca="false">IF(MAX($AN$2:$AN$921)=MIN($AN$2:$AN$921),50,ROUND((AN462-MIN($AN$2:$AN$921))/(MAX($AN$2:$AN$921)-MIN($AN$2:$AN$921))*100,2))</f>
        <v>48.75</v>
      </c>
      <c r="AX462" s="8" t="n">
        <f aca="false">AQ462*100</f>
        <v>0</v>
      </c>
      <c r="AY462" s="8" t="n">
        <f aca="false">AR462*100</f>
        <v>0</v>
      </c>
      <c r="AZ462" s="8" t="n">
        <f aca="false">IFERROR(ROUND(AS462*Assumptions!$I$6+AW462*Assumptions!$I$7+AT462*Assumptions!$I$8+AU462*Assumptions!$I$9+AV462*Assumptions!$I$10+AX462*Assumptions!$I$11+AY462*Assumptions!$I$12,2),"")</f>
        <v>50.24</v>
      </c>
      <c r="BA462" s="0" t="str">
        <f aca="false">IF(AZ462="","",IF(AZ462&lt;=Assumptions!$I$18,"Below Expectation",IF(AZ462&lt;=Assumptions!$I$19,"Developing",IF(AZ462&lt;=Assumptions!$I$20,"Meets Expectation",IF(AZ462&lt;=Assumptions!$I$21,"Exceeds","Star Performer")))))</f>
        <v>Developing</v>
      </c>
      <c r="BB462" s="0" t="n">
        <f aca="false">IF(AZ462="",0,IF(AZ462&gt;=Assumptions!$I$26,1,0))</f>
        <v>0</v>
      </c>
      <c r="BC462" s="9" t="n">
        <f aca="false">IF(AL462="",2,AL462+2)</f>
        <v>2</v>
      </c>
      <c r="BD462" s="10" t="n">
        <f aca="false">IF(AM462="",ROUND(AVERAGE($AM$2:$AM$921),3),AM462)</f>
        <v>0.707</v>
      </c>
      <c r="BE462" s="9" t="n">
        <f aca="false">1-BD462</f>
        <v>0.293</v>
      </c>
    </row>
    <row r="463" customFormat="false" ht="14.25" hidden="true" customHeight="false" outlineLevel="0" collapsed="false">
      <c r="A463" s="4" t="n">
        <v>312</v>
      </c>
      <c r="B463" s="5" t="n">
        <v>10072272</v>
      </c>
      <c r="C463" s="5" t="s">
        <v>57</v>
      </c>
      <c r="D463" s="5" t="s">
        <v>1880</v>
      </c>
      <c r="E463" s="5" t="s">
        <v>208</v>
      </c>
      <c r="F463" s="5" t="s">
        <v>608</v>
      </c>
      <c r="G463" s="5" t="s">
        <v>609</v>
      </c>
      <c r="H463" s="5" t="s">
        <v>608</v>
      </c>
      <c r="I463" s="5" t="s">
        <v>63</v>
      </c>
      <c r="J463" s="5" t="s">
        <v>100</v>
      </c>
      <c r="K463" s="5" t="s">
        <v>65</v>
      </c>
      <c r="L463" s="6" t="n">
        <v>43906</v>
      </c>
      <c r="M463" s="5" t="s">
        <v>956</v>
      </c>
      <c r="N463" s="6" t="n">
        <v>33137</v>
      </c>
      <c r="O463" s="5" t="s">
        <v>365</v>
      </c>
      <c r="P463" s="5" t="s">
        <v>365</v>
      </c>
      <c r="Q463" s="5" t="s">
        <v>1286</v>
      </c>
      <c r="R463" s="5" t="s">
        <v>426</v>
      </c>
      <c r="S463" s="5" t="s">
        <v>1881</v>
      </c>
      <c r="T463" s="6"/>
      <c r="U463" s="6"/>
      <c r="V463" s="5" t="s">
        <v>631</v>
      </c>
      <c r="W463" s="5" t="s">
        <v>631</v>
      </c>
      <c r="X463" s="5" t="s">
        <v>141</v>
      </c>
      <c r="Y463" s="5" t="s">
        <v>83</v>
      </c>
      <c r="Z463" s="5" t="s">
        <v>141</v>
      </c>
      <c r="AA463" s="5" t="s">
        <v>1882</v>
      </c>
      <c r="AB463" s="0" t="n">
        <f aca="false">IFERROR(VALUE(R463),0)</f>
        <v>6.9</v>
      </c>
      <c r="AC463" s="0" t="n">
        <f aca="false">IFERROR(VALUE(M463),"")</f>
        <v>35.8</v>
      </c>
      <c r="AD463" s="0" t="n">
        <f aca="false">IFERROR(VALUE(Q463),"")</f>
        <v>6.2</v>
      </c>
      <c r="AE463" s="0" t="n">
        <f aca="false">IFERROR(VALUE(S463),"")</f>
        <v>12.11</v>
      </c>
      <c r="AF463" s="0" t="n">
        <f aca="false">IF(V463="","",VLOOKUP(V463,Assumptions!$B$6:$C$9,2,FALSE()))</f>
        <v>2</v>
      </c>
      <c r="AG463" s="0" t="n">
        <f aca="false">IF(W463="","",VLOOKUP(W463,Assumptions!$B$6:$C$9,2,FALSE()))</f>
        <v>2</v>
      </c>
      <c r="AH463" s="0" t="n">
        <f aca="false">IF(X463="","",VLOOKUP(X463,Assumptions!$B$6:$C$9,2,FALSE()))</f>
        <v>3</v>
      </c>
      <c r="AI463" s="0" t="n">
        <f aca="false">IF(Y463="","",VLOOKUP(Y463,Assumptions!$B$6:$C$9,2,FALSE()))</f>
        <v>4</v>
      </c>
      <c r="AJ463" s="0" t="n">
        <f aca="false">IF(Z463="","",VLOOKUP(Z463,Assumptions!$B$6:$C$9,2,FALSE()))</f>
        <v>3</v>
      </c>
      <c r="AK463" s="7" t="n">
        <f aca="false">IFERROR(ROUND(AVERAGE(AF463:AJ463),3),"")</f>
        <v>2.8</v>
      </c>
      <c r="AL463" s="7" t="n">
        <f aca="false">IF(OR(AF463="",AJ463=""),"",AJ463-AF463)</f>
        <v>1</v>
      </c>
      <c r="AM463" s="7" t="n">
        <f aca="false">IF(COUNT(AF463:AJ463)&gt;=2,ROUND(_xlfn.STDEV.S(AF463:AJ463),3),"")</f>
        <v>0.837</v>
      </c>
      <c r="AN463" s="7" t="n">
        <f aca="false">ROUND((IF(AF463="",0,AF463)*Assumptions!$F$15)+(IF(AG463="",0,AG463)*Assumptions!$F$16)+(IF(AH463="",0,AH463)*Assumptions!$F$17)+(IF(AI463="",0,AI463)*Assumptions!$F$18)+(IF(AJ463="",0,AJ463)*Assumptions!$F$19),3)</f>
        <v>3</v>
      </c>
      <c r="AO463" s="0" t="str">
        <f aca="false">IF(AC463&lt;=20,"",IF(AC463&lt;=Assumptions!$F$6,"20-30",IF(AC463&lt;=Assumptions!$F$7,"30-40",IF(AC463&lt;=Assumptions!$F$8,"40-50",IF(AC463&lt;=Assumptions!$F$9,"50-60",IF(AC463&lt;=Assumptions!$F$10,"60+",""))))))</f>
        <v>30-40</v>
      </c>
      <c r="AP463" s="0" t="str">
        <f aca="false">IFERROR(VLOOKUP(O463,Assumptions!$B$14:$C$26,2,FALSE()),"Other")</f>
        <v>Manager</v>
      </c>
      <c r="AQ463" s="0" t="n">
        <f aca="false">IF(T463="",0,1)</f>
        <v>0</v>
      </c>
      <c r="AR463" s="0" t="n">
        <f aca="false">IF(U463="",0,1)</f>
        <v>0</v>
      </c>
      <c r="AS463" s="8" t="n">
        <f aca="false">IF(AK463="","",IF(MAX($AK$2:$AK$921)=MIN($AK$2:$AK$921),50,ROUND((AK463-MIN($AK$2:$AK$921))/(MAX($AK$2:$AK$921)-MIN($AK$2:$AK$921))*100,2)))</f>
        <v>48.56</v>
      </c>
      <c r="AT463" s="8" t="n">
        <f aca="false">IF(MAX($BC$2:$BC$921)=MIN($BC$2:$BC$921),50,ROUND((BC463-MIN($BC$2:$BC$921))/(MAX($BC$2:$BC$921)-MIN($BC$2:$BC$921))*100,2))</f>
        <v>75</v>
      </c>
      <c r="AU463" s="8" t="n">
        <f aca="false">IF(MAX($BE$2:$BE$921)=MIN($BE$2:$BE$921),50,ROUND((BE463-MIN($BE$2:$BE$921))/(MAX($BE$2:$BE$921)-MIN($BE$2:$BE$921))*100,2))</f>
        <v>51.67</v>
      </c>
      <c r="AV463" s="8" t="n">
        <f aca="false">IF(MAX($AD$2:$AD$921)=MIN($AD$2:$AD$921),50,ROUND((AD463-MIN($AD$2:$AD$921))/(MAX($AD$2:$AD$921)-MIN($AD$2:$AD$921))*100,2))</f>
        <v>16.55</v>
      </c>
      <c r="AW463" s="8" t="n">
        <f aca="false">IF(MAX($AN$2:$AN$921)=MIN($AN$2:$AN$921),50,ROUND((AN463-MIN($AN$2:$AN$921))/(MAX($AN$2:$AN$921)-MIN($AN$2:$AN$921))*100,2))</f>
        <v>75</v>
      </c>
      <c r="AX463" s="8" t="n">
        <f aca="false">AQ463*100</f>
        <v>0</v>
      </c>
      <c r="AY463" s="8" t="n">
        <f aca="false">AR463*100</f>
        <v>0</v>
      </c>
      <c r="AZ463" s="8" t="n">
        <f aca="false">IFERROR(ROUND(AS463*Assumptions!$I$6+AW463*Assumptions!$I$7+AT463*Assumptions!$I$8+AU463*Assumptions!$I$9+AV463*Assumptions!$I$10+AX463*Assumptions!$I$11+AY463*Assumptions!$I$12,2),"")</f>
        <v>50.22</v>
      </c>
      <c r="BA463" s="0" t="str">
        <f aca="false">IF(AZ463="","",IF(AZ463&lt;=Assumptions!$I$18,"Below Expectation",IF(AZ463&lt;=Assumptions!$I$19,"Developing",IF(AZ463&lt;=Assumptions!$I$20,"Meets Expectation",IF(AZ463&lt;=Assumptions!$I$21,"Exceeds","Star Performer")))))</f>
        <v>Developing</v>
      </c>
      <c r="BB463" s="0" t="n">
        <f aca="false">IF(AZ463="",0,IF(AZ463&gt;=Assumptions!$I$26,1,0))</f>
        <v>0</v>
      </c>
      <c r="BC463" s="9" t="n">
        <f aca="false">IF(AL463="",2,AL463+2)</f>
        <v>3</v>
      </c>
      <c r="BD463" s="10" t="n">
        <f aca="false">IF(AM463="",ROUND(AVERAGE($AM$2:$AM$921),3),AM463)</f>
        <v>0.837</v>
      </c>
      <c r="BE463" s="9" t="n">
        <f aca="false">1-BD463</f>
        <v>0.163</v>
      </c>
    </row>
    <row r="464" customFormat="false" ht="14.25" hidden="false" customHeight="false" outlineLevel="0" collapsed="false">
      <c r="A464" s="4" t="n">
        <v>878</v>
      </c>
      <c r="B464" s="5" t="n">
        <v>55115062</v>
      </c>
      <c r="C464" s="5" t="s">
        <v>106</v>
      </c>
      <c r="D464" s="5" t="s">
        <v>1883</v>
      </c>
      <c r="E464" s="5" t="s">
        <v>108</v>
      </c>
      <c r="F464" s="5" t="s">
        <v>590</v>
      </c>
      <c r="G464" s="5" t="s">
        <v>589</v>
      </c>
      <c r="H464" s="5" t="s">
        <v>590</v>
      </c>
      <c r="I464" s="5" t="s">
        <v>63</v>
      </c>
      <c r="J464" s="5" t="s">
        <v>112</v>
      </c>
      <c r="K464" s="5" t="s">
        <v>309</v>
      </c>
      <c r="L464" s="6" t="n">
        <v>45422</v>
      </c>
      <c r="M464" s="5" t="s">
        <v>536</v>
      </c>
      <c r="N464" s="6" t="n">
        <v>36591</v>
      </c>
      <c r="O464" s="5" t="s">
        <v>1264</v>
      </c>
      <c r="P464" s="5" t="s">
        <v>1559</v>
      </c>
      <c r="Q464" s="5" t="s">
        <v>1645</v>
      </c>
      <c r="R464" s="5" t="s">
        <v>115</v>
      </c>
      <c r="S464" s="5" t="s">
        <v>1884</v>
      </c>
      <c r="T464" s="6"/>
      <c r="U464" s="6"/>
      <c r="V464" s="5"/>
      <c r="W464" s="5"/>
      <c r="X464" s="5"/>
      <c r="Y464" s="5" t="s">
        <v>141</v>
      </c>
      <c r="Z464" s="5" t="s">
        <v>83</v>
      </c>
      <c r="AA464" s="5" t="s">
        <v>1885</v>
      </c>
      <c r="AB464" s="0" t="n">
        <f aca="false">IFERROR(VALUE(R464),0)</f>
        <v>0</v>
      </c>
      <c r="AC464" s="0" t="n">
        <f aca="false">IFERROR(VALUE(M464),"")</f>
        <v>26.3</v>
      </c>
      <c r="AD464" s="0" t="n">
        <f aca="false">IFERROR(VALUE(Q464),"")</f>
        <v>2</v>
      </c>
      <c r="AE464" s="0" t="n">
        <f aca="false">IFERROR(VALUE(S464),"")</f>
        <v>2</v>
      </c>
      <c r="AF464" s="0" t="str">
        <f aca="false">IF(V464="","",VLOOKUP(V464,Assumptions!$B$6:$C$9,2,FALSE()))</f>
        <v/>
      </c>
      <c r="AG464" s="0" t="str">
        <f aca="false">IF(W464="","",VLOOKUP(W464,Assumptions!$B$6:$C$9,2,FALSE()))</f>
        <v/>
      </c>
      <c r="AH464" s="0" t="str">
        <f aca="false">IF(X464="","",VLOOKUP(X464,Assumptions!$B$6:$C$9,2,FALSE()))</f>
        <v/>
      </c>
      <c r="AI464" s="0" t="n">
        <f aca="false">IF(Y464="","",VLOOKUP(Y464,Assumptions!$B$6:$C$9,2,FALSE()))</f>
        <v>3</v>
      </c>
      <c r="AJ464" s="0" t="n">
        <f aca="false">IF(Z464="","",VLOOKUP(Z464,Assumptions!$B$6:$C$9,2,FALSE()))</f>
        <v>4</v>
      </c>
      <c r="AK464" s="7" t="n">
        <f aca="false">IFERROR(ROUND(AVERAGE(AF464:AJ464),3),"")</f>
        <v>3.5</v>
      </c>
      <c r="AL464" s="7" t="str">
        <f aca="false">IF(OR(AF464="",AJ464=""),"",AJ464-AF464)</f>
        <v/>
      </c>
      <c r="AM464" s="7" t="n">
        <f aca="false">IF(COUNT(AF464:AJ464)&gt;=2,ROUND(_xlfn.STDEV.S(AF464:AJ464),3),"")</f>
        <v>0.707</v>
      </c>
      <c r="AN464" s="7" t="n">
        <f aca="false">ROUND((IF(AF464="",0,AF464)*Assumptions!$F$15)+(IF(AG464="",0,AG464)*Assumptions!$F$16)+(IF(AH464="",0,AH464)*Assumptions!$F$17)+(IF(AI464="",0,AI464)*Assumptions!$F$18)+(IF(AJ464="",0,AJ464)*Assumptions!$F$19),3)</f>
        <v>1.95</v>
      </c>
      <c r="AO464" s="0" t="str">
        <f aca="false">IF(AC464&lt;=20,"",IF(AC464&lt;=Assumptions!$F$6,"20-30",IF(AC464&lt;=Assumptions!$F$7,"30-40",IF(AC464&lt;=Assumptions!$F$8,"40-50",IF(AC464&lt;=Assumptions!$F$9,"50-60",IF(AC464&lt;=Assumptions!$F$10,"60+",""))))))</f>
        <v>20-30</v>
      </c>
      <c r="AP464" s="0" t="str">
        <f aca="false">IFERROR(VLOOKUP(O464,Assumptions!$B$14:$C$26,2,FALSE()),"Other")</f>
        <v>Manager</v>
      </c>
      <c r="AQ464" s="0" t="n">
        <f aca="false">IF(T464="",0,1)</f>
        <v>0</v>
      </c>
      <c r="AR464" s="0" t="n">
        <f aca="false">IF(U464="",0,1)</f>
        <v>0</v>
      </c>
      <c r="AS464" s="8" t="n">
        <f aca="false">IF(AK464="","",IF(MAX($AK$2:$AK$921)=MIN($AK$2:$AK$921),50,ROUND((AK464-MIN($AK$2:$AK$921))/(MAX($AK$2:$AK$921)-MIN($AK$2:$AK$921))*100,2)))</f>
        <v>78.57</v>
      </c>
      <c r="AT464" s="8" t="n">
        <f aca="false">IF(MAX($BC$2:$BC$921)=MIN($BC$2:$BC$921),50,ROUND((BC464-MIN($BC$2:$BC$921))/(MAX($BC$2:$BC$921)-MIN($BC$2:$BC$921))*100,2))</f>
        <v>50</v>
      </c>
      <c r="AU464" s="8" t="n">
        <f aca="false">IF(MAX($BE$2:$BE$921)=MIN($BE$2:$BE$921),50,ROUND((BE464-MIN($BE$2:$BE$921))/(MAX($BE$2:$BE$921)-MIN($BE$2:$BE$921))*100,2))</f>
        <v>59.18</v>
      </c>
      <c r="AV464" s="8" t="n">
        <f aca="false">IF(MAX($AD$2:$AD$921)=MIN($AD$2:$AD$921),50,ROUND((AD464-MIN($AD$2:$AD$921))/(MAX($AD$2:$AD$921)-MIN($AD$2:$AD$921))*100,2))</f>
        <v>5.14</v>
      </c>
      <c r="AW464" s="8" t="n">
        <f aca="false">IF(MAX($AN$2:$AN$921)=MIN($AN$2:$AN$921),50,ROUND((AN464-MIN($AN$2:$AN$921))/(MAX($AN$2:$AN$921)-MIN($AN$2:$AN$921))*100,2))</f>
        <v>48.75</v>
      </c>
      <c r="AX464" s="8" t="n">
        <f aca="false">AQ464*100</f>
        <v>0</v>
      </c>
      <c r="AY464" s="8" t="n">
        <f aca="false">AR464*100</f>
        <v>0</v>
      </c>
      <c r="AZ464" s="8" t="n">
        <f aca="false">IFERROR(ROUND(AS464*Assumptions!$I$6+AW464*Assumptions!$I$7+AT464*Assumptions!$I$8+AU464*Assumptions!$I$9+AV464*Assumptions!$I$10+AX464*Assumptions!$I$11+AY464*Assumptions!$I$12,2),"")</f>
        <v>50.21</v>
      </c>
      <c r="BA464" s="0" t="str">
        <f aca="false">IF(AZ464="","",IF(AZ464&lt;=Assumptions!$I$18,"Below Expectation",IF(AZ464&lt;=Assumptions!$I$19,"Developing",IF(AZ464&lt;=Assumptions!$I$20,"Meets Expectation",IF(AZ464&lt;=Assumptions!$I$21,"Exceeds","Star Performer")))))</f>
        <v>Developing</v>
      </c>
      <c r="BB464" s="0" t="n">
        <f aca="false">IF(AZ464="",0,IF(AZ464&gt;=Assumptions!$I$26,1,0))</f>
        <v>0</v>
      </c>
      <c r="BC464" s="9" t="n">
        <f aca="false">IF(AL464="",2,AL464+2)</f>
        <v>2</v>
      </c>
      <c r="BD464" s="10" t="n">
        <f aca="false">IF(AM464="",ROUND(AVERAGE($AM$2:$AM$921),3),AM464)</f>
        <v>0.707</v>
      </c>
      <c r="BE464" s="9" t="n">
        <f aca="false">1-BD464</f>
        <v>0.293</v>
      </c>
    </row>
    <row r="465" customFormat="false" ht="14.25" hidden="false" customHeight="false" outlineLevel="0" collapsed="false">
      <c r="A465" s="4" t="n">
        <v>894</v>
      </c>
      <c r="B465" s="5" t="n">
        <v>55128265</v>
      </c>
      <c r="C465" s="5" t="s">
        <v>106</v>
      </c>
      <c r="D465" s="5" t="s">
        <v>1886</v>
      </c>
      <c r="E465" s="5" t="s">
        <v>127</v>
      </c>
      <c r="F465" s="5" t="s">
        <v>1887</v>
      </c>
      <c r="G465" s="5" t="s">
        <v>1888</v>
      </c>
      <c r="H465" s="5" t="s">
        <v>1889</v>
      </c>
      <c r="I465" s="5" t="s">
        <v>63</v>
      </c>
      <c r="J465" s="5" t="s">
        <v>112</v>
      </c>
      <c r="K465" s="5" t="s">
        <v>309</v>
      </c>
      <c r="L465" s="6" t="n">
        <v>45534</v>
      </c>
      <c r="M465" s="5" t="s">
        <v>390</v>
      </c>
      <c r="N465" s="6" t="n">
        <v>31772</v>
      </c>
      <c r="O465" s="5" t="s">
        <v>365</v>
      </c>
      <c r="P465" s="5" t="s">
        <v>365</v>
      </c>
      <c r="Q465" s="5" t="s">
        <v>1872</v>
      </c>
      <c r="R465" s="5" t="s">
        <v>341</v>
      </c>
      <c r="S465" s="5" t="s">
        <v>734</v>
      </c>
      <c r="T465" s="6"/>
      <c r="U465" s="6"/>
      <c r="V465" s="5"/>
      <c r="W465" s="5"/>
      <c r="X465" s="5"/>
      <c r="Y465" s="5" t="s">
        <v>141</v>
      </c>
      <c r="Z465" s="5" t="s">
        <v>83</v>
      </c>
      <c r="AA465" s="5" t="s">
        <v>1890</v>
      </c>
      <c r="AB465" s="0" t="n">
        <f aca="false">IFERROR(VALUE(R465),0)</f>
        <v>11.1</v>
      </c>
      <c r="AC465" s="0" t="n">
        <f aca="false">IFERROR(VALUE(M465),"")</f>
        <v>39.5</v>
      </c>
      <c r="AD465" s="0" t="n">
        <f aca="false">IFERROR(VALUE(Q465),"")</f>
        <v>1.9</v>
      </c>
      <c r="AE465" s="0" t="n">
        <f aca="false">IFERROR(VALUE(S465),"")</f>
        <v>13.7</v>
      </c>
      <c r="AF465" s="0" t="str">
        <f aca="false">IF(V465="","",VLOOKUP(V465,Assumptions!$B$6:$C$9,2,FALSE()))</f>
        <v/>
      </c>
      <c r="AG465" s="0" t="str">
        <f aca="false">IF(W465="","",VLOOKUP(W465,Assumptions!$B$6:$C$9,2,FALSE()))</f>
        <v/>
      </c>
      <c r="AH465" s="0" t="str">
        <f aca="false">IF(X465="","",VLOOKUP(X465,Assumptions!$B$6:$C$9,2,FALSE()))</f>
        <v/>
      </c>
      <c r="AI465" s="0" t="n">
        <f aca="false">IF(Y465="","",VLOOKUP(Y465,Assumptions!$B$6:$C$9,2,FALSE()))</f>
        <v>3</v>
      </c>
      <c r="AJ465" s="0" t="n">
        <f aca="false">IF(Z465="","",VLOOKUP(Z465,Assumptions!$B$6:$C$9,2,FALSE()))</f>
        <v>4</v>
      </c>
      <c r="AK465" s="7" t="n">
        <f aca="false">IFERROR(ROUND(AVERAGE(AF465:AJ465),3),"")</f>
        <v>3.5</v>
      </c>
      <c r="AL465" s="7" t="str">
        <f aca="false">IF(OR(AF465="",AJ465=""),"",AJ465-AF465)</f>
        <v/>
      </c>
      <c r="AM465" s="7" t="n">
        <f aca="false">IF(COUNT(AF465:AJ465)&gt;=2,ROUND(_xlfn.STDEV.S(AF465:AJ465),3),"")</f>
        <v>0.707</v>
      </c>
      <c r="AN465" s="7" t="n">
        <f aca="false">ROUND((IF(AF465="",0,AF465)*Assumptions!$F$15)+(IF(AG465="",0,AG465)*Assumptions!$F$16)+(IF(AH465="",0,AH465)*Assumptions!$F$17)+(IF(AI465="",0,AI465)*Assumptions!$F$18)+(IF(AJ465="",0,AJ465)*Assumptions!$F$19),3)</f>
        <v>1.95</v>
      </c>
      <c r="AO465" s="0" t="str">
        <f aca="false">IF(AC465&lt;=20,"",IF(AC465&lt;=Assumptions!$F$6,"20-30",IF(AC465&lt;=Assumptions!$F$7,"30-40",IF(AC465&lt;=Assumptions!$F$8,"40-50",IF(AC465&lt;=Assumptions!$F$9,"50-60",IF(AC465&lt;=Assumptions!$F$10,"60+",""))))))</f>
        <v>30-40</v>
      </c>
      <c r="AP465" s="0" t="str">
        <f aca="false">IFERROR(VLOOKUP(O465,Assumptions!$B$14:$C$26,2,FALSE()),"Other")</f>
        <v>Manager</v>
      </c>
      <c r="AQ465" s="0" t="n">
        <f aca="false">IF(T465="",0,1)</f>
        <v>0</v>
      </c>
      <c r="AR465" s="0" t="n">
        <f aca="false">IF(U465="",0,1)</f>
        <v>0</v>
      </c>
      <c r="AS465" s="8" t="n">
        <f aca="false">IF(AK465="","",IF(MAX($AK$2:$AK$921)=MIN($AK$2:$AK$921),50,ROUND((AK465-MIN($AK$2:$AK$921))/(MAX($AK$2:$AK$921)-MIN($AK$2:$AK$921))*100,2)))</f>
        <v>78.57</v>
      </c>
      <c r="AT465" s="8" t="n">
        <f aca="false">IF(MAX($BC$2:$BC$921)=MIN($BC$2:$BC$921),50,ROUND((BC465-MIN($BC$2:$BC$921))/(MAX($BC$2:$BC$921)-MIN($BC$2:$BC$921))*100,2))</f>
        <v>50</v>
      </c>
      <c r="AU465" s="8" t="n">
        <f aca="false">IF(MAX($BE$2:$BE$921)=MIN($BE$2:$BE$921),50,ROUND((BE465-MIN($BE$2:$BE$921))/(MAX($BE$2:$BE$921)-MIN($BE$2:$BE$921))*100,2))</f>
        <v>59.18</v>
      </c>
      <c r="AV465" s="8" t="n">
        <f aca="false">IF(MAX($AD$2:$AD$921)=MIN($AD$2:$AD$921),50,ROUND((AD465-MIN($AD$2:$AD$921))/(MAX($AD$2:$AD$921)-MIN($AD$2:$AD$921))*100,2))</f>
        <v>4.87</v>
      </c>
      <c r="AW465" s="8" t="n">
        <f aca="false">IF(MAX($AN$2:$AN$921)=MIN($AN$2:$AN$921),50,ROUND((AN465-MIN($AN$2:$AN$921))/(MAX($AN$2:$AN$921)-MIN($AN$2:$AN$921))*100,2))</f>
        <v>48.75</v>
      </c>
      <c r="AX465" s="8" t="n">
        <f aca="false">AQ465*100</f>
        <v>0</v>
      </c>
      <c r="AY465" s="8" t="n">
        <f aca="false">AR465*100</f>
        <v>0</v>
      </c>
      <c r="AZ465" s="8" t="n">
        <f aca="false">IFERROR(ROUND(AS465*Assumptions!$I$6+AW465*Assumptions!$I$7+AT465*Assumptions!$I$8+AU465*Assumptions!$I$9+AV465*Assumptions!$I$10+AX465*Assumptions!$I$11+AY465*Assumptions!$I$12,2),"")</f>
        <v>50.19</v>
      </c>
      <c r="BA465" s="0" t="str">
        <f aca="false">IF(AZ465="","",IF(AZ465&lt;=Assumptions!$I$18,"Below Expectation",IF(AZ465&lt;=Assumptions!$I$19,"Developing",IF(AZ465&lt;=Assumptions!$I$20,"Meets Expectation",IF(AZ465&lt;=Assumptions!$I$21,"Exceeds","Star Performer")))))</f>
        <v>Developing</v>
      </c>
      <c r="BB465" s="0" t="n">
        <f aca="false">IF(AZ465="",0,IF(AZ465&gt;=Assumptions!$I$26,1,0))</f>
        <v>0</v>
      </c>
      <c r="BC465" s="9" t="n">
        <f aca="false">IF(AL465="",2,AL465+2)</f>
        <v>2</v>
      </c>
      <c r="BD465" s="10" t="n">
        <f aca="false">IF(AM465="",ROUND(AVERAGE($AM$2:$AM$921),3),AM465)</f>
        <v>0.707</v>
      </c>
      <c r="BE465" s="9" t="n">
        <f aca="false">1-BD465</f>
        <v>0.293</v>
      </c>
    </row>
    <row r="466" customFormat="false" ht="14.25" hidden="true" customHeight="false" outlineLevel="0" collapsed="false">
      <c r="A466" s="4" t="n">
        <v>28</v>
      </c>
      <c r="B466" s="5" t="n">
        <v>1600401</v>
      </c>
      <c r="C466" s="5" t="s">
        <v>85</v>
      </c>
      <c r="D466" s="5" t="s">
        <v>1891</v>
      </c>
      <c r="E466" s="5" t="s">
        <v>339</v>
      </c>
      <c r="F466" s="5" t="s">
        <v>349</v>
      </c>
      <c r="G466" s="5" t="s">
        <v>350</v>
      </c>
      <c r="H466" s="5" t="s">
        <v>349</v>
      </c>
      <c r="I466" s="5" t="s">
        <v>63</v>
      </c>
      <c r="J466" s="5" t="s">
        <v>76</v>
      </c>
      <c r="K466" s="5" t="s">
        <v>65</v>
      </c>
      <c r="L466" s="6" t="n">
        <v>34442</v>
      </c>
      <c r="M466" s="5" t="s">
        <v>1892</v>
      </c>
      <c r="N466" s="6" t="n">
        <v>25065</v>
      </c>
      <c r="O466" s="5" t="s">
        <v>332</v>
      </c>
      <c r="P466" s="5" t="s">
        <v>333</v>
      </c>
      <c r="Q466" s="5" t="s">
        <v>821</v>
      </c>
      <c r="R466" s="5" t="s">
        <v>554</v>
      </c>
      <c r="S466" s="5" t="s">
        <v>713</v>
      </c>
      <c r="T466" s="6" t="n">
        <v>39173</v>
      </c>
      <c r="U466" s="6"/>
      <c r="V466" s="5" t="s">
        <v>631</v>
      </c>
      <c r="W466" s="5" t="s">
        <v>631</v>
      </c>
      <c r="X466" s="5" t="s">
        <v>141</v>
      </c>
      <c r="Y466" s="5" t="s">
        <v>631</v>
      </c>
      <c r="Z466" s="5" t="s">
        <v>631</v>
      </c>
      <c r="AA466" s="5" t="s">
        <v>1893</v>
      </c>
      <c r="AB466" s="0" t="n">
        <f aca="false">IFERROR(VALUE(R466),0)</f>
        <v>4.2</v>
      </c>
      <c r="AC466" s="0" t="n">
        <f aca="false">IFERROR(VALUE(M466),"")</f>
        <v>57.9</v>
      </c>
      <c r="AD466" s="0" t="n">
        <f aca="false">IFERROR(VALUE(Q466),"")</f>
        <v>32.1</v>
      </c>
      <c r="AE466" s="0" t="n">
        <f aca="false">IFERROR(VALUE(S466),"")</f>
        <v>36.3</v>
      </c>
      <c r="AF466" s="0" t="n">
        <f aca="false">IF(V466="","",VLOOKUP(V466,Assumptions!$B$6:$C$9,2,FALSE()))</f>
        <v>2</v>
      </c>
      <c r="AG466" s="0" t="n">
        <f aca="false">IF(W466="","",VLOOKUP(W466,Assumptions!$B$6:$C$9,2,FALSE()))</f>
        <v>2</v>
      </c>
      <c r="AH466" s="0" t="n">
        <f aca="false">IF(X466="","",VLOOKUP(X466,Assumptions!$B$6:$C$9,2,FALSE()))</f>
        <v>3</v>
      </c>
      <c r="AI466" s="0" t="n">
        <f aca="false">IF(Y466="","",VLOOKUP(Y466,Assumptions!$B$6:$C$9,2,FALSE()))</f>
        <v>2</v>
      </c>
      <c r="AJ466" s="0" t="n">
        <f aca="false">IF(Z466="","",VLOOKUP(Z466,Assumptions!$B$6:$C$9,2,FALSE()))</f>
        <v>2</v>
      </c>
      <c r="AK466" s="7" t="n">
        <f aca="false">IFERROR(ROUND(AVERAGE(AF466:AJ466),3),"")</f>
        <v>2.2</v>
      </c>
      <c r="AL466" s="7" t="n">
        <f aca="false">IF(OR(AF466="",AJ466=""),"",AJ466-AF466)</f>
        <v>0</v>
      </c>
      <c r="AM466" s="7" t="n">
        <f aca="false">IF(COUNT(AF466:AJ466)&gt;=2,ROUND(_xlfn.STDEV.S(AF466:AJ466),3),"")</f>
        <v>0.447</v>
      </c>
      <c r="AN466" s="7" t="n">
        <f aca="false">ROUND((IF(AF466="",0,AF466)*Assumptions!$F$15)+(IF(AG466="",0,AG466)*Assumptions!$F$16)+(IF(AH466="",0,AH466)*Assumptions!$F$17)+(IF(AI466="",0,AI466)*Assumptions!$F$18)+(IF(AJ466="",0,AJ466)*Assumptions!$F$19),3)</f>
        <v>2.2</v>
      </c>
      <c r="AO466" s="0" t="str">
        <f aca="false">IF(AC466&lt;=20,"",IF(AC466&lt;=Assumptions!$F$6,"20-30",IF(AC466&lt;=Assumptions!$F$7,"30-40",IF(AC466&lt;=Assumptions!$F$8,"40-50",IF(AC466&lt;=Assumptions!$F$9,"50-60",IF(AC466&lt;=Assumptions!$F$10,"60+",""))))))</f>
        <v>50-60</v>
      </c>
      <c r="AP466" s="0" t="str">
        <f aca="false">IFERROR(VLOOKUP(O466,Assumptions!$B$14:$C$26,2,FALSE()),"Other")</f>
        <v>Manager</v>
      </c>
      <c r="AQ466" s="0" t="n">
        <f aca="false">IF(T466="",0,1)</f>
        <v>1</v>
      </c>
      <c r="AR466" s="0" t="n">
        <f aca="false">IF(U466="",0,1)</f>
        <v>0</v>
      </c>
      <c r="AS466" s="8" t="n">
        <f aca="false">IF(AK466="","",IF(MAX($AK$2:$AK$921)=MIN($AK$2:$AK$921),50,ROUND((AK466-MIN($AK$2:$AK$921))/(MAX($AK$2:$AK$921)-MIN($AK$2:$AK$921))*100,2)))</f>
        <v>22.85</v>
      </c>
      <c r="AT466" s="8" t="n">
        <f aca="false">IF(MAX($BC$2:$BC$921)=MIN($BC$2:$BC$921),50,ROUND((BC466-MIN($BC$2:$BC$921))/(MAX($BC$2:$BC$921)-MIN($BC$2:$BC$921))*100,2))</f>
        <v>50</v>
      </c>
      <c r="AU466" s="8" t="n">
        <f aca="false">IF(MAX($BE$2:$BE$921)=MIN($BE$2:$BE$921),50,ROUND((BE466-MIN($BE$2:$BE$921))/(MAX($BE$2:$BE$921)-MIN($BE$2:$BE$921))*100,2))</f>
        <v>74.19</v>
      </c>
      <c r="AV466" s="8" t="n">
        <f aca="false">IF(MAX($AD$2:$AD$921)=MIN($AD$2:$AD$921),50,ROUND((AD466-MIN($AD$2:$AD$921))/(MAX($AD$2:$AD$921)-MIN($AD$2:$AD$921))*100,2))</f>
        <v>86.95</v>
      </c>
      <c r="AW466" s="8" t="n">
        <f aca="false">IF(MAX($AN$2:$AN$921)=MIN($AN$2:$AN$921),50,ROUND((AN466-MIN($AN$2:$AN$921))/(MAX($AN$2:$AN$921)-MIN($AN$2:$AN$921))*100,2))</f>
        <v>55</v>
      </c>
      <c r="AX466" s="8" t="n">
        <f aca="false">AQ466*100</f>
        <v>100</v>
      </c>
      <c r="AY466" s="8" t="n">
        <f aca="false">AR466*100</f>
        <v>0</v>
      </c>
      <c r="AZ466" s="8" t="n">
        <f aca="false">IFERROR(ROUND(AS466*Assumptions!$I$6+AW466*Assumptions!$I$7+AT466*Assumptions!$I$8+AU466*Assumptions!$I$9+AV466*Assumptions!$I$10+AX466*Assumptions!$I$11+AY466*Assumptions!$I$12,2),"")</f>
        <v>50.18</v>
      </c>
      <c r="BA466" s="0" t="str">
        <f aca="false">IF(AZ466="","",IF(AZ466&lt;=Assumptions!$I$18,"Below Expectation",IF(AZ466&lt;=Assumptions!$I$19,"Developing",IF(AZ466&lt;=Assumptions!$I$20,"Meets Expectation",IF(AZ466&lt;=Assumptions!$I$21,"Exceeds","Star Performer")))))</f>
        <v>Developing</v>
      </c>
      <c r="BB466" s="0" t="n">
        <f aca="false">IF(AZ466="",0,IF(AZ466&gt;=Assumptions!$I$26,1,0))</f>
        <v>0</v>
      </c>
      <c r="BC466" s="9" t="n">
        <f aca="false">IF(AL466="",2,AL466+2)</f>
        <v>2</v>
      </c>
      <c r="BD466" s="10" t="n">
        <f aca="false">IF(AM466="",ROUND(AVERAGE($AM$2:$AM$921),3),AM466)</f>
        <v>0.447</v>
      </c>
      <c r="BE466" s="9" t="n">
        <f aca="false">1-BD466</f>
        <v>0.553</v>
      </c>
    </row>
    <row r="467" customFormat="false" ht="14.25" hidden="false" customHeight="false" outlineLevel="0" collapsed="false">
      <c r="A467" s="4" t="n">
        <v>896</v>
      </c>
      <c r="B467" s="5" t="n">
        <v>55132868</v>
      </c>
      <c r="C467" s="5" t="s">
        <v>106</v>
      </c>
      <c r="D467" s="5" t="s">
        <v>1894</v>
      </c>
      <c r="E467" s="5" t="s">
        <v>127</v>
      </c>
      <c r="F467" s="5" t="s">
        <v>1895</v>
      </c>
      <c r="G467" s="5" t="s">
        <v>1888</v>
      </c>
      <c r="H467" s="5" t="s">
        <v>1889</v>
      </c>
      <c r="I467" s="5" t="s">
        <v>63</v>
      </c>
      <c r="J467" s="5" t="s">
        <v>112</v>
      </c>
      <c r="K467" s="5" t="s">
        <v>309</v>
      </c>
      <c r="L467" s="6" t="n">
        <v>45572</v>
      </c>
      <c r="M467" s="5" t="s">
        <v>1032</v>
      </c>
      <c r="N467" s="6" t="n">
        <v>32637</v>
      </c>
      <c r="O467" s="5" t="s">
        <v>365</v>
      </c>
      <c r="P467" s="5" t="s">
        <v>365</v>
      </c>
      <c r="Q467" s="5" t="s">
        <v>1463</v>
      </c>
      <c r="R467" s="5" t="s">
        <v>452</v>
      </c>
      <c r="S467" s="5" t="s">
        <v>318</v>
      </c>
      <c r="T467" s="6"/>
      <c r="U467" s="6"/>
      <c r="V467" s="5"/>
      <c r="W467" s="5"/>
      <c r="X467" s="5"/>
      <c r="Y467" s="5" t="s">
        <v>141</v>
      </c>
      <c r="Z467" s="5" t="s">
        <v>83</v>
      </c>
      <c r="AA467" s="5" t="s">
        <v>1896</v>
      </c>
      <c r="AB467" s="0" t="n">
        <f aca="false">IFERROR(VALUE(R467),0)</f>
        <v>8.6</v>
      </c>
      <c r="AC467" s="0" t="n">
        <f aca="false">IFERROR(VALUE(M467),"")</f>
        <v>37</v>
      </c>
      <c r="AD467" s="0" t="n">
        <f aca="false">IFERROR(VALUE(Q467),"")</f>
        <v>1.8</v>
      </c>
      <c r="AE467" s="0" t="n">
        <f aca="false">IFERROR(VALUE(S467),"")</f>
        <v>10.2</v>
      </c>
      <c r="AF467" s="0" t="str">
        <f aca="false">IF(V467="","",VLOOKUP(V467,Assumptions!$B$6:$C$9,2,FALSE()))</f>
        <v/>
      </c>
      <c r="AG467" s="0" t="str">
        <f aca="false">IF(W467="","",VLOOKUP(W467,Assumptions!$B$6:$C$9,2,FALSE()))</f>
        <v/>
      </c>
      <c r="AH467" s="0" t="str">
        <f aca="false">IF(X467="","",VLOOKUP(X467,Assumptions!$B$6:$C$9,2,FALSE()))</f>
        <v/>
      </c>
      <c r="AI467" s="0" t="n">
        <f aca="false">IF(Y467="","",VLOOKUP(Y467,Assumptions!$B$6:$C$9,2,FALSE()))</f>
        <v>3</v>
      </c>
      <c r="AJ467" s="0" t="n">
        <f aca="false">IF(Z467="","",VLOOKUP(Z467,Assumptions!$B$6:$C$9,2,FALSE()))</f>
        <v>4</v>
      </c>
      <c r="AK467" s="7" t="n">
        <f aca="false">IFERROR(ROUND(AVERAGE(AF467:AJ467),3),"")</f>
        <v>3.5</v>
      </c>
      <c r="AL467" s="7" t="str">
        <f aca="false">IF(OR(AF467="",AJ467=""),"",AJ467-AF467)</f>
        <v/>
      </c>
      <c r="AM467" s="7" t="n">
        <f aca="false">IF(COUNT(AF467:AJ467)&gt;=2,ROUND(_xlfn.STDEV.S(AF467:AJ467),3),"")</f>
        <v>0.707</v>
      </c>
      <c r="AN467" s="7" t="n">
        <f aca="false">ROUND((IF(AF467="",0,AF467)*Assumptions!$F$15)+(IF(AG467="",0,AG467)*Assumptions!$F$16)+(IF(AH467="",0,AH467)*Assumptions!$F$17)+(IF(AI467="",0,AI467)*Assumptions!$F$18)+(IF(AJ467="",0,AJ467)*Assumptions!$F$19),3)</f>
        <v>1.95</v>
      </c>
      <c r="AO467" s="0" t="str">
        <f aca="false">IF(AC467&lt;=20,"",IF(AC467&lt;=Assumptions!$F$6,"20-30",IF(AC467&lt;=Assumptions!$F$7,"30-40",IF(AC467&lt;=Assumptions!$F$8,"40-50",IF(AC467&lt;=Assumptions!$F$9,"50-60",IF(AC467&lt;=Assumptions!$F$10,"60+",""))))))</f>
        <v>30-40</v>
      </c>
      <c r="AP467" s="0" t="str">
        <f aca="false">IFERROR(VLOOKUP(O467,Assumptions!$B$14:$C$26,2,FALSE()),"Other")</f>
        <v>Manager</v>
      </c>
      <c r="AQ467" s="0" t="n">
        <f aca="false">IF(T467="",0,1)</f>
        <v>0</v>
      </c>
      <c r="AR467" s="0" t="n">
        <f aca="false">IF(U467="",0,1)</f>
        <v>0</v>
      </c>
      <c r="AS467" s="8" t="n">
        <f aca="false">IF(AK467="","",IF(MAX($AK$2:$AK$921)=MIN($AK$2:$AK$921),50,ROUND((AK467-MIN($AK$2:$AK$921))/(MAX($AK$2:$AK$921)-MIN($AK$2:$AK$921))*100,2)))</f>
        <v>78.57</v>
      </c>
      <c r="AT467" s="8" t="n">
        <f aca="false">IF(MAX($BC$2:$BC$921)=MIN($BC$2:$BC$921),50,ROUND((BC467-MIN($BC$2:$BC$921))/(MAX($BC$2:$BC$921)-MIN($BC$2:$BC$921))*100,2))</f>
        <v>50</v>
      </c>
      <c r="AU467" s="8" t="n">
        <f aca="false">IF(MAX($BE$2:$BE$921)=MIN($BE$2:$BE$921),50,ROUND((BE467-MIN($BE$2:$BE$921))/(MAX($BE$2:$BE$921)-MIN($BE$2:$BE$921))*100,2))</f>
        <v>59.18</v>
      </c>
      <c r="AV467" s="8" t="n">
        <f aca="false">IF(MAX($AD$2:$AD$921)=MIN($AD$2:$AD$921),50,ROUND((AD467-MIN($AD$2:$AD$921))/(MAX($AD$2:$AD$921)-MIN($AD$2:$AD$921))*100,2))</f>
        <v>4.59</v>
      </c>
      <c r="AW467" s="8" t="n">
        <f aca="false">IF(MAX($AN$2:$AN$921)=MIN($AN$2:$AN$921),50,ROUND((AN467-MIN($AN$2:$AN$921))/(MAX($AN$2:$AN$921)-MIN($AN$2:$AN$921))*100,2))</f>
        <v>48.75</v>
      </c>
      <c r="AX467" s="8" t="n">
        <f aca="false">AQ467*100</f>
        <v>0</v>
      </c>
      <c r="AY467" s="8" t="n">
        <f aca="false">AR467*100</f>
        <v>0</v>
      </c>
      <c r="AZ467" s="8" t="n">
        <f aca="false">IFERROR(ROUND(AS467*Assumptions!$I$6+AW467*Assumptions!$I$7+AT467*Assumptions!$I$8+AU467*Assumptions!$I$9+AV467*Assumptions!$I$10+AX467*Assumptions!$I$11+AY467*Assumptions!$I$12,2),"")</f>
        <v>50.16</v>
      </c>
      <c r="BA467" s="0" t="str">
        <f aca="false">IF(AZ467="","",IF(AZ467&lt;=Assumptions!$I$18,"Below Expectation",IF(AZ467&lt;=Assumptions!$I$19,"Developing",IF(AZ467&lt;=Assumptions!$I$20,"Meets Expectation",IF(AZ467&lt;=Assumptions!$I$21,"Exceeds","Star Performer")))))</f>
        <v>Developing</v>
      </c>
      <c r="BB467" s="0" t="n">
        <f aca="false">IF(AZ467="",0,IF(AZ467&gt;=Assumptions!$I$26,1,0))</f>
        <v>0</v>
      </c>
      <c r="BC467" s="9" t="n">
        <f aca="false">IF(AL467="",2,AL467+2)</f>
        <v>2</v>
      </c>
      <c r="BD467" s="10" t="n">
        <f aca="false">IF(AM467="",ROUND(AVERAGE($AM$2:$AM$921),3),AM467)</f>
        <v>0.707</v>
      </c>
      <c r="BE467" s="9" t="n">
        <f aca="false">1-BD467</f>
        <v>0.293</v>
      </c>
    </row>
    <row r="468" customFormat="false" ht="14.25" hidden="true" customHeight="false" outlineLevel="0" collapsed="false">
      <c r="A468" s="4" t="n">
        <v>564</v>
      </c>
      <c r="B468" s="5" t="n">
        <v>55050009</v>
      </c>
      <c r="C468" s="5" t="s">
        <v>85</v>
      </c>
      <c r="D468" s="5" t="s">
        <v>1897</v>
      </c>
      <c r="E468" s="5" t="s">
        <v>594</v>
      </c>
      <c r="F468" s="5" t="s">
        <v>1898</v>
      </c>
      <c r="G468" s="5" t="s">
        <v>1899</v>
      </c>
      <c r="H468" s="5" t="s">
        <v>1898</v>
      </c>
      <c r="I468" s="5" t="s">
        <v>63</v>
      </c>
      <c r="J468" s="5" t="s">
        <v>76</v>
      </c>
      <c r="K468" s="5" t="s">
        <v>65</v>
      </c>
      <c r="L468" s="6" t="n">
        <v>44679</v>
      </c>
      <c r="M468" s="5" t="s">
        <v>1054</v>
      </c>
      <c r="N468" s="6" t="n">
        <v>32307</v>
      </c>
      <c r="O468" s="5" t="s">
        <v>262</v>
      </c>
      <c r="P468" s="5" t="s">
        <v>263</v>
      </c>
      <c r="Q468" s="5" t="s">
        <v>1534</v>
      </c>
      <c r="R468" s="5" t="s">
        <v>1188</v>
      </c>
      <c r="S468" s="5" t="s">
        <v>1545</v>
      </c>
      <c r="T468" s="6"/>
      <c r="U468" s="6"/>
      <c r="V468" s="5"/>
      <c r="W468" s="5" t="s">
        <v>83</v>
      </c>
      <c r="X468" s="5" t="s">
        <v>141</v>
      </c>
      <c r="Y468" s="5" t="s">
        <v>631</v>
      </c>
      <c r="Z468" s="5" t="s">
        <v>83</v>
      </c>
      <c r="AA468" s="5" t="s">
        <v>1900</v>
      </c>
      <c r="AB468" s="0" t="n">
        <f aca="false">IFERROR(VALUE(R468),0)</f>
        <v>10.8</v>
      </c>
      <c r="AC468" s="0" t="n">
        <f aca="false">IFERROR(VALUE(M468),"")</f>
        <v>37.11</v>
      </c>
      <c r="AD468" s="0" t="n">
        <f aca="false">IFERROR(VALUE(Q468),"")</f>
        <v>4.1</v>
      </c>
      <c r="AE468" s="0" t="n">
        <f aca="false">IFERROR(VALUE(S468),"")</f>
        <v>14.9</v>
      </c>
      <c r="AF468" s="0" t="str">
        <f aca="false">IF(V468="","",VLOOKUP(V468,Assumptions!$B$6:$C$9,2,FALSE()))</f>
        <v/>
      </c>
      <c r="AG468" s="0" t="n">
        <f aca="false">IF(W468="","",VLOOKUP(W468,Assumptions!$B$6:$C$9,2,FALSE()))</f>
        <v>4</v>
      </c>
      <c r="AH468" s="0" t="n">
        <f aca="false">IF(X468="","",VLOOKUP(X468,Assumptions!$B$6:$C$9,2,FALSE()))</f>
        <v>3</v>
      </c>
      <c r="AI468" s="0" t="n">
        <f aca="false">IF(Y468="","",VLOOKUP(Y468,Assumptions!$B$6:$C$9,2,FALSE()))</f>
        <v>2</v>
      </c>
      <c r="AJ468" s="0" t="n">
        <f aca="false">IF(Z468="","",VLOOKUP(Z468,Assumptions!$B$6:$C$9,2,FALSE()))</f>
        <v>4</v>
      </c>
      <c r="AK468" s="7" t="n">
        <f aca="false">IFERROR(ROUND(AVERAGE(AF468:AJ468),3),"")</f>
        <v>3.25</v>
      </c>
      <c r="AL468" s="7" t="str">
        <f aca="false">IF(OR(AF468="",AJ468=""),"",AJ468-AF468)</f>
        <v/>
      </c>
      <c r="AM468" s="7" t="n">
        <f aca="false">IF(COUNT(AF468:AJ468)&gt;=2,ROUND(_xlfn.STDEV.S(AF468:AJ468),3),"")</f>
        <v>0.957</v>
      </c>
      <c r="AN468" s="7" t="n">
        <f aca="false">ROUND((IF(AF468="",0,AF468)*Assumptions!$F$15)+(IF(AG468="",0,AG468)*Assumptions!$F$16)+(IF(AH468="",0,AH468)*Assumptions!$F$17)+(IF(AI468="",0,AI468)*Assumptions!$F$18)+(IF(AJ468="",0,AJ468)*Assumptions!$F$19),3)</f>
        <v>2.9</v>
      </c>
      <c r="AO468" s="0" t="str">
        <f aca="false">IF(AC468&lt;=20,"",IF(AC468&lt;=Assumptions!$F$6,"20-30",IF(AC468&lt;=Assumptions!$F$7,"30-40",IF(AC468&lt;=Assumptions!$F$8,"40-50",IF(AC468&lt;=Assumptions!$F$9,"50-60",IF(AC468&lt;=Assumptions!$F$10,"60+",""))))))</f>
        <v>30-40</v>
      </c>
      <c r="AP468" s="0" t="str">
        <f aca="false">IFERROR(VLOOKUP(O468,Assumptions!$B$14:$C$26,2,FALSE()),"Other")</f>
        <v>Manager</v>
      </c>
      <c r="AQ468" s="0" t="n">
        <f aca="false">IF(T468="",0,1)</f>
        <v>0</v>
      </c>
      <c r="AR468" s="0" t="n">
        <f aca="false">IF(U468="",0,1)</f>
        <v>0</v>
      </c>
      <c r="AS468" s="8" t="n">
        <f aca="false">IF(AK468="","",IF(MAX($AK$2:$AK$921)=MIN($AK$2:$AK$921),50,ROUND((AK468-MIN($AK$2:$AK$921))/(MAX($AK$2:$AK$921)-MIN($AK$2:$AK$921))*100,2)))</f>
        <v>67.85</v>
      </c>
      <c r="AT468" s="8" t="n">
        <f aca="false">IF(MAX($BC$2:$BC$921)=MIN($BC$2:$BC$921),50,ROUND((BC468-MIN($BC$2:$BC$921))/(MAX($BC$2:$BC$921)-MIN($BC$2:$BC$921))*100,2))</f>
        <v>50</v>
      </c>
      <c r="AU468" s="8" t="n">
        <f aca="false">IF(MAX($BE$2:$BE$921)=MIN($BE$2:$BE$921),50,ROUND((BE468-MIN($BE$2:$BE$921))/(MAX($BE$2:$BE$921)-MIN($BE$2:$BE$921))*100,2))</f>
        <v>44.75</v>
      </c>
      <c r="AV468" s="8" t="n">
        <f aca="false">IF(MAX($AD$2:$AD$921)=MIN($AD$2:$AD$921),50,ROUND((AD468-MIN($AD$2:$AD$921))/(MAX($AD$2:$AD$921)-MIN($AD$2:$AD$921))*100,2))</f>
        <v>10.85</v>
      </c>
      <c r="AW468" s="8" t="n">
        <f aca="false">IF(MAX($AN$2:$AN$921)=MIN($AN$2:$AN$921),50,ROUND((AN468-MIN($AN$2:$AN$921))/(MAX($AN$2:$AN$921)-MIN($AN$2:$AN$921))*100,2))</f>
        <v>72.5</v>
      </c>
      <c r="AX468" s="8" t="n">
        <f aca="false">AQ468*100</f>
        <v>0</v>
      </c>
      <c r="AY468" s="8" t="n">
        <f aca="false">AR468*100</f>
        <v>0</v>
      </c>
      <c r="AZ468" s="8" t="n">
        <f aca="false">IFERROR(ROUND(AS468*Assumptions!$I$6+AW468*Assumptions!$I$7+AT468*Assumptions!$I$8+AU468*Assumptions!$I$9+AV468*Assumptions!$I$10+AX468*Assumptions!$I$11+AY468*Assumptions!$I$12,2),"")</f>
        <v>50.15</v>
      </c>
      <c r="BA468" s="0" t="str">
        <f aca="false">IF(AZ468="","",IF(AZ468&lt;=Assumptions!$I$18,"Below Expectation",IF(AZ468&lt;=Assumptions!$I$19,"Developing",IF(AZ468&lt;=Assumptions!$I$20,"Meets Expectation",IF(AZ468&lt;=Assumptions!$I$21,"Exceeds","Star Performer")))))</f>
        <v>Developing</v>
      </c>
      <c r="BB468" s="0" t="n">
        <f aca="false">IF(AZ468="",0,IF(AZ468&gt;=Assumptions!$I$26,1,0))</f>
        <v>0</v>
      </c>
      <c r="BC468" s="9" t="n">
        <f aca="false">IF(AL468="",2,AL468+2)</f>
        <v>2</v>
      </c>
      <c r="BD468" s="10" t="n">
        <f aca="false">IF(AM468="",ROUND(AVERAGE($AM$2:$AM$921),3),AM468)</f>
        <v>0.957</v>
      </c>
      <c r="BE468" s="9" t="n">
        <f aca="false">1-BD468</f>
        <v>0.043</v>
      </c>
    </row>
    <row r="469" customFormat="false" ht="14.25" hidden="true" customHeight="false" outlineLevel="0" collapsed="false">
      <c r="A469" s="4" t="n">
        <v>352</v>
      </c>
      <c r="B469" s="5" t="n">
        <v>37100499</v>
      </c>
      <c r="C469" s="5" t="s">
        <v>85</v>
      </c>
      <c r="D469" s="5" t="s">
        <v>1901</v>
      </c>
      <c r="E469" s="5" t="s">
        <v>751</v>
      </c>
      <c r="F469" s="5" t="s">
        <v>349</v>
      </c>
      <c r="G469" s="5" t="s">
        <v>350</v>
      </c>
      <c r="H469" s="5" t="s">
        <v>349</v>
      </c>
      <c r="I469" s="5" t="s">
        <v>63</v>
      </c>
      <c r="J469" s="5" t="s">
        <v>76</v>
      </c>
      <c r="K469" s="5" t="s">
        <v>65</v>
      </c>
      <c r="L469" s="6" t="n">
        <v>38964</v>
      </c>
      <c r="M469" s="5" t="s">
        <v>1902</v>
      </c>
      <c r="N469" s="6" t="n">
        <v>27274</v>
      </c>
      <c r="O469" s="5" t="s">
        <v>332</v>
      </c>
      <c r="P469" s="5" t="s">
        <v>333</v>
      </c>
      <c r="Q469" s="5" t="s">
        <v>288</v>
      </c>
      <c r="R469" s="5" t="s">
        <v>451</v>
      </c>
      <c r="S469" s="5" t="s">
        <v>1551</v>
      </c>
      <c r="T469" s="6" t="n">
        <v>41365</v>
      </c>
      <c r="U469" s="6" t="n">
        <v>39173</v>
      </c>
      <c r="V469" s="5" t="s">
        <v>141</v>
      </c>
      <c r="W469" s="5" t="s">
        <v>141</v>
      </c>
      <c r="X469" s="5" t="s">
        <v>631</v>
      </c>
      <c r="Y469" s="5" t="s">
        <v>631</v>
      </c>
      <c r="Z469" s="5" t="s">
        <v>631</v>
      </c>
      <c r="AA469" s="5" t="s">
        <v>1903</v>
      </c>
      <c r="AB469" s="0" t="n">
        <f aca="false">IFERROR(VALUE(R469),0)</f>
        <v>9</v>
      </c>
      <c r="AC469" s="0" t="n">
        <f aca="false">IFERROR(VALUE(M469),"")</f>
        <v>51.9</v>
      </c>
      <c r="AD469" s="0" t="n">
        <f aca="false">IFERROR(VALUE(Q469),"")</f>
        <v>19.9</v>
      </c>
      <c r="AE469" s="0" t="n">
        <f aca="false">IFERROR(VALUE(S469),"")</f>
        <v>28.9</v>
      </c>
      <c r="AF469" s="0" t="n">
        <f aca="false">IF(V469="","",VLOOKUP(V469,Assumptions!$B$6:$C$9,2,FALSE()))</f>
        <v>3</v>
      </c>
      <c r="AG469" s="0" t="n">
        <f aca="false">IF(W469="","",VLOOKUP(W469,Assumptions!$B$6:$C$9,2,FALSE()))</f>
        <v>3</v>
      </c>
      <c r="AH469" s="0" t="n">
        <f aca="false">IF(X469="","",VLOOKUP(X469,Assumptions!$B$6:$C$9,2,FALSE()))</f>
        <v>2</v>
      </c>
      <c r="AI469" s="0" t="n">
        <f aca="false">IF(Y469="","",VLOOKUP(Y469,Assumptions!$B$6:$C$9,2,FALSE()))</f>
        <v>2</v>
      </c>
      <c r="AJ469" s="0" t="n">
        <f aca="false">IF(Z469="","",VLOOKUP(Z469,Assumptions!$B$6:$C$9,2,FALSE()))</f>
        <v>2</v>
      </c>
      <c r="AK469" s="7" t="n">
        <f aca="false">IFERROR(ROUND(AVERAGE(AF469:AJ469),3),"")</f>
        <v>2.4</v>
      </c>
      <c r="AL469" s="7" t="n">
        <f aca="false">IF(OR(AF469="",AJ469=""),"",AJ469-AF469)</f>
        <v>-1</v>
      </c>
      <c r="AM469" s="7" t="n">
        <f aca="false">IF(COUNT(AF469:AJ469)&gt;=2,ROUND(_xlfn.STDEV.S(AF469:AJ469),3),"")</f>
        <v>0.548</v>
      </c>
      <c r="AN469" s="7" t="n">
        <f aca="false">ROUND((IF(AF469="",0,AF469)*Assumptions!$F$15)+(IF(AG469="",0,AG469)*Assumptions!$F$16)+(IF(AH469="",0,AH469)*Assumptions!$F$17)+(IF(AI469="",0,AI469)*Assumptions!$F$18)+(IF(AJ469="",0,AJ469)*Assumptions!$F$19),3)</f>
        <v>2.25</v>
      </c>
      <c r="AO469" s="0" t="str">
        <f aca="false">IF(AC469&lt;=20,"",IF(AC469&lt;=Assumptions!$F$6,"20-30",IF(AC469&lt;=Assumptions!$F$7,"30-40",IF(AC469&lt;=Assumptions!$F$8,"40-50",IF(AC469&lt;=Assumptions!$F$9,"50-60",IF(AC469&lt;=Assumptions!$F$10,"60+",""))))))</f>
        <v>50-60</v>
      </c>
      <c r="AP469" s="0" t="str">
        <f aca="false">IFERROR(VLOOKUP(O469,Assumptions!$B$14:$C$26,2,FALSE()),"Other")</f>
        <v>Manager</v>
      </c>
      <c r="AQ469" s="0" t="n">
        <f aca="false">IF(T469="",0,1)</f>
        <v>1</v>
      </c>
      <c r="AR469" s="0" t="n">
        <f aca="false">IF(U469="",0,1)</f>
        <v>1</v>
      </c>
      <c r="AS469" s="8" t="n">
        <f aca="false">IF(AK469="","",IF(MAX($AK$2:$AK$921)=MIN($AK$2:$AK$921),50,ROUND((AK469-MIN($AK$2:$AK$921))/(MAX($AK$2:$AK$921)-MIN($AK$2:$AK$921))*100,2)))</f>
        <v>31.42</v>
      </c>
      <c r="AT469" s="8" t="n">
        <f aca="false">IF(MAX($BC$2:$BC$921)=MIN($BC$2:$BC$921),50,ROUND((BC469-MIN($BC$2:$BC$921))/(MAX($BC$2:$BC$921)-MIN($BC$2:$BC$921))*100,2))</f>
        <v>25</v>
      </c>
      <c r="AU469" s="8" t="n">
        <f aca="false">IF(MAX($BE$2:$BE$921)=MIN($BE$2:$BE$921),50,ROUND((BE469-MIN($BE$2:$BE$921))/(MAX($BE$2:$BE$921)-MIN($BE$2:$BE$921))*100,2))</f>
        <v>68.36</v>
      </c>
      <c r="AV469" s="8" t="n">
        <f aca="false">IF(MAX($AD$2:$AD$921)=MIN($AD$2:$AD$921),50,ROUND((AD469-MIN($AD$2:$AD$921))/(MAX($AD$2:$AD$921)-MIN($AD$2:$AD$921))*100,2))</f>
        <v>53.79</v>
      </c>
      <c r="AW469" s="8" t="n">
        <f aca="false">IF(MAX($AN$2:$AN$921)=MIN($AN$2:$AN$921),50,ROUND((AN469-MIN($AN$2:$AN$921))/(MAX($AN$2:$AN$921)-MIN($AN$2:$AN$921))*100,2))</f>
        <v>56.25</v>
      </c>
      <c r="AX469" s="8" t="n">
        <f aca="false">AQ469*100</f>
        <v>100</v>
      </c>
      <c r="AY469" s="8" t="n">
        <f aca="false">AR469*100</f>
        <v>100</v>
      </c>
      <c r="AZ469" s="8" t="n">
        <f aca="false">IFERROR(ROUND(AS469*Assumptions!$I$6+AW469*Assumptions!$I$7+AT469*Assumptions!$I$8+AU469*Assumptions!$I$9+AV469*Assumptions!$I$10+AX469*Assumptions!$I$11+AY469*Assumptions!$I$12,2),"")</f>
        <v>50.06</v>
      </c>
      <c r="BA469" s="0" t="str">
        <f aca="false">IF(AZ469="","",IF(AZ469&lt;=Assumptions!$I$18,"Below Expectation",IF(AZ469&lt;=Assumptions!$I$19,"Developing",IF(AZ469&lt;=Assumptions!$I$20,"Meets Expectation",IF(AZ469&lt;=Assumptions!$I$21,"Exceeds","Star Performer")))))</f>
        <v>Developing</v>
      </c>
      <c r="BB469" s="0" t="n">
        <f aca="false">IF(AZ469="",0,IF(AZ469&gt;=Assumptions!$I$26,1,0))</f>
        <v>0</v>
      </c>
      <c r="BC469" s="9" t="n">
        <f aca="false">IF(AL469="",2,AL469+2)</f>
        <v>1</v>
      </c>
      <c r="BD469" s="10" t="n">
        <f aca="false">IF(AM469="",ROUND(AVERAGE($AM$2:$AM$921),3),AM469)</f>
        <v>0.548</v>
      </c>
      <c r="BE469" s="9" t="n">
        <f aca="false">1-BD469</f>
        <v>0.452</v>
      </c>
    </row>
    <row r="470" customFormat="false" ht="14.25" hidden="true" customHeight="false" outlineLevel="0" collapsed="false">
      <c r="A470" s="4" t="n">
        <v>257</v>
      </c>
      <c r="B470" s="5" t="n">
        <v>10066530</v>
      </c>
      <c r="C470" s="5" t="s">
        <v>57</v>
      </c>
      <c r="D470" s="5" t="s">
        <v>1904</v>
      </c>
      <c r="E470" s="5" t="s">
        <v>500</v>
      </c>
      <c r="F470" s="5" t="s">
        <v>608</v>
      </c>
      <c r="G470" s="5" t="s">
        <v>609</v>
      </c>
      <c r="H470" s="5" t="s">
        <v>608</v>
      </c>
      <c r="I470" s="5" t="s">
        <v>63</v>
      </c>
      <c r="J470" s="5" t="s">
        <v>100</v>
      </c>
      <c r="K470" s="5" t="s">
        <v>389</v>
      </c>
      <c r="L470" s="6" t="n">
        <v>43451</v>
      </c>
      <c r="M470" s="5" t="s">
        <v>1673</v>
      </c>
      <c r="N470" s="6" t="n">
        <v>30062</v>
      </c>
      <c r="O470" s="5" t="s">
        <v>365</v>
      </c>
      <c r="P470" s="5" t="s">
        <v>365</v>
      </c>
      <c r="Q470" s="5" t="s">
        <v>847</v>
      </c>
      <c r="R470" s="5" t="s">
        <v>1467</v>
      </c>
      <c r="S470" s="5" t="s">
        <v>1646</v>
      </c>
      <c r="T470" s="6"/>
      <c r="U470" s="6"/>
      <c r="V470" s="5" t="s">
        <v>141</v>
      </c>
      <c r="W470" s="5" t="s">
        <v>83</v>
      </c>
      <c r="X470" s="5" t="s">
        <v>141</v>
      </c>
      <c r="Y470" s="5" t="s">
        <v>631</v>
      </c>
      <c r="Z470" s="5" t="s">
        <v>141</v>
      </c>
      <c r="AA470" s="5" t="s">
        <v>1905</v>
      </c>
      <c r="AB470" s="0" t="n">
        <f aca="false">IFERROR(VALUE(R470),0)</f>
        <v>10.4</v>
      </c>
      <c r="AC470" s="0" t="n">
        <f aca="false">IFERROR(VALUE(M470),"")</f>
        <v>44.1</v>
      </c>
      <c r="AD470" s="0" t="n">
        <f aca="false">IFERROR(VALUE(Q470),"")</f>
        <v>7.5</v>
      </c>
      <c r="AE470" s="0" t="n">
        <f aca="false">IFERROR(VALUE(S470),"")</f>
        <v>17.9</v>
      </c>
      <c r="AF470" s="0" t="n">
        <f aca="false">IF(V470="","",VLOOKUP(V470,Assumptions!$B$6:$C$9,2,FALSE()))</f>
        <v>3</v>
      </c>
      <c r="AG470" s="0" t="n">
        <f aca="false">IF(W470="","",VLOOKUP(W470,Assumptions!$B$6:$C$9,2,FALSE()))</f>
        <v>4</v>
      </c>
      <c r="AH470" s="0" t="n">
        <f aca="false">IF(X470="","",VLOOKUP(X470,Assumptions!$B$6:$C$9,2,FALSE()))</f>
        <v>3</v>
      </c>
      <c r="AI470" s="0" t="n">
        <f aca="false">IF(Y470="","",VLOOKUP(Y470,Assumptions!$B$6:$C$9,2,FALSE()))</f>
        <v>2</v>
      </c>
      <c r="AJ470" s="0" t="n">
        <f aca="false">IF(Z470="","",VLOOKUP(Z470,Assumptions!$B$6:$C$9,2,FALSE()))</f>
        <v>3</v>
      </c>
      <c r="AK470" s="7" t="n">
        <f aca="false">IFERROR(ROUND(AVERAGE(AF470:AJ470),3),"")</f>
        <v>3</v>
      </c>
      <c r="AL470" s="7" t="n">
        <f aca="false">IF(OR(AF470="",AJ470=""),"",AJ470-AF470)</f>
        <v>0</v>
      </c>
      <c r="AM470" s="7" t="n">
        <f aca="false">IF(COUNT(AF470:AJ470)&gt;=2,ROUND(_xlfn.STDEV.S(AF470:AJ470),3),"")</f>
        <v>0.707</v>
      </c>
      <c r="AN470" s="7" t="n">
        <f aca="false">ROUND((IF(AF470="",0,AF470)*Assumptions!$F$15)+(IF(AG470="",0,AG470)*Assumptions!$F$16)+(IF(AH470="",0,AH470)*Assumptions!$F$17)+(IF(AI470="",0,AI470)*Assumptions!$F$18)+(IF(AJ470="",0,AJ470)*Assumptions!$F$19),3)</f>
        <v>2.9</v>
      </c>
      <c r="AO470" s="0" t="str">
        <f aca="false">IF(AC470&lt;=20,"",IF(AC470&lt;=Assumptions!$F$6,"20-30",IF(AC470&lt;=Assumptions!$F$7,"30-40",IF(AC470&lt;=Assumptions!$F$8,"40-50",IF(AC470&lt;=Assumptions!$F$9,"50-60",IF(AC470&lt;=Assumptions!$F$10,"60+",""))))))</f>
        <v>40-50</v>
      </c>
      <c r="AP470" s="0" t="str">
        <f aca="false">IFERROR(VLOOKUP(O470,Assumptions!$B$14:$C$26,2,FALSE()),"Other")</f>
        <v>Manager</v>
      </c>
      <c r="AQ470" s="0" t="n">
        <f aca="false">IF(T470="",0,1)</f>
        <v>0</v>
      </c>
      <c r="AR470" s="0" t="n">
        <f aca="false">IF(U470="",0,1)</f>
        <v>0</v>
      </c>
      <c r="AS470" s="8" t="n">
        <f aca="false">IF(AK470="","",IF(MAX($AK$2:$AK$921)=MIN($AK$2:$AK$921),50,ROUND((AK470-MIN($AK$2:$AK$921))/(MAX($AK$2:$AK$921)-MIN($AK$2:$AK$921))*100,2)))</f>
        <v>57.14</v>
      </c>
      <c r="AT470" s="8" t="n">
        <f aca="false">IF(MAX($BC$2:$BC$921)=MIN($BC$2:$BC$921),50,ROUND((BC470-MIN($BC$2:$BC$921))/(MAX($BC$2:$BC$921)-MIN($BC$2:$BC$921))*100,2))</f>
        <v>50</v>
      </c>
      <c r="AU470" s="8" t="n">
        <f aca="false">IF(MAX($BE$2:$BE$921)=MIN($BE$2:$BE$921),50,ROUND((BE470-MIN($BE$2:$BE$921))/(MAX($BE$2:$BE$921)-MIN($BE$2:$BE$921))*100,2))</f>
        <v>59.18</v>
      </c>
      <c r="AV470" s="8" t="n">
        <f aca="false">IF(MAX($AD$2:$AD$921)=MIN($AD$2:$AD$921),50,ROUND((AD470-MIN($AD$2:$AD$921))/(MAX($AD$2:$AD$921)-MIN($AD$2:$AD$921))*100,2))</f>
        <v>20.09</v>
      </c>
      <c r="AW470" s="8" t="n">
        <f aca="false">IF(MAX($AN$2:$AN$921)=MIN($AN$2:$AN$921),50,ROUND((AN470-MIN($AN$2:$AN$921))/(MAX($AN$2:$AN$921)-MIN($AN$2:$AN$921))*100,2))</f>
        <v>72.5</v>
      </c>
      <c r="AX470" s="8" t="n">
        <f aca="false">AQ470*100</f>
        <v>0</v>
      </c>
      <c r="AY470" s="8" t="n">
        <f aca="false">AR470*100</f>
        <v>0</v>
      </c>
      <c r="AZ470" s="8" t="n">
        <f aca="false">IFERROR(ROUND(AS470*Assumptions!$I$6+AW470*Assumptions!$I$7+AT470*Assumptions!$I$8+AU470*Assumptions!$I$9+AV470*Assumptions!$I$10+AX470*Assumptions!$I$11+AY470*Assumptions!$I$12,2),"")</f>
        <v>50.03</v>
      </c>
      <c r="BA470" s="0" t="str">
        <f aca="false">IF(AZ470="","",IF(AZ470&lt;=Assumptions!$I$18,"Below Expectation",IF(AZ470&lt;=Assumptions!$I$19,"Developing",IF(AZ470&lt;=Assumptions!$I$20,"Meets Expectation",IF(AZ470&lt;=Assumptions!$I$21,"Exceeds","Star Performer")))))</f>
        <v>Developing</v>
      </c>
      <c r="BB470" s="0" t="n">
        <f aca="false">IF(AZ470="",0,IF(AZ470&gt;=Assumptions!$I$26,1,0))</f>
        <v>0</v>
      </c>
      <c r="BC470" s="9" t="n">
        <f aca="false">IF(AL470="",2,AL470+2)</f>
        <v>2</v>
      </c>
      <c r="BD470" s="10" t="n">
        <f aca="false">IF(AM470="",ROUND(AVERAGE($AM$2:$AM$921),3),AM470)</f>
        <v>0.707</v>
      </c>
      <c r="BE470" s="9" t="n">
        <f aca="false">1-BD470</f>
        <v>0.293</v>
      </c>
    </row>
    <row r="471" customFormat="false" ht="14.25" hidden="true" customHeight="false" outlineLevel="0" collapsed="false">
      <c r="A471" s="4" t="n">
        <v>889</v>
      </c>
      <c r="B471" s="5" t="n">
        <v>55121594</v>
      </c>
      <c r="C471" s="5" t="s">
        <v>57</v>
      </c>
      <c r="D471" s="5" t="s">
        <v>1906</v>
      </c>
      <c r="E471" s="5" t="s">
        <v>607</v>
      </c>
      <c r="F471" s="5" t="s">
        <v>387</v>
      </c>
      <c r="G471" s="5" t="s">
        <v>388</v>
      </c>
      <c r="H471" s="5" t="s">
        <v>387</v>
      </c>
      <c r="I471" s="5" t="s">
        <v>63</v>
      </c>
      <c r="J471" s="5" t="s">
        <v>100</v>
      </c>
      <c r="K471" s="5" t="s">
        <v>65</v>
      </c>
      <c r="L471" s="6" t="n">
        <v>45477</v>
      </c>
      <c r="M471" s="5" t="s">
        <v>1582</v>
      </c>
      <c r="N471" s="6" t="n">
        <v>33202</v>
      </c>
      <c r="O471" s="5" t="s">
        <v>332</v>
      </c>
      <c r="P471" s="5" t="s">
        <v>333</v>
      </c>
      <c r="Q471" s="5" t="s">
        <v>204</v>
      </c>
      <c r="R471" s="5" t="s">
        <v>1396</v>
      </c>
      <c r="S471" s="5" t="s">
        <v>1359</v>
      </c>
      <c r="T471" s="6"/>
      <c r="U471" s="6"/>
      <c r="V471" s="5"/>
      <c r="W471" s="5"/>
      <c r="X471" s="5"/>
      <c r="Y471" s="5" t="s">
        <v>141</v>
      </c>
      <c r="Z471" s="5" t="s">
        <v>83</v>
      </c>
      <c r="AA471" s="5" t="s">
        <v>1574</v>
      </c>
      <c r="AB471" s="0" t="n">
        <f aca="false">IFERROR(VALUE(R471),0)</f>
        <v>11.5</v>
      </c>
      <c r="AC471" s="0" t="n">
        <f aca="false">IFERROR(VALUE(M471),"")</f>
        <v>35.6</v>
      </c>
      <c r="AD471" s="0" t="n">
        <f aca="false">IFERROR(VALUE(Q471),"")</f>
        <v>1.11</v>
      </c>
      <c r="AE471" s="0" t="n">
        <f aca="false">IFERROR(VALUE(S471),"")</f>
        <v>13.4</v>
      </c>
      <c r="AF471" s="0" t="str">
        <f aca="false">IF(V471="","",VLOOKUP(V471,Assumptions!$B$6:$C$9,2,FALSE()))</f>
        <v/>
      </c>
      <c r="AG471" s="0" t="str">
        <f aca="false">IF(W471="","",VLOOKUP(W471,Assumptions!$B$6:$C$9,2,FALSE()))</f>
        <v/>
      </c>
      <c r="AH471" s="0" t="str">
        <f aca="false">IF(X471="","",VLOOKUP(X471,Assumptions!$B$6:$C$9,2,FALSE()))</f>
        <v/>
      </c>
      <c r="AI471" s="0" t="n">
        <f aca="false">IF(Y471="","",VLOOKUP(Y471,Assumptions!$B$6:$C$9,2,FALSE()))</f>
        <v>3</v>
      </c>
      <c r="AJ471" s="0" t="n">
        <f aca="false">IF(Z471="","",VLOOKUP(Z471,Assumptions!$B$6:$C$9,2,FALSE()))</f>
        <v>4</v>
      </c>
      <c r="AK471" s="7" t="n">
        <f aca="false">IFERROR(ROUND(AVERAGE(AF471:AJ471),3),"")</f>
        <v>3.5</v>
      </c>
      <c r="AL471" s="7" t="str">
        <f aca="false">IF(OR(AF471="",AJ471=""),"",AJ471-AF471)</f>
        <v/>
      </c>
      <c r="AM471" s="7" t="n">
        <f aca="false">IF(COUNT(AF471:AJ471)&gt;=2,ROUND(_xlfn.STDEV.S(AF471:AJ471),3),"")</f>
        <v>0.707</v>
      </c>
      <c r="AN471" s="7" t="n">
        <f aca="false">ROUND((IF(AF471="",0,AF471)*Assumptions!$F$15)+(IF(AG471="",0,AG471)*Assumptions!$F$16)+(IF(AH471="",0,AH471)*Assumptions!$F$17)+(IF(AI471="",0,AI471)*Assumptions!$F$18)+(IF(AJ471="",0,AJ471)*Assumptions!$F$19),3)</f>
        <v>1.95</v>
      </c>
      <c r="AO471" s="0" t="str">
        <f aca="false">IF(AC471&lt;=20,"",IF(AC471&lt;=Assumptions!$F$6,"20-30",IF(AC471&lt;=Assumptions!$F$7,"30-40",IF(AC471&lt;=Assumptions!$F$8,"40-50",IF(AC471&lt;=Assumptions!$F$9,"50-60",IF(AC471&lt;=Assumptions!$F$10,"60+",""))))))</f>
        <v>30-40</v>
      </c>
      <c r="AP471" s="0" t="str">
        <f aca="false">IFERROR(VLOOKUP(O471,Assumptions!$B$14:$C$26,2,FALSE()),"Other")</f>
        <v>Manager</v>
      </c>
      <c r="AQ471" s="0" t="n">
        <f aca="false">IF(T471="",0,1)</f>
        <v>0</v>
      </c>
      <c r="AR471" s="0" t="n">
        <f aca="false">IF(U471="",0,1)</f>
        <v>0</v>
      </c>
      <c r="AS471" s="8" t="n">
        <f aca="false">IF(AK471="","",IF(MAX($AK$2:$AK$921)=MIN($AK$2:$AK$921),50,ROUND((AK471-MIN($AK$2:$AK$921))/(MAX($AK$2:$AK$921)-MIN($AK$2:$AK$921))*100,2)))</f>
        <v>78.57</v>
      </c>
      <c r="AT471" s="8" t="n">
        <f aca="false">IF(MAX($BC$2:$BC$921)=MIN($BC$2:$BC$921),50,ROUND((BC471-MIN($BC$2:$BC$921))/(MAX($BC$2:$BC$921)-MIN($BC$2:$BC$921))*100,2))</f>
        <v>50</v>
      </c>
      <c r="AU471" s="8" t="n">
        <f aca="false">IF(MAX($BE$2:$BE$921)=MIN($BE$2:$BE$921),50,ROUND((BE471-MIN($BE$2:$BE$921))/(MAX($BE$2:$BE$921)-MIN($BE$2:$BE$921))*100,2))</f>
        <v>59.18</v>
      </c>
      <c r="AV471" s="8" t="n">
        <f aca="false">IF(MAX($AD$2:$AD$921)=MIN($AD$2:$AD$921),50,ROUND((AD471-MIN($AD$2:$AD$921))/(MAX($AD$2:$AD$921)-MIN($AD$2:$AD$921))*100,2))</f>
        <v>2.72</v>
      </c>
      <c r="AW471" s="8" t="n">
        <f aca="false">IF(MAX($AN$2:$AN$921)=MIN($AN$2:$AN$921),50,ROUND((AN471-MIN($AN$2:$AN$921))/(MAX($AN$2:$AN$921)-MIN($AN$2:$AN$921))*100,2))</f>
        <v>48.75</v>
      </c>
      <c r="AX471" s="8" t="n">
        <f aca="false">AQ471*100</f>
        <v>0</v>
      </c>
      <c r="AY471" s="8" t="n">
        <f aca="false">AR471*100</f>
        <v>0</v>
      </c>
      <c r="AZ471" s="8" t="n">
        <f aca="false">IFERROR(ROUND(AS471*Assumptions!$I$6+AW471*Assumptions!$I$7+AT471*Assumptions!$I$8+AU471*Assumptions!$I$9+AV471*Assumptions!$I$10+AX471*Assumptions!$I$11+AY471*Assumptions!$I$12,2),"")</f>
        <v>49.97</v>
      </c>
      <c r="BA471" s="0" t="str">
        <f aca="false">IF(AZ471="","",IF(AZ471&lt;=Assumptions!$I$18,"Below Expectation",IF(AZ471&lt;=Assumptions!$I$19,"Developing",IF(AZ471&lt;=Assumptions!$I$20,"Meets Expectation",IF(AZ471&lt;=Assumptions!$I$21,"Exceeds","Star Performer")))))</f>
        <v>Developing</v>
      </c>
      <c r="BB471" s="0" t="n">
        <f aca="false">IF(AZ471="",0,IF(AZ471&gt;=Assumptions!$I$26,1,0))</f>
        <v>0</v>
      </c>
      <c r="BC471" s="9" t="n">
        <f aca="false">IF(AL471="",2,AL471+2)</f>
        <v>2</v>
      </c>
      <c r="BD471" s="10" t="n">
        <f aca="false">IF(AM471="",ROUND(AVERAGE($AM$2:$AM$921),3),AM471)</f>
        <v>0.707</v>
      </c>
      <c r="BE471" s="9" t="n">
        <f aca="false">1-BD471</f>
        <v>0.293</v>
      </c>
    </row>
    <row r="472" customFormat="false" ht="14.25" hidden="false" customHeight="false" outlineLevel="0" collapsed="false">
      <c r="A472" s="4" t="n">
        <v>881</v>
      </c>
      <c r="B472" s="5" t="n">
        <v>55115540</v>
      </c>
      <c r="C472" s="5" t="s">
        <v>106</v>
      </c>
      <c r="D472" s="5" t="s">
        <v>1907</v>
      </c>
      <c r="E472" s="5" t="s">
        <v>108</v>
      </c>
      <c r="F472" s="5" t="s">
        <v>590</v>
      </c>
      <c r="G472" s="5" t="s">
        <v>589</v>
      </c>
      <c r="H472" s="5" t="s">
        <v>590</v>
      </c>
      <c r="I472" s="5" t="s">
        <v>63</v>
      </c>
      <c r="J472" s="5" t="s">
        <v>112</v>
      </c>
      <c r="K472" s="5" t="s">
        <v>309</v>
      </c>
      <c r="L472" s="6" t="n">
        <v>45426</v>
      </c>
      <c r="M472" s="5" t="s">
        <v>1908</v>
      </c>
      <c r="N472" s="6" t="n">
        <v>37014</v>
      </c>
      <c r="O472" s="5" t="s">
        <v>1264</v>
      </c>
      <c r="P472" s="5" t="s">
        <v>1559</v>
      </c>
      <c r="Q472" s="5" t="s">
        <v>1645</v>
      </c>
      <c r="R472" s="5" t="s">
        <v>115</v>
      </c>
      <c r="S472" s="5" t="s">
        <v>1884</v>
      </c>
      <c r="T472" s="6"/>
      <c r="U472" s="6"/>
      <c r="V472" s="5"/>
      <c r="W472" s="5"/>
      <c r="X472" s="5"/>
      <c r="Y472" s="5" t="s">
        <v>83</v>
      </c>
      <c r="Z472" s="5" t="s">
        <v>141</v>
      </c>
      <c r="AA472" s="5" t="s">
        <v>1909</v>
      </c>
      <c r="AB472" s="0" t="n">
        <f aca="false">IFERROR(VALUE(R472),0)</f>
        <v>0</v>
      </c>
      <c r="AC472" s="0" t="n">
        <f aca="false">IFERROR(VALUE(M472),"")</f>
        <v>25.1</v>
      </c>
      <c r="AD472" s="0" t="n">
        <f aca="false">IFERROR(VALUE(Q472),"")</f>
        <v>2</v>
      </c>
      <c r="AE472" s="0" t="n">
        <f aca="false">IFERROR(VALUE(S472),"")</f>
        <v>2</v>
      </c>
      <c r="AF472" s="0" t="str">
        <f aca="false">IF(V472="","",VLOOKUP(V472,Assumptions!$B$6:$C$9,2,FALSE()))</f>
        <v/>
      </c>
      <c r="AG472" s="0" t="str">
        <f aca="false">IF(W472="","",VLOOKUP(W472,Assumptions!$B$6:$C$9,2,FALSE()))</f>
        <v/>
      </c>
      <c r="AH472" s="0" t="str">
        <f aca="false">IF(X472="","",VLOOKUP(X472,Assumptions!$B$6:$C$9,2,FALSE()))</f>
        <v/>
      </c>
      <c r="AI472" s="0" t="n">
        <f aca="false">IF(Y472="","",VLOOKUP(Y472,Assumptions!$B$6:$C$9,2,FALSE()))</f>
        <v>4</v>
      </c>
      <c r="AJ472" s="0" t="n">
        <f aca="false">IF(Z472="","",VLOOKUP(Z472,Assumptions!$B$6:$C$9,2,FALSE()))</f>
        <v>3</v>
      </c>
      <c r="AK472" s="7" t="n">
        <f aca="false">IFERROR(ROUND(AVERAGE(AF472:AJ472),3),"")</f>
        <v>3.5</v>
      </c>
      <c r="AL472" s="7" t="str">
        <f aca="false">IF(OR(AF472="",AJ472=""),"",AJ472-AF472)</f>
        <v/>
      </c>
      <c r="AM472" s="7" t="n">
        <f aca="false">IF(COUNT(AF472:AJ472)&gt;=2,ROUND(_xlfn.STDEV.S(AF472:AJ472),3),"")</f>
        <v>0.707</v>
      </c>
      <c r="AN472" s="7" t="n">
        <f aca="false">ROUND((IF(AF472="",0,AF472)*Assumptions!$F$15)+(IF(AG472="",0,AG472)*Assumptions!$F$16)+(IF(AH472="",0,AH472)*Assumptions!$F$17)+(IF(AI472="",0,AI472)*Assumptions!$F$18)+(IF(AJ472="",0,AJ472)*Assumptions!$F$19),3)</f>
        <v>1.9</v>
      </c>
      <c r="AO472" s="0" t="str">
        <f aca="false">IF(AC472&lt;=20,"",IF(AC472&lt;=Assumptions!$F$6,"20-30",IF(AC472&lt;=Assumptions!$F$7,"30-40",IF(AC472&lt;=Assumptions!$F$8,"40-50",IF(AC472&lt;=Assumptions!$F$9,"50-60",IF(AC472&lt;=Assumptions!$F$10,"60+",""))))))</f>
        <v>20-30</v>
      </c>
      <c r="AP472" s="0" t="str">
        <f aca="false">IFERROR(VLOOKUP(O472,Assumptions!$B$14:$C$26,2,FALSE()),"Other")</f>
        <v>Manager</v>
      </c>
      <c r="AQ472" s="0" t="n">
        <f aca="false">IF(T472="",0,1)</f>
        <v>0</v>
      </c>
      <c r="AR472" s="0" t="n">
        <f aca="false">IF(U472="",0,1)</f>
        <v>0</v>
      </c>
      <c r="AS472" s="8" t="n">
        <f aca="false">IF(AK472="","",IF(MAX($AK$2:$AK$921)=MIN($AK$2:$AK$921),50,ROUND((AK472-MIN($AK$2:$AK$921))/(MAX($AK$2:$AK$921)-MIN($AK$2:$AK$921))*100,2)))</f>
        <v>78.57</v>
      </c>
      <c r="AT472" s="8" t="n">
        <f aca="false">IF(MAX($BC$2:$BC$921)=MIN($BC$2:$BC$921),50,ROUND((BC472-MIN($BC$2:$BC$921))/(MAX($BC$2:$BC$921)-MIN($BC$2:$BC$921))*100,2))</f>
        <v>50</v>
      </c>
      <c r="AU472" s="8" t="n">
        <f aca="false">IF(MAX($BE$2:$BE$921)=MIN($BE$2:$BE$921),50,ROUND((BE472-MIN($BE$2:$BE$921))/(MAX($BE$2:$BE$921)-MIN($BE$2:$BE$921))*100,2))</f>
        <v>59.18</v>
      </c>
      <c r="AV472" s="8" t="n">
        <f aca="false">IF(MAX($AD$2:$AD$921)=MIN($AD$2:$AD$921),50,ROUND((AD472-MIN($AD$2:$AD$921))/(MAX($AD$2:$AD$921)-MIN($AD$2:$AD$921))*100,2))</f>
        <v>5.14</v>
      </c>
      <c r="AW472" s="8" t="n">
        <f aca="false">IF(MAX($AN$2:$AN$921)=MIN($AN$2:$AN$921),50,ROUND((AN472-MIN($AN$2:$AN$921))/(MAX($AN$2:$AN$921)-MIN($AN$2:$AN$921))*100,2))</f>
        <v>47.5</v>
      </c>
      <c r="AX472" s="8" t="n">
        <f aca="false">AQ472*100</f>
        <v>0</v>
      </c>
      <c r="AY472" s="8" t="n">
        <f aca="false">AR472*100</f>
        <v>0</v>
      </c>
      <c r="AZ472" s="8" t="n">
        <f aca="false">IFERROR(ROUND(AS472*Assumptions!$I$6+AW472*Assumptions!$I$7+AT472*Assumptions!$I$8+AU472*Assumptions!$I$9+AV472*Assumptions!$I$10+AX472*Assumptions!$I$11+AY472*Assumptions!$I$12,2),"")</f>
        <v>49.96</v>
      </c>
      <c r="BA472" s="0" t="str">
        <f aca="false">IF(AZ472="","",IF(AZ472&lt;=Assumptions!$I$18,"Below Expectation",IF(AZ472&lt;=Assumptions!$I$19,"Developing",IF(AZ472&lt;=Assumptions!$I$20,"Meets Expectation",IF(AZ472&lt;=Assumptions!$I$21,"Exceeds","Star Performer")))))</f>
        <v>Developing</v>
      </c>
      <c r="BB472" s="0" t="n">
        <f aca="false">IF(AZ472="",0,IF(AZ472&gt;=Assumptions!$I$26,1,0))</f>
        <v>0</v>
      </c>
      <c r="BC472" s="9" t="n">
        <f aca="false">IF(AL472="",2,AL472+2)</f>
        <v>2</v>
      </c>
      <c r="BD472" s="10" t="n">
        <f aca="false">IF(AM472="",ROUND(AVERAGE($AM$2:$AM$921),3),AM472)</f>
        <v>0.707</v>
      </c>
      <c r="BE472" s="9" t="n">
        <f aca="false">1-BD472</f>
        <v>0.293</v>
      </c>
    </row>
    <row r="473" customFormat="false" ht="14.25" hidden="true" customHeight="false" outlineLevel="0" collapsed="false">
      <c r="A473" s="4" t="n">
        <v>245</v>
      </c>
      <c r="B473" s="5" t="n">
        <v>10063850</v>
      </c>
      <c r="C473" s="5" t="s">
        <v>149</v>
      </c>
      <c r="D473" s="5" t="s">
        <v>1910</v>
      </c>
      <c r="E473" s="5" t="s">
        <v>919</v>
      </c>
      <c r="F473" s="5" t="s">
        <v>422</v>
      </c>
      <c r="G473" s="5" t="s">
        <v>423</v>
      </c>
      <c r="H473" s="5" t="s">
        <v>424</v>
      </c>
      <c r="I473" s="5" t="s">
        <v>63</v>
      </c>
      <c r="J473" s="5" t="s">
        <v>100</v>
      </c>
      <c r="K473" s="5" t="s">
        <v>65</v>
      </c>
      <c r="L473" s="6" t="n">
        <v>43283</v>
      </c>
      <c r="M473" s="5" t="s">
        <v>610</v>
      </c>
      <c r="N473" s="6" t="n">
        <v>32832</v>
      </c>
      <c r="O473" s="5" t="s">
        <v>332</v>
      </c>
      <c r="P473" s="5" t="s">
        <v>333</v>
      </c>
      <c r="Q473" s="5" t="s">
        <v>1830</v>
      </c>
      <c r="R473" s="5" t="s">
        <v>591</v>
      </c>
      <c r="S473" s="5" t="s">
        <v>240</v>
      </c>
      <c r="T473" s="6"/>
      <c r="U473" s="6" t="n">
        <v>44440</v>
      </c>
      <c r="V473" s="5" t="s">
        <v>141</v>
      </c>
      <c r="W473" s="5" t="s">
        <v>141</v>
      </c>
      <c r="X473" s="5" t="s">
        <v>141</v>
      </c>
      <c r="Y473" s="5" t="s">
        <v>141</v>
      </c>
      <c r="Z473" s="5" t="s">
        <v>631</v>
      </c>
      <c r="AA473" s="5" t="s">
        <v>993</v>
      </c>
      <c r="AB473" s="0" t="n">
        <f aca="false">IFERROR(VALUE(R473),0)</f>
        <v>3.1</v>
      </c>
      <c r="AC473" s="0" t="n">
        <f aca="false">IFERROR(VALUE(M473),"")</f>
        <v>36.6</v>
      </c>
      <c r="AD473" s="0" t="n">
        <f aca="false">IFERROR(VALUE(Q473),"")</f>
        <v>7.11</v>
      </c>
      <c r="AE473" s="0" t="n">
        <f aca="false">IFERROR(VALUE(S473),"")</f>
        <v>11.9</v>
      </c>
      <c r="AF473" s="0" t="n">
        <f aca="false">IF(V473="","",VLOOKUP(V473,Assumptions!$B$6:$C$9,2,FALSE()))</f>
        <v>3</v>
      </c>
      <c r="AG473" s="0" t="n">
        <f aca="false">IF(W473="","",VLOOKUP(W473,Assumptions!$B$6:$C$9,2,FALSE()))</f>
        <v>3</v>
      </c>
      <c r="AH473" s="0" t="n">
        <f aca="false">IF(X473="","",VLOOKUP(X473,Assumptions!$B$6:$C$9,2,FALSE()))</f>
        <v>3</v>
      </c>
      <c r="AI473" s="0" t="n">
        <f aca="false">IF(Y473="","",VLOOKUP(Y473,Assumptions!$B$6:$C$9,2,FALSE()))</f>
        <v>3</v>
      </c>
      <c r="AJ473" s="0" t="n">
        <f aca="false">IF(Z473="","",VLOOKUP(Z473,Assumptions!$B$6:$C$9,2,FALSE()))</f>
        <v>2</v>
      </c>
      <c r="AK473" s="7" t="n">
        <f aca="false">IFERROR(ROUND(AVERAGE(AF473:AJ473),3),"")</f>
        <v>2.8</v>
      </c>
      <c r="AL473" s="7" t="n">
        <f aca="false">IF(OR(AF473="",AJ473=""),"",AJ473-AF473)</f>
        <v>-1</v>
      </c>
      <c r="AM473" s="7" t="n">
        <f aca="false">IF(COUNT(AF473:AJ473)&gt;=2,ROUND(_xlfn.STDEV.S(AF473:AJ473),3),"")</f>
        <v>0.447</v>
      </c>
      <c r="AN473" s="7" t="n">
        <f aca="false">ROUND((IF(AF473="",0,AF473)*Assumptions!$F$15)+(IF(AG473="",0,AG473)*Assumptions!$F$16)+(IF(AH473="",0,AH473)*Assumptions!$F$17)+(IF(AI473="",0,AI473)*Assumptions!$F$18)+(IF(AJ473="",0,AJ473)*Assumptions!$F$19),3)</f>
        <v>2.7</v>
      </c>
      <c r="AO473" s="0" t="str">
        <f aca="false">IF(AC473&lt;=20,"",IF(AC473&lt;=Assumptions!$F$6,"20-30",IF(AC473&lt;=Assumptions!$F$7,"30-40",IF(AC473&lt;=Assumptions!$F$8,"40-50",IF(AC473&lt;=Assumptions!$F$9,"50-60",IF(AC473&lt;=Assumptions!$F$10,"60+",""))))))</f>
        <v>30-40</v>
      </c>
      <c r="AP473" s="0" t="str">
        <f aca="false">IFERROR(VLOOKUP(O473,Assumptions!$B$14:$C$26,2,FALSE()),"Other")</f>
        <v>Manager</v>
      </c>
      <c r="AQ473" s="0" t="n">
        <f aca="false">IF(T473="",0,1)</f>
        <v>0</v>
      </c>
      <c r="AR473" s="0" t="n">
        <f aca="false">IF(U473="",0,1)</f>
        <v>1</v>
      </c>
      <c r="AS473" s="8" t="n">
        <f aca="false">IF(AK473="","",IF(MAX($AK$2:$AK$921)=MIN($AK$2:$AK$921),50,ROUND((AK473-MIN($AK$2:$AK$921))/(MAX($AK$2:$AK$921)-MIN($AK$2:$AK$921))*100,2)))</f>
        <v>48.56</v>
      </c>
      <c r="AT473" s="8" t="n">
        <f aca="false">IF(MAX($BC$2:$BC$921)=MIN($BC$2:$BC$921),50,ROUND((BC473-MIN($BC$2:$BC$921))/(MAX($BC$2:$BC$921)-MIN($BC$2:$BC$921))*100,2))</f>
        <v>25</v>
      </c>
      <c r="AU473" s="8" t="n">
        <f aca="false">IF(MAX($BE$2:$BE$921)=MIN($BE$2:$BE$921),50,ROUND((BE473-MIN($BE$2:$BE$921))/(MAX($BE$2:$BE$921)-MIN($BE$2:$BE$921))*100,2))</f>
        <v>74.19</v>
      </c>
      <c r="AV473" s="8" t="n">
        <f aca="false">IF(MAX($AD$2:$AD$921)=MIN($AD$2:$AD$921),50,ROUND((AD473-MIN($AD$2:$AD$921))/(MAX($AD$2:$AD$921)-MIN($AD$2:$AD$921))*100,2))</f>
        <v>19.03</v>
      </c>
      <c r="AW473" s="8" t="n">
        <f aca="false">IF(MAX($AN$2:$AN$921)=MIN($AN$2:$AN$921),50,ROUND((AN473-MIN($AN$2:$AN$921))/(MAX($AN$2:$AN$921)-MIN($AN$2:$AN$921))*100,2))</f>
        <v>67.5</v>
      </c>
      <c r="AX473" s="8" t="n">
        <f aca="false">AQ473*100</f>
        <v>0</v>
      </c>
      <c r="AY473" s="8" t="n">
        <f aca="false">AR473*100</f>
        <v>100</v>
      </c>
      <c r="AZ473" s="8" t="n">
        <f aca="false">IFERROR(ROUND(AS473*Assumptions!$I$6+AW473*Assumptions!$I$7+AT473*Assumptions!$I$8+AU473*Assumptions!$I$9+AV473*Assumptions!$I$10+AX473*Assumptions!$I$11+AY473*Assumptions!$I$12,2),"")</f>
        <v>49.85</v>
      </c>
      <c r="BA473" s="0" t="str">
        <f aca="false">IF(AZ473="","",IF(AZ473&lt;=Assumptions!$I$18,"Below Expectation",IF(AZ473&lt;=Assumptions!$I$19,"Developing",IF(AZ473&lt;=Assumptions!$I$20,"Meets Expectation",IF(AZ473&lt;=Assumptions!$I$21,"Exceeds","Star Performer")))))</f>
        <v>Developing</v>
      </c>
      <c r="BB473" s="0" t="n">
        <f aca="false">IF(AZ473="",0,IF(AZ473&gt;=Assumptions!$I$26,1,0))</f>
        <v>0</v>
      </c>
      <c r="BC473" s="9" t="n">
        <f aca="false">IF(AL473="",2,AL473+2)</f>
        <v>1</v>
      </c>
      <c r="BD473" s="10" t="n">
        <f aca="false">IF(AM473="",ROUND(AVERAGE($AM$2:$AM$921),3),AM473)</f>
        <v>0.447</v>
      </c>
      <c r="BE473" s="9" t="n">
        <f aca="false">1-BD473</f>
        <v>0.553</v>
      </c>
    </row>
    <row r="474" customFormat="false" ht="14.25" hidden="true" customHeight="false" outlineLevel="0" collapsed="false">
      <c r="A474" s="4" t="n">
        <v>88</v>
      </c>
      <c r="B474" s="5" t="n">
        <v>10026423</v>
      </c>
      <c r="C474" s="5" t="s">
        <v>57</v>
      </c>
      <c r="D474" s="5" t="s">
        <v>1911</v>
      </c>
      <c r="E474" s="5" t="s">
        <v>299</v>
      </c>
      <c r="F474" s="5" t="s">
        <v>387</v>
      </c>
      <c r="G474" s="5" t="s">
        <v>388</v>
      </c>
      <c r="H474" s="5" t="s">
        <v>387</v>
      </c>
      <c r="I474" s="5" t="s">
        <v>63</v>
      </c>
      <c r="J474" s="5" t="s">
        <v>100</v>
      </c>
      <c r="K474" s="5" t="s">
        <v>65</v>
      </c>
      <c r="L474" s="6" t="n">
        <v>39482</v>
      </c>
      <c r="M474" s="5" t="s">
        <v>1312</v>
      </c>
      <c r="N474" s="6" t="n">
        <v>27409</v>
      </c>
      <c r="O474" s="5" t="s">
        <v>332</v>
      </c>
      <c r="P474" s="5" t="s">
        <v>333</v>
      </c>
      <c r="Q474" s="5" t="s">
        <v>670</v>
      </c>
      <c r="R474" s="5" t="s">
        <v>1188</v>
      </c>
      <c r="S474" s="5" t="s">
        <v>1116</v>
      </c>
      <c r="T474" s="6" t="n">
        <v>41365</v>
      </c>
      <c r="U474" s="6"/>
      <c r="V474" s="5" t="s">
        <v>631</v>
      </c>
      <c r="W474" s="5" t="s">
        <v>631</v>
      </c>
      <c r="X474" s="5" t="s">
        <v>141</v>
      </c>
      <c r="Y474" s="5" t="s">
        <v>141</v>
      </c>
      <c r="Z474" s="5" t="s">
        <v>631</v>
      </c>
      <c r="AA474" s="5" t="s">
        <v>1912</v>
      </c>
      <c r="AB474" s="0" t="n">
        <f aca="false">IFERROR(VALUE(R474),0)</f>
        <v>10.8</v>
      </c>
      <c r="AC474" s="0" t="n">
        <f aca="false">IFERROR(VALUE(M474),"")</f>
        <v>51.4</v>
      </c>
      <c r="AD474" s="0" t="n">
        <f aca="false">IFERROR(VALUE(Q474),"")</f>
        <v>18.4</v>
      </c>
      <c r="AE474" s="0" t="n">
        <f aca="false">IFERROR(VALUE(S474),"")</f>
        <v>29</v>
      </c>
      <c r="AF474" s="0" t="n">
        <f aca="false">IF(V474="","",VLOOKUP(V474,Assumptions!$B$6:$C$9,2,FALSE()))</f>
        <v>2</v>
      </c>
      <c r="AG474" s="0" t="n">
        <f aca="false">IF(W474="","",VLOOKUP(W474,Assumptions!$B$6:$C$9,2,FALSE()))</f>
        <v>2</v>
      </c>
      <c r="AH474" s="0" t="n">
        <f aca="false">IF(X474="","",VLOOKUP(X474,Assumptions!$B$6:$C$9,2,FALSE()))</f>
        <v>3</v>
      </c>
      <c r="AI474" s="0" t="n">
        <f aca="false">IF(Y474="","",VLOOKUP(Y474,Assumptions!$B$6:$C$9,2,FALSE()))</f>
        <v>3</v>
      </c>
      <c r="AJ474" s="0" t="n">
        <f aca="false">IF(Z474="","",VLOOKUP(Z474,Assumptions!$B$6:$C$9,2,FALSE()))</f>
        <v>2</v>
      </c>
      <c r="AK474" s="7" t="n">
        <f aca="false">IFERROR(ROUND(AVERAGE(AF474:AJ474),3),"")</f>
        <v>2.4</v>
      </c>
      <c r="AL474" s="7" t="n">
        <f aca="false">IF(OR(AF474="",AJ474=""),"",AJ474-AF474)</f>
        <v>0</v>
      </c>
      <c r="AM474" s="7" t="n">
        <f aca="false">IF(COUNT(AF474:AJ474)&gt;=2,ROUND(_xlfn.STDEV.S(AF474:AJ474),3),"")</f>
        <v>0.548</v>
      </c>
      <c r="AN474" s="7" t="n">
        <f aca="false">ROUND((IF(AF474="",0,AF474)*Assumptions!$F$15)+(IF(AG474="",0,AG474)*Assumptions!$F$16)+(IF(AH474="",0,AH474)*Assumptions!$F$17)+(IF(AI474="",0,AI474)*Assumptions!$F$18)+(IF(AJ474="",0,AJ474)*Assumptions!$F$19),3)</f>
        <v>2.45</v>
      </c>
      <c r="AO474" s="0" t="str">
        <f aca="false">IF(AC474&lt;=20,"",IF(AC474&lt;=Assumptions!$F$6,"20-30",IF(AC474&lt;=Assumptions!$F$7,"30-40",IF(AC474&lt;=Assumptions!$F$8,"40-50",IF(AC474&lt;=Assumptions!$F$9,"50-60",IF(AC474&lt;=Assumptions!$F$10,"60+",""))))))</f>
        <v>50-60</v>
      </c>
      <c r="AP474" s="0" t="str">
        <f aca="false">IFERROR(VLOOKUP(O474,Assumptions!$B$14:$C$26,2,FALSE()),"Other")</f>
        <v>Manager</v>
      </c>
      <c r="AQ474" s="0" t="n">
        <f aca="false">IF(T474="",0,1)</f>
        <v>1</v>
      </c>
      <c r="AR474" s="0" t="n">
        <f aca="false">IF(U474="",0,1)</f>
        <v>0</v>
      </c>
      <c r="AS474" s="8" t="n">
        <f aca="false">IF(AK474="","",IF(MAX($AK$2:$AK$921)=MIN($AK$2:$AK$921),50,ROUND((AK474-MIN($AK$2:$AK$921))/(MAX($AK$2:$AK$921)-MIN($AK$2:$AK$921))*100,2)))</f>
        <v>31.42</v>
      </c>
      <c r="AT474" s="8" t="n">
        <f aca="false">IF(MAX($BC$2:$BC$921)=MIN($BC$2:$BC$921),50,ROUND((BC474-MIN($BC$2:$BC$921))/(MAX($BC$2:$BC$921)-MIN($BC$2:$BC$921))*100,2))</f>
        <v>50</v>
      </c>
      <c r="AU474" s="8" t="n">
        <f aca="false">IF(MAX($BE$2:$BE$921)=MIN($BE$2:$BE$921),50,ROUND((BE474-MIN($BE$2:$BE$921))/(MAX($BE$2:$BE$921)-MIN($BE$2:$BE$921))*100,2))</f>
        <v>68.36</v>
      </c>
      <c r="AV474" s="8" t="n">
        <f aca="false">IF(MAX($AD$2:$AD$921)=MIN($AD$2:$AD$921),50,ROUND((AD474-MIN($AD$2:$AD$921))/(MAX($AD$2:$AD$921)-MIN($AD$2:$AD$921))*100,2))</f>
        <v>49.71</v>
      </c>
      <c r="AW474" s="8" t="n">
        <f aca="false">IF(MAX($AN$2:$AN$921)=MIN($AN$2:$AN$921),50,ROUND((AN474-MIN($AN$2:$AN$921))/(MAX($AN$2:$AN$921)-MIN($AN$2:$AN$921))*100,2))</f>
        <v>61.25</v>
      </c>
      <c r="AX474" s="8" t="n">
        <f aca="false">AQ474*100</f>
        <v>100</v>
      </c>
      <c r="AY474" s="8" t="n">
        <f aca="false">AR474*100</f>
        <v>0</v>
      </c>
      <c r="AZ474" s="8" t="n">
        <f aca="false">IFERROR(ROUND(AS474*Assumptions!$I$6+AW474*Assumptions!$I$7+AT474*Assumptions!$I$8+AU474*Assumptions!$I$9+AV474*Assumptions!$I$10+AX474*Assumptions!$I$11+AY474*Assumptions!$I$12,2),"")</f>
        <v>49.4</v>
      </c>
      <c r="BA474" s="0" t="str">
        <f aca="false">IF(AZ474="","",IF(AZ474&lt;=Assumptions!$I$18,"Below Expectation",IF(AZ474&lt;=Assumptions!$I$19,"Developing",IF(AZ474&lt;=Assumptions!$I$20,"Meets Expectation",IF(AZ474&lt;=Assumptions!$I$21,"Exceeds","Star Performer")))))</f>
        <v>Developing</v>
      </c>
      <c r="BB474" s="0" t="n">
        <f aca="false">IF(AZ474="",0,IF(AZ474&gt;=Assumptions!$I$26,1,0))</f>
        <v>0</v>
      </c>
      <c r="BC474" s="9" t="n">
        <f aca="false">IF(AL474="",2,AL474+2)</f>
        <v>2</v>
      </c>
      <c r="BD474" s="10" t="n">
        <f aca="false">IF(AM474="",ROUND(AVERAGE($AM$2:$AM$921),3),AM474)</f>
        <v>0.548</v>
      </c>
      <c r="BE474" s="9" t="n">
        <f aca="false">1-BD474</f>
        <v>0.452</v>
      </c>
    </row>
    <row r="475" customFormat="false" ht="14.25" hidden="false" customHeight="false" outlineLevel="0" collapsed="false">
      <c r="A475" s="4" t="n">
        <v>918</v>
      </c>
      <c r="B475" s="5" t="n">
        <v>67669134</v>
      </c>
      <c r="C475" s="5" t="s">
        <v>106</v>
      </c>
      <c r="D475" s="5" t="s">
        <v>1913</v>
      </c>
      <c r="E475" s="5" t="s">
        <v>1494</v>
      </c>
      <c r="F475" s="5" t="s">
        <v>1556</v>
      </c>
      <c r="G475" s="5" t="s">
        <v>1557</v>
      </c>
      <c r="H475" s="5" t="s">
        <v>1558</v>
      </c>
      <c r="I475" s="5" t="s">
        <v>63</v>
      </c>
      <c r="J475" s="5" t="s">
        <v>112</v>
      </c>
      <c r="K475" s="5" t="s">
        <v>65</v>
      </c>
      <c r="L475" s="6" t="n">
        <v>44743</v>
      </c>
      <c r="M475" s="5" t="s">
        <v>1116</v>
      </c>
      <c r="N475" s="6" t="n">
        <v>35568</v>
      </c>
      <c r="O475" s="5" t="s">
        <v>1624</v>
      </c>
      <c r="P475" s="5" t="s">
        <v>1625</v>
      </c>
      <c r="Q475" s="5" t="s">
        <v>345</v>
      </c>
      <c r="R475" s="5" t="s">
        <v>491</v>
      </c>
      <c r="S475" s="5" t="s">
        <v>452</v>
      </c>
      <c r="T475" s="6"/>
      <c r="U475" s="6"/>
      <c r="V475" s="5"/>
      <c r="W475" s="5" t="s">
        <v>83</v>
      </c>
      <c r="X475" s="5" t="s">
        <v>83</v>
      </c>
      <c r="Y475" s="5" t="s">
        <v>141</v>
      </c>
      <c r="Z475" s="5" t="s">
        <v>631</v>
      </c>
      <c r="AA475" s="5" t="s">
        <v>1914</v>
      </c>
      <c r="AB475" s="0" t="n">
        <f aca="false">IFERROR(VALUE(R475),0)</f>
        <v>4.7</v>
      </c>
      <c r="AC475" s="0" t="n">
        <f aca="false">IFERROR(VALUE(M475),"")</f>
        <v>29</v>
      </c>
      <c r="AD475" s="0" t="n">
        <f aca="false">IFERROR(VALUE(Q475),"")</f>
        <v>3.11</v>
      </c>
      <c r="AE475" s="0" t="n">
        <f aca="false">IFERROR(VALUE(S475),"")</f>
        <v>8.6</v>
      </c>
      <c r="AF475" s="0" t="str">
        <f aca="false">IF(V475="","",VLOOKUP(V475,Assumptions!$B$6:$C$9,2,FALSE()))</f>
        <v/>
      </c>
      <c r="AG475" s="0" t="n">
        <f aca="false">IF(W475="","",VLOOKUP(W475,Assumptions!$B$6:$C$9,2,FALSE()))</f>
        <v>4</v>
      </c>
      <c r="AH475" s="0" t="n">
        <f aca="false">IF(X475="","",VLOOKUP(X475,Assumptions!$B$6:$C$9,2,FALSE()))</f>
        <v>4</v>
      </c>
      <c r="AI475" s="0" t="n">
        <f aca="false">IF(Y475="","",VLOOKUP(Y475,Assumptions!$B$6:$C$9,2,FALSE()))</f>
        <v>3</v>
      </c>
      <c r="AJ475" s="0" t="n">
        <f aca="false">IF(Z475="","",VLOOKUP(Z475,Assumptions!$B$6:$C$9,2,FALSE()))</f>
        <v>2</v>
      </c>
      <c r="AK475" s="7" t="n">
        <f aca="false">IFERROR(ROUND(AVERAGE(AF475:AJ475),3),"")</f>
        <v>3.25</v>
      </c>
      <c r="AL475" s="7" t="str">
        <f aca="false">IF(OR(AF475="",AJ475=""),"",AJ475-AF475)</f>
        <v/>
      </c>
      <c r="AM475" s="7" t="n">
        <f aca="false">IF(COUNT(AF475:AJ475)&gt;=2,ROUND(_xlfn.STDEV.S(AF475:AJ475),3),"")</f>
        <v>0.957</v>
      </c>
      <c r="AN475" s="7" t="n">
        <f aca="false">ROUND((IF(AF475="",0,AF475)*Assumptions!$F$15)+(IF(AG475="",0,AG475)*Assumptions!$F$16)+(IF(AH475="",0,AH475)*Assumptions!$F$17)+(IF(AI475="",0,AI475)*Assumptions!$F$18)+(IF(AJ475="",0,AJ475)*Assumptions!$F$19),3)</f>
        <v>2.75</v>
      </c>
      <c r="AO475" s="0" t="str">
        <f aca="false">IF(AC475&lt;=20,"",IF(AC475&lt;=Assumptions!$F$6,"20-30",IF(AC475&lt;=Assumptions!$F$7,"30-40",IF(AC475&lt;=Assumptions!$F$8,"40-50",IF(AC475&lt;=Assumptions!$F$9,"50-60",IF(AC475&lt;=Assumptions!$F$10,"60+",""))))))</f>
        <v>20-30</v>
      </c>
      <c r="AP475" s="0" t="str">
        <f aca="false">IFERROR(VLOOKUP(O475,Assumptions!$B$14:$C$26,2,FALSE()),"Other")</f>
        <v>Executive</v>
      </c>
      <c r="AQ475" s="0" t="n">
        <f aca="false">IF(T475="",0,1)</f>
        <v>0</v>
      </c>
      <c r="AR475" s="0" t="n">
        <f aca="false">IF(U475="",0,1)</f>
        <v>0</v>
      </c>
      <c r="AS475" s="8" t="n">
        <f aca="false">IF(AK475="","",IF(MAX($AK$2:$AK$921)=MIN($AK$2:$AK$921),50,ROUND((AK475-MIN($AK$2:$AK$921))/(MAX($AK$2:$AK$921)-MIN($AK$2:$AK$921))*100,2)))</f>
        <v>67.85</v>
      </c>
      <c r="AT475" s="8" t="n">
        <f aca="false">IF(MAX($BC$2:$BC$921)=MIN($BC$2:$BC$921),50,ROUND((BC475-MIN($BC$2:$BC$921))/(MAX($BC$2:$BC$921)-MIN($BC$2:$BC$921))*100,2))</f>
        <v>50</v>
      </c>
      <c r="AU475" s="8" t="n">
        <f aca="false">IF(MAX($BE$2:$BE$921)=MIN($BE$2:$BE$921),50,ROUND((BE475-MIN($BE$2:$BE$921))/(MAX($BE$2:$BE$921)-MIN($BE$2:$BE$921))*100,2))</f>
        <v>44.75</v>
      </c>
      <c r="AV475" s="8" t="n">
        <f aca="false">IF(MAX($AD$2:$AD$921)=MIN($AD$2:$AD$921),50,ROUND((AD475-MIN($AD$2:$AD$921))/(MAX($AD$2:$AD$921)-MIN($AD$2:$AD$921))*100,2))</f>
        <v>8.15</v>
      </c>
      <c r="AW475" s="8" t="n">
        <f aca="false">IF(MAX($AN$2:$AN$921)=MIN($AN$2:$AN$921),50,ROUND((AN475-MIN($AN$2:$AN$921))/(MAX($AN$2:$AN$921)-MIN($AN$2:$AN$921))*100,2))</f>
        <v>68.75</v>
      </c>
      <c r="AX475" s="8" t="n">
        <f aca="false">AQ475*100</f>
        <v>0</v>
      </c>
      <c r="AY475" s="8" t="n">
        <f aca="false">AR475*100</f>
        <v>0</v>
      </c>
      <c r="AZ475" s="8" t="n">
        <f aca="false">IFERROR(ROUND(AS475*Assumptions!$I$6+AW475*Assumptions!$I$7+AT475*Assumptions!$I$8+AU475*Assumptions!$I$9+AV475*Assumptions!$I$10+AX475*Assumptions!$I$11+AY475*Assumptions!$I$12,2),"")</f>
        <v>49.13</v>
      </c>
      <c r="BA475" s="0" t="str">
        <f aca="false">IF(AZ475="","",IF(AZ475&lt;=Assumptions!$I$18,"Below Expectation",IF(AZ475&lt;=Assumptions!$I$19,"Developing",IF(AZ475&lt;=Assumptions!$I$20,"Meets Expectation",IF(AZ475&lt;=Assumptions!$I$21,"Exceeds","Star Performer")))))</f>
        <v>Developing</v>
      </c>
      <c r="BB475" s="0" t="n">
        <f aca="false">IF(AZ475="",0,IF(AZ475&gt;=Assumptions!$I$26,1,0))</f>
        <v>0</v>
      </c>
      <c r="BC475" s="9" t="n">
        <f aca="false">IF(AL475="",2,AL475+2)</f>
        <v>2</v>
      </c>
      <c r="BD475" s="10" t="n">
        <f aca="false">IF(AM475="",ROUND(AVERAGE($AM$2:$AM$921),3),AM475)</f>
        <v>0.957</v>
      </c>
      <c r="BE475" s="9" t="n">
        <f aca="false">1-BD475</f>
        <v>0.043</v>
      </c>
    </row>
    <row r="476" customFormat="false" ht="14.25" hidden="true" customHeight="false" outlineLevel="0" collapsed="false">
      <c r="A476" s="4" t="n">
        <v>277</v>
      </c>
      <c r="B476" s="5" t="n">
        <v>10068209</v>
      </c>
      <c r="C476" s="5" t="s">
        <v>57</v>
      </c>
      <c r="D476" s="5" t="s">
        <v>1915</v>
      </c>
      <c r="E476" s="5" t="s">
        <v>208</v>
      </c>
      <c r="F476" s="5" t="s">
        <v>608</v>
      </c>
      <c r="G476" s="5" t="s">
        <v>609</v>
      </c>
      <c r="H476" s="5" t="s">
        <v>608</v>
      </c>
      <c r="I476" s="5" t="s">
        <v>63</v>
      </c>
      <c r="J476" s="5" t="s">
        <v>100</v>
      </c>
      <c r="K476" s="5" t="s">
        <v>65</v>
      </c>
      <c r="L476" s="6" t="n">
        <v>43612</v>
      </c>
      <c r="M476" s="5" t="s">
        <v>1916</v>
      </c>
      <c r="N476" s="6" t="n">
        <v>32206</v>
      </c>
      <c r="O476" s="5" t="s">
        <v>365</v>
      </c>
      <c r="P476" s="5" t="s">
        <v>365</v>
      </c>
      <c r="Q476" s="5" t="s">
        <v>459</v>
      </c>
      <c r="R476" s="5" t="s">
        <v>345</v>
      </c>
      <c r="S476" s="5" t="s">
        <v>497</v>
      </c>
      <c r="T476" s="6"/>
      <c r="U476" s="6"/>
      <c r="V476" s="5" t="s">
        <v>141</v>
      </c>
      <c r="W476" s="5" t="s">
        <v>141</v>
      </c>
      <c r="X476" s="5" t="s">
        <v>631</v>
      </c>
      <c r="Y476" s="5" t="s">
        <v>141</v>
      </c>
      <c r="Z476" s="5" t="s">
        <v>141</v>
      </c>
      <c r="AA476" s="5" t="s">
        <v>1917</v>
      </c>
      <c r="AB476" s="0" t="n">
        <f aca="false">IFERROR(VALUE(R476),0)</f>
        <v>3.11</v>
      </c>
      <c r="AC476" s="0" t="n">
        <f aca="false">IFERROR(VALUE(M476),"")</f>
        <v>38.3</v>
      </c>
      <c r="AD476" s="0" t="n">
        <f aca="false">IFERROR(VALUE(Q476),"")</f>
        <v>7</v>
      </c>
      <c r="AE476" s="0" t="n">
        <f aca="false">IFERROR(VALUE(S476),"")</f>
        <v>10.11</v>
      </c>
      <c r="AF476" s="0" t="n">
        <f aca="false">IF(V476="","",VLOOKUP(V476,Assumptions!$B$6:$C$9,2,FALSE()))</f>
        <v>3</v>
      </c>
      <c r="AG476" s="0" t="n">
        <f aca="false">IF(W476="","",VLOOKUP(W476,Assumptions!$B$6:$C$9,2,FALSE()))</f>
        <v>3</v>
      </c>
      <c r="AH476" s="0" t="n">
        <f aca="false">IF(X476="","",VLOOKUP(X476,Assumptions!$B$6:$C$9,2,FALSE()))</f>
        <v>2</v>
      </c>
      <c r="AI476" s="0" t="n">
        <f aca="false">IF(Y476="","",VLOOKUP(Y476,Assumptions!$B$6:$C$9,2,FALSE()))</f>
        <v>3</v>
      </c>
      <c r="AJ476" s="0" t="n">
        <f aca="false">IF(Z476="","",VLOOKUP(Z476,Assumptions!$B$6:$C$9,2,FALSE()))</f>
        <v>3</v>
      </c>
      <c r="AK476" s="7" t="n">
        <f aca="false">IFERROR(ROUND(AVERAGE(AF476:AJ476),3),"")</f>
        <v>2.8</v>
      </c>
      <c r="AL476" s="7" t="n">
        <f aca="false">IF(OR(AF476="",AJ476=""),"",AJ476-AF476)</f>
        <v>0</v>
      </c>
      <c r="AM476" s="7" t="n">
        <f aca="false">IF(COUNT(AF476:AJ476)&gt;=2,ROUND(_xlfn.STDEV.S(AF476:AJ476),3),"")</f>
        <v>0.447</v>
      </c>
      <c r="AN476" s="7" t="n">
        <f aca="false">ROUND((IF(AF476="",0,AF476)*Assumptions!$F$15)+(IF(AG476="",0,AG476)*Assumptions!$F$16)+(IF(AH476="",0,AH476)*Assumptions!$F$17)+(IF(AI476="",0,AI476)*Assumptions!$F$18)+(IF(AJ476="",0,AJ476)*Assumptions!$F$19),3)</f>
        <v>2.8</v>
      </c>
      <c r="AO476" s="0" t="str">
        <f aca="false">IF(AC476&lt;=20,"",IF(AC476&lt;=Assumptions!$F$6,"20-30",IF(AC476&lt;=Assumptions!$F$7,"30-40",IF(AC476&lt;=Assumptions!$F$8,"40-50",IF(AC476&lt;=Assumptions!$F$9,"50-60",IF(AC476&lt;=Assumptions!$F$10,"60+",""))))))</f>
        <v>30-40</v>
      </c>
      <c r="AP476" s="0" t="str">
        <f aca="false">IFERROR(VLOOKUP(O476,Assumptions!$B$14:$C$26,2,FALSE()),"Other")</f>
        <v>Manager</v>
      </c>
      <c r="AQ476" s="0" t="n">
        <f aca="false">IF(T476="",0,1)</f>
        <v>0</v>
      </c>
      <c r="AR476" s="0" t="n">
        <f aca="false">IF(U476="",0,1)</f>
        <v>0</v>
      </c>
      <c r="AS476" s="8" t="n">
        <f aca="false">IF(AK476="","",IF(MAX($AK$2:$AK$921)=MIN($AK$2:$AK$921),50,ROUND((AK476-MIN($AK$2:$AK$921))/(MAX($AK$2:$AK$921)-MIN($AK$2:$AK$921))*100,2)))</f>
        <v>48.56</v>
      </c>
      <c r="AT476" s="8" t="n">
        <f aca="false">IF(MAX($BC$2:$BC$921)=MIN($BC$2:$BC$921),50,ROUND((BC476-MIN($BC$2:$BC$921))/(MAX($BC$2:$BC$921)-MIN($BC$2:$BC$921))*100,2))</f>
        <v>50</v>
      </c>
      <c r="AU476" s="8" t="n">
        <f aca="false">IF(MAX($BE$2:$BE$921)=MIN($BE$2:$BE$921),50,ROUND((BE476-MIN($BE$2:$BE$921))/(MAX($BE$2:$BE$921)-MIN($BE$2:$BE$921))*100,2))</f>
        <v>74.19</v>
      </c>
      <c r="AV476" s="8" t="n">
        <f aca="false">IF(MAX($AD$2:$AD$921)=MIN($AD$2:$AD$921),50,ROUND((AD476-MIN($AD$2:$AD$921))/(MAX($AD$2:$AD$921)-MIN($AD$2:$AD$921))*100,2))</f>
        <v>18.73</v>
      </c>
      <c r="AW476" s="8" t="n">
        <f aca="false">IF(MAX($AN$2:$AN$921)=MIN($AN$2:$AN$921),50,ROUND((AN476-MIN($AN$2:$AN$921))/(MAX($AN$2:$AN$921)-MIN($AN$2:$AN$921))*100,2))</f>
        <v>70</v>
      </c>
      <c r="AX476" s="8" t="n">
        <f aca="false">AQ476*100</f>
        <v>0</v>
      </c>
      <c r="AY476" s="8" t="n">
        <f aca="false">AR476*100</f>
        <v>0</v>
      </c>
      <c r="AZ476" s="8" t="n">
        <f aca="false">IFERROR(ROUND(AS476*Assumptions!$I$6+AW476*Assumptions!$I$7+AT476*Assumptions!$I$8+AU476*Assumptions!$I$9+AV476*Assumptions!$I$10+AX476*Assumptions!$I$11+AY476*Assumptions!$I$12,2),"")</f>
        <v>49.07</v>
      </c>
      <c r="BA476" s="0" t="str">
        <f aca="false">IF(AZ476="","",IF(AZ476&lt;=Assumptions!$I$18,"Below Expectation",IF(AZ476&lt;=Assumptions!$I$19,"Developing",IF(AZ476&lt;=Assumptions!$I$20,"Meets Expectation",IF(AZ476&lt;=Assumptions!$I$21,"Exceeds","Star Performer")))))</f>
        <v>Developing</v>
      </c>
      <c r="BB476" s="0" t="n">
        <f aca="false">IF(AZ476="",0,IF(AZ476&gt;=Assumptions!$I$26,1,0))</f>
        <v>0</v>
      </c>
      <c r="BC476" s="9" t="n">
        <f aca="false">IF(AL476="",2,AL476+2)</f>
        <v>2</v>
      </c>
      <c r="BD476" s="10" t="n">
        <f aca="false">IF(AM476="",ROUND(AVERAGE($AM$2:$AM$921),3),AM476)</f>
        <v>0.447</v>
      </c>
      <c r="BE476" s="9" t="n">
        <f aca="false">1-BD476</f>
        <v>0.553</v>
      </c>
    </row>
    <row r="477" customFormat="false" ht="14.25" hidden="true" customHeight="false" outlineLevel="0" collapsed="false">
      <c r="A477" s="4" t="n">
        <v>339</v>
      </c>
      <c r="B477" s="5" t="n">
        <v>37100026</v>
      </c>
      <c r="C477" s="5" t="s">
        <v>85</v>
      </c>
      <c r="D477" s="5" t="s">
        <v>1918</v>
      </c>
      <c r="E477" s="5" t="s">
        <v>185</v>
      </c>
      <c r="F477" s="5" t="s">
        <v>1341</v>
      </c>
      <c r="G477" s="5" t="s">
        <v>1342</v>
      </c>
      <c r="H477" s="5" t="s">
        <v>1343</v>
      </c>
      <c r="I477" s="5" t="s">
        <v>63</v>
      </c>
      <c r="J477" s="5" t="s">
        <v>76</v>
      </c>
      <c r="K477" s="5" t="s">
        <v>65</v>
      </c>
      <c r="L477" s="6" t="n">
        <v>36809</v>
      </c>
      <c r="M477" s="5" t="s">
        <v>1725</v>
      </c>
      <c r="N477" s="6" t="n">
        <v>27810</v>
      </c>
      <c r="O477" s="5" t="s">
        <v>332</v>
      </c>
      <c r="P477" s="5" t="s">
        <v>333</v>
      </c>
      <c r="Q477" s="5" t="s">
        <v>124</v>
      </c>
      <c r="R477" s="5" t="s">
        <v>1318</v>
      </c>
      <c r="S477" s="5" t="s">
        <v>1864</v>
      </c>
      <c r="T477" s="6" t="n">
        <v>41000</v>
      </c>
      <c r="U477" s="6"/>
      <c r="V477" s="5" t="s">
        <v>631</v>
      </c>
      <c r="W477" s="5" t="s">
        <v>631</v>
      </c>
      <c r="X477" s="5" t="s">
        <v>631</v>
      </c>
      <c r="Y477" s="5" t="s">
        <v>631</v>
      </c>
      <c r="Z477" s="5" t="s">
        <v>631</v>
      </c>
      <c r="AA477" s="5" t="s">
        <v>1919</v>
      </c>
      <c r="AB477" s="0" t="n">
        <f aca="false">IFERROR(VALUE(R477),0)</f>
        <v>4.11</v>
      </c>
      <c r="AC477" s="0" t="n">
        <f aca="false">IFERROR(VALUE(M477),"")</f>
        <v>50.3</v>
      </c>
      <c r="AD477" s="0" t="n">
        <f aca="false">IFERROR(VALUE(Q477),"")</f>
        <v>25.7</v>
      </c>
      <c r="AE477" s="0" t="n">
        <f aca="false">IFERROR(VALUE(S477),"")</f>
        <v>30.6</v>
      </c>
      <c r="AF477" s="0" t="n">
        <f aca="false">IF(V477="","",VLOOKUP(V477,Assumptions!$B$6:$C$9,2,FALSE()))</f>
        <v>2</v>
      </c>
      <c r="AG477" s="0" t="n">
        <f aca="false">IF(W477="","",VLOOKUP(W477,Assumptions!$B$6:$C$9,2,FALSE()))</f>
        <v>2</v>
      </c>
      <c r="AH477" s="0" t="n">
        <f aca="false">IF(X477="","",VLOOKUP(X477,Assumptions!$B$6:$C$9,2,FALSE()))</f>
        <v>2</v>
      </c>
      <c r="AI477" s="0" t="n">
        <f aca="false">IF(Y477="","",VLOOKUP(Y477,Assumptions!$B$6:$C$9,2,FALSE()))</f>
        <v>2</v>
      </c>
      <c r="AJ477" s="0" t="n">
        <f aca="false">IF(Z477="","",VLOOKUP(Z477,Assumptions!$B$6:$C$9,2,FALSE()))</f>
        <v>2</v>
      </c>
      <c r="AK477" s="7" t="n">
        <f aca="false">IFERROR(ROUND(AVERAGE(AF477:AJ477),3),"")</f>
        <v>2</v>
      </c>
      <c r="AL477" s="7" t="n">
        <f aca="false">IF(OR(AF477="",AJ477=""),"",AJ477-AF477)</f>
        <v>0</v>
      </c>
      <c r="AM477" s="7" t="n">
        <f aca="false">IF(COUNT(AF477:AJ477)&gt;=2,ROUND(_xlfn.STDEV.S(AF477:AJ477),3),"")</f>
        <v>0</v>
      </c>
      <c r="AN477" s="7" t="n">
        <f aca="false">ROUND((IF(AF477="",0,AF477)*Assumptions!$F$15)+(IF(AG477="",0,AG477)*Assumptions!$F$16)+(IF(AH477="",0,AH477)*Assumptions!$F$17)+(IF(AI477="",0,AI477)*Assumptions!$F$18)+(IF(AJ477="",0,AJ477)*Assumptions!$F$19),3)</f>
        <v>2</v>
      </c>
      <c r="AO477" s="0" t="str">
        <f aca="false">IF(AC477&lt;=20,"",IF(AC477&lt;=Assumptions!$F$6,"20-30",IF(AC477&lt;=Assumptions!$F$7,"30-40",IF(AC477&lt;=Assumptions!$F$8,"40-50",IF(AC477&lt;=Assumptions!$F$9,"50-60",IF(AC477&lt;=Assumptions!$F$10,"60+",""))))))</f>
        <v>50-60</v>
      </c>
      <c r="AP477" s="0" t="str">
        <f aca="false">IFERROR(VLOOKUP(O477,Assumptions!$B$14:$C$26,2,FALSE()),"Other")</f>
        <v>Manager</v>
      </c>
      <c r="AQ477" s="0" t="n">
        <f aca="false">IF(T477="",0,1)</f>
        <v>1</v>
      </c>
      <c r="AR477" s="0" t="n">
        <f aca="false">IF(U477="",0,1)</f>
        <v>0</v>
      </c>
      <c r="AS477" s="8" t="n">
        <f aca="false">IF(AK477="","",IF(MAX($AK$2:$AK$921)=MIN($AK$2:$AK$921),50,ROUND((AK477-MIN($AK$2:$AK$921))/(MAX($AK$2:$AK$921)-MIN($AK$2:$AK$921))*100,2)))</f>
        <v>14.27</v>
      </c>
      <c r="AT477" s="8" t="n">
        <f aca="false">IF(MAX($BC$2:$BC$921)=MIN($BC$2:$BC$921),50,ROUND((BC477-MIN($BC$2:$BC$921))/(MAX($BC$2:$BC$921)-MIN($BC$2:$BC$921))*100,2))</f>
        <v>50</v>
      </c>
      <c r="AU477" s="8" t="n">
        <f aca="false">IF(MAX($BE$2:$BE$921)=MIN($BE$2:$BE$921),50,ROUND((BE477-MIN($BE$2:$BE$921))/(MAX($BE$2:$BE$921)-MIN($BE$2:$BE$921))*100,2))</f>
        <v>100</v>
      </c>
      <c r="AV477" s="8" t="n">
        <f aca="false">IF(MAX($AD$2:$AD$921)=MIN($AD$2:$AD$921),50,ROUND((AD477-MIN($AD$2:$AD$921))/(MAX($AD$2:$AD$921)-MIN($AD$2:$AD$921))*100,2))</f>
        <v>69.56</v>
      </c>
      <c r="AW477" s="8" t="n">
        <f aca="false">IF(MAX($AN$2:$AN$921)=MIN($AN$2:$AN$921),50,ROUND((AN477-MIN($AN$2:$AN$921))/(MAX($AN$2:$AN$921)-MIN($AN$2:$AN$921))*100,2))</f>
        <v>50</v>
      </c>
      <c r="AX477" s="8" t="n">
        <f aca="false">AQ477*100</f>
        <v>100</v>
      </c>
      <c r="AY477" s="8" t="n">
        <f aca="false">AR477*100</f>
        <v>0</v>
      </c>
      <c r="AZ477" s="8" t="n">
        <f aca="false">IFERROR(ROUND(AS477*Assumptions!$I$6+AW477*Assumptions!$I$7+AT477*Assumptions!$I$8+AU477*Assumptions!$I$9+AV477*Assumptions!$I$10+AX477*Assumptions!$I$11+AY477*Assumptions!$I$12,2),"")</f>
        <v>48.74</v>
      </c>
      <c r="BA477" s="0" t="str">
        <f aca="false">IF(AZ477="","",IF(AZ477&lt;=Assumptions!$I$18,"Below Expectation",IF(AZ477&lt;=Assumptions!$I$19,"Developing",IF(AZ477&lt;=Assumptions!$I$20,"Meets Expectation",IF(AZ477&lt;=Assumptions!$I$21,"Exceeds","Star Performer")))))</f>
        <v>Developing</v>
      </c>
      <c r="BB477" s="0" t="n">
        <f aca="false">IF(AZ477="",0,IF(AZ477&gt;=Assumptions!$I$26,1,0))</f>
        <v>0</v>
      </c>
      <c r="BC477" s="9" t="n">
        <f aca="false">IF(AL477="",2,AL477+2)</f>
        <v>2</v>
      </c>
      <c r="BD477" s="10" t="n">
        <f aca="false">IF(AM477="",ROUND(AVERAGE($AM$2:$AM$921),3),AM477)</f>
        <v>0</v>
      </c>
      <c r="BE477" s="9" t="n">
        <f aca="false">1-BD477</f>
        <v>1</v>
      </c>
    </row>
    <row r="478" customFormat="false" ht="14.25" hidden="true" customHeight="false" outlineLevel="0" collapsed="false">
      <c r="A478" s="4" t="n">
        <v>865</v>
      </c>
      <c r="B478" s="5" t="n">
        <v>55103106</v>
      </c>
      <c r="C478" s="5" t="s">
        <v>57</v>
      </c>
      <c r="D478" s="5" t="s">
        <v>1920</v>
      </c>
      <c r="E478" s="5" t="s">
        <v>275</v>
      </c>
      <c r="F478" s="5" t="s">
        <v>387</v>
      </c>
      <c r="G478" s="5" t="s">
        <v>388</v>
      </c>
      <c r="H478" s="5" t="s">
        <v>387</v>
      </c>
      <c r="I478" s="5" t="s">
        <v>63</v>
      </c>
      <c r="J478" s="5" t="s">
        <v>100</v>
      </c>
      <c r="K478" s="5" t="s">
        <v>65</v>
      </c>
      <c r="L478" s="6" t="n">
        <v>45323</v>
      </c>
      <c r="M478" s="5" t="s">
        <v>331</v>
      </c>
      <c r="N478" s="6" t="n">
        <v>32731</v>
      </c>
      <c r="O478" s="5" t="s">
        <v>332</v>
      </c>
      <c r="P478" s="5" t="s">
        <v>333</v>
      </c>
      <c r="Q478" s="5" t="s">
        <v>820</v>
      </c>
      <c r="R478" s="5" t="s">
        <v>403</v>
      </c>
      <c r="S478" s="5" t="s">
        <v>374</v>
      </c>
      <c r="T478" s="6"/>
      <c r="U478" s="6"/>
      <c r="V478" s="5"/>
      <c r="W478" s="5"/>
      <c r="X478" s="5"/>
      <c r="Y478" s="5" t="s">
        <v>141</v>
      </c>
      <c r="Z478" s="5" t="s">
        <v>141</v>
      </c>
      <c r="AA478" s="5" t="s">
        <v>1921</v>
      </c>
      <c r="AB478" s="0" t="n">
        <f aca="false">IFERROR(VALUE(R478),0)</f>
        <v>10</v>
      </c>
      <c r="AC478" s="0" t="n">
        <f aca="false">IFERROR(VALUE(M478),"")</f>
        <v>36.9</v>
      </c>
      <c r="AD478" s="0" t="n">
        <f aca="false">IFERROR(VALUE(Q478),"")</f>
        <v>2.4</v>
      </c>
      <c r="AE478" s="0" t="n">
        <f aca="false">IFERROR(VALUE(S478),"")</f>
        <v>12.4</v>
      </c>
      <c r="AF478" s="0" t="str">
        <f aca="false">IF(V478="","",VLOOKUP(V478,Assumptions!$B$6:$C$9,2,FALSE()))</f>
        <v/>
      </c>
      <c r="AG478" s="0" t="str">
        <f aca="false">IF(W478="","",VLOOKUP(W478,Assumptions!$B$6:$C$9,2,FALSE()))</f>
        <v/>
      </c>
      <c r="AH478" s="0" t="str">
        <f aca="false">IF(X478="","",VLOOKUP(X478,Assumptions!$B$6:$C$9,2,FALSE()))</f>
        <v/>
      </c>
      <c r="AI478" s="0" t="n">
        <f aca="false">IF(Y478="","",VLOOKUP(Y478,Assumptions!$B$6:$C$9,2,FALSE()))</f>
        <v>3</v>
      </c>
      <c r="AJ478" s="0" t="n">
        <f aca="false">IF(Z478="","",VLOOKUP(Z478,Assumptions!$B$6:$C$9,2,FALSE()))</f>
        <v>3</v>
      </c>
      <c r="AK478" s="7" t="n">
        <f aca="false">IFERROR(ROUND(AVERAGE(AF478:AJ478),3),"")</f>
        <v>3</v>
      </c>
      <c r="AL478" s="7" t="str">
        <f aca="false">IF(OR(AF478="",AJ478=""),"",AJ478-AF478)</f>
        <v/>
      </c>
      <c r="AM478" s="7" t="n">
        <f aca="false">IF(COUNT(AF478:AJ478)&gt;=2,ROUND(_xlfn.STDEV.S(AF478:AJ478),3),"")</f>
        <v>0</v>
      </c>
      <c r="AN478" s="7" t="n">
        <f aca="false">ROUND((IF(AF478="",0,AF478)*Assumptions!$F$15)+(IF(AG478="",0,AG478)*Assumptions!$F$16)+(IF(AH478="",0,AH478)*Assumptions!$F$17)+(IF(AI478="",0,AI478)*Assumptions!$F$18)+(IF(AJ478="",0,AJ478)*Assumptions!$F$19),3)</f>
        <v>1.65</v>
      </c>
      <c r="AO478" s="0" t="str">
        <f aca="false">IF(AC478&lt;=20,"",IF(AC478&lt;=Assumptions!$F$6,"20-30",IF(AC478&lt;=Assumptions!$F$7,"30-40",IF(AC478&lt;=Assumptions!$F$8,"40-50",IF(AC478&lt;=Assumptions!$F$9,"50-60",IF(AC478&lt;=Assumptions!$F$10,"60+",""))))))</f>
        <v>30-40</v>
      </c>
      <c r="AP478" s="0" t="str">
        <f aca="false">IFERROR(VLOOKUP(O478,Assumptions!$B$14:$C$26,2,FALSE()),"Other")</f>
        <v>Manager</v>
      </c>
      <c r="AQ478" s="0" t="n">
        <f aca="false">IF(T478="",0,1)</f>
        <v>0</v>
      </c>
      <c r="AR478" s="0" t="n">
        <f aca="false">IF(U478="",0,1)</f>
        <v>0</v>
      </c>
      <c r="AS478" s="8" t="n">
        <f aca="false">IF(AK478="","",IF(MAX($AK$2:$AK$921)=MIN($AK$2:$AK$921),50,ROUND((AK478-MIN($AK$2:$AK$921))/(MAX($AK$2:$AK$921)-MIN($AK$2:$AK$921))*100,2)))</f>
        <v>57.14</v>
      </c>
      <c r="AT478" s="8" t="n">
        <f aca="false">IF(MAX($BC$2:$BC$921)=MIN($BC$2:$BC$921),50,ROUND((BC478-MIN($BC$2:$BC$921))/(MAX($BC$2:$BC$921)-MIN($BC$2:$BC$921))*100,2))</f>
        <v>50</v>
      </c>
      <c r="AU478" s="8" t="n">
        <f aca="false">IF(MAX($BE$2:$BE$921)=MIN($BE$2:$BE$921),50,ROUND((BE478-MIN($BE$2:$BE$921))/(MAX($BE$2:$BE$921)-MIN($BE$2:$BE$921))*100,2))</f>
        <v>100</v>
      </c>
      <c r="AV478" s="8" t="n">
        <f aca="false">IF(MAX($AD$2:$AD$921)=MIN($AD$2:$AD$921),50,ROUND((AD478-MIN($AD$2:$AD$921))/(MAX($AD$2:$AD$921)-MIN($AD$2:$AD$921))*100,2))</f>
        <v>6.22</v>
      </c>
      <c r="AW478" s="8" t="n">
        <f aca="false">IF(MAX($AN$2:$AN$921)=MIN($AN$2:$AN$921),50,ROUND((AN478-MIN($AN$2:$AN$921))/(MAX($AN$2:$AN$921)-MIN($AN$2:$AN$921))*100,2))</f>
        <v>41.25</v>
      </c>
      <c r="AX478" s="8" t="n">
        <f aca="false">AQ478*100</f>
        <v>0</v>
      </c>
      <c r="AY478" s="8" t="n">
        <f aca="false">AR478*100</f>
        <v>0</v>
      </c>
      <c r="AZ478" s="8" t="n">
        <f aca="false">IFERROR(ROUND(AS478*Assumptions!$I$6+AW478*Assumptions!$I$7+AT478*Assumptions!$I$8+AU478*Assumptions!$I$9+AV478*Assumptions!$I$10+AX478*Assumptions!$I$11+AY478*Assumptions!$I$12,2),"")</f>
        <v>48.51</v>
      </c>
      <c r="BA478" s="0" t="str">
        <f aca="false">IF(AZ478="","",IF(AZ478&lt;=Assumptions!$I$18,"Below Expectation",IF(AZ478&lt;=Assumptions!$I$19,"Developing",IF(AZ478&lt;=Assumptions!$I$20,"Meets Expectation",IF(AZ478&lt;=Assumptions!$I$21,"Exceeds","Star Performer")))))</f>
        <v>Developing</v>
      </c>
      <c r="BB478" s="0" t="n">
        <f aca="false">IF(AZ478="",0,IF(AZ478&gt;=Assumptions!$I$26,1,0))</f>
        <v>0</v>
      </c>
      <c r="BC478" s="9" t="n">
        <f aca="false">IF(AL478="",2,AL478+2)</f>
        <v>2</v>
      </c>
      <c r="BD478" s="10" t="n">
        <f aca="false">IF(AM478="",ROUND(AVERAGE($AM$2:$AM$921),3),AM478)</f>
        <v>0</v>
      </c>
      <c r="BE478" s="9" t="n">
        <f aca="false">1-BD478</f>
        <v>1</v>
      </c>
    </row>
    <row r="479" customFormat="false" ht="14.25" hidden="true" customHeight="false" outlineLevel="0" collapsed="false">
      <c r="A479" s="4" t="n">
        <v>871</v>
      </c>
      <c r="B479" s="5" t="n">
        <v>55110652</v>
      </c>
      <c r="C479" s="5" t="s">
        <v>85</v>
      </c>
      <c r="D479" s="5" t="s">
        <v>1922</v>
      </c>
      <c r="E479" s="5" t="s">
        <v>805</v>
      </c>
      <c r="F479" s="5" t="s">
        <v>1923</v>
      </c>
      <c r="G479" s="5" t="s">
        <v>61</v>
      </c>
      <c r="H479" s="5" t="s">
        <v>62</v>
      </c>
      <c r="I479" s="5" t="s">
        <v>63</v>
      </c>
      <c r="J479" s="5" t="s">
        <v>76</v>
      </c>
      <c r="K479" s="5" t="s">
        <v>65</v>
      </c>
      <c r="L479" s="6" t="n">
        <v>45383</v>
      </c>
      <c r="M479" s="5" t="s">
        <v>1924</v>
      </c>
      <c r="N479" s="6" t="n">
        <v>24182</v>
      </c>
      <c r="O479" s="5" t="s">
        <v>89</v>
      </c>
      <c r="P479" s="5" t="s">
        <v>90</v>
      </c>
      <c r="Q479" s="5" t="s">
        <v>1677</v>
      </c>
      <c r="R479" s="5" t="s">
        <v>598</v>
      </c>
      <c r="S479" s="5" t="s">
        <v>331</v>
      </c>
      <c r="T479" s="6"/>
      <c r="U479" s="6"/>
      <c r="V479" s="5"/>
      <c r="W479" s="5"/>
      <c r="X479" s="5"/>
      <c r="Y479" s="5" t="s">
        <v>141</v>
      </c>
      <c r="Z479" s="5" t="s">
        <v>141</v>
      </c>
      <c r="AA479" s="5" t="s">
        <v>1925</v>
      </c>
      <c r="AB479" s="0" t="n">
        <f aca="false">IFERROR(VALUE(R479),0)</f>
        <v>34.7</v>
      </c>
      <c r="AC479" s="0" t="n">
        <f aca="false">IFERROR(VALUE(M479),"")</f>
        <v>60.2</v>
      </c>
      <c r="AD479" s="0" t="n">
        <f aca="false">IFERROR(VALUE(Q479),"")</f>
        <v>2.2</v>
      </c>
      <c r="AE479" s="0" t="n">
        <f aca="false">IFERROR(VALUE(S479),"")</f>
        <v>36.9</v>
      </c>
      <c r="AF479" s="0" t="str">
        <f aca="false">IF(V479="","",VLOOKUP(V479,Assumptions!$B$6:$C$9,2,FALSE()))</f>
        <v/>
      </c>
      <c r="AG479" s="0" t="str">
        <f aca="false">IF(W479="","",VLOOKUP(W479,Assumptions!$B$6:$C$9,2,FALSE()))</f>
        <v/>
      </c>
      <c r="AH479" s="0" t="str">
        <f aca="false">IF(X479="","",VLOOKUP(X479,Assumptions!$B$6:$C$9,2,FALSE()))</f>
        <v/>
      </c>
      <c r="AI479" s="0" t="n">
        <f aca="false">IF(Y479="","",VLOOKUP(Y479,Assumptions!$B$6:$C$9,2,FALSE()))</f>
        <v>3</v>
      </c>
      <c r="AJ479" s="0" t="n">
        <f aca="false">IF(Z479="","",VLOOKUP(Z479,Assumptions!$B$6:$C$9,2,FALSE()))</f>
        <v>3</v>
      </c>
      <c r="AK479" s="7" t="n">
        <f aca="false">IFERROR(ROUND(AVERAGE(AF479:AJ479),3),"")</f>
        <v>3</v>
      </c>
      <c r="AL479" s="7" t="str">
        <f aca="false">IF(OR(AF479="",AJ479=""),"",AJ479-AF479)</f>
        <v/>
      </c>
      <c r="AM479" s="7" t="n">
        <f aca="false">IF(COUNT(AF479:AJ479)&gt;=2,ROUND(_xlfn.STDEV.S(AF479:AJ479),3),"")</f>
        <v>0</v>
      </c>
      <c r="AN479" s="7" t="n">
        <f aca="false">ROUND((IF(AF479="",0,AF479)*Assumptions!$F$15)+(IF(AG479="",0,AG479)*Assumptions!$F$16)+(IF(AH479="",0,AH479)*Assumptions!$F$17)+(IF(AI479="",0,AI479)*Assumptions!$F$18)+(IF(AJ479="",0,AJ479)*Assumptions!$F$19),3)</f>
        <v>1.65</v>
      </c>
      <c r="AO479" s="0" t="str">
        <f aca="false">IF(AC479&lt;=20,"",IF(AC479&lt;=Assumptions!$F$6,"20-30",IF(AC479&lt;=Assumptions!$F$7,"30-40",IF(AC479&lt;=Assumptions!$F$8,"40-50",IF(AC479&lt;=Assumptions!$F$9,"50-60",IF(AC479&lt;=Assumptions!$F$10,"60+",""))))))</f>
        <v>60+</v>
      </c>
      <c r="AP479" s="0" t="str">
        <f aca="false">IFERROR(VLOOKUP(O479,Assumptions!$B$14:$C$26,2,FALSE()),"Other")</f>
        <v>Leadership</v>
      </c>
      <c r="AQ479" s="0" t="n">
        <f aca="false">IF(T479="",0,1)</f>
        <v>0</v>
      </c>
      <c r="AR479" s="0" t="n">
        <f aca="false">IF(U479="",0,1)</f>
        <v>0</v>
      </c>
      <c r="AS479" s="8" t="n">
        <f aca="false">IF(AK479="","",IF(MAX($AK$2:$AK$921)=MIN($AK$2:$AK$921),50,ROUND((AK479-MIN($AK$2:$AK$921))/(MAX($AK$2:$AK$921)-MIN($AK$2:$AK$921))*100,2)))</f>
        <v>57.14</v>
      </c>
      <c r="AT479" s="8" t="n">
        <f aca="false">IF(MAX($BC$2:$BC$921)=MIN($BC$2:$BC$921),50,ROUND((BC479-MIN($BC$2:$BC$921))/(MAX($BC$2:$BC$921)-MIN($BC$2:$BC$921))*100,2))</f>
        <v>50</v>
      </c>
      <c r="AU479" s="8" t="n">
        <f aca="false">IF(MAX($BE$2:$BE$921)=MIN($BE$2:$BE$921),50,ROUND((BE479-MIN($BE$2:$BE$921))/(MAX($BE$2:$BE$921)-MIN($BE$2:$BE$921))*100,2))</f>
        <v>100</v>
      </c>
      <c r="AV479" s="8" t="n">
        <f aca="false">IF(MAX($AD$2:$AD$921)=MIN($AD$2:$AD$921),50,ROUND((AD479-MIN($AD$2:$AD$921))/(MAX($AD$2:$AD$921)-MIN($AD$2:$AD$921))*100,2))</f>
        <v>5.68</v>
      </c>
      <c r="AW479" s="8" t="n">
        <f aca="false">IF(MAX($AN$2:$AN$921)=MIN($AN$2:$AN$921),50,ROUND((AN479-MIN($AN$2:$AN$921))/(MAX($AN$2:$AN$921)-MIN($AN$2:$AN$921))*100,2))</f>
        <v>41.25</v>
      </c>
      <c r="AX479" s="8" t="n">
        <f aca="false">AQ479*100</f>
        <v>0</v>
      </c>
      <c r="AY479" s="8" t="n">
        <f aca="false">AR479*100</f>
        <v>0</v>
      </c>
      <c r="AZ479" s="8" t="n">
        <f aca="false">IFERROR(ROUND(AS479*Assumptions!$I$6+AW479*Assumptions!$I$7+AT479*Assumptions!$I$8+AU479*Assumptions!$I$9+AV479*Assumptions!$I$10+AX479*Assumptions!$I$11+AY479*Assumptions!$I$12,2),"")</f>
        <v>48.46</v>
      </c>
      <c r="BA479" s="0" t="str">
        <f aca="false">IF(AZ479="","",IF(AZ479&lt;=Assumptions!$I$18,"Below Expectation",IF(AZ479&lt;=Assumptions!$I$19,"Developing",IF(AZ479&lt;=Assumptions!$I$20,"Meets Expectation",IF(AZ479&lt;=Assumptions!$I$21,"Exceeds","Star Performer")))))</f>
        <v>Developing</v>
      </c>
      <c r="BB479" s="0" t="n">
        <f aca="false">IF(AZ479="",0,IF(AZ479&gt;=Assumptions!$I$26,1,0))</f>
        <v>0</v>
      </c>
      <c r="BC479" s="9" t="n">
        <f aca="false">IF(AL479="",2,AL479+2)</f>
        <v>2</v>
      </c>
      <c r="BD479" s="10" t="n">
        <f aca="false">IF(AM479="",ROUND(AVERAGE($AM$2:$AM$921),3),AM479)</f>
        <v>0</v>
      </c>
      <c r="BE479" s="9" t="n">
        <f aca="false">1-BD479</f>
        <v>1</v>
      </c>
    </row>
    <row r="480" customFormat="false" ht="14.25" hidden="true" customHeight="false" outlineLevel="0" collapsed="false">
      <c r="A480" s="4" t="n">
        <v>291</v>
      </c>
      <c r="B480" s="5" t="n">
        <v>10069504</v>
      </c>
      <c r="C480" s="5" t="s">
        <v>57</v>
      </c>
      <c r="D480" s="5" t="s">
        <v>1926</v>
      </c>
      <c r="E480" s="5" t="s">
        <v>456</v>
      </c>
      <c r="F480" s="5" t="s">
        <v>608</v>
      </c>
      <c r="G480" s="5" t="s">
        <v>609</v>
      </c>
      <c r="H480" s="5" t="s">
        <v>608</v>
      </c>
      <c r="I480" s="5" t="s">
        <v>63</v>
      </c>
      <c r="J480" s="5" t="s">
        <v>100</v>
      </c>
      <c r="K480" s="5" t="s">
        <v>65</v>
      </c>
      <c r="L480" s="6" t="n">
        <v>43682</v>
      </c>
      <c r="M480" s="5" t="s">
        <v>926</v>
      </c>
      <c r="N480" s="6" t="n">
        <v>32782</v>
      </c>
      <c r="O480" s="5" t="s">
        <v>365</v>
      </c>
      <c r="P480" s="5" t="s">
        <v>365</v>
      </c>
      <c r="Q480" s="5" t="s">
        <v>604</v>
      </c>
      <c r="R480" s="5" t="s">
        <v>1318</v>
      </c>
      <c r="S480" s="5" t="s">
        <v>240</v>
      </c>
      <c r="T480" s="6"/>
      <c r="U480" s="6"/>
      <c r="V480" s="5" t="s">
        <v>631</v>
      </c>
      <c r="W480" s="5" t="s">
        <v>141</v>
      </c>
      <c r="X480" s="5" t="s">
        <v>141</v>
      </c>
      <c r="Y480" s="5" t="s">
        <v>631</v>
      </c>
      <c r="Z480" s="5" t="s">
        <v>141</v>
      </c>
      <c r="AA480" s="5" t="s">
        <v>1927</v>
      </c>
      <c r="AB480" s="0" t="n">
        <f aca="false">IFERROR(VALUE(R480),0)</f>
        <v>4.11</v>
      </c>
      <c r="AC480" s="0" t="n">
        <f aca="false">IFERROR(VALUE(M480),"")</f>
        <v>36.8</v>
      </c>
      <c r="AD480" s="0" t="n">
        <f aca="false">IFERROR(VALUE(Q480),"")</f>
        <v>6.1</v>
      </c>
      <c r="AE480" s="0" t="n">
        <f aca="false">IFERROR(VALUE(S480),"")</f>
        <v>11.9</v>
      </c>
      <c r="AF480" s="0" t="n">
        <f aca="false">IF(V480="","",VLOOKUP(V480,Assumptions!$B$6:$C$9,2,FALSE()))</f>
        <v>2</v>
      </c>
      <c r="AG480" s="0" t="n">
        <f aca="false">IF(W480="","",VLOOKUP(W480,Assumptions!$B$6:$C$9,2,FALSE()))</f>
        <v>3</v>
      </c>
      <c r="AH480" s="0" t="n">
        <f aca="false">IF(X480="","",VLOOKUP(X480,Assumptions!$B$6:$C$9,2,FALSE()))</f>
        <v>3</v>
      </c>
      <c r="AI480" s="0" t="n">
        <f aca="false">IF(Y480="","",VLOOKUP(Y480,Assumptions!$B$6:$C$9,2,FALSE()))</f>
        <v>2</v>
      </c>
      <c r="AJ480" s="0" t="n">
        <f aca="false">IF(Z480="","",VLOOKUP(Z480,Assumptions!$B$6:$C$9,2,FALSE()))</f>
        <v>3</v>
      </c>
      <c r="AK480" s="7" t="n">
        <f aca="false">IFERROR(ROUND(AVERAGE(AF480:AJ480),3),"")</f>
        <v>2.6</v>
      </c>
      <c r="AL480" s="7" t="n">
        <f aca="false">IF(OR(AF480="",AJ480=""),"",AJ480-AF480)</f>
        <v>1</v>
      </c>
      <c r="AM480" s="7" t="n">
        <f aca="false">IF(COUNT(AF480:AJ480)&gt;=2,ROUND(_xlfn.STDEV.S(AF480:AJ480),3),"")</f>
        <v>0.548</v>
      </c>
      <c r="AN480" s="7" t="n">
        <f aca="false">ROUND((IF(AF480="",0,AF480)*Assumptions!$F$15)+(IF(AG480="",0,AG480)*Assumptions!$F$16)+(IF(AH480="",0,AH480)*Assumptions!$F$17)+(IF(AI480="",0,AI480)*Assumptions!$F$18)+(IF(AJ480="",0,AJ480)*Assumptions!$F$19),3)</f>
        <v>2.65</v>
      </c>
      <c r="AO480" s="0" t="str">
        <f aca="false">IF(AC480&lt;=20,"",IF(AC480&lt;=Assumptions!$F$6,"20-30",IF(AC480&lt;=Assumptions!$F$7,"30-40",IF(AC480&lt;=Assumptions!$F$8,"40-50",IF(AC480&lt;=Assumptions!$F$9,"50-60",IF(AC480&lt;=Assumptions!$F$10,"60+",""))))))</f>
        <v>30-40</v>
      </c>
      <c r="AP480" s="0" t="str">
        <f aca="false">IFERROR(VLOOKUP(O480,Assumptions!$B$14:$C$26,2,FALSE()),"Other")</f>
        <v>Manager</v>
      </c>
      <c r="AQ480" s="0" t="n">
        <f aca="false">IF(T480="",0,1)</f>
        <v>0</v>
      </c>
      <c r="AR480" s="0" t="n">
        <f aca="false">IF(U480="",0,1)</f>
        <v>0</v>
      </c>
      <c r="AS480" s="8" t="n">
        <f aca="false">IF(AK480="","",IF(MAX($AK$2:$AK$921)=MIN($AK$2:$AK$921),50,ROUND((AK480-MIN($AK$2:$AK$921))/(MAX($AK$2:$AK$921)-MIN($AK$2:$AK$921))*100,2)))</f>
        <v>39.99</v>
      </c>
      <c r="AT480" s="8" t="n">
        <f aca="false">IF(MAX($BC$2:$BC$921)=MIN($BC$2:$BC$921),50,ROUND((BC480-MIN($BC$2:$BC$921))/(MAX($BC$2:$BC$921)-MIN($BC$2:$BC$921))*100,2))</f>
        <v>75</v>
      </c>
      <c r="AU480" s="8" t="n">
        <f aca="false">IF(MAX($BE$2:$BE$921)=MIN($BE$2:$BE$921),50,ROUND((BE480-MIN($BE$2:$BE$921))/(MAX($BE$2:$BE$921)-MIN($BE$2:$BE$921))*100,2))</f>
        <v>68.36</v>
      </c>
      <c r="AV480" s="8" t="n">
        <f aca="false">IF(MAX($AD$2:$AD$921)=MIN($AD$2:$AD$921),50,ROUND((AD480-MIN($AD$2:$AD$921))/(MAX($AD$2:$AD$921)-MIN($AD$2:$AD$921))*100,2))</f>
        <v>16.28</v>
      </c>
      <c r="AW480" s="8" t="n">
        <f aca="false">IF(MAX($AN$2:$AN$921)=MIN($AN$2:$AN$921),50,ROUND((AN480-MIN($AN$2:$AN$921))/(MAX($AN$2:$AN$921)-MIN($AN$2:$AN$921))*100,2))</f>
        <v>66.25</v>
      </c>
      <c r="AX480" s="8" t="n">
        <f aca="false">AQ480*100</f>
        <v>0</v>
      </c>
      <c r="AY480" s="8" t="n">
        <f aca="false">AR480*100</f>
        <v>0</v>
      </c>
      <c r="AZ480" s="8" t="n">
        <f aca="false">IFERROR(ROUND(AS480*Assumptions!$I$6+AW480*Assumptions!$I$7+AT480*Assumptions!$I$8+AU480*Assumptions!$I$9+AV480*Assumptions!$I$10+AX480*Assumptions!$I$11+AY480*Assumptions!$I$12,2),"")</f>
        <v>48.38</v>
      </c>
      <c r="BA480" s="0" t="str">
        <f aca="false">IF(AZ480="","",IF(AZ480&lt;=Assumptions!$I$18,"Below Expectation",IF(AZ480&lt;=Assumptions!$I$19,"Developing",IF(AZ480&lt;=Assumptions!$I$20,"Meets Expectation",IF(AZ480&lt;=Assumptions!$I$21,"Exceeds","Star Performer")))))</f>
        <v>Developing</v>
      </c>
      <c r="BB480" s="0" t="n">
        <f aca="false">IF(AZ480="",0,IF(AZ480&gt;=Assumptions!$I$26,1,0))</f>
        <v>0</v>
      </c>
      <c r="BC480" s="9" t="n">
        <f aca="false">IF(AL480="",2,AL480+2)</f>
        <v>3</v>
      </c>
      <c r="BD480" s="10" t="n">
        <f aca="false">IF(AM480="",ROUND(AVERAGE($AM$2:$AM$921),3),AM480)</f>
        <v>0.548</v>
      </c>
      <c r="BE480" s="9" t="n">
        <f aca="false">1-BD480</f>
        <v>0.452</v>
      </c>
    </row>
    <row r="481" customFormat="false" ht="14.25" hidden="true" customHeight="false" outlineLevel="0" collapsed="false">
      <c r="A481" s="4" t="n">
        <v>371</v>
      </c>
      <c r="B481" s="5" t="n">
        <v>37102300</v>
      </c>
      <c r="C481" s="5" t="s">
        <v>85</v>
      </c>
      <c r="D481" s="5" t="s">
        <v>1928</v>
      </c>
      <c r="E481" s="5" t="s">
        <v>1459</v>
      </c>
      <c r="F481" s="5" t="s">
        <v>1341</v>
      </c>
      <c r="G481" s="5" t="s">
        <v>1342</v>
      </c>
      <c r="H481" s="5" t="s">
        <v>1343</v>
      </c>
      <c r="I481" s="5" t="s">
        <v>63</v>
      </c>
      <c r="J481" s="5" t="s">
        <v>76</v>
      </c>
      <c r="K481" s="5" t="s">
        <v>65</v>
      </c>
      <c r="L481" s="6" t="n">
        <v>40575</v>
      </c>
      <c r="M481" s="5" t="s">
        <v>935</v>
      </c>
      <c r="N481" s="6" t="n">
        <v>30923</v>
      </c>
      <c r="O481" s="5" t="s">
        <v>332</v>
      </c>
      <c r="P481" s="5" t="s">
        <v>333</v>
      </c>
      <c r="Q481" s="5" t="s">
        <v>936</v>
      </c>
      <c r="R481" s="5" t="s">
        <v>133</v>
      </c>
      <c r="S481" s="5" t="s">
        <v>652</v>
      </c>
      <c r="T481" s="6" t="n">
        <v>41365</v>
      </c>
      <c r="U481" s="6"/>
      <c r="V481" s="5" t="s">
        <v>631</v>
      </c>
      <c r="W481" s="5" t="s">
        <v>141</v>
      </c>
      <c r="X481" s="5" t="s">
        <v>631</v>
      </c>
      <c r="Y481" s="5" t="s">
        <v>141</v>
      </c>
      <c r="Z481" s="5" t="s">
        <v>631</v>
      </c>
      <c r="AA481" s="5" t="s">
        <v>1929</v>
      </c>
      <c r="AB481" s="0" t="n">
        <f aca="false">IFERROR(VALUE(R481),0)</f>
        <v>1</v>
      </c>
      <c r="AC481" s="0" t="n">
        <f aca="false">IFERROR(VALUE(M481),"")</f>
        <v>41.9</v>
      </c>
      <c r="AD481" s="0" t="n">
        <f aca="false">IFERROR(VALUE(Q481),"")</f>
        <v>15.4</v>
      </c>
      <c r="AE481" s="0" t="n">
        <f aca="false">IFERROR(VALUE(S481),"")</f>
        <v>16.4</v>
      </c>
      <c r="AF481" s="0" t="n">
        <f aca="false">IF(V481="","",VLOOKUP(V481,Assumptions!$B$6:$C$9,2,FALSE()))</f>
        <v>2</v>
      </c>
      <c r="AG481" s="0" t="n">
        <f aca="false">IF(W481="","",VLOOKUP(W481,Assumptions!$B$6:$C$9,2,FALSE()))</f>
        <v>3</v>
      </c>
      <c r="AH481" s="0" t="n">
        <f aca="false">IF(X481="","",VLOOKUP(X481,Assumptions!$B$6:$C$9,2,FALSE()))</f>
        <v>2</v>
      </c>
      <c r="AI481" s="0" t="n">
        <f aca="false">IF(Y481="","",VLOOKUP(Y481,Assumptions!$B$6:$C$9,2,FALSE()))</f>
        <v>3</v>
      </c>
      <c r="AJ481" s="0" t="n">
        <f aca="false">IF(Z481="","",VLOOKUP(Z481,Assumptions!$B$6:$C$9,2,FALSE()))</f>
        <v>2</v>
      </c>
      <c r="AK481" s="7" t="n">
        <f aca="false">IFERROR(ROUND(AVERAGE(AF481:AJ481),3),"")</f>
        <v>2.4</v>
      </c>
      <c r="AL481" s="7" t="n">
        <f aca="false">IF(OR(AF481="",AJ481=""),"",AJ481-AF481)</f>
        <v>0</v>
      </c>
      <c r="AM481" s="7" t="n">
        <f aca="false">IF(COUNT(AF481:AJ481)&gt;=2,ROUND(_xlfn.STDEV.S(AF481:AJ481),3),"")</f>
        <v>0.548</v>
      </c>
      <c r="AN481" s="7" t="n">
        <f aca="false">ROUND((IF(AF481="",0,AF481)*Assumptions!$F$15)+(IF(AG481="",0,AG481)*Assumptions!$F$16)+(IF(AH481="",0,AH481)*Assumptions!$F$17)+(IF(AI481="",0,AI481)*Assumptions!$F$18)+(IF(AJ481="",0,AJ481)*Assumptions!$F$19),3)</f>
        <v>2.4</v>
      </c>
      <c r="AO481" s="0" t="str">
        <f aca="false">IF(AC481&lt;=20,"",IF(AC481&lt;=Assumptions!$F$6,"20-30",IF(AC481&lt;=Assumptions!$F$7,"30-40",IF(AC481&lt;=Assumptions!$F$8,"40-50",IF(AC481&lt;=Assumptions!$F$9,"50-60",IF(AC481&lt;=Assumptions!$F$10,"60+",""))))))</f>
        <v>40-50</v>
      </c>
      <c r="AP481" s="0" t="str">
        <f aca="false">IFERROR(VLOOKUP(O481,Assumptions!$B$14:$C$26,2,FALSE()),"Other")</f>
        <v>Manager</v>
      </c>
      <c r="AQ481" s="0" t="n">
        <f aca="false">IF(T481="",0,1)</f>
        <v>1</v>
      </c>
      <c r="AR481" s="0" t="n">
        <f aca="false">IF(U481="",0,1)</f>
        <v>0</v>
      </c>
      <c r="AS481" s="8" t="n">
        <f aca="false">IF(AK481="","",IF(MAX($AK$2:$AK$921)=MIN($AK$2:$AK$921),50,ROUND((AK481-MIN($AK$2:$AK$921))/(MAX($AK$2:$AK$921)-MIN($AK$2:$AK$921))*100,2)))</f>
        <v>31.42</v>
      </c>
      <c r="AT481" s="8" t="n">
        <f aca="false">IF(MAX($BC$2:$BC$921)=MIN($BC$2:$BC$921),50,ROUND((BC481-MIN($BC$2:$BC$921))/(MAX($BC$2:$BC$921)-MIN($BC$2:$BC$921))*100,2))</f>
        <v>50</v>
      </c>
      <c r="AU481" s="8" t="n">
        <f aca="false">IF(MAX($BE$2:$BE$921)=MIN($BE$2:$BE$921),50,ROUND((BE481-MIN($BE$2:$BE$921))/(MAX($BE$2:$BE$921)-MIN($BE$2:$BE$921))*100,2))</f>
        <v>68.36</v>
      </c>
      <c r="AV481" s="8" t="n">
        <f aca="false">IF(MAX($AD$2:$AD$921)=MIN($AD$2:$AD$921),50,ROUND((AD481-MIN($AD$2:$AD$921))/(MAX($AD$2:$AD$921)-MIN($AD$2:$AD$921))*100,2))</f>
        <v>41.56</v>
      </c>
      <c r="AW481" s="8" t="n">
        <f aca="false">IF(MAX($AN$2:$AN$921)=MIN($AN$2:$AN$921),50,ROUND((AN481-MIN($AN$2:$AN$921))/(MAX($AN$2:$AN$921)-MIN($AN$2:$AN$921))*100,2))</f>
        <v>60</v>
      </c>
      <c r="AX481" s="8" t="n">
        <f aca="false">AQ481*100</f>
        <v>100</v>
      </c>
      <c r="AY481" s="8" t="n">
        <f aca="false">AR481*100</f>
        <v>0</v>
      </c>
      <c r="AZ481" s="8" t="n">
        <f aca="false">IFERROR(ROUND(AS481*Assumptions!$I$6+AW481*Assumptions!$I$7+AT481*Assumptions!$I$8+AU481*Assumptions!$I$9+AV481*Assumptions!$I$10+AX481*Assumptions!$I$11+AY481*Assumptions!$I$12,2),"")</f>
        <v>48.34</v>
      </c>
      <c r="BA481" s="0" t="str">
        <f aca="false">IF(AZ481="","",IF(AZ481&lt;=Assumptions!$I$18,"Below Expectation",IF(AZ481&lt;=Assumptions!$I$19,"Developing",IF(AZ481&lt;=Assumptions!$I$20,"Meets Expectation",IF(AZ481&lt;=Assumptions!$I$21,"Exceeds","Star Performer")))))</f>
        <v>Developing</v>
      </c>
      <c r="BB481" s="0" t="n">
        <f aca="false">IF(AZ481="",0,IF(AZ481&gt;=Assumptions!$I$26,1,0))</f>
        <v>0</v>
      </c>
      <c r="BC481" s="9" t="n">
        <f aca="false">IF(AL481="",2,AL481+2)</f>
        <v>2</v>
      </c>
      <c r="BD481" s="10" t="n">
        <f aca="false">IF(AM481="",ROUND(AVERAGE($AM$2:$AM$921),3),AM481)</f>
        <v>0.548</v>
      </c>
      <c r="BE481" s="9" t="n">
        <f aca="false">1-BD481</f>
        <v>0.452</v>
      </c>
    </row>
    <row r="482" customFormat="false" ht="14.25" hidden="true" customHeight="false" outlineLevel="0" collapsed="false">
      <c r="A482" s="4" t="n">
        <v>472</v>
      </c>
      <c r="B482" s="5" t="n">
        <v>55042038</v>
      </c>
      <c r="C482" s="5" t="s">
        <v>57</v>
      </c>
      <c r="D482" s="5" t="s">
        <v>1930</v>
      </c>
      <c r="E482" s="5" t="s">
        <v>514</v>
      </c>
      <c r="F482" s="5" t="s">
        <v>608</v>
      </c>
      <c r="G482" s="5" t="s">
        <v>609</v>
      </c>
      <c r="H482" s="5" t="s">
        <v>608</v>
      </c>
      <c r="I482" s="5" t="s">
        <v>63</v>
      </c>
      <c r="J482" s="5" t="s">
        <v>100</v>
      </c>
      <c r="K482" s="5" t="s">
        <v>65</v>
      </c>
      <c r="L482" s="6" t="n">
        <v>44404</v>
      </c>
      <c r="M482" s="5" t="s">
        <v>1229</v>
      </c>
      <c r="N482" s="6" t="n">
        <v>33683</v>
      </c>
      <c r="O482" s="5" t="s">
        <v>365</v>
      </c>
      <c r="P482" s="5" t="s">
        <v>365</v>
      </c>
      <c r="Q482" s="5" t="s">
        <v>523</v>
      </c>
      <c r="R482" s="5" t="s">
        <v>903</v>
      </c>
      <c r="S482" s="5" t="s">
        <v>1396</v>
      </c>
      <c r="T482" s="6"/>
      <c r="U482" s="6"/>
      <c r="V482" s="5" t="s">
        <v>631</v>
      </c>
      <c r="W482" s="5" t="s">
        <v>631</v>
      </c>
      <c r="X482" s="5" t="s">
        <v>141</v>
      </c>
      <c r="Y482" s="5" t="s">
        <v>141</v>
      </c>
      <c r="Z482" s="5" t="s">
        <v>141</v>
      </c>
      <c r="AA482" s="5" t="s">
        <v>1931</v>
      </c>
      <c r="AB482" s="0" t="n">
        <f aca="false">IFERROR(VALUE(R482),0)</f>
        <v>6.7</v>
      </c>
      <c r="AC482" s="0" t="n">
        <f aca="false">IFERROR(VALUE(M482),"")</f>
        <v>34.2</v>
      </c>
      <c r="AD482" s="0" t="n">
        <f aca="false">IFERROR(VALUE(Q482),"")</f>
        <v>4.1</v>
      </c>
      <c r="AE482" s="0" t="n">
        <f aca="false">IFERROR(VALUE(S482),"")</f>
        <v>11.5</v>
      </c>
      <c r="AF482" s="0" t="n">
        <f aca="false">IF(V482="","",VLOOKUP(V482,Assumptions!$B$6:$C$9,2,FALSE()))</f>
        <v>2</v>
      </c>
      <c r="AG482" s="0" t="n">
        <f aca="false">IF(W482="","",VLOOKUP(W482,Assumptions!$B$6:$C$9,2,FALSE()))</f>
        <v>2</v>
      </c>
      <c r="AH482" s="0" t="n">
        <f aca="false">IF(X482="","",VLOOKUP(X482,Assumptions!$B$6:$C$9,2,FALSE()))</f>
        <v>3</v>
      </c>
      <c r="AI482" s="0" t="n">
        <f aca="false">IF(Y482="","",VLOOKUP(Y482,Assumptions!$B$6:$C$9,2,FALSE()))</f>
        <v>3</v>
      </c>
      <c r="AJ482" s="0" t="n">
        <f aca="false">IF(Z482="","",VLOOKUP(Z482,Assumptions!$B$6:$C$9,2,FALSE()))</f>
        <v>3</v>
      </c>
      <c r="AK482" s="7" t="n">
        <f aca="false">IFERROR(ROUND(AVERAGE(AF482:AJ482),3),"")</f>
        <v>2.6</v>
      </c>
      <c r="AL482" s="7" t="n">
        <f aca="false">IF(OR(AF482="",AJ482=""),"",AJ482-AF482)</f>
        <v>1</v>
      </c>
      <c r="AM482" s="7" t="n">
        <f aca="false">IF(COUNT(AF482:AJ482)&gt;=2,ROUND(_xlfn.STDEV.S(AF482:AJ482),3),"")</f>
        <v>0.548</v>
      </c>
      <c r="AN482" s="7" t="n">
        <f aca="false">ROUND((IF(AF482="",0,AF482)*Assumptions!$F$15)+(IF(AG482="",0,AG482)*Assumptions!$F$16)+(IF(AH482="",0,AH482)*Assumptions!$F$17)+(IF(AI482="",0,AI482)*Assumptions!$F$18)+(IF(AJ482="",0,AJ482)*Assumptions!$F$19),3)</f>
        <v>2.75</v>
      </c>
      <c r="AO482" s="0" t="str">
        <f aca="false">IF(AC482&lt;=20,"",IF(AC482&lt;=Assumptions!$F$6,"20-30",IF(AC482&lt;=Assumptions!$F$7,"30-40",IF(AC482&lt;=Assumptions!$F$8,"40-50",IF(AC482&lt;=Assumptions!$F$9,"50-60",IF(AC482&lt;=Assumptions!$F$10,"60+",""))))))</f>
        <v>30-40</v>
      </c>
      <c r="AP482" s="0" t="str">
        <f aca="false">IFERROR(VLOOKUP(O482,Assumptions!$B$14:$C$26,2,FALSE()),"Other")</f>
        <v>Manager</v>
      </c>
      <c r="AQ482" s="0" t="n">
        <f aca="false">IF(T482="",0,1)</f>
        <v>0</v>
      </c>
      <c r="AR482" s="0" t="n">
        <f aca="false">IF(U482="",0,1)</f>
        <v>0</v>
      </c>
      <c r="AS482" s="8" t="n">
        <f aca="false">IF(AK482="","",IF(MAX($AK$2:$AK$921)=MIN($AK$2:$AK$921),50,ROUND((AK482-MIN($AK$2:$AK$921))/(MAX($AK$2:$AK$921)-MIN($AK$2:$AK$921))*100,2)))</f>
        <v>39.99</v>
      </c>
      <c r="AT482" s="8" t="n">
        <f aca="false">IF(MAX($BC$2:$BC$921)=MIN($BC$2:$BC$921),50,ROUND((BC482-MIN($BC$2:$BC$921))/(MAX($BC$2:$BC$921)-MIN($BC$2:$BC$921))*100,2))</f>
        <v>75</v>
      </c>
      <c r="AU482" s="8" t="n">
        <f aca="false">IF(MAX($BE$2:$BE$921)=MIN($BE$2:$BE$921),50,ROUND((BE482-MIN($BE$2:$BE$921))/(MAX($BE$2:$BE$921)-MIN($BE$2:$BE$921))*100,2))</f>
        <v>68.36</v>
      </c>
      <c r="AV482" s="8" t="n">
        <f aca="false">IF(MAX($AD$2:$AD$921)=MIN($AD$2:$AD$921),50,ROUND((AD482-MIN($AD$2:$AD$921))/(MAX($AD$2:$AD$921)-MIN($AD$2:$AD$921))*100,2))</f>
        <v>10.85</v>
      </c>
      <c r="AW482" s="8" t="n">
        <f aca="false">IF(MAX($AN$2:$AN$921)=MIN($AN$2:$AN$921),50,ROUND((AN482-MIN($AN$2:$AN$921))/(MAX($AN$2:$AN$921)-MIN($AN$2:$AN$921))*100,2))</f>
        <v>68.75</v>
      </c>
      <c r="AX482" s="8" t="n">
        <f aca="false">AQ482*100</f>
        <v>0</v>
      </c>
      <c r="AY482" s="8" t="n">
        <f aca="false">AR482*100</f>
        <v>0</v>
      </c>
      <c r="AZ482" s="8" t="n">
        <f aca="false">IFERROR(ROUND(AS482*Assumptions!$I$6+AW482*Assumptions!$I$7+AT482*Assumptions!$I$8+AU482*Assumptions!$I$9+AV482*Assumptions!$I$10+AX482*Assumptions!$I$11+AY482*Assumptions!$I$12,2),"")</f>
        <v>48.34</v>
      </c>
      <c r="BA482" s="0" t="str">
        <f aca="false">IF(AZ482="","",IF(AZ482&lt;=Assumptions!$I$18,"Below Expectation",IF(AZ482&lt;=Assumptions!$I$19,"Developing",IF(AZ482&lt;=Assumptions!$I$20,"Meets Expectation",IF(AZ482&lt;=Assumptions!$I$21,"Exceeds","Star Performer")))))</f>
        <v>Developing</v>
      </c>
      <c r="BB482" s="0" t="n">
        <f aca="false">IF(AZ482="",0,IF(AZ482&gt;=Assumptions!$I$26,1,0))</f>
        <v>0</v>
      </c>
      <c r="BC482" s="9" t="n">
        <f aca="false">IF(AL482="",2,AL482+2)</f>
        <v>3</v>
      </c>
      <c r="BD482" s="10" t="n">
        <f aca="false">IF(AM482="",ROUND(AVERAGE($AM$2:$AM$921),3),AM482)</f>
        <v>0.548</v>
      </c>
      <c r="BE482" s="9" t="n">
        <f aca="false">1-BD482</f>
        <v>0.452</v>
      </c>
    </row>
    <row r="483" customFormat="false" ht="14.25" hidden="true" customHeight="false" outlineLevel="0" collapsed="false">
      <c r="A483" s="4" t="n">
        <v>888</v>
      </c>
      <c r="B483" s="5" t="n">
        <v>55121473</v>
      </c>
      <c r="C483" s="5" t="s">
        <v>149</v>
      </c>
      <c r="D483" s="5" t="s">
        <v>1932</v>
      </c>
      <c r="E483" s="5" t="s">
        <v>151</v>
      </c>
      <c r="F483" s="5" t="s">
        <v>1399</v>
      </c>
      <c r="G483" s="5" t="s">
        <v>1400</v>
      </c>
      <c r="H483" s="5" t="s">
        <v>1399</v>
      </c>
      <c r="I483" s="5" t="s">
        <v>63</v>
      </c>
      <c r="J483" s="5" t="s">
        <v>100</v>
      </c>
      <c r="K483" s="5" t="s">
        <v>309</v>
      </c>
      <c r="L483" s="6" t="n">
        <v>45474</v>
      </c>
      <c r="M483" s="5" t="s">
        <v>1379</v>
      </c>
      <c r="N483" s="6" t="n">
        <v>34981</v>
      </c>
      <c r="O483" s="5" t="s">
        <v>365</v>
      </c>
      <c r="P483" s="5" t="s">
        <v>365</v>
      </c>
      <c r="Q483" s="5" t="s">
        <v>204</v>
      </c>
      <c r="R483" s="5" t="s">
        <v>426</v>
      </c>
      <c r="S483" s="5" t="s">
        <v>458</v>
      </c>
      <c r="T483" s="6"/>
      <c r="U483" s="6"/>
      <c r="V483" s="5"/>
      <c r="W483" s="5"/>
      <c r="X483" s="5"/>
      <c r="Y483" s="5" t="s">
        <v>141</v>
      </c>
      <c r="Z483" s="5" t="s">
        <v>141</v>
      </c>
      <c r="AA483" s="5" t="s">
        <v>1933</v>
      </c>
      <c r="AB483" s="0" t="n">
        <f aca="false">IFERROR(VALUE(R483),0)</f>
        <v>6.9</v>
      </c>
      <c r="AC483" s="0" t="n">
        <f aca="false">IFERROR(VALUE(M483),"")</f>
        <v>30.7</v>
      </c>
      <c r="AD483" s="0" t="n">
        <f aca="false">IFERROR(VALUE(Q483),"")</f>
        <v>1.11</v>
      </c>
      <c r="AE483" s="0" t="n">
        <f aca="false">IFERROR(VALUE(S483),"")</f>
        <v>8.8</v>
      </c>
      <c r="AF483" s="0" t="str">
        <f aca="false">IF(V483="","",VLOOKUP(V483,Assumptions!$B$6:$C$9,2,FALSE()))</f>
        <v/>
      </c>
      <c r="AG483" s="0" t="str">
        <f aca="false">IF(W483="","",VLOOKUP(W483,Assumptions!$B$6:$C$9,2,FALSE()))</f>
        <v/>
      </c>
      <c r="AH483" s="0" t="str">
        <f aca="false">IF(X483="","",VLOOKUP(X483,Assumptions!$B$6:$C$9,2,FALSE()))</f>
        <v/>
      </c>
      <c r="AI483" s="0" t="n">
        <f aca="false">IF(Y483="","",VLOOKUP(Y483,Assumptions!$B$6:$C$9,2,FALSE()))</f>
        <v>3</v>
      </c>
      <c r="AJ483" s="0" t="n">
        <f aca="false">IF(Z483="","",VLOOKUP(Z483,Assumptions!$B$6:$C$9,2,FALSE()))</f>
        <v>3</v>
      </c>
      <c r="AK483" s="7" t="n">
        <f aca="false">IFERROR(ROUND(AVERAGE(AF483:AJ483),3),"")</f>
        <v>3</v>
      </c>
      <c r="AL483" s="7" t="str">
        <f aca="false">IF(OR(AF483="",AJ483=""),"",AJ483-AF483)</f>
        <v/>
      </c>
      <c r="AM483" s="7" t="n">
        <f aca="false">IF(COUNT(AF483:AJ483)&gt;=2,ROUND(_xlfn.STDEV.S(AF483:AJ483),3),"")</f>
        <v>0</v>
      </c>
      <c r="AN483" s="7" t="n">
        <f aca="false">ROUND((IF(AF483="",0,AF483)*Assumptions!$F$15)+(IF(AG483="",0,AG483)*Assumptions!$F$16)+(IF(AH483="",0,AH483)*Assumptions!$F$17)+(IF(AI483="",0,AI483)*Assumptions!$F$18)+(IF(AJ483="",0,AJ483)*Assumptions!$F$19),3)</f>
        <v>1.65</v>
      </c>
      <c r="AO483" s="0" t="str">
        <f aca="false">IF(AC483&lt;=20,"",IF(AC483&lt;=Assumptions!$F$6,"20-30",IF(AC483&lt;=Assumptions!$F$7,"30-40",IF(AC483&lt;=Assumptions!$F$8,"40-50",IF(AC483&lt;=Assumptions!$F$9,"50-60",IF(AC483&lt;=Assumptions!$F$10,"60+",""))))))</f>
        <v>30-40</v>
      </c>
      <c r="AP483" s="0" t="str">
        <f aca="false">IFERROR(VLOOKUP(O483,Assumptions!$B$14:$C$26,2,FALSE()),"Other")</f>
        <v>Manager</v>
      </c>
      <c r="AQ483" s="0" t="n">
        <f aca="false">IF(T483="",0,1)</f>
        <v>0</v>
      </c>
      <c r="AR483" s="0" t="n">
        <f aca="false">IF(U483="",0,1)</f>
        <v>0</v>
      </c>
      <c r="AS483" s="8" t="n">
        <f aca="false">IF(AK483="","",IF(MAX($AK$2:$AK$921)=MIN($AK$2:$AK$921),50,ROUND((AK483-MIN($AK$2:$AK$921))/(MAX($AK$2:$AK$921)-MIN($AK$2:$AK$921))*100,2)))</f>
        <v>57.14</v>
      </c>
      <c r="AT483" s="8" t="n">
        <f aca="false">IF(MAX($BC$2:$BC$921)=MIN($BC$2:$BC$921),50,ROUND((BC483-MIN($BC$2:$BC$921))/(MAX($BC$2:$BC$921)-MIN($BC$2:$BC$921))*100,2))</f>
        <v>50</v>
      </c>
      <c r="AU483" s="8" t="n">
        <f aca="false">IF(MAX($BE$2:$BE$921)=MIN($BE$2:$BE$921),50,ROUND((BE483-MIN($BE$2:$BE$921))/(MAX($BE$2:$BE$921)-MIN($BE$2:$BE$921))*100,2))</f>
        <v>100</v>
      </c>
      <c r="AV483" s="8" t="n">
        <f aca="false">IF(MAX($AD$2:$AD$921)=MIN($AD$2:$AD$921),50,ROUND((AD483-MIN($AD$2:$AD$921))/(MAX($AD$2:$AD$921)-MIN($AD$2:$AD$921))*100,2))</f>
        <v>2.72</v>
      </c>
      <c r="AW483" s="8" t="n">
        <f aca="false">IF(MAX($AN$2:$AN$921)=MIN($AN$2:$AN$921),50,ROUND((AN483-MIN($AN$2:$AN$921))/(MAX($AN$2:$AN$921)-MIN($AN$2:$AN$921))*100,2))</f>
        <v>41.25</v>
      </c>
      <c r="AX483" s="8" t="n">
        <f aca="false">AQ483*100</f>
        <v>0</v>
      </c>
      <c r="AY483" s="8" t="n">
        <f aca="false">AR483*100</f>
        <v>0</v>
      </c>
      <c r="AZ483" s="8" t="n">
        <f aca="false">IFERROR(ROUND(AS483*Assumptions!$I$6+AW483*Assumptions!$I$7+AT483*Assumptions!$I$8+AU483*Assumptions!$I$9+AV483*Assumptions!$I$10+AX483*Assumptions!$I$11+AY483*Assumptions!$I$12,2),"")</f>
        <v>48.16</v>
      </c>
      <c r="BA483" s="0" t="str">
        <f aca="false">IF(AZ483="","",IF(AZ483&lt;=Assumptions!$I$18,"Below Expectation",IF(AZ483&lt;=Assumptions!$I$19,"Developing",IF(AZ483&lt;=Assumptions!$I$20,"Meets Expectation",IF(AZ483&lt;=Assumptions!$I$21,"Exceeds","Star Performer")))))</f>
        <v>Developing</v>
      </c>
      <c r="BB483" s="0" t="n">
        <f aca="false">IF(AZ483="",0,IF(AZ483&gt;=Assumptions!$I$26,1,0))</f>
        <v>0</v>
      </c>
      <c r="BC483" s="9" t="n">
        <f aca="false">IF(AL483="",2,AL483+2)</f>
        <v>2</v>
      </c>
      <c r="BD483" s="10" t="n">
        <f aca="false">IF(AM483="",ROUND(AVERAGE($AM$2:$AM$921),3),AM483)</f>
        <v>0</v>
      </c>
      <c r="BE483" s="9" t="n">
        <f aca="false">1-BD483</f>
        <v>1</v>
      </c>
    </row>
    <row r="484" customFormat="false" ht="14.25" hidden="true" customHeight="false" outlineLevel="0" collapsed="false">
      <c r="A484" s="4" t="n">
        <v>671</v>
      </c>
      <c r="B484" s="5" t="n">
        <v>55059072</v>
      </c>
      <c r="C484" s="5" t="s">
        <v>85</v>
      </c>
      <c r="D484" s="5" t="s">
        <v>1934</v>
      </c>
      <c r="E484" s="5" t="s">
        <v>315</v>
      </c>
      <c r="F484" s="5" t="s">
        <v>602</v>
      </c>
      <c r="G484" s="5" t="s">
        <v>603</v>
      </c>
      <c r="H484" s="5" t="s">
        <v>602</v>
      </c>
      <c r="I484" s="5" t="s">
        <v>63</v>
      </c>
      <c r="J484" s="5" t="s">
        <v>76</v>
      </c>
      <c r="K484" s="5" t="s">
        <v>65</v>
      </c>
      <c r="L484" s="6" t="n">
        <v>44846</v>
      </c>
      <c r="M484" s="5" t="s">
        <v>1709</v>
      </c>
      <c r="N484" s="6" t="n">
        <v>33947</v>
      </c>
      <c r="O484" s="5" t="s">
        <v>365</v>
      </c>
      <c r="P484" s="5" t="s">
        <v>365</v>
      </c>
      <c r="Q484" s="5" t="s">
        <v>335</v>
      </c>
      <c r="R484" s="5" t="s">
        <v>726</v>
      </c>
      <c r="S484" s="5" t="s">
        <v>1935</v>
      </c>
      <c r="T484" s="6"/>
      <c r="U484" s="6"/>
      <c r="V484" s="5"/>
      <c r="W484" s="5" t="s">
        <v>631</v>
      </c>
      <c r="X484" s="5" t="s">
        <v>141</v>
      </c>
      <c r="Y484" s="5" t="s">
        <v>141</v>
      </c>
      <c r="Z484" s="5" t="s">
        <v>83</v>
      </c>
      <c r="AA484" s="5" t="s">
        <v>1936</v>
      </c>
      <c r="AB484" s="0" t="n">
        <f aca="false">IFERROR(VALUE(R484),0)</f>
        <v>5.5</v>
      </c>
      <c r="AC484" s="0" t="n">
        <f aca="false">IFERROR(VALUE(M484),"")</f>
        <v>33.5</v>
      </c>
      <c r="AD484" s="0" t="n">
        <f aca="false">IFERROR(VALUE(Q484),"")</f>
        <v>3.7</v>
      </c>
      <c r="AE484" s="0" t="n">
        <f aca="false">IFERROR(VALUE(S484),"")</f>
        <v>9</v>
      </c>
      <c r="AF484" s="0" t="str">
        <f aca="false">IF(V484="","",VLOOKUP(V484,Assumptions!$B$6:$C$9,2,FALSE()))</f>
        <v/>
      </c>
      <c r="AG484" s="0" t="n">
        <f aca="false">IF(W484="","",VLOOKUP(W484,Assumptions!$B$6:$C$9,2,FALSE()))</f>
        <v>2</v>
      </c>
      <c r="AH484" s="0" t="n">
        <f aca="false">IF(X484="","",VLOOKUP(X484,Assumptions!$B$6:$C$9,2,FALSE()))</f>
        <v>3</v>
      </c>
      <c r="AI484" s="0" t="n">
        <f aca="false">IF(Y484="","",VLOOKUP(Y484,Assumptions!$B$6:$C$9,2,FALSE()))</f>
        <v>3</v>
      </c>
      <c r="AJ484" s="0" t="n">
        <f aca="false">IF(Z484="","",VLOOKUP(Z484,Assumptions!$B$6:$C$9,2,FALSE()))</f>
        <v>4</v>
      </c>
      <c r="AK484" s="7" t="n">
        <f aca="false">IFERROR(ROUND(AVERAGE(AF484:AJ484),3),"")</f>
        <v>3</v>
      </c>
      <c r="AL484" s="7" t="str">
        <f aca="false">IF(OR(AF484="",AJ484=""),"",AJ484-AF484)</f>
        <v/>
      </c>
      <c r="AM484" s="7" t="n">
        <f aca="false">IF(COUNT(AF484:AJ484)&gt;=2,ROUND(_xlfn.STDEV.S(AF484:AJ484),3),"")</f>
        <v>0.816</v>
      </c>
      <c r="AN484" s="7" t="n">
        <f aca="false">ROUND((IF(AF484="",0,AF484)*Assumptions!$F$15)+(IF(AG484="",0,AG484)*Assumptions!$F$16)+(IF(AH484="",0,AH484)*Assumptions!$F$17)+(IF(AI484="",0,AI484)*Assumptions!$F$18)+(IF(AJ484="",0,AJ484)*Assumptions!$F$19),3)</f>
        <v>2.85</v>
      </c>
      <c r="AO484" s="0" t="str">
        <f aca="false">IF(AC484&lt;=20,"",IF(AC484&lt;=Assumptions!$F$6,"20-30",IF(AC484&lt;=Assumptions!$F$7,"30-40",IF(AC484&lt;=Assumptions!$F$8,"40-50",IF(AC484&lt;=Assumptions!$F$9,"50-60",IF(AC484&lt;=Assumptions!$F$10,"60+",""))))))</f>
        <v>30-40</v>
      </c>
      <c r="AP484" s="0" t="str">
        <f aca="false">IFERROR(VLOOKUP(O484,Assumptions!$B$14:$C$26,2,FALSE()),"Other")</f>
        <v>Manager</v>
      </c>
      <c r="AQ484" s="0" t="n">
        <f aca="false">IF(T484="",0,1)</f>
        <v>0</v>
      </c>
      <c r="AR484" s="0" t="n">
        <f aca="false">IF(U484="",0,1)</f>
        <v>0</v>
      </c>
      <c r="AS484" s="8" t="n">
        <f aca="false">IF(AK484="","",IF(MAX($AK$2:$AK$921)=MIN($AK$2:$AK$921),50,ROUND((AK484-MIN($AK$2:$AK$921))/(MAX($AK$2:$AK$921)-MIN($AK$2:$AK$921))*100,2)))</f>
        <v>57.14</v>
      </c>
      <c r="AT484" s="8" t="n">
        <f aca="false">IF(MAX($BC$2:$BC$921)=MIN($BC$2:$BC$921),50,ROUND((BC484-MIN($BC$2:$BC$921))/(MAX($BC$2:$BC$921)-MIN($BC$2:$BC$921))*100,2))</f>
        <v>50</v>
      </c>
      <c r="AU484" s="8" t="n">
        <f aca="false">IF(MAX($BE$2:$BE$921)=MIN($BE$2:$BE$921),50,ROUND((BE484-MIN($BE$2:$BE$921))/(MAX($BE$2:$BE$921)-MIN($BE$2:$BE$921))*100,2))</f>
        <v>52.89</v>
      </c>
      <c r="AV484" s="8" t="n">
        <f aca="false">IF(MAX($AD$2:$AD$921)=MIN($AD$2:$AD$921),50,ROUND((AD484-MIN($AD$2:$AD$921))/(MAX($AD$2:$AD$921)-MIN($AD$2:$AD$921))*100,2))</f>
        <v>9.76</v>
      </c>
      <c r="AW484" s="8" t="n">
        <f aca="false">IF(MAX($AN$2:$AN$921)=MIN($AN$2:$AN$921),50,ROUND((AN484-MIN($AN$2:$AN$921))/(MAX($AN$2:$AN$921)-MIN($AN$2:$AN$921))*100,2))</f>
        <v>71.25</v>
      </c>
      <c r="AX484" s="8" t="n">
        <f aca="false">AQ484*100</f>
        <v>0</v>
      </c>
      <c r="AY484" s="8" t="n">
        <f aca="false">AR484*100</f>
        <v>0</v>
      </c>
      <c r="AZ484" s="8" t="n">
        <f aca="false">IFERROR(ROUND(AS484*Assumptions!$I$6+AW484*Assumptions!$I$7+AT484*Assumptions!$I$8+AU484*Assumptions!$I$9+AV484*Assumptions!$I$10+AX484*Assumptions!$I$11+AY484*Assumptions!$I$12,2),"")</f>
        <v>47.8</v>
      </c>
      <c r="BA484" s="0" t="str">
        <f aca="false">IF(AZ484="","",IF(AZ484&lt;=Assumptions!$I$18,"Below Expectation",IF(AZ484&lt;=Assumptions!$I$19,"Developing",IF(AZ484&lt;=Assumptions!$I$20,"Meets Expectation",IF(AZ484&lt;=Assumptions!$I$21,"Exceeds","Star Performer")))))</f>
        <v>Developing</v>
      </c>
      <c r="BB484" s="0" t="n">
        <f aca="false">IF(AZ484="",0,IF(AZ484&gt;=Assumptions!$I$26,1,0))</f>
        <v>0</v>
      </c>
      <c r="BC484" s="9" t="n">
        <f aca="false">IF(AL484="",2,AL484+2)</f>
        <v>2</v>
      </c>
      <c r="BD484" s="10" t="n">
        <f aca="false">IF(AM484="",ROUND(AVERAGE($AM$2:$AM$921),3),AM484)</f>
        <v>0.816</v>
      </c>
      <c r="BE484" s="9" t="n">
        <f aca="false">1-BD484</f>
        <v>0.184</v>
      </c>
    </row>
    <row r="485" customFormat="false" ht="14.25" hidden="false" customHeight="false" outlineLevel="0" collapsed="false">
      <c r="A485" s="4" t="n">
        <v>522</v>
      </c>
      <c r="B485" s="5" t="n">
        <v>55046199</v>
      </c>
      <c r="C485" s="5" t="s">
        <v>106</v>
      </c>
      <c r="D485" s="5" t="s">
        <v>1937</v>
      </c>
      <c r="E485" s="5" t="s">
        <v>108</v>
      </c>
      <c r="F485" s="5" t="s">
        <v>463</v>
      </c>
      <c r="G485" s="5" t="s">
        <v>589</v>
      </c>
      <c r="H485" s="5" t="s">
        <v>590</v>
      </c>
      <c r="I485" s="5" t="s">
        <v>63</v>
      </c>
      <c r="J485" s="5" t="s">
        <v>112</v>
      </c>
      <c r="K485" s="5" t="s">
        <v>309</v>
      </c>
      <c r="L485" s="6" t="n">
        <v>44578</v>
      </c>
      <c r="M485" s="5" t="s">
        <v>1690</v>
      </c>
      <c r="N485" s="6" t="n">
        <v>36553</v>
      </c>
      <c r="O485" s="5" t="s">
        <v>1264</v>
      </c>
      <c r="P485" s="5" t="s">
        <v>1559</v>
      </c>
      <c r="Q485" s="5" t="s">
        <v>545</v>
      </c>
      <c r="R485" s="5" t="s">
        <v>115</v>
      </c>
      <c r="S485" s="5" t="s">
        <v>545</v>
      </c>
      <c r="T485" s="6"/>
      <c r="U485" s="6"/>
      <c r="V485" s="5"/>
      <c r="W485" s="5" t="s">
        <v>141</v>
      </c>
      <c r="X485" s="5" t="s">
        <v>631</v>
      </c>
      <c r="Y485" s="5" t="s">
        <v>141</v>
      </c>
      <c r="Z485" s="5" t="s">
        <v>83</v>
      </c>
      <c r="AA485" s="5" t="s">
        <v>1938</v>
      </c>
      <c r="AB485" s="0" t="n">
        <f aca="false">IFERROR(VALUE(R485),0)</f>
        <v>0</v>
      </c>
      <c r="AC485" s="0" t="n">
        <f aca="false">IFERROR(VALUE(M485),"")</f>
        <v>26.4</v>
      </c>
      <c r="AD485" s="0" t="n">
        <f aca="false">IFERROR(VALUE(Q485),"")</f>
        <v>4.4</v>
      </c>
      <c r="AE485" s="0" t="n">
        <f aca="false">IFERROR(VALUE(S485),"")</f>
        <v>4.4</v>
      </c>
      <c r="AF485" s="0" t="str">
        <f aca="false">IF(V485="","",VLOOKUP(V485,Assumptions!$B$6:$C$9,2,FALSE()))</f>
        <v/>
      </c>
      <c r="AG485" s="0" t="n">
        <f aca="false">IF(W485="","",VLOOKUP(W485,Assumptions!$B$6:$C$9,2,FALSE()))</f>
        <v>3</v>
      </c>
      <c r="AH485" s="0" t="n">
        <f aca="false">IF(X485="","",VLOOKUP(X485,Assumptions!$B$6:$C$9,2,FALSE()))</f>
        <v>2</v>
      </c>
      <c r="AI485" s="0" t="n">
        <f aca="false">IF(Y485="","",VLOOKUP(Y485,Assumptions!$B$6:$C$9,2,FALSE()))</f>
        <v>3</v>
      </c>
      <c r="AJ485" s="0" t="n">
        <f aca="false">IF(Z485="","",VLOOKUP(Z485,Assumptions!$B$6:$C$9,2,FALSE()))</f>
        <v>4</v>
      </c>
      <c r="AK485" s="7" t="n">
        <f aca="false">IFERROR(ROUND(AVERAGE(AF485:AJ485),3),"")</f>
        <v>3</v>
      </c>
      <c r="AL485" s="7" t="str">
        <f aca="false">IF(OR(AF485="",AJ485=""),"",AJ485-AF485)</f>
        <v/>
      </c>
      <c r="AM485" s="7" t="n">
        <f aca="false">IF(COUNT(AF485:AJ485)&gt;=2,ROUND(_xlfn.STDEV.S(AF485:AJ485),3),"")</f>
        <v>0.816</v>
      </c>
      <c r="AN485" s="7" t="n">
        <f aca="false">ROUND((IF(AF485="",0,AF485)*Assumptions!$F$15)+(IF(AG485="",0,AG485)*Assumptions!$F$16)+(IF(AH485="",0,AH485)*Assumptions!$F$17)+(IF(AI485="",0,AI485)*Assumptions!$F$18)+(IF(AJ485="",0,AJ485)*Assumptions!$F$19),3)</f>
        <v>2.8</v>
      </c>
      <c r="AO485" s="0" t="str">
        <f aca="false">IF(AC485&lt;=20,"",IF(AC485&lt;=Assumptions!$F$6,"20-30",IF(AC485&lt;=Assumptions!$F$7,"30-40",IF(AC485&lt;=Assumptions!$F$8,"40-50",IF(AC485&lt;=Assumptions!$F$9,"50-60",IF(AC485&lt;=Assumptions!$F$10,"60+",""))))))</f>
        <v>20-30</v>
      </c>
      <c r="AP485" s="0" t="str">
        <f aca="false">IFERROR(VLOOKUP(O485,Assumptions!$B$14:$C$26,2,FALSE()),"Other")</f>
        <v>Manager</v>
      </c>
      <c r="AQ485" s="0" t="n">
        <f aca="false">IF(T485="",0,1)</f>
        <v>0</v>
      </c>
      <c r="AR485" s="0" t="n">
        <f aca="false">IF(U485="",0,1)</f>
        <v>0</v>
      </c>
      <c r="AS485" s="8" t="n">
        <f aca="false">IF(AK485="","",IF(MAX($AK$2:$AK$921)=MIN($AK$2:$AK$921),50,ROUND((AK485-MIN($AK$2:$AK$921))/(MAX($AK$2:$AK$921)-MIN($AK$2:$AK$921))*100,2)))</f>
        <v>57.14</v>
      </c>
      <c r="AT485" s="8" t="n">
        <f aca="false">IF(MAX($BC$2:$BC$921)=MIN($BC$2:$BC$921),50,ROUND((BC485-MIN($BC$2:$BC$921))/(MAX($BC$2:$BC$921)-MIN($BC$2:$BC$921))*100,2))</f>
        <v>50</v>
      </c>
      <c r="AU485" s="8" t="n">
        <f aca="false">IF(MAX($BE$2:$BE$921)=MIN($BE$2:$BE$921),50,ROUND((BE485-MIN($BE$2:$BE$921))/(MAX($BE$2:$BE$921)-MIN($BE$2:$BE$921))*100,2))</f>
        <v>52.89</v>
      </c>
      <c r="AV485" s="8" t="n">
        <f aca="false">IF(MAX($AD$2:$AD$921)=MIN($AD$2:$AD$921),50,ROUND((AD485-MIN($AD$2:$AD$921))/(MAX($AD$2:$AD$921)-MIN($AD$2:$AD$921))*100,2))</f>
        <v>11.66</v>
      </c>
      <c r="AW485" s="8" t="n">
        <f aca="false">IF(MAX($AN$2:$AN$921)=MIN($AN$2:$AN$921),50,ROUND((AN485-MIN($AN$2:$AN$921))/(MAX($AN$2:$AN$921)-MIN($AN$2:$AN$921))*100,2))</f>
        <v>70</v>
      </c>
      <c r="AX485" s="8" t="n">
        <f aca="false">AQ485*100</f>
        <v>0</v>
      </c>
      <c r="AY485" s="8" t="n">
        <f aca="false">AR485*100</f>
        <v>0</v>
      </c>
      <c r="AZ485" s="8" t="n">
        <f aca="false">IFERROR(ROUND(AS485*Assumptions!$I$6+AW485*Assumptions!$I$7+AT485*Assumptions!$I$8+AU485*Assumptions!$I$9+AV485*Assumptions!$I$10+AX485*Assumptions!$I$11+AY485*Assumptions!$I$12,2),"")</f>
        <v>47.74</v>
      </c>
      <c r="BA485" s="0" t="str">
        <f aca="false">IF(AZ485="","",IF(AZ485&lt;=Assumptions!$I$18,"Below Expectation",IF(AZ485&lt;=Assumptions!$I$19,"Developing",IF(AZ485&lt;=Assumptions!$I$20,"Meets Expectation",IF(AZ485&lt;=Assumptions!$I$21,"Exceeds","Star Performer")))))</f>
        <v>Developing</v>
      </c>
      <c r="BB485" s="0" t="n">
        <f aca="false">IF(AZ485="",0,IF(AZ485&gt;=Assumptions!$I$26,1,0))</f>
        <v>0</v>
      </c>
      <c r="BC485" s="9" t="n">
        <f aca="false">IF(AL485="",2,AL485+2)</f>
        <v>2</v>
      </c>
      <c r="BD485" s="10" t="n">
        <f aca="false">IF(AM485="",ROUND(AVERAGE($AM$2:$AM$921),3),AM485)</f>
        <v>0.816</v>
      </c>
      <c r="BE485" s="9" t="n">
        <f aca="false">1-BD485</f>
        <v>0.184</v>
      </c>
    </row>
    <row r="486" customFormat="false" ht="14.25" hidden="true" customHeight="false" outlineLevel="0" collapsed="false">
      <c r="A486" s="4" t="n">
        <v>525</v>
      </c>
      <c r="B486" s="5" t="n">
        <v>55046395</v>
      </c>
      <c r="C486" s="5" t="s">
        <v>57</v>
      </c>
      <c r="D486" s="5" t="s">
        <v>1939</v>
      </c>
      <c r="E486" s="5" t="s">
        <v>607</v>
      </c>
      <c r="F486" s="5" t="s">
        <v>608</v>
      </c>
      <c r="G486" s="5" t="s">
        <v>609</v>
      </c>
      <c r="H486" s="5" t="s">
        <v>608</v>
      </c>
      <c r="I486" s="5" t="s">
        <v>63</v>
      </c>
      <c r="J486" s="5" t="s">
        <v>100</v>
      </c>
      <c r="K486" s="5" t="s">
        <v>65</v>
      </c>
      <c r="L486" s="6" t="n">
        <v>44586</v>
      </c>
      <c r="M486" s="5" t="s">
        <v>598</v>
      </c>
      <c r="N486" s="6" t="n">
        <v>33522</v>
      </c>
      <c r="O486" s="5" t="s">
        <v>365</v>
      </c>
      <c r="P486" s="5" t="s">
        <v>365</v>
      </c>
      <c r="Q486" s="5" t="s">
        <v>545</v>
      </c>
      <c r="R486" s="5" t="s">
        <v>1100</v>
      </c>
      <c r="S486" s="5" t="s">
        <v>391</v>
      </c>
      <c r="T486" s="6"/>
      <c r="U486" s="6"/>
      <c r="V486" s="5"/>
      <c r="W486" s="5" t="s">
        <v>631</v>
      </c>
      <c r="X486" s="5" t="s">
        <v>141</v>
      </c>
      <c r="Y486" s="5" t="s">
        <v>83</v>
      </c>
      <c r="Z486" s="5" t="s">
        <v>141</v>
      </c>
      <c r="AA486" s="5" t="s">
        <v>1940</v>
      </c>
      <c r="AB486" s="0" t="n">
        <f aca="false">IFERROR(VALUE(R486),0)</f>
        <v>6.6</v>
      </c>
      <c r="AC486" s="0" t="n">
        <f aca="false">IFERROR(VALUE(M486),"")</f>
        <v>34.7</v>
      </c>
      <c r="AD486" s="0" t="n">
        <f aca="false">IFERROR(VALUE(Q486),"")</f>
        <v>4.4</v>
      </c>
      <c r="AE486" s="0" t="n">
        <f aca="false">IFERROR(VALUE(S486),"")</f>
        <v>10.1</v>
      </c>
      <c r="AF486" s="0" t="str">
        <f aca="false">IF(V486="","",VLOOKUP(V486,Assumptions!$B$6:$C$9,2,FALSE()))</f>
        <v/>
      </c>
      <c r="AG486" s="0" t="n">
        <f aca="false">IF(W486="","",VLOOKUP(W486,Assumptions!$B$6:$C$9,2,FALSE()))</f>
        <v>2</v>
      </c>
      <c r="AH486" s="0" t="n">
        <f aca="false">IF(X486="","",VLOOKUP(X486,Assumptions!$B$6:$C$9,2,FALSE()))</f>
        <v>3</v>
      </c>
      <c r="AI486" s="0" t="n">
        <f aca="false">IF(Y486="","",VLOOKUP(Y486,Assumptions!$B$6:$C$9,2,FALSE()))</f>
        <v>4</v>
      </c>
      <c r="AJ486" s="0" t="n">
        <f aca="false">IF(Z486="","",VLOOKUP(Z486,Assumptions!$B$6:$C$9,2,FALSE()))</f>
        <v>3</v>
      </c>
      <c r="AK486" s="7" t="n">
        <f aca="false">IFERROR(ROUND(AVERAGE(AF486:AJ486),3),"")</f>
        <v>3</v>
      </c>
      <c r="AL486" s="7" t="str">
        <f aca="false">IF(OR(AF486="",AJ486=""),"",AJ486-AF486)</f>
        <v/>
      </c>
      <c r="AM486" s="7" t="n">
        <f aca="false">IF(COUNT(AF486:AJ486)&gt;=2,ROUND(_xlfn.STDEV.S(AF486:AJ486),3),"")</f>
        <v>0.816</v>
      </c>
      <c r="AN486" s="7" t="n">
        <f aca="false">ROUND((IF(AF486="",0,AF486)*Assumptions!$F$15)+(IF(AG486="",0,AG486)*Assumptions!$F$16)+(IF(AH486="",0,AH486)*Assumptions!$F$17)+(IF(AI486="",0,AI486)*Assumptions!$F$18)+(IF(AJ486="",0,AJ486)*Assumptions!$F$19),3)</f>
        <v>2.8</v>
      </c>
      <c r="AO486" s="0" t="str">
        <f aca="false">IF(AC486&lt;=20,"",IF(AC486&lt;=Assumptions!$F$6,"20-30",IF(AC486&lt;=Assumptions!$F$7,"30-40",IF(AC486&lt;=Assumptions!$F$8,"40-50",IF(AC486&lt;=Assumptions!$F$9,"50-60",IF(AC486&lt;=Assumptions!$F$10,"60+",""))))))</f>
        <v>30-40</v>
      </c>
      <c r="AP486" s="0" t="str">
        <f aca="false">IFERROR(VLOOKUP(O486,Assumptions!$B$14:$C$26,2,FALSE()),"Other")</f>
        <v>Manager</v>
      </c>
      <c r="AQ486" s="0" t="n">
        <f aca="false">IF(T486="",0,1)</f>
        <v>0</v>
      </c>
      <c r="AR486" s="0" t="n">
        <f aca="false">IF(U486="",0,1)</f>
        <v>0</v>
      </c>
      <c r="AS486" s="8" t="n">
        <f aca="false">IF(AK486="","",IF(MAX($AK$2:$AK$921)=MIN($AK$2:$AK$921),50,ROUND((AK486-MIN($AK$2:$AK$921))/(MAX($AK$2:$AK$921)-MIN($AK$2:$AK$921))*100,2)))</f>
        <v>57.14</v>
      </c>
      <c r="AT486" s="8" t="n">
        <f aca="false">IF(MAX($BC$2:$BC$921)=MIN($BC$2:$BC$921),50,ROUND((BC486-MIN($BC$2:$BC$921))/(MAX($BC$2:$BC$921)-MIN($BC$2:$BC$921))*100,2))</f>
        <v>50</v>
      </c>
      <c r="AU486" s="8" t="n">
        <f aca="false">IF(MAX($BE$2:$BE$921)=MIN($BE$2:$BE$921),50,ROUND((BE486-MIN($BE$2:$BE$921))/(MAX($BE$2:$BE$921)-MIN($BE$2:$BE$921))*100,2))</f>
        <v>52.89</v>
      </c>
      <c r="AV486" s="8" t="n">
        <f aca="false">IF(MAX($AD$2:$AD$921)=MIN($AD$2:$AD$921),50,ROUND((AD486-MIN($AD$2:$AD$921))/(MAX($AD$2:$AD$921)-MIN($AD$2:$AD$921))*100,2))</f>
        <v>11.66</v>
      </c>
      <c r="AW486" s="8" t="n">
        <f aca="false">IF(MAX($AN$2:$AN$921)=MIN($AN$2:$AN$921),50,ROUND((AN486-MIN($AN$2:$AN$921))/(MAX($AN$2:$AN$921)-MIN($AN$2:$AN$921))*100,2))</f>
        <v>70</v>
      </c>
      <c r="AX486" s="8" t="n">
        <f aca="false">AQ486*100</f>
        <v>0</v>
      </c>
      <c r="AY486" s="8" t="n">
        <f aca="false">AR486*100</f>
        <v>0</v>
      </c>
      <c r="AZ486" s="8" t="n">
        <f aca="false">IFERROR(ROUND(AS486*Assumptions!$I$6+AW486*Assumptions!$I$7+AT486*Assumptions!$I$8+AU486*Assumptions!$I$9+AV486*Assumptions!$I$10+AX486*Assumptions!$I$11+AY486*Assumptions!$I$12,2),"")</f>
        <v>47.74</v>
      </c>
      <c r="BA486" s="0" t="str">
        <f aca="false">IF(AZ486="","",IF(AZ486&lt;=Assumptions!$I$18,"Below Expectation",IF(AZ486&lt;=Assumptions!$I$19,"Developing",IF(AZ486&lt;=Assumptions!$I$20,"Meets Expectation",IF(AZ486&lt;=Assumptions!$I$21,"Exceeds","Star Performer")))))</f>
        <v>Developing</v>
      </c>
      <c r="BB486" s="0" t="n">
        <f aca="false">IF(AZ486="",0,IF(AZ486&gt;=Assumptions!$I$26,1,0))</f>
        <v>0</v>
      </c>
      <c r="BC486" s="9" t="n">
        <f aca="false">IF(AL486="",2,AL486+2)</f>
        <v>2</v>
      </c>
      <c r="BD486" s="10" t="n">
        <f aca="false">IF(AM486="",ROUND(AVERAGE($AM$2:$AM$921),3),AM486)</f>
        <v>0.816</v>
      </c>
      <c r="BE486" s="9" t="n">
        <f aca="false">1-BD486</f>
        <v>0.184</v>
      </c>
    </row>
    <row r="487" customFormat="false" ht="14.25" hidden="true" customHeight="false" outlineLevel="0" collapsed="false">
      <c r="A487" s="4" t="n">
        <v>423</v>
      </c>
      <c r="B487" s="5" t="n">
        <v>50010398</v>
      </c>
      <c r="C487" s="5" t="s">
        <v>85</v>
      </c>
      <c r="D487" s="5" t="s">
        <v>1941</v>
      </c>
      <c r="E487" s="5" t="s">
        <v>137</v>
      </c>
      <c r="F487" s="5" t="s">
        <v>349</v>
      </c>
      <c r="G487" s="5" t="s">
        <v>350</v>
      </c>
      <c r="H487" s="5" t="s">
        <v>349</v>
      </c>
      <c r="I487" s="5" t="s">
        <v>63</v>
      </c>
      <c r="J487" s="5" t="s">
        <v>76</v>
      </c>
      <c r="K487" s="5" t="s">
        <v>65</v>
      </c>
      <c r="L487" s="6" t="n">
        <v>41018</v>
      </c>
      <c r="M487" s="5" t="s">
        <v>331</v>
      </c>
      <c r="N487" s="6" t="n">
        <v>32736</v>
      </c>
      <c r="O487" s="5" t="s">
        <v>332</v>
      </c>
      <c r="P487" s="5" t="s">
        <v>333</v>
      </c>
      <c r="Q487" s="5" t="s">
        <v>270</v>
      </c>
      <c r="R487" s="5" t="s">
        <v>115</v>
      </c>
      <c r="S487" s="5" t="s">
        <v>270</v>
      </c>
      <c r="T487" s="6" t="n">
        <v>42926</v>
      </c>
      <c r="U487" s="6"/>
      <c r="V487" s="5" t="s">
        <v>631</v>
      </c>
      <c r="W487" s="5" t="s">
        <v>141</v>
      </c>
      <c r="X487" s="5" t="s">
        <v>141</v>
      </c>
      <c r="Y487" s="5" t="s">
        <v>631</v>
      </c>
      <c r="Z487" s="5" t="s">
        <v>631</v>
      </c>
      <c r="AA487" s="5" t="s">
        <v>1942</v>
      </c>
      <c r="AB487" s="0" t="n">
        <f aca="false">IFERROR(VALUE(R487),0)</f>
        <v>0</v>
      </c>
      <c r="AC487" s="0" t="n">
        <f aca="false">IFERROR(VALUE(M487),"")</f>
        <v>36.9</v>
      </c>
      <c r="AD487" s="0" t="n">
        <f aca="false">IFERROR(VALUE(Q487),"")</f>
        <v>14.1</v>
      </c>
      <c r="AE487" s="0" t="n">
        <f aca="false">IFERROR(VALUE(S487),"")</f>
        <v>14.1</v>
      </c>
      <c r="AF487" s="0" t="n">
        <f aca="false">IF(V487="","",VLOOKUP(V487,Assumptions!$B$6:$C$9,2,FALSE()))</f>
        <v>2</v>
      </c>
      <c r="AG487" s="0" t="n">
        <f aca="false">IF(W487="","",VLOOKUP(W487,Assumptions!$B$6:$C$9,2,FALSE()))</f>
        <v>3</v>
      </c>
      <c r="AH487" s="0" t="n">
        <f aca="false">IF(X487="","",VLOOKUP(X487,Assumptions!$B$6:$C$9,2,FALSE()))</f>
        <v>3</v>
      </c>
      <c r="AI487" s="0" t="n">
        <f aca="false">IF(Y487="","",VLOOKUP(Y487,Assumptions!$B$6:$C$9,2,FALSE()))</f>
        <v>2</v>
      </c>
      <c r="AJ487" s="0" t="n">
        <f aca="false">IF(Z487="","",VLOOKUP(Z487,Assumptions!$B$6:$C$9,2,FALSE()))</f>
        <v>2</v>
      </c>
      <c r="AK487" s="7" t="n">
        <f aca="false">IFERROR(ROUND(AVERAGE(AF487:AJ487),3),"")</f>
        <v>2.4</v>
      </c>
      <c r="AL487" s="7" t="n">
        <f aca="false">IF(OR(AF487="",AJ487=""),"",AJ487-AF487)</f>
        <v>0</v>
      </c>
      <c r="AM487" s="7" t="n">
        <f aca="false">IF(COUNT(AF487:AJ487)&gt;=2,ROUND(_xlfn.STDEV.S(AF487:AJ487),3),"")</f>
        <v>0.548</v>
      </c>
      <c r="AN487" s="7" t="n">
        <f aca="false">ROUND((IF(AF487="",0,AF487)*Assumptions!$F$15)+(IF(AG487="",0,AG487)*Assumptions!$F$16)+(IF(AH487="",0,AH487)*Assumptions!$F$17)+(IF(AI487="",0,AI487)*Assumptions!$F$18)+(IF(AJ487="",0,AJ487)*Assumptions!$F$19),3)</f>
        <v>2.35</v>
      </c>
      <c r="AO487" s="0" t="str">
        <f aca="false">IF(AC487&lt;=20,"",IF(AC487&lt;=Assumptions!$F$6,"20-30",IF(AC487&lt;=Assumptions!$F$7,"30-40",IF(AC487&lt;=Assumptions!$F$8,"40-50",IF(AC487&lt;=Assumptions!$F$9,"50-60",IF(AC487&lt;=Assumptions!$F$10,"60+",""))))))</f>
        <v>30-40</v>
      </c>
      <c r="AP487" s="0" t="str">
        <f aca="false">IFERROR(VLOOKUP(O487,Assumptions!$B$14:$C$26,2,FALSE()),"Other")</f>
        <v>Manager</v>
      </c>
      <c r="AQ487" s="0" t="n">
        <f aca="false">IF(T487="",0,1)</f>
        <v>1</v>
      </c>
      <c r="AR487" s="0" t="n">
        <f aca="false">IF(U487="",0,1)</f>
        <v>0</v>
      </c>
      <c r="AS487" s="8" t="n">
        <f aca="false">IF(AK487="","",IF(MAX($AK$2:$AK$921)=MIN($AK$2:$AK$921),50,ROUND((AK487-MIN($AK$2:$AK$921))/(MAX($AK$2:$AK$921)-MIN($AK$2:$AK$921))*100,2)))</f>
        <v>31.42</v>
      </c>
      <c r="AT487" s="8" t="n">
        <f aca="false">IF(MAX($BC$2:$BC$921)=MIN($BC$2:$BC$921),50,ROUND((BC487-MIN($BC$2:$BC$921))/(MAX($BC$2:$BC$921)-MIN($BC$2:$BC$921))*100,2))</f>
        <v>50</v>
      </c>
      <c r="AU487" s="8" t="n">
        <f aca="false">IF(MAX($BE$2:$BE$921)=MIN($BE$2:$BE$921),50,ROUND((BE487-MIN($BE$2:$BE$921))/(MAX($BE$2:$BE$921)-MIN($BE$2:$BE$921))*100,2))</f>
        <v>68.36</v>
      </c>
      <c r="AV487" s="8" t="n">
        <f aca="false">IF(MAX($AD$2:$AD$921)=MIN($AD$2:$AD$921),50,ROUND((AD487-MIN($AD$2:$AD$921))/(MAX($AD$2:$AD$921)-MIN($AD$2:$AD$921))*100,2))</f>
        <v>38.03</v>
      </c>
      <c r="AW487" s="8" t="n">
        <f aca="false">IF(MAX($AN$2:$AN$921)=MIN($AN$2:$AN$921),50,ROUND((AN487-MIN($AN$2:$AN$921))/(MAX($AN$2:$AN$921)-MIN($AN$2:$AN$921))*100,2))</f>
        <v>58.75</v>
      </c>
      <c r="AX487" s="8" t="n">
        <f aca="false">AQ487*100</f>
        <v>100</v>
      </c>
      <c r="AY487" s="8" t="n">
        <f aca="false">AR487*100</f>
        <v>0</v>
      </c>
      <c r="AZ487" s="8" t="n">
        <f aca="false">IFERROR(ROUND(AS487*Assumptions!$I$6+AW487*Assumptions!$I$7+AT487*Assumptions!$I$8+AU487*Assumptions!$I$9+AV487*Assumptions!$I$10+AX487*Assumptions!$I$11+AY487*Assumptions!$I$12,2),"")</f>
        <v>47.73</v>
      </c>
      <c r="BA487" s="0" t="str">
        <f aca="false">IF(AZ487="","",IF(AZ487&lt;=Assumptions!$I$18,"Below Expectation",IF(AZ487&lt;=Assumptions!$I$19,"Developing",IF(AZ487&lt;=Assumptions!$I$20,"Meets Expectation",IF(AZ487&lt;=Assumptions!$I$21,"Exceeds","Star Performer")))))</f>
        <v>Developing</v>
      </c>
      <c r="BB487" s="0" t="n">
        <f aca="false">IF(AZ487="",0,IF(AZ487&gt;=Assumptions!$I$26,1,0))</f>
        <v>0</v>
      </c>
      <c r="BC487" s="9" t="n">
        <f aca="false">IF(AL487="",2,AL487+2)</f>
        <v>2</v>
      </c>
      <c r="BD487" s="10" t="n">
        <f aca="false">IF(AM487="",ROUND(AVERAGE($AM$2:$AM$921),3),AM487)</f>
        <v>0.548</v>
      </c>
      <c r="BE487" s="9" t="n">
        <f aca="false">1-BD487</f>
        <v>0.452</v>
      </c>
    </row>
    <row r="488" customFormat="false" ht="14.25" hidden="true" customHeight="false" outlineLevel="0" collapsed="false">
      <c r="A488" s="4" t="n">
        <v>559</v>
      </c>
      <c r="B488" s="5" t="n">
        <v>55049418</v>
      </c>
      <c r="C488" s="5" t="s">
        <v>85</v>
      </c>
      <c r="D488" s="5" t="s">
        <v>1943</v>
      </c>
      <c r="E488" s="5" t="s">
        <v>137</v>
      </c>
      <c r="F488" s="5" t="s">
        <v>1382</v>
      </c>
      <c r="G488" s="5" t="s">
        <v>1383</v>
      </c>
      <c r="H488" s="5" t="s">
        <v>1382</v>
      </c>
      <c r="I488" s="5" t="s">
        <v>63</v>
      </c>
      <c r="J488" s="5" t="s">
        <v>76</v>
      </c>
      <c r="K488" s="5" t="s">
        <v>309</v>
      </c>
      <c r="L488" s="6" t="n">
        <v>44665</v>
      </c>
      <c r="M488" s="5" t="s">
        <v>1242</v>
      </c>
      <c r="N488" s="6" t="n">
        <v>36171</v>
      </c>
      <c r="O488" s="5" t="s">
        <v>1264</v>
      </c>
      <c r="P488" s="5" t="s">
        <v>1559</v>
      </c>
      <c r="Q488" s="5" t="s">
        <v>1534</v>
      </c>
      <c r="R488" s="5" t="s">
        <v>115</v>
      </c>
      <c r="S488" s="5" t="s">
        <v>1534</v>
      </c>
      <c r="T488" s="6"/>
      <c r="U488" s="6"/>
      <c r="V488" s="5"/>
      <c r="W488" s="5" t="s">
        <v>141</v>
      </c>
      <c r="X488" s="5" t="s">
        <v>631</v>
      </c>
      <c r="Y488" s="5" t="s">
        <v>141</v>
      </c>
      <c r="Z488" s="5" t="s">
        <v>83</v>
      </c>
      <c r="AA488" s="5" t="s">
        <v>1944</v>
      </c>
      <c r="AB488" s="0" t="n">
        <f aca="false">IFERROR(VALUE(R488),0)</f>
        <v>0</v>
      </c>
      <c r="AC488" s="0" t="n">
        <f aca="false">IFERROR(VALUE(M488),"")</f>
        <v>27.4</v>
      </c>
      <c r="AD488" s="0" t="n">
        <f aca="false">IFERROR(VALUE(Q488),"")</f>
        <v>4.1</v>
      </c>
      <c r="AE488" s="0" t="n">
        <f aca="false">IFERROR(VALUE(S488),"")</f>
        <v>4.1</v>
      </c>
      <c r="AF488" s="0" t="str">
        <f aca="false">IF(V488="","",VLOOKUP(V488,Assumptions!$B$6:$C$9,2,FALSE()))</f>
        <v/>
      </c>
      <c r="AG488" s="0" t="n">
        <f aca="false">IF(W488="","",VLOOKUP(W488,Assumptions!$B$6:$C$9,2,FALSE()))</f>
        <v>3</v>
      </c>
      <c r="AH488" s="0" t="n">
        <f aca="false">IF(X488="","",VLOOKUP(X488,Assumptions!$B$6:$C$9,2,FALSE()))</f>
        <v>2</v>
      </c>
      <c r="AI488" s="0" t="n">
        <f aca="false">IF(Y488="","",VLOOKUP(Y488,Assumptions!$B$6:$C$9,2,FALSE()))</f>
        <v>3</v>
      </c>
      <c r="AJ488" s="0" t="n">
        <f aca="false">IF(Z488="","",VLOOKUP(Z488,Assumptions!$B$6:$C$9,2,FALSE()))</f>
        <v>4</v>
      </c>
      <c r="AK488" s="7" t="n">
        <f aca="false">IFERROR(ROUND(AVERAGE(AF488:AJ488),3),"")</f>
        <v>3</v>
      </c>
      <c r="AL488" s="7" t="str">
        <f aca="false">IF(OR(AF488="",AJ488=""),"",AJ488-AF488)</f>
        <v/>
      </c>
      <c r="AM488" s="7" t="n">
        <f aca="false">IF(COUNT(AF488:AJ488)&gt;=2,ROUND(_xlfn.STDEV.S(AF488:AJ488),3),"")</f>
        <v>0.816</v>
      </c>
      <c r="AN488" s="7" t="n">
        <f aca="false">ROUND((IF(AF488="",0,AF488)*Assumptions!$F$15)+(IF(AG488="",0,AG488)*Assumptions!$F$16)+(IF(AH488="",0,AH488)*Assumptions!$F$17)+(IF(AI488="",0,AI488)*Assumptions!$F$18)+(IF(AJ488="",0,AJ488)*Assumptions!$F$19),3)</f>
        <v>2.8</v>
      </c>
      <c r="AO488" s="0" t="str">
        <f aca="false">IF(AC488&lt;=20,"",IF(AC488&lt;=Assumptions!$F$6,"20-30",IF(AC488&lt;=Assumptions!$F$7,"30-40",IF(AC488&lt;=Assumptions!$F$8,"40-50",IF(AC488&lt;=Assumptions!$F$9,"50-60",IF(AC488&lt;=Assumptions!$F$10,"60+",""))))))</f>
        <v>20-30</v>
      </c>
      <c r="AP488" s="0" t="str">
        <f aca="false">IFERROR(VLOOKUP(O488,Assumptions!$B$14:$C$26,2,FALSE()),"Other")</f>
        <v>Manager</v>
      </c>
      <c r="AQ488" s="0" t="n">
        <f aca="false">IF(T488="",0,1)</f>
        <v>0</v>
      </c>
      <c r="AR488" s="0" t="n">
        <f aca="false">IF(U488="",0,1)</f>
        <v>0</v>
      </c>
      <c r="AS488" s="8" t="n">
        <f aca="false">IF(AK488="","",IF(MAX($AK$2:$AK$921)=MIN($AK$2:$AK$921),50,ROUND((AK488-MIN($AK$2:$AK$921))/(MAX($AK$2:$AK$921)-MIN($AK$2:$AK$921))*100,2)))</f>
        <v>57.14</v>
      </c>
      <c r="AT488" s="8" t="n">
        <f aca="false">IF(MAX($BC$2:$BC$921)=MIN($BC$2:$BC$921),50,ROUND((BC488-MIN($BC$2:$BC$921))/(MAX($BC$2:$BC$921)-MIN($BC$2:$BC$921))*100,2))</f>
        <v>50</v>
      </c>
      <c r="AU488" s="8" t="n">
        <f aca="false">IF(MAX($BE$2:$BE$921)=MIN($BE$2:$BE$921),50,ROUND((BE488-MIN($BE$2:$BE$921))/(MAX($BE$2:$BE$921)-MIN($BE$2:$BE$921))*100,2))</f>
        <v>52.89</v>
      </c>
      <c r="AV488" s="8" t="n">
        <f aca="false">IF(MAX($AD$2:$AD$921)=MIN($AD$2:$AD$921),50,ROUND((AD488-MIN($AD$2:$AD$921))/(MAX($AD$2:$AD$921)-MIN($AD$2:$AD$921))*100,2))</f>
        <v>10.85</v>
      </c>
      <c r="AW488" s="8" t="n">
        <f aca="false">IF(MAX($AN$2:$AN$921)=MIN($AN$2:$AN$921),50,ROUND((AN488-MIN($AN$2:$AN$921))/(MAX($AN$2:$AN$921)-MIN($AN$2:$AN$921))*100,2))</f>
        <v>70</v>
      </c>
      <c r="AX488" s="8" t="n">
        <f aca="false">AQ488*100</f>
        <v>0</v>
      </c>
      <c r="AY488" s="8" t="n">
        <f aca="false">AR488*100</f>
        <v>0</v>
      </c>
      <c r="AZ488" s="8" t="n">
        <f aca="false">IFERROR(ROUND(AS488*Assumptions!$I$6+AW488*Assumptions!$I$7+AT488*Assumptions!$I$8+AU488*Assumptions!$I$9+AV488*Assumptions!$I$10+AX488*Assumptions!$I$11+AY488*Assumptions!$I$12,2),"")</f>
        <v>47.66</v>
      </c>
      <c r="BA488" s="0" t="str">
        <f aca="false">IF(AZ488="","",IF(AZ488&lt;=Assumptions!$I$18,"Below Expectation",IF(AZ488&lt;=Assumptions!$I$19,"Developing",IF(AZ488&lt;=Assumptions!$I$20,"Meets Expectation",IF(AZ488&lt;=Assumptions!$I$21,"Exceeds","Star Performer")))))</f>
        <v>Developing</v>
      </c>
      <c r="BB488" s="0" t="n">
        <f aca="false">IF(AZ488="",0,IF(AZ488&gt;=Assumptions!$I$26,1,0))</f>
        <v>0</v>
      </c>
      <c r="BC488" s="9" t="n">
        <f aca="false">IF(AL488="",2,AL488+2)</f>
        <v>2</v>
      </c>
      <c r="BD488" s="10" t="n">
        <f aca="false">IF(AM488="",ROUND(AVERAGE($AM$2:$AM$921),3),AM488)</f>
        <v>0.816</v>
      </c>
      <c r="BE488" s="9" t="n">
        <f aca="false">1-BD488</f>
        <v>0.184</v>
      </c>
    </row>
    <row r="489" customFormat="false" ht="14.25" hidden="true" customHeight="false" outlineLevel="0" collapsed="false">
      <c r="A489" s="4" t="n">
        <v>567</v>
      </c>
      <c r="B489" s="5" t="n">
        <v>55050181</v>
      </c>
      <c r="C489" s="5" t="s">
        <v>57</v>
      </c>
      <c r="D489" s="5" t="s">
        <v>1945</v>
      </c>
      <c r="E489" s="5" t="s">
        <v>208</v>
      </c>
      <c r="F489" s="5" t="s">
        <v>608</v>
      </c>
      <c r="G489" s="5" t="s">
        <v>609</v>
      </c>
      <c r="H489" s="5" t="s">
        <v>608</v>
      </c>
      <c r="I489" s="5" t="s">
        <v>63</v>
      </c>
      <c r="J489" s="5" t="s">
        <v>100</v>
      </c>
      <c r="K489" s="5" t="s">
        <v>65</v>
      </c>
      <c r="L489" s="6" t="n">
        <v>44683</v>
      </c>
      <c r="M489" s="5" t="s">
        <v>566</v>
      </c>
      <c r="N489" s="6" t="n">
        <v>33780</v>
      </c>
      <c r="O489" s="5" t="s">
        <v>365</v>
      </c>
      <c r="P489" s="5" t="s">
        <v>365</v>
      </c>
      <c r="Q489" s="5" t="s">
        <v>1534</v>
      </c>
      <c r="R489" s="5" t="s">
        <v>685</v>
      </c>
      <c r="S489" s="5" t="s">
        <v>1619</v>
      </c>
      <c r="T489" s="6"/>
      <c r="U489" s="6"/>
      <c r="V489" s="5"/>
      <c r="W489" s="5" t="s">
        <v>631</v>
      </c>
      <c r="X489" s="5" t="s">
        <v>141</v>
      </c>
      <c r="Y489" s="5" t="s">
        <v>83</v>
      </c>
      <c r="Z489" s="5" t="s">
        <v>141</v>
      </c>
      <c r="AA489" s="5" t="s">
        <v>1946</v>
      </c>
      <c r="AB489" s="0" t="n">
        <f aca="false">IFERROR(VALUE(R489),0)</f>
        <v>5.1</v>
      </c>
      <c r="AC489" s="0" t="n">
        <f aca="false">IFERROR(VALUE(M489),"")</f>
        <v>33.11</v>
      </c>
      <c r="AD489" s="0" t="n">
        <f aca="false">IFERROR(VALUE(Q489),"")</f>
        <v>4.1</v>
      </c>
      <c r="AE489" s="0" t="n">
        <f aca="false">IFERROR(VALUE(S489),"")</f>
        <v>9.2</v>
      </c>
      <c r="AF489" s="0" t="str">
        <f aca="false">IF(V489="","",VLOOKUP(V489,Assumptions!$B$6:$C$9,2,FALSE()))</f>
        <v/>
      </c>
      <c r="AG489" s="0" t="n">
        <f aca="false">IF(W489="","",VLOOKUP(W489,Assumptions!$B$6:$C$9,2,FALSE()))</f>
        <v>2</v>
      </c>
      <c r="AH489" s="0" t="n">
        <f aca="false">IF(X489="","",VLOOKUP(X489,Assumptions!$B$6:$C$9,2,FALSE()))</f>
        <v>3</v>
      </c>
      <c r="AI489" s="0" t="n">
        <f aca="false">IF(Y489="","",VLOOKUP(Y489,Assumptions!$B$6:$C$9,2,FALSE()))</f>
        <v>4</v>
      </c>
      <c r="AJ489" s="0" t="n">
        <f aca="false">IF(Z489="","",VLOOKUP(Z489,Assumptions!$B$6:$C$9,2,FALSE()))</f>
        <v>3</v>
      </c>
      <c r="AK489" s="7" t="n">
        <f aca="false">IFERROR(ROUND(AVERAGE(AF489:AJ489),3),"")</f>
        <v>3</v>
      </c>
      <c r="AL489" s="7" t="str">
        <f aca="false">IF(OR(AF489="",AJ489=""),"",AJ489-AF489)</f>
        <v/>
      </c>
      <c r="AM489" s="7" t="n">
        <f aca="false">IF(COUNT(AF489:AJ489)&gt;=2,ROUND(_xlfn.STDEV.S(AF489:AJ489),3),"")</f>
        <v>0.816</v>
      </c>
      <c r="AN489" s="7" t="n">
        <f aca="false">ROUND((IF(AF489="",0,AF489)*Assumptions!$F$15)+(IF(AG489="",0,AG489)*Assumptions!$F$16)+(IF(AH489="",0,AH489)*Assumptions!$F$17)+(IF(AI489="",0,AI489)*Assumptions!$F$18)+(IF(AJ489="",0,AJ489)*Assumptions!$F$19),3)</f>
        <v>2.8</v>
      </c>
      <c r="AO489" s="0" t="str">
        <f aca="false">IF(AC489&lt;=20,"",IF(AC489&lt;=Assumptions!$F$6,"20-30",IF(AC489&lt;=Assumptions!$F$7,"30-40",IF(AC489&lt;=Assumptions!$F$8,"40-50",IF(AC489&lt;=Assumptions!$F$9,"50-60",IF(AC489&lt;=Assumptions!$F$10,"60+",""))))))</f>
        <v>30-40</v>
      </c>
      <c r="AP489" s="0" t="str">
        <f aca="false">IFERROR(VLOOKUP(O489,Assumptions!$B$14:$C$26,2,FALSE()),"Other")</f>
        <v>Manager</v>
      </c>
      <c r="AQ489" s="0" t="n">
        <f aca="false">IF(T489="",0,1)</f>
        <v>0</v>
      </c>
      <c r="AR489" s="0" t="n">
        <f aca="false">IF(U489="",0,1)</f>
        <v>0</v>
      </c>
      <c r="AS489" s="8" t="n">
        <f aca="false">IF(AK489="","",IF(MAX($AK$2:$AK$921)=MIN($AK$2:$AK$921),50,ROUND((AK489-MIN($AK$2:$AK$921))/(MAX($AK$2:$AK$921)-MIN($AK$2:$AK$921))*100,2)))</f>
        <v>57.14</v>
      </c>
      <c r="AT489" s="8" t="n">
        <f aca="false">IF(MAX($BC$2:$BC$921)=MIN($BC$2:$BC$921),50,ROUND((BC489-MIN($BC$2:$BC$921))/(MAX($BC$2:$BC$921)-MIN($BC$2:$BC$921))*100,2))</f>
        <v>50</v>
      </c>
      <c r="AU489" s="8" t="n">
        <f aca="false">IF(MAX($BE$2:$BE$921)=MIN($BE$2:$BE$921),50,ROUND((BE489-MIN($BE$2:$BE$921))/(MAX($BE$2:$BE$921)-MIN($BE$2:$BE$921))*100,2))</f>
        <v>52.89</v>
      </c>
      <c r="AV489" s="8" t="n">
        <f aca="false">IF(MAX($AD$2:$AD$921)=MIN($AD$2:$AD$921),50,ROUND((AD489-MIN($AD$2:$AD$921))/(MAX($AD$2:$AD$921)-MIN($AD$2:$AD$921))*100,2))</f>
        <v>10.85</v>
      </c>
      <c r="AW489" s="8" t="n">
        <f aca="false">IF(MAX($AN$2:$AN$921)=MIN($AN$2:$AN$921),50,ROUND((AN489-MIN($AN$2:$AN$921))/(MAX($AN$2:$AN$921)-MIN($AN$2:$AN$921))*100,2))</f>
        <v>70</v>
      </c>
      <c r="AX489" s="8" t="n">
        <f aca="false">AQ489*100</f>
        <v>0</v>
      </c>
      <c r="AY489" s="8" t="n">
        <f aca="false">AR489*100</f>
        <v>0</v>
      </c>
      <c r="AZ489" s="8" t="n">
        <f aca="false">IFERROR(ROUND(AS489*Assumptions!$I$6+AW489*Assumptions!$I$7+AT489*Assumptions!$I$8+AU489*Assumptions!$I$9+AV489*Assumptions!$I$10+AX489*Assumptions!$I$11+AY489*Assumptions!$I$12,2),"")</f>
        <v>47.66</v>
      </c>
      <c r="BA489" s="0" t="str">
        <f aca="false">IF(AZ489="","",IF(AZ489&lt;=Assumptions!$I$18,"Below Expectation",IF(AZ489&lt;=Assumptions!$I$19,"Developing",IF(AZ489&lt;=Assumptions!$I$20,"Meets Expectation",IF(AZ489&lt;=Assumptions!$I$21,"Exceeds","Star Performer")))))</f>
        <v>Developing</v>
      </c>
      <c r="BB489" s="0" t="n">
        <f aca="false">IF(AZ489="",0,IF(AZ489&gt;=Assumptions!$I$26,1,0))</f>
        <v>0</v>
      </c>
      <c r="BC489" s="9" t="n">
        <f aca="false">IF(AL489="",2,AL489+2)</f>
        <v>2</v>
      </c>
      <c r="BD489" s="10" t="n">
        <f aca="false">IF(AM489="",ROUND(AVERAGE($AM$2:$AM$921),3),AM489)</f>
        <v>0.816</v>
      </c>
      <c r="BE489" s="9" t="n">
        <f aca="false">1-BD489</f>
        <v>0.184</v>
      </c>
    </row>
    <row r="490" customFormat="false" ht="14.25" hidden="true" customHeight="false" outlineLevel="0" collapsed="false">
      <c r="A490" s="4" t="n">
        <v>610</v>
      </c>
      <c r="B490" s="5" t="n">
        <v>55054300</v>
      </c>
      <c r="C490" s="5" t="s">
        <v>85</v>
      </c>
      <c r="D490" s="5" t="s">
        <v>1947</v>
      </c>
      <c r="E490" s="5" t="s">
        <v>185</v>
      </c>
      <c r="F490" s="5" t="s">
        <v>1382</v>
      </c>
      <c r="G490" s="5" t="s">
        <v>1383</v>
      </c>
      <c r="H490" s="5" t="s">
        <v>1382</v>
      </c>
      <c r="I490" s="5" t="s">
        <v>63</v>
      </c>
      <c r="J490" s="5" t="s">
        <v>76</v>
      </c>
      <c r="K490" s="5" t="s">
        <v>309</v>
      </c>
      <c r="L490" s="6" t="n">
        <v>44763</v>
      </c>
      <c r="M490" s="5" t="s">
        <v>182</v>
      </c>
      <c r="N490" s="6" t="n">
        <v>36352</v>
      </c>
      <c r="O490" s="5" t="s">
        <v>1264</v>
      </c>
      <c r="P490" s="5" t="s">
        <v>1559</v>
      </c>
      <c r="Q490" s="5" t="s">
        <v>591</v>
      </c>
      <c r="R490" s="5" t="s">
        <v>115</v>
      </c>
      <c r="S490" s="5" t="s">
        <v>591</v>
      </c>
      <c r="T490" s="6"/>
      <c r="U490" s="6"/>
      <c r="V490" s="5"/>
      <c r="W490" s="5" t="s">
        <v>631</v>
      </c>
      <c r="X490" s="5" t="s">
        <v>141</v>
      </c>
      <c r="Y490" s="5" t="s">
        <v>141</v>
      </c>
      <c r="Z490" s="5" t="s">
        <v>83</v>
      </c>
      <c r="AA490" s="5" t="s">
        <v>1948</v>
      </c>
      <c r="AB490" s="0" t="n">
        <f aca="false">IFERROR(VALUE(R490),0)</f>
        <v>0</v>
      </c>
      <c r="AC490" s="0" t="n">
        <f aca="false">IFERROR(VALUE(M490),"")</f>
        <v>26.1</v>
      </c>
      <c r="AD490" s="0" t="n">
        <f aca="false">IFERROR(VALUE(Q490),"")</f>
        <v>3.1</v>
      </c>
      <c r="AE490" s="0" t="n">
        <f aca="false">IFERROR(VALUE(S490),"")</f>
        <v>3.1</v>
      </c>
      <c r="AF490" s="0" t="str">
        <f aca="false">IF(V490="","",VLOOKUP(V490,Assumptions!$B$6:$C$9,2,FALSE()))</f>
        <v/>
      </c>
      <c r="AG490" s="0" t="n">
        <f aca="false">IF(W490="","",VLOOKUP(W490,Assumptions!$B$6:$C$9,2,FALSE()))</f>
        <v>2</v>
      </c>
      <c r="AH490" s="0" t="n">
        <f aca="false">IF(X490="","",VLOOKUP(X490,Assumptions!$B$6:$C$9,2,FALSE()))</f>
        <v>3</v>
      </c>
      <c r="AI490" s="0" t="n">
        <f aca="false">IF(Y490="","",VLOOKUP(Y490,Assumptions!$B$6:$C$9,2,FALSE()))</f>
        <v>3</v>
      </c>
      <c r="AJ490" s="0" t="n">
        <f aca="false">IF(Z490="","",VLOOKUP(Z490,Assumptions!$B$6:$C$9,2,FALSE()))</f>
        <v>4</v>
      </c>
      <c r="AK490" s="7" t="n">
        <f aca="false">IFERROR(ROUND(AVERAGE(AF490:AJ490),3),"")</f>
        <v>3</v>
      </c>
      <c r="AL490" s="7" t="str">
        <f aca="false">IF(OR(AF490="",AJ490=""),"",AJ490-AF490)</f>
        <v/>
      </c>
      <c r="AM490" s="7" t="n">
        <f aca="false">IF(COUNT(AF490:AJ490)&gt;=2,ROUND(_xlfn.STDEV.S(AF490:AJ490),3),"")</f>
        <v>0.816</v>
      </c>
      <c r="AN490" s="7" t="n">
        <f aca="false">ROUND((IF(AF490="",0,AF490)*Assumptions!$F$15)+(IF(AG490="",0,AG490)*Assumptions!$F$16)+(IF(AH490="",0,AH490)*Assumptions!$F$17)+(IF(AI490="",0,AI490)*Assumptions!$F$18)+(IF(AJ490="",0,AJ490)*Assumptions!$F$19),3)</f>
        <v>2.85</v>
      </c>
      <c r="AO490" s="0" t="str">
        <f aca="false">IF(AC490&lt;=20,"",IF(AC490&lt;=Assumptions!$F$6,"20-30",IF(AC490&lt;=Assumptions!$F$7,"30-40",IF(AC490&lt;=Assumptions!$F$8,"40-50",IF(AC490&lt;=Assumptions!$F$9,"50-60",IF(AC490&lt;=Assumptions!$F$10,"60+",""))))))</f>
        <v>20-30</v>
      </c>
      <c r="AP490" s="0" t="str">
        <f aca="false">IFERROR(VLOOKUP(O490,Assumptions!$B$14:$C$26,2,FALSE()),"Other")</f>
        <v>Manager</v>
      </c>
      <c r="AQ490" s="0" t="n">
        <f aca="false">IF(T490="",0,1)</f>
        <v>0</v>
      </c>
      <c r="AR490" s="0" t="n">
        <f aca="false">IF(U490="",0,1)</f>
        <v>0</v>
      </c>
      <c r="AS490" s="8" t="n">
        <f aca="false">IF(AK490="","",IF(MAX($AK$2:$AK$921)=MIN($AK$2:$AK$921),50,ROUND((AK490-MIN($AK$2:$AK$921))/(MAX($AK$2:$AK$921)-MIN($AK$2:$AK$921))*100,2)))</f>
        <v>57.14</v>
      </c>
      <c r="AT490" s="8" t="n">
        <f aca="false">IF(MAX($BC$2:$BC$921)=MIN($BC$2:$BC$921),50,ROUND((BC490-MIN($BC$2:$BC$921))/(MAX($BC$2:$BC$921)-MIN($BC$2:$BC$921))*100,2))</f>
        <v>50</v>
      </c>
      <c r="AU490" s="8" t="n">
        <f aca="false">IF(MAX($BE$2:$BE$921)=MIN($BE$2:$BE$921),50,ROUND((BE490-MIN($BE$2:$BE$921))/(MAX($BE$2:$BE$921)-MIN($BE$2:$BE$921))*100,2))</f>
        <v>52.89</v>
      </c>
      <c r="AV490" s="8" t="n">
        <f aca="false">IF(MAX($AD$2:$AD$921)=MIN($AD$2:$AD$921),50,ROUND((AD490-MIN($AD$2:$AD$921))/(MAX($AD$2:$AD$921)-MIN($AD$2:$AD$921))*100,2))</f>
        <v>8.13</v>
      </c>
      <c r="AW490" s="8" t="n">
        <f aca="false">IF(MAX($AN$2:$AN$921)=MIN($AN$2:$AN$921),50,ROUND((AN490-MIN($AN$2:$AN$921))/(MAX($AN$2:$AN$921)-MIN($AN$2:$AN$921))*100,2))</f>
        <v>71.25</v>
      </c>
      <c r="AX490" s="8" t="n">
        <f aca="false">AQ490*100</f>
        <v>0</v>
      </c>
      <c r="AY490" s="8" t="n">
        <f aca="false">AR490*100</f>
        <v>0</v>
      </c>
      <c r="AZ490" s="8" t="n">
        <f aca="false">IFERROR(ROUND(AS490*Assumptions!$I$6+AW490*Assumptions!$I$7+AT490*Assumptions!$I$8+AU490*Assumptions!$I$9+AV490*Assumptions!$I$10+AX490*Assumptions!$I$11+AY490*Assumptions!$I$12,2),"")</f>
        <v>47.64</v>
      </c>
      <c r="BA490" s="0" t="str">
        <f aca="false">IF(AZ490="","",IF(AZ490&lt;=Assumptions!$I$18,"Below Expectation",IF(AZ490&lt;=Assumptions!$I$19,"Developing",IF(AZ490&lt;=Assumptions!$I$20,"Meets Expectation",IF(AZ490&lt;=Assumptions!$I$21,"Exceeds","Star Performer")))))</f>
        <v>Developing</v>
      </c>
      <c r="BB490" s="0" t="n">
        <f aca="false">IF(AZ490="",0,IF(AZ490&gt;=Assumptions!$I$26,1,0))</f>
        <v>0</v>
      </c>
      <c r="BC490" s="9" t="n">
        <f aca="false">IF(AL490="",2,AL490+2)</f>
        <v>2</v>
      </c>
      <c r="BD490" s="10" t="n">
        <f aca="false">IF(AM490="",ROUND(AVERAGE($AM$2:$AM$921),3),AM490)</f>
        <v>0.816</v>
      </c>
      <c r="BE490" s="9" t="n">
        <f aca="false">1-BD490</f>
        <v>0.184</v>
      </c>
    </row>
    <row r="491" customFormat="false" ht="14.25" hidden="false" customHeight="false" outlineLevel="0" collapsed="false">
      <c r="A491" s="4" t="n">
        <v>768</v>
      </c>
      <c r="B491" s="5" t="n">
        <v>55085984</v>
      </c>
      <c r="C491" s="5" t="s">
        <v>106</v>
      </c>
      <c r="D491" s="5" t="s">
        <v>1949</v>
      </c>
      <c r="E491" s="5" t="s">
        <v>108</v>
      </c>
      <c r="F491" s="5" t="s">
        <v>590</v>
      </c>
      <c r="G491" s="5" t="s">
        <v>589</v>
      </c>
      <c r="H491" s="5" t="s">
        <v>590</v>
      </c>
      <c r="I491" s="5" t="s">
        <v>63</v>
      </c>
      <c r="J491" s="5" t="s">
        <v>112</v>
      </c>
      <c r="K491" s="5" t="s">
        <v>309</v>
      </c>
      <c r="L491" s="6" t="n">
        <v>45224</v>
      </c>
      <c r="M491" s="5" t="s">
        <v>226</v>
      </c>
      <c r="N491" s="6" t="n">
        <v>36778</v>
      </c>
      <c r="O491" s="5" t="s">
        <v>1264</v>
      </c>
      <c r="P491" s="5" t="s">
        <v>1559</v>
      </c>
      <c r="Q491" s="5" t="s">
        <v>195</v>
      </c>
      <c r="R491" s="5" t="s">
        <v>115</v>
      </c>
      <c r="S491" s="5" t="s">
        <v>195</v>
      </c>
      <c r="T491" s="6"/>
      <c r="U491" s="6"/>
      <c r="V491" s="5"/>
      <c r="W491" s="5"/>
      <c r="X491" s="5" t="s">
        <v>631</v>
      </c>
      <c r="Y491" s="5" t="s">
        <v>83</v>
      </c>
      <c r="Z491" s="5" t="s">
        <v>83</v>
      </c>
      <c r="AA491" s="5" t="s">
        <v>1950</v>
      </c>
      <c r="AB491" s="0" t="n">
        <f aca="false">IFERROR(VALUE(R491),0)</f>
        <v>0</v>
      </c>
      <c r="AC491" s="0" t="n">
        <f aca="false">IFERROR(VALUE(M491),"")</f>
        <v>25.8</v>
      </c>
      <c r="AD491" s="0" t="n">
        <f aca="false">IFERROR(VALUE(Q491),"")</f>
        <v>2.7</v>
      </c>
      <c r="AE491" s="0" t="n">
        <f aca="false">IFERROR(VALUE(S491),"")</f>
        <v>2.7</v>
      </c>
      <c r="AF491" s="0" t="str">
        <f aca="false">IF(V491="","",VLOOKUP(V491,Assumptions!$B$6:$C$9,2,FALSE()))</f>
        <v/>
      </c>
      <c r="AG491" s="0" t="str">
        <f aca="false">IF(W491="","",VLOOKUP(W491,Assumptions!$B$6:$C$9,2,FALSE()))</f>
        <v/>
      </c>
      <c r="AH491" s="0" t="n">
        <f aca="false">IF(X491="","",VLOOKUP(X491,Assumptions!$B$6:$C$9,2,FALSE()))</f>
        <v>2</v>
      </c>
      <c r="AI491" s="0" t="n">
        <f aca="false">IF(Y491="","",VLOOKUP(Y491,Assumptions!$B$6:$C$9,2,FALSE()))</f>
        <v>4</v>
      </c>
      <c r="AJ491" s="0" t="n">
        <f aca="false">IF(Z491="","",VLOOKUP(Z491,Assumptions!$B$6:$C$9,2,FALSE()))</f>
        <v>4</v>
      </c>
      <c r="AK491" s="7" t="n">
        <f aca="false">IFERROR(ROUND(AVERAGE(AF491:AJ491),3),"")</f>
        <v>3.333</v>
      </c>
      <c r="AL491" s="7" t="str">
        <f aca="false">IF(OR(AF491="",AJ491=""),"",AJ491-AF491)</f>
        <v/>
      </c>
      <c r="AM491" s="7" t="n">
        <f aca="false">IF(COUNT(AF491:AJ491)&gt;=2,ROUND(_xlfn.STDEV.S(AF491:AJ491),3),"")</f>
        <v>1.155</v>
      </c>
      <c r="AN491" s="7" t="n">
        <f aca="false">ROUND((IF(AF491="",0,AF491)*Assumptions!$F$15)+(IF(AG491="",0,AG491)*Assumptions!$F$16)+(IF(AH491="",0,AH491)*Assumptions!$F$17)+(IF(AI491="",0,AI491)*Assumptions!$F$18)+(IF(AJ491="",0,AJ491)*Assumptions!$F$19),3)</f>
        <v>2.6</v>
      </c>
      <c r="AO491" s="0" t="str">
        <f aca="false">IF(AC491&lt;=20,"",IF(AC491&lt;=Assumptions!$F$6,"20-30",IF(AC491&lt;=Assumptions!$F$7,"30-40",IF(AC491&lt;=Assumptions!$F$8,"40-50",IF(AC491&lt;=Assumptions!$F$9,"50-60",IF(AC491&lt;=Assumptions!$F$10,"60+",""))))))</f>
        <v>20-30</v>
      </c>
      <c r="AP491" s="0" t="str">
        <f aca="false">IFERROR(VLOOKUP(O491,Assumptions!$B$14:$C$26,2,FALSE()),"Other")</f>
        <v>Manager</v>
      </c>
      <c r="AQ491" s="0" t="n">
        <f aca="false">IF(T491="",0,1)</f>
        <v>0</v>
      </c>
      <c r="AR491" s="0" t="n">
        <f aca="false">IF(U491="",0,1)</f>
        <v>0</v>
      </c>
      <c r="AS491" s="8" t="n">
        <f aca="false">IF(AK491="","",IF(MAX($AK$2:$AK$921)=MIN($AK$2:$AK$921),50,ROUND((AK491-MIN($AK$2:$AK$921))/(MAX($AK$2:$AK$921)-MIN($AK$2:$AK$921))*100,2)))</f>
        <v>71.41</v>
      </c>
      <c r="AT491" s="8" t="n">
        <f aca="false">IF(MAX($BC$2:$BC$921)=MIN($BC$2:$BC$921),50,ROUND((BC491-MIN($BC$2:$BC$921))/(MAX($BC$2:$BC$921)-MIN($BC$2:$BC$921))*100,2))</f>
        <v>50</v>
      </c>
      <c r="AU491" s="8" t="n">
        <f aca="false">IF(MAX($BE$2:$BE$921)=MIN($BE$2:$BE$921),50,ROUND((BE491-MIN($BE$2:$BE$921))/(MAX($BE$2:$BE$921)-MIN($BE$2:$BE$921))*100,2))</f>
        <v>33.31</v>
      </c>
      <c r="AV491" s="8" t="n">
        <f aca="false">IF(MAX($AD$2:$AD$921)=MIN($AD$2:$AD$921),50,ROUND((AD491-MIN($AD$2:$AD$921))/(MAX($AD$2:$AD$921)-MIN($AD$2:$AD$921))*100,2))</f>
        <v>7.04</v>
      </c>
      <c r="AW491" s="8" t="n">
        <f aca="false">IF(MAX($AN$2:$AN$921)=MIN($AN$2:$AN$921),50,ROUND((AN491-MIN($AN$2:$AN$921))/(MAX($AN$2:$AN$921)-MIN($AN$2:$AN$921))*100,2))</f>
        <v>65</v>
      </c>
      <c r="AX491" s="8" t="n">
        <f aca="false">AQ491*100</f>
        <v>0</v>
      </c>
      <c r="AY491" s="8" t="n">
        <f aca="false">AR491*100</f>
        <v>0</v>
      </c>
      <c r="AZ491" s="8" t="n">
        <f aca="false">IFERROR(ROUND(AS491*Assumptions!$I$6+AW491*Assumptions!$I$7+AT491*Assumptions!$I$8+AU491*Assumptions!$I$9+AV491*Assumptions!$I$10+AX491*Assumptions!$I$11+AY491*Assumptions!$I$12,2),"")</f>
        <v>47.62</v>
      </c>
      <c r="BA491" s="0" t="str">
        <f aca="false">IF(AZ491="","",IF(AZ491&lt;=Assumptions!$I$18,"Below Expectation",IF(AZ491&lt;=Assumptions!$I$19,"Developing",IF(AZ491&lt;=Assumptions!$I$20,"Meets Expectation",IF(AZ491&lt;=Assumptions!$I$21,"Exceeds","Star Performer")))))</f>
        <v>Developing</v>
      </c>
      <c r="BB491" s="0" t="n">
        <f aca="false">IF(AZ491="",0,IF(AZ491&gt;=Assumptions!$I$26,1,0))</f>
        <v>0</v>
      </c>
      <c r="BC491" s="9" t="n">
        <f aca="false">IF(AL491="",2,AL491+2)</f>
        <v>2</v>
      </c>
      <c r="BD491" s="10" t="n">
        <f aca="false">IF(AM491="",ROUND(AVERAGE($AM$2:$AM$921),3),AM491)</f>
        <v>1.155</v>
      </c>
      <c r="BE491" s="9" t="n">
        <f aca="false">1-BD491</f>
        <v>-0.155</v>
      </c>
    </row>
    <row r="492" customFormat="false" ht="14.25" hidden="false" customHeight="false" outlineLevel="0" collapsed="false">
      <c r="A492" s="4" t="n">
        <v>770</v>
      </c>
      <c r="B492" s="5" t="n">
        <v>55085987</v>
      </c>
      <c r="C492" s="5" t="s">
        <v>106</v>
      </c>
      <c r="D492" s="5" t="s">
        <v>1951</v>
      </c>
      <c r="E492" s="5" t="s">
        <v>108</v>
      </c>
      <c r="F492" s="5" t="s">
        <v>590</v>
      </c>
      <c r="G492" s="5" t="s">
        <v>589</v>
      </c>
      <c r="H492" s="5" t="s">
        <v>590</v>
      </c>
      <c r="I492" s="5" t="s">
        <v>63</v>
      </c>
      <c r="J492" s="5" t="s">
        <v>112</v>
      </c>
      <c r="K492" s="5" t="s">
        <v>309</v>
      </c>
      <c r="L492" s="6" t="n">
        <v>45224</v>
      </c>
      <c r="M492" s="5" t="s">
        <v>984</v>
      </c>
      <c r="N492" s="6" t="n">
        <v>37221</v>
      </c>
      <c r="O492" s="5" t="s">
        <v>1264</v>
      </c>
      <c r="P492" s="5" t="s">
        <v>1559</v>
      </c>
      <c r="Q492" s="5" t="s">
        <v>195</v>
      </c>
      <c r="R492" s="5" t="s">
        <v>115</v>
      </c>
      <c r="S492" s="5" t="s">
        <v>195</v>
      </c>
      <c r="T492" s="6"/>
      <c r="U492" s="6"/>
      <c r="V492" s="5"/>
      <c r="W492" s="5"/>
      <c r="X492" s="5" t="s">
        <v>631</v>
      </c>
      <c r="Y492" s="5" t="s">
        <v>83</v>
      </c>
      <c r="Z492" s="5" t="s">
        <v>83</v>
      </c>
      <c r="AA492" s="5" t="s">
        <v>1952</v>
      </c>
      <c r="AB492" s="0" t="n">
        <f aca="false">IFERROR(VALUE(R492),0)</f>
        <v>0</v>
      </c>
      <c r="AC492" s="0" t="n">
        <f aca="false">IFERROR(VALUE(M492),"")</f>
        <v>24.6</v>
      </c>
      <c r="AD492" s="0" t="n">
        <f aca="false">IFERROR(VALUE(Q492),"")</f>
        <v>2.7</v>
      </c>
      <c r="AE492" s="0" t="n">
        <f aca="false">IFERROR(VALUE(S492),"")</f>
        <v>2.7</v>
      </c>
      <c r="AF492" s="0" t="str">
        <f aca="false">IF(V492="","",VLOOKUP(V492,Assumptions!$B$6:$C$9,2,FALSE()))</f>
        <v/>
      </c>
      <c r="AG492" s="0" t="str">
        <f aca="false">IF(W492="","",VLOOKUP(W492,Assumptions!$B$6:$C$9,2,FALSE()))</f>
        <v/>
      </c>
      <c r="AH492" s="0" t="n">
        <f aca="false">IF(X492="","",VLOOKUP(X492,Assumptions!$B$6:$C$9,2,FALSE()))</f>
        <v>2</v>
      </c>
      <c r="AI492" s="0" t="n">
        <f aca="false">IF(Y492="","",VLOOKUP(Y492,Assumptions!$B$6:$C$9,2,FALSE()))</f>
        <v>4</v>
      </c>
      <c r="AJ492" s="0" t="n">
        <f aca="false">IF(Z492="","",VLOOKUP(Z492,Assumptions!$B$6:$C$9,2,FALSE()))</f>
        <v>4</v>
      </c>
      <c r="AK492" s="7" t="n">
        <f aca="false">IFERROR(ROUND(AVERAGE(AF492:AJ492),3),"")</f>
        <v>3.333</v>
      </c>
      <c r="AL492" s="7" t="str">
        <f aca="false">IF(OR(AF492="",AJ492=""),"",AJ492-AF492)</f>
        <v/>
      </c>
      <c r="AM492" s="7" t="n">
        <f aca="false">IF(COUNT(AF492:AJ492)&gt;=2,ROUND(_xlfn.STDEV.S(AF492:AJ492),3),"")</f>
        <v>1.155</v>
      </c>
      <c r="AN492" s="7" t="n">
        <f aca="false">ROUND((IF(AF492="",0,AF492)*Assumptions!$F$15)+(IF(AG492="",0,AG492)*Assumptions!$F$16)+(IF(AH492="",0,AH492)*Assumptions!$F$17)+(IF(AI492="",0,AI492)*Assumptions!$F$18)+(IF(AJ492="",0,AJ492)*Assumptions!$F$19),3)</f>
        <v>2.6</v>
      </c>
      <c r="AO492" s="0" t="str">
        <f aca="false">IF(AC492&lt;=20,"",IF(AC492&lt;=Assumptions!$F$6,"20-30",IF(AC492&lt;=Assumptions!$F$7,"30-40",IF(AC492&lt;=Assumptions!$F$8,"40-50",IF(AC492&lt;=Assumptions!$F$9,"50-60",IF(AC492&lt;=Assumptions!$F$10,"60+",""))))))</f>
        <v>20-30</v>
      </c>
      <c r="AP492" s="0" t="str">
        <f aca="false">IFERROR(VLOOKUP(O492,Assumptions!$B$14:$C$26,2,FALSE()),"Other")</f>
        <v>Manager</v>
      </c>
      <c r="AQ492" s="0" t="n">
        <f aca="false">IF(T492="",0,1)</f>
        <v>0</v>
      </c>
      <c r="AR492" s="0" t="n">
        <f aca="false">IF(U492="",0,1)</f>
        <v>0</v>
      </c>
      <c r="AS492" s="8" t="n">
        <f aca="false">IF(AK492="","",IF(MAX($AK$2:$AK$921)=MIN($AK$2:$AK$921),50,ROUND((AK492-MIN($AK$2:$AK$921))/(MAX($AK$2:$AK$921)-MIN($AK$2:$AK$921))*100,2)))</f>
        <v>71.41</v>
      </c>
      <c r="AT492" s="8" t="n">
        <f aca="false">IF(MAX($BC$2:$BC$921)=MIN($BC$2:$BC$921),50,ROUND((BC492-MIN($BC$2:$BC$921))/(MAX($BC$2:$BC$921)-MIN($BC$2:$BC$921))*100,2))</f>
        <v>50</v>
      </c>
      <c r="AU492" s="8" t="n">
        <f aca="false">IF(MAX($BE$2:$BE$921)=MIN($BE$2:$BE$921),50,ROUND((BE492-MIN($BE$2:$BE$921))/(MAX($BE$2:$BE$921)-MIN($BE$2:$BE$921))*100,2))</f>
        <v>33.31</v>
      </c>
      <c r="AV492" s="8" t="n">
        <f aca="false">IF(MAX($AD$2:$AD$921)=MIN($AD$2:$AD$921),50,ROUND((AD492-MIN($AD$2:$AD$921))/(MAX($AD$2:$AD$921)-MIN($AD$2:$AD$921))*100,2))</f>
        <v>7.04</v>
      </c>
      <c r="AW492" s="8" t="n">
        <f aca="false">IF(MAX($AN$2:$AN$921)=MIN($AN$2:$AN$921),50,ROUND((AN492-MIN($AN$2:$AN$921))/(MAX($AN$2:$AN$921)-MIN($AN$2:$AN$921))*100,2))</f>
        <v>65</v>
      </c>
      <c r="AX492" s="8" t="n">
        <f aca="false">AQ492*100</f>
        <v>0</v>
      </c>
      <c r="AY492" s="8" t="n">
        <f aca="false">AR492*100</f>
        <v>0</v>
      </c>
      <c r="AZ492" s="8" t="n">
        <f aca="false">IFERROR(ROUND(AS492*Assumptions!$I$6+AW492*Assumptions!$I$7+AT492*Assumptions!$I$8+AU492*Assumptions!$I$9+AV492*Assumptions!$I$10+AX492*Assumptions!$I$11+AY492*Assumptions!$I$12,2),"")</f>
        <v>47.62</v>
      </c>
      <c r="BA492" s="0" t="str">
        <f aca="false">IF(AZ492="","",IF(AZ492&lt;=Assumptions!$I$18,"Below Expectation",IF(AZ492&lt;=Assumptions!$I$19,"Developing",IF(AZ492&lt;=Assumptions!$I$20,"Meets Expectation",IF(AZ492&lt;=Assumptions!$I$21,"Exceeds","Star Performer")))))</f>
        <v>Developing</v>
      </c>
      <c r="BB492" s="0" t="n">
        <f aca="false">IF(AZ492="",0,IF(AZ492&gt;=Assumptions!$I$26,1,0))</f>
        <v>0</v>
      </c>
      <c r="BC492" s="9" t="n">
        <f aca="false">IF(AL492="",2,AL492+2)</f>
        <v>2</v>
      </c>
      <c r="BD492" s="10" t="n">
        <f aca="false">IF(AM492="",ROUND(AVERAGE($AM$2:$AM$921),3),AM492)</f>
        <v>1.155</v>
      </c>
      <c r="BE492" s="9" t="n">
        <f aca="false">1-BD492</f>
        <v>-0.155</v>
      </c>
    </row>
    <row r="493" customFormat="false" ht="14.25" hidden="false" customHeight="false" outlineLevel="0" collapsed="false">
      <c r="A493" s="4" t="n">
        <v>773</v>
      </c>
      <c r="B493" s="5" t="n">
        <v>55085992</v>
      </c>
      <c r="C493" s="5" t="s">
        <v>106</v>
      </c>
      <c r="D493" s="5" t="s">
        <v>1953</v>
      </c>
      <c r="E493" s="5" t="s">
        <v>108</v>
      </c>
      <c r="F493" s="5" t="s">
        <v>590</v>
      </c>
      <c r="G493" s="5" t="s">
        <v>589</v>
      </c>
      <c r="H493" s="5" t="s">
        <v>590</v>
      </c>
      <c r="I493" s="5" t="s">
        <v>63</v>
      </c>
      <c r="J493" s="5" t="s">
        <v>112</v>
      </c>
      <c r="K493" s="5" t="s">
        <v>309</v>
      </c>
      <c r="L493" s="6" t="n">
        <v>45224</v>
      </c>
      <c r="M493" s="5" t="s">
        <v>230</v>
      </c>
      <c r="N493" s="6" t="n">
        <v>36900</v>
      </c>
      <c r="O493" s="5" t="s">
        <v>1264</v>
      </c>
      <c r="P493" s="5" t="s">
        <v>1559</v>
      </c>
      <c r="Q493" s="5" t="s">
        <v>195</v>
      </c>
      <c r="R493" s="5" t="s">
        <v>115</v>
      </c>
      <c r="S493" s="5" t="s">
        <v>195</v>
      </c>
      <c r="T493" s="6"/>
      <c r="U493" s="6"/>
      <c r="V493" s="5"/>
      <c r="W493" s="5"/>
      <c r="X493" s="5" t="s">
        <v>631</v>
      </c>
      <c r="Y493" s="5" t="s">
        <v>83</v>
      </c>
      <c r="Z493" s="5" t="s">
        <v>83</v>
      </c>
      <c r="AA493" s="5" t="s">
        <v>1954</v>
      </c>
      <c r="AB493" s="0" t="n">
        <f aca="false">IFERROR(VALUE(R493),0)</f>
        <v>0</v>
      </c>
      <c r="AC493" s="0" t="n">
        <f aca="false">IFERROR(VALUE(M493),"")</f>
        <v>25.4</v>
      </c>
      <c r="AD493" s="0" t="n">
        <f aca="false">IFERROR(VALUE(Q493),"")</f>
        <v>2.7</v>
      </c>
      <c r="AE493" s="0" t="n">
        <f aca="false">IFERROR(VALUE(S493),"")</f>
        <v>2.7</v>
      </c>
      <c r="AF493" s="0" t="str">
        <f aca="false">IF(V493="","",VLOOKUP(V493,Assumptions!$B$6:$C$9,2,FALSE()))</f>
        <v/>
      </c>
      <c r="AG493" s="0" t="str">
        <f aca="false">IF(W493="","",VLOOKUP(W493,Assumptions!$B$6:$C$9,2,FALSE()))</f>
        <v/>
      </c>
      <c r="AH493" s="0" t="n">
        <f aca="false">IF(X493="","",VLOOKUP(X493,Assumptions!$B$6:$C$9,2,FALSE()))</f>
        <v>2</v>
      </c>
      <c r="AI493" s="0" t="n">
        <f aca="false">IF(Y493="","",VLOOKUP(Y493,Assumptions!$B$6:$C$9,2,FALSE()))</f>
        <v>4</v>
      </c>
      <c r="AJ493" s="0" t="n">
        <f aca="false">IF(Z493="","",VLOOKUP(Z493,Assumptions!$B$6:$C$9,2,FALSE()))</f>
        <v>4</v>
      </c>
      <c r="AK493" s="7" t="n">
        <f aca="false">IFERROR(ROUND(AVERAGE(AF493:AJ493),3),"")</f>
        <v>3.333</v>
      </c>
      <c r="AL493" s="7" t="str">
        <f aca="false">IF(OR(AF493="",AJ493=""),"",AJ493-AF493)</f>
        <v/>
      </c>
      <c r="AM493" s="7" t="n">
        <f aca="false">IF(COUNT(AF493:AJ493)&gt;=2,ROUND(_xlfn.STDEV.S(AF493:AJ493),3),"")</f>
        <v>1.155</v>
      </c>
      <c r="AN493" s="7" t="n">
        <f aca="false">ROUND((IF(AF493="",0,AF493)*Assumptions!$F$15)+(IF(AG493="",0,AG493)*Assumptions!$F$16)+(IF(AH493="",0,AH493)*Assumptions!$F$17)+(IF(AI493="",0,AI493)*Assumptions!$F$18)+(IF(AJ493="",0,AJ493)*Assumptions!$F$19),3)</f>
        <v>2.6</v>
      </c>
      <c r="AO493" s="0" t="str">
        <f aca="false">IF(AC493&lt;=20,"",IF(AC493&lt;=Assumptions!$F$6,"20-30",IF(AC493&lt;=Assumptions!$F$7,"30-40",IF(AC493&lt;=Assumptions!$F$8,"40-50",IF(AC493&lt;=Assumptions!$F$9,"50-60",IF(AC493&lt;=Assumptions!$F$10,"60+",""))))))</f>
        <v>20-30</v>
      </c>
      <c r="AP493" s="0" t="str">
        <f aca="false">IFERROR(VLOOKUP(O493,Assumptions!$B$14:$C$26,2,FALSE()),"Other")</f>
        <v>Manager</v>
      </c>
      <c r="AQ493" s="0" t="n">
        <f aca="false">IF(T493="",0,1)</f>
        <v>0</v>
      </c>
      <c r="AR493" s="0" t="n">
        <f aca="false">IF(U493="",0,1)</f>
        <v>0</v>
      </c>
      <c r="AS493" s="8" t="n">
        <f aca="false">IF(AK493="","",IF(MAX($AK$2:$AK$921)=MIN($AK$2:$AK$921),50,ROUND((AK493-MIN($AK$2:$AK$921))/(MAX($AK$2:$AK$921)-MIN($AK$2:$AK$921))*100,2)))</f>
        <v>71.41</v>
      </c>
      <c r="AT493" s="8" t="n">
        <f aca="false">IF(MAX($BC$2:$BC$921)=MIN($BC$2:$BC$921),50,ROUND((BC493-MIN($BC$2:$BC$921))/(MAX($BC$2:$BC$921)-MIN($BC$2:$BC$921))*100,2))</f>
        <v>50</v>
      </c>
      <c r="AU493" s="8" t="n">
        <f aca="false">IF(MAX($BE$2:$BE$921)=MIN($BE$2:$BE$921),50,ROUND((BE493-MIN($BE$2:$BE$921))/(MAX($BE$2:$BE$921)-MIN($BE$2:$BE$921))*100,2))</f>
        <v>33.31</v>
      </c>
      <c r="AV493" s="8" t="n">
        <f aca="false">IF(MAX($AD$2:$AD$921)=MIN($AD$2:$AD$921),50,ROUND((AD493-MIN($AD$2:$AD$921))/(MAX($AD$2:$AD$921)-MIN($AD$2:$AD$921))*100,2))</f>
        <v>7.04</v>
      </c>
      <c r="AW493" s="8" t="n">
        <f aca="false">IF(MAX($AN$2:$AN$921)=MIN($AN$2:$AN$921),50,ROUND((AN493-MIN($AN$2:$AN$921))/(MAX($AN$2:$AN$921)-MIN($AN$2:$AN$921))*100,2))</f>
        <v>65</v>
      </c>
      <c r="AX493" s="8" t="n">
        <f aca="false">AQ493*100</f>
        <v>0</v>
      </c>
      <c r="AY493" s="8" t="n">
        <f aca="false">AR493*100</f>
        <v>0</v>
      </c>
      <c r="AZ493" s="8" t="n">
        <f aca="false">IFERROR(ROUND(AS493*Assumptions!$I$6+AW493*Assumptions!$I$7+AT493*Assumptions!$I$8+AU493*Assumptions!$I$9+AV493*Assumptions!$I$10+AX493*Assumptions!$I$11+AY493*Assumptions!$I$12,2),"")</f>
        <v>47.62</v>
      </c>
      <c r="BA493" s="0" t="str">
        <f aca="false">IF(AZ493="","",IF(AZ493&lt;=Assumptions!$I$18,"Below Expectation",IF(AZ493&lt;=Assumptions!$I$19,"Developing",IF(AZ493&lt;=Assumptions!$I$20,"Meets Expectation",IF(AZ493&lt;=Assumptions!$I$21,"Exceeds","Star Performer")))))</f>
        <v>Developing</v>
      </c>
      <c r="BB493" s="0" t="n">
        <f aca="false">IF(AZ493="",0,IF(AZ493&gt;=Assumptions!$I$26,1,0))</f>
        <v>0</v>
      </c>
      <c r="BC493" s="9" t="n">
        <f aca="false">IF(AL493="",2,AL493+2)</f>
        <v>2</v>
      </c>
      <c r="BD493" s="10" t="n">
        <f aca="false">IF(AM493="",ROUND(AVERAGE($AM$2:$AM$921),3),AM493)</f>
        <v>1.155</v>
      </c>
      <c r="BE493" s="9" t="n">
        <f aca="false">1-BD493</f>
        <v>-0.155</v>
      </c>
    </row>
    <row r="494" customFormat="false" ht="14.25" hidden="false" customHeight="false" outlineLevel="0" collapsed="false">
      <c r="A494" s="4" t="n">
        <v>783</v>
      </c>
      <c r="B494" s="5" t="n">
        <v>55086009</v>
      </c>
      <c r="C494" s="5" t="s">
        <v>106</v>
      </c>
      <c r="D494" s="5" t="s">
        <v>1955</v>
      </c>
      <c r="E494" s="5" t="s">
        <v>108</v>
      </c>
      <c r="F494" s="5" t="s">
        <v>590</v>
      </c>
      <c r="G494" s="5" t="s">
        <v>589</v>
      </c>
      <c r="H494" s="5" t="s">
        <v>590</v>
      </c>
      <c r="I494" s="5" t="s">
        <v>63</v>
      </c>
      <c r="J494" s="5" t="s">
        <v>112</v>
      </c>
      <c r="K494" s="5" t="s">
        <v>309</v>
      </c>
      <c r="L494" s="6" t="n">
        <v>45224</v>
      </c>
      <c r="M494" s="5" t="s">
        <v>910</v>
      </c>
      <c r="N494" s="6" t="n">
        <v>37080</v>
      </c>
      <c r="O494" s="5" t="s">
        <v>1264</v>
      </c>
      <c r="P494" s="5" t="s">
        <v>1559</v>
      </c>
      <c r="Q494" s="5" t="s">
        <v>195</v>
      </c>
      <c r="R494" s="5" t="s">
        <v>115</v>
      </c>
      <c r="S494" s="5" t="s">
        <v>195</v>
      </c>
      <c r="T494" s="6"/>
      <c r="U494" s="6"/>
      <c r="V494" s="5"/>
      <c r="W494" s="5"/>
      <c r="X494" s="5" t="s">
        <v>631</v>
      </c>
      <c r="Y494" s="5" t="s">
        <v>83</v>
      </c>
      <c r="Z494" s="5" t="s">
        <v>83</v>
      </c>
      <c r="AA494" s="5" t="s">
        <v>1956</v>
      </c>
      <c r="AB494" s="0" t="n">
        <f aca="false">IFERROR(VALUE(R494),0)</f>
        <v>0</v>
      </c>
      <c r="AC494" s="0" t="n">
        <f aca="false">IFERROR(VALUE(M494),"")</f>
        <v>24.11</v>
      </c>
      <c r="AD494" s="0" t="n">
        <f aca="false">IFERROR(VALUE(Q494),"")</f>
        <v>2.7</v>
      </c>
      <c r="AE494" s="0" t="n">
        <f aca="false">IFERROR(VALUE(S494),"")</f>
        <v>2.7</v>
      </c>
      <c r="AF494" s="0" t="str">
        <f aca="false">IF(V494="","",VLOOKUP(V494,Assumptions!$B$6:$C$9,2,FALSE()))</f>
        <v/>
      </c>
      <c r="AG494" s="0" t="str">
        <f aca="false">IF(W494="","",VLOOKUP(W494,Assumptions!$B$6:$C$9,2,FALSE()))</f>
        <v/>
      </c>
      <c r="AH494" s="0" t="n">
        <f aca="false">IF(X494="","",VLOOKUP(X494,Assumptions!$B$6:$C$9,2,FALSE()))</f>
        <v>2</v>
      </c>
      <c r="AI494" s="0" t="n">
        <f aca="false">IF(Y494="","",VLOOKUP(Y494,Assumptions!$B$6:$C$9,2,FALSE()))</f>
        <v>4</v>
      </c>
      <c r="AJ494" s="0" t="n">
        <f aca="false">IF(Z494="","",VLOOKUP(Z494,Assumptions!$B$6:$C$9,2,FALSE()))</f>
        <v>4</v>
      </c>
      <c r="AK494" s="7" t="n">
        <f aca="false">IFERROR(ROUND(AVERAGE(AF494:AJ494),3),"")</f>
        <v>3.333</v>
      </c>
      <c r="AL494" s="7" t="str">
        <f aca="false">IF(OR(AF494="",AJ494=""),"",AJ494-AF494)</f>
        <v/>
      </c>
      <c r="AM494" s="7" t="n">
        <f aca="false">IF(COUNT(AF494:AJ494)&gt;=2,ROUND(_xlfn.STDEV.S(AF494:AJ494),3),"")</f>
        <v>1.155</v>
      </c>
      <c r="AN494" s="7" t="n">
        <f aca="false">ROUND((IF(AF494="",0,AF494)*Assumptions!$F$15)+(IF(AG494="",0,AG494)*Assumptions!$F$16)+(IF(AH494="",0,AH494)*Assumptions!$F$17)+(IF(AI494="",0,AI494)*Assumptions!$F$18)+(IF(AJ494="",0,AJ494)*Assumptions!$F$19),3)</f>
        <v>2.6</v>
      </c>
      <c r="AO494" s="0" t="str">
        <f aca="false">IF(AC494&lt;=20,"",IF(AC494&lt;=Assumptions!$F$6,"20-30",IF(AC494&lt;=Assumptions!$F$7,"30-40",IF(AC494&lt;=Assumptions!$F$8,"40-50",IF(AC494&lt;=Assumptions!$F$9,"50-60",IF(AC494&lt;=Assumptions!$F$10,"60+",""))))))</f>
        <v>20-30</v>
      </c>
      <c r="AP494" s="0" t="str">
        <f aca="false">IFERROR(VLOOKUP(O494,Assumptions!$B$14:$C$26,2,FALSE()),"Other")</f>
        <v>Manager</v>
      </c>
      <c r="AQ494" s="0" t="n">
        <f aca="false">IF(T494="",0,1)</f>
        <v>0</v>
      </c>
      <c r="AR494" s="0" t="n">
        <f aca="false">IF(U494="",0,1)</f>
        <v>0</v>
      </c>
      <c r="AS494" s="8" t="n">
        <f aca="false">IF(AK494="","",IF(MAX($AK$2:$AK$921)=MIN($AK$2:$AK$921),50,ROUND((AK494-MIN($AK$2:$AK$921))/(MAX($AK$2:$AK$921)-MIN($AK$2:$AK$921))*100,2)))</f>
        <v>71.41</v>
      </c>
      <c r="AT494" s="8" t="n">
        <f aca="false">IF(MAX($BC$2:$BC$921)=MIN($BC$2:$BC$921),50,ROUND((BC494-MIN($BC$2:$BC$921))/(MAX($BC$2:$BC$921)-MIN($BC$2:$BC$921))*100,2))</f>
        <v>50</v>
      </c>
      <c r="AU494" s="8" t="n">
        <f aca="false">IF(MAX($BE$2:$BE$921)=MIN($BE$2:$BE$921),50,ROUND((BE494-MIN($BE$2:$BE$921))/(MAX($BE$2:$BE$921)-MIN($BE$2:$BE$921))*100,2))</f>
        <v>33.31</v>
      </c>
      <c r="AV494" s="8" t="n">
        <f aca="false">IF(MAX($AD$2:$AD$921)=MIN($AD$2:$AD$921),50,ROUND((AD494-MIN($AD$2:$AD$921))/(MAX($AD$2:$AD$921)-MIN($AD$2:$AD$921))*100,2))</f>
        <v>7.04</v>
      </c>
      <c r="AW494" s="8" t="n">
        <f aca="false">IF(MAX($AN$2:$AN$921)=MIN($AN$2:$AN$921),50,ROUND((AN494-MIN($AN$2:$AN$921))/(MAX($AN$2:$AN$921)-MIN($AN$2:$AN$921))*100,2))</f>
        <v>65</v>
      </c>
      <c r="AX494" s="8" t="n">
        <f aca="false">AQ494*100</f>
        <v>0</v>
      </c>
      <c r="AY494" s="8" t="n">
        <f aca="false">AR494*100</f>
        <v>0</v>
      </c>
      <c r="AZ494" s="8" t="n">
        <f aca="false">IFERROR(ROUND(AS494*Assumptions!$I$6+AW494*Assumptions!$I$7+AT494*Assumptions!$I$8+AU494*Assumptions!$I$9+AV494*Assumptions!$I$10+AX494*Assumptions!$I$11+AY494*Assumptions!$I$12,2),"")</f>
        <v>47.62</v>
      </c>
      <c r="BA494" s="0" t="str">
        <f aca="false">IF(AZ494="","",IF(AZ494&lt;=Assumptions!$I$18,"Below Expectation",IF(AZ494&lt;=Assumptions!$I$19,"Developing",IF(AZ494&lt;=Assumptions!$I$20,"Meets Expectation",IF(AZ494&lt;=Assumptions!$I$21,"Exceeds","Star Performer")))))</f>
        <v>Developing</v>
      </c>
      <c r="BB494" s="0" t="n">
        <f aca="false">IF(AZ494="",0,IF(AZ494&gt;=Assumptions!$I$26,1,0))</f>
        <v>0</v>
      </c>
      <c r="BC494" s="9" t="n">
        <f aca="false">IF(AL494="",2,AL494+2)</f>
        <v>2</v>
      </c>
      <c r="BD494" s="10" t="n">
        <f aca="false">IF(AM494="",ROUND(AVERAGE($AM$2:$AM$921),3),AM494)</f>
        <v>1.155</v>
      </c>
      <c r="BE494" s="9" t="n">
        <f aca="false">1-BD494</f>
        <v>-0.155</v>
      </c>
    </row>
    <row r="495" customFormat="false" ht="14.25" hidden="true" customHeight="false" outlineLevel="0" collapsed="false">
      <c r="A495" s="4" t="n">
        <v>648</v>
      </c>
      <c r="B495" s="5" t="n">
        <v>55056894</v>
      </c>
      <c r="C495" s="5" t="s">
        <v>85</v>
      </c>
      <c r="D495" s="5" t="s">
        <v>1957</v>
      </c>
      <c r="E495" s="5" t="s">
        <v>339</v>
      </c>
      <c r="F495" s="5" t="s">
        <v>590</v>
      </c>
      <c r="G495" s="5" t="s">
        <v>589</v>
      </c>
      <c r="H495" s="5" t="s">
        <v>590</v>
      </c>
      <c r="I495" s="5" t="s">
        <v>63</v>
      </c>
      <c r="J495" s="5" t="s">
        <v>76</v>
      </c>
      <c r="K495" s="5" t="s">
        <v>65</v>
      </c>
      <c r="L495" s="6" t="n">
        <v>44809</v>
      </c>
      <c r="M495" s="5" t="s">
        <v>1551</v>
      </c>
      <c r="N495" s="6" t="n">
        <v>35674</v>
      </c>
      <c r="O495" s="5" t="s">
        <v>1264</v>
      </c>
      <c r="P495" s="5" t="s">
        <v>1559</v>
      </c>
      <c r="Q495" s="5" t="s">
        <v>231</v>
      </c>
      <c r="R495" s="5" t="s">
        <v>115</v>
      </c>
      <c r="S495" s="5" t="s">
        <v>231</v>
      </c>
      <c r="T495" s="6"/>
      <c r="U495" s="6"/>
      <c r="V495" s="5"/>
      <c r="W495" s="5" t="s">
        <v>631</v>
      </c>
      <c r="X495" s="5" t="s">
        <v>141</v>
      </c>
      <c r="Y495" s="5" t="s">
        <v>83</v>
      </c>
      <c r="Z495" s="5" t="s">
        <v>141</v>
      </c>
      <c r="AA495" s="5" t="s">
        <v>1958</v>
      </c>
      <c r="AB495" s="0" t="n">
        <f aca="false">IFERROR(VALUE(R495),0)</f>
        <v>0</v>
      </c>
      <c r="AC495" s="0" t="n">
        <f aca="false">IFERROR(VALUE(M495),"")</f>
        <v>28.9</v>
      </c>
      <c r="AD495" s="0" t="n">
        <f aca="false">IFERROR(VALUE(Q495),"")</f>
        <v>3.9</v>
      </c>
      <c r="AE495" s="0" t="n">
        <f aca="false">IFERROR(VALUE(S495),"")</f>
        <v>3.9</v>
      </c>
      <c r="AF495" s="0" t="str">
        <f aca="false">IF(V495="","",VLOOKUP(V495,Assumptions!$B$6:$C$9,2,FALSE()))</f>
        <v/>
      </c>
      <c r="AG495" s="0" t="n">
        <f aca="false">IF(W495="","",VLOOKUP(W495,Assumptions!$B$6:$C$9,2,FALSE()))</f>
        <v>2</v>
      </c>
      <c r="AH495" s="0" t="n">
        <f aca="false">IF(X495="","",VLOOKUP(X495,Assumptions!$B$6:$C$9,2,FALSE()))</f>
        <v>3</v>
      </c>
      <c r="AI495" s="0" t="n">
        <f aca="false">IF(Y495="","",VLOOKUP(Y495,Assumptions!$B$6:$C$9,2,FALSE()))</f>
        <v>4</v>
      </c>
      <c r="AJ495" s="0" t="n">
        <f aca="false">IF(Z495="","",VLOOKUP(Z495,Assumptions!$B$6:$C$9,2,FALSE()))</f>
        <v>3</v>
      </c>
      <c r="AK495" s="7" t="n">
        <f aca="false">IFERROR(ROUND(AVERAGE(AF495:AJ495),3),"")</f>
        <v>3</v>
      </c>
      <c r="AL495" s="7" t="str">
        <f aca="false">IF(OR(AF495="",AJ495=""),"",AJ495-AF495)</f>
        <v/>
      </c>
      <c r="AM495" s="7" t="n">
        <f aca="false">IF(COUNT(AF495:AJ495)&gt;=2,ROUND(_xlfn.STDEV.S(AF495:AJ495),3),"")</f>
        <v>0.816</v>
      </c>
      <c r="AN495" s="7" t="n">
        <f aca="false">ROUND((IF(AF495="",0,AF495)*Assumptions!$F$15)+(IF(AG495="",0,AG495)*Assumptions!$F$16)+(IF(AH495="",0,AH495)*Assumptions!$F$17)+(IF(AI495="",0,AI495)*Assumptions!$F$18)+(IF(AJ495="",0,AJ495)*Assumptions!$F$19),3)</f>
        <v>2.8</v>
      </c>
      <c r="AO495" s="0" t="str">
        <f aca="false">IF(AC495&lt;=20,"",IF(AC495&lt;=Assumptions!$F$6,"20-30",IF(AC495&lt;=Assumptions!$F$7,"30-40",IF(AC495&lt;=Assumptions!$F$8,"40-50",IF(AC495&lt;=Assumptions!$F$9,"50-60",IF(AC495&lt;=Assumptions!$F$10,"60+",""))))))</f>
        <v>20-30</v>
      </c>
      <c r="AP495" s="0" t="str">
        <f aca="false">IFERROR(VLOOKUP(O495,Assumptions!$B$14:$C$26,2,FALSE()),"Other")</f>
        <v>Manager</v>
      </c>
      <c r="AQ495" s="0" t="n">
        <f aca="false">IF(T495="",0,1)</f>
        <v>0</v>
      </c>
      <c r="AR495" s="0" t="n">
        <f aca="false">IF(U495="",0,1)</f>
        <v>0</v>
      </c>
      <c r="AS495" s="8" t="n">
        <f aca="false">IF(AK495="","",IF(MAX($AK$2:$AK$921)=MIN($AK$2:$AK$921),50,ROUND((AK495-MIN($AK$2:$AK$921))/(MAX($AK$2:$AK$921)-MIN($AK$2:$AK$921))*100,2)))</f>
        <v>57.14</v>
      </c>
      <c r="AT495" s="8" t="n">
        <f aca="false">IF(MAX($BC$2:$BC$921)=MIN($BC$2:$BC$921),50,ROUND((BC495-MIN($BC$2:$BC$921))/(MAX($BC$2:$BC$921)-MIN($BC$2:$BC$921))*100,2))</f>
        <v>50</v>
      </c>
      <c r="AU495" s="8" t="n">
        <f aca="false">IF(MAX($BE$2:$BE$921)=MIN($BE$2:$BE$921),50,ROUND((BE495-MIN($BE$2:$BE$921))/(MAX($BE$2:$BE$921)-MIN($BE$2:$BE$921))*100,2))</f>
        <v>52.89</v>
      </c>
      <c r="AV495" s="8" t="n">
        <f aca="false">IF(MAX($AD$2:$AD$921)=MIN($AD$2:$AD$921),50,ROUND((AD495-MIN($AD$2:$AD$921))/(MAX($AD$2:$AD$921)-MIN($AD$2:$AD$921))*100,2))</f>
        <v>10.3</v>
      </c>
      <c r="AW495" s="8" t="n">
        <f aca="false">IF(MAX($AN$2:$AN$921)=MIN($AN$2:$AN$921),50,ROUND((AN495-MIN($AN$2:$AN$921))/(MAX($AN$2:$AN$921)-MIN($AN$2:$AN$921))*100,2))</f>
        <v>70</v>
      </c>
      <c r="AX495" s="8" t="n">
        <f aca="false">AQ495*100</f>
        <v>0</v>
      </c>
      <c r="AY495" s="8" t="n">
        <f aca="false">AR495*100</f>
        <v>0</v>
      </c>
      <c r="AZ495" s="8" t="n">
        <f aca="false">IFERROR(ROUND(AS495*Assumptions!$I$6+AW495*Assumptions!$I$7+AT495*Assumptions!$I$8+AU495*Assumptions!$I$9+AV495*Assumptions!$I$10+AX495*Assumptions!$I$11+AY495*Assumptions!$I$12,2),"")</f>
        <v>47.61</v>
      </c>
      <c r="BA495" s="0" t="str">
        <f aca="false">IF(AZ495="","",IF(AZ495&lt;=Assumptions!$I$18,"Below Expectation",IF(AZ495&lt;=Assumptions!$I$19,"Developing",IF(AZ495&lt;=Assumptions!$I$20,"Meets Expectation",IF(AZ495&lt;=Assumptions!$I$21,"Exceeds","Star Performer")))))</f>
        <v>Developing</v>
      </c>
      <c r="BB495" s="0" t="n">
        <f aca="false">IF(AZ495="",0,IF(AZ495&gt;=Assumptions!$I$26,1,0))</f>
        <v>0</v>
      </c>
      <c r="BC495" s="9" t="n">
        <f aca="false">IF(AL495="",2,AL495+2)</f>
        <v>2</v>
      </c>
      <c r="BD495" s="10" t="n">
        <f aca="false">IF(AM495="",ROUND(AVERAGE($AM$2:$AM$921),3),AM495)</f>
        <v>0.816</v>
      </c>
      <c r="BE495" s="9" t="n">
        <f aca="false">1-BD495</f>
        <v>0.184</v>
      </c>
    </row>
    <row r="496" customFormat="false" ht="14.25" hidden="true" customHeight="false" outlineLevel="0" collapsed="false">
      <c r="A496" s="4" t="n">
        <v>658</v>
      </c>
      <c r="B496" s="5" t="n">
        <v>55057876</v>
      </c>
      <c r="C496" s="5" t="s">
        <v>85</v>
      </c>
      <c r="D496" s="5" t="s">
        <v>1959</v>
      </c>
      <c r="E496" s="5" t="s">
        <v>137</v>
      </c>
      <c r="F496" s="5" t="s">
        <v>1382</v>
      </c>
      <c r="G496" s="5" t="s">
        <v>1383</v>
      </c>
      <c r="H496" s="5" t="s">
        <v>1382</v>
      </c>
      <c r="I496" s="5" t="s">
        <v>63</v>
      </c>
      <c r="J496" s="5" t="s">
        <v>76</v>
      </c>
      <c r="K496" s="5" t="s">
        <v>309</v>
      </c>
      <c r="L496" s="6" t="n">
        <v>44830</v>
      </c>
      <c r="M496" s="5" t="s">
        <v>440</v>
      </c>
      <c r="N496" s="6" t="n">
        <v>36607</v>
      </c>
      <c r="O496" s="5" t="s">
        <v>1264</v>
      </c>
      <c r="P496" s="5" t="s">
        <v>1559</v>
      </c>
      <c r="Q496" s="5" t="s">
        <v>445</v>
      </c>
      <c r="R496" s="5" t="s">
        <v>115</v>
      </c>
      <c r="S496" s="5" t="s">
        <v>445</v>
      </c>
      <c r="T496" s="6"/>
      <c r="U496" s="6"/>
      <c r="V496" s="5"/>
      <c r="W496" s="5" t="s">
        <v>631</v>
      </c>
      <c r="X496" s="5" t="s">
        <v>141</v>
      </c>
      <c r="Y496" s="5" t="s">
        <v>83</v>
      </c>
      <c r="Z496" s="5" t="s">
        <v>141</v>
      </c>
      <c r="AA496" s="5" t="s">
        <v>1960</v>
      </c>
      <c r="AB496" s="0" t="n">
        <f aca="false">IFERROR(VALUE(R496),0)</f>
        <v>0</v>
      </c>
      <c r="AC496" s="0" t="n">
        <f aca="false">IFERROR(VALUE(M496),"")</f>
        <v>26.2</v>
      </c>
      <c r="AD496" s="0" t="n">
        <f aca="false">IFERROR(VALUE(Q496),"")</f>
        <v>3.8</v>
      </c>
      <c r="AE496" s="0" t="n">
        <f aca="false">IFERROR(VALUE(S496),"")</f>
        <v>3.8</v>
      </c>
      <c r="AF496" s="0" t="str">
        <f aca="false">IF(V496="","",VLOOKUP(V496,Assumptions!$B$6:$C$9,2,FALSE()))</f>
        <v/>
      </c>
      <c r="AG496" s="0" t="n">
        <f aca="false">IF(W496="","",VLOOKUP(W496,Assumptions!$B$6:$C$9,2,FALSE()))</f>
        <v>2</v>
      </c>
      <c r="AH496" s="0" t="n">
        <f aca="false">IF(X496="","",VLOOKUP(X496,Assumptions!$B$6:$C$9,2,FALSE()))</f>
        <v>3</v>
      </c>
      <c r="AI496" s="0" t="n">
        <f aca="false">IF(Y496="","",VLOOKUP(Y496,Assumptions!$B$6:$C$9,2,FALSE()))</f>
        <v>4</v>
      </c>
      <c r="AJ496" s="0" t="n">
        <f aca="false">IF(Z496="","",VLOOKUP(Z496,Assumptions!$B$6:$C$9,2,FALSE()))</f>
        <v>3</v>
      </c>
      <c r="AK496" s="7" t="n">
        <f aca="false">IFERROR(ROUND(AVERAGE(AF496:AJ496),3),"")</f>
        <v>3</v>
      </c>
      <c r="AL496" s="7" t="str">
        <f aca="false">IF(OR(AF496="",AJ496=""),"",AJ496-AF496)</f>
        <v/>
      </c>
      <c r="AM496" s="7" t="n">
        <f aca="false">IF(COUNT(AF496:AJ496)&gt;=2,ROUND(_xlfn.STDEV.S(AF496:AJ496),3),"")</f>
        <v>0.816</v>
      </c>
      <c r="AN496" s="7" t="n">
        <f aca="false">ROUND((IF(AF496="",0,AF496)*Assumptions!$F$15)+(IF(AG496="",0,AG496)*Assumptions!$F$16)+(IF(AH496="",0,AH496)*Assumptions!$F$17)+(IF(AI496="",0,AI496)*Assumptions!$F$18)+(IF(AJ496="",0,AJ496)*Assumptions!$F$19),3)</f>
        <v>2.8</v>
      </c>
      <c r="AO496" s="0" t="str">
        <f aca="false">IF(AC496&lt;=20,"",IF(AC496&lt;=Assumptions!$F$6,"20-30",IF(AC496&lt;=Assumptions!$F$7,"30-40",IF(AC496&lt;=Assumptions!$F$8,"40-50",IF(AC496&lt;=Assumptions!$F$9,"50-60",IF(AC496&lt;=Assumptions!$F$10,"60+",""))))))</f>
        <v>20-30</v>
      </c>
      <c r="AP496" s="0" t="str">
        <f aca="false">IFERROR(VLOOKUP(O496,Assumptions!$B$14:$C$26,2,FALSE()),"Other")</f>
        <v>Manager</v>
      </c>
      <c r="AQ496" s="0" t="n">
        <f aca="false">IF(T496="",0,1)</f>
        <v>0</v>
      </c>
      <c r="AR496" s="0" t="n">
        <f aca="false">IF(U496="",0,1)</f>
        <v>0</v>
      </c>
      <c r="AS496" s="8" t="n">
        <f aca="false">IF(AK496="","",IF(MAX($AK$2:$AK$921)=MIN($AK$2:$AK$921),50,ROUND((AK496-MIN($AK$2:$AK$921))/(MAX($AK$2:$AK$921)-MIN($AK$2:$AK$921))*100,2)))</f>
        <v>57.14</v>
      </c>
      <c r="AT496" s="8" t="n">
        <f aca="false">IF(MAX($BC$2:$BC$921)=MIN($BC$2:$BC$921),50,ROUND((BC496-MIN($BC$2:$BC$921))/(MAX($BC$2:$BC$921)-MIN($BC$2:$BC$921))*100,2))</f>
        <v>50</v>
      </c>
      <c r="AU496" s="8" t="n">
        <f aca="false">IF(MAX($BE$2:$BE$921)=MIN($BE$2:$BE$921),50,ROUND((BE496-MIN($BE$2:$BE$921))/(MAX($BE$2:$BE$921)-MIN($BE$2:$BE$921))*100,2))</f>
        <v>52.89</v>
      </c>
      <c r="AV496" s="8" t="n">
        <f aca="false">IF(MAX($AD$2:$AD$921)=MIN($AD$2:$AD$921),50,ROUND((AD496-MIN($AD$2:$AD$921))/(MAX($AD$2:$AD$921)-MIN($AD$2:$AD$921))*100,2))</f>
        <v>10.03</v>
      </c>
      <c r="AW496" s="8" t="n">
        <f aca="false">IF(MAX($AN$2:$AN$921)=MIN($AN$2:$AN$921),50,ROUND((AN496-MIN($AN$2:$AN$921))/(MAX($AN$2:$AN$921)-MIN($AN$2:$AN$921))*100,2))</f>
        <v>70</v>
      </c>
      <c r="AX496" s="8" t="n">
        <f aca="false">AQ496*100</f>
        <v>0</v>
      </c>
      <c r="AY496" s="8" t="n">
        <f aca="false">AR496*100</f>
        <v>0</v>
      </c>
      <c r="AZ496" s="8" t="n">
        <f aca="false">IFERROR(ROUND(AS496*Assumptions!$I$6+AW496*Assumptions!$I$7+AT496*Assumptions!$I$8+AU496*Assumptions!$I$9+AV496*Assumptions!$I$10+AX496*Assumptions!$I$11+AY496*Assumptions!$I$12,2),"")</f>
        <v>47.58</v>
      </c>
      <c r="BA496" s="0" t="str">
        <f aca="false">IF(AZ496="","",IF(AZ496&lt;=Assumptions!$I$18,"Below Expectation",IF(AZ496&lt;=Assumptions!$I$19,"Developing",IF(AZ496&lt;=Assumptions!$I$20,"Meets Expectation",IF(AZ496&lt;=Assumptions!$I$21,"Exceeds","Star Performer")))))</f>
        <v>Developing</v>
      </c>
      <c r="BB496" s="0" t="n">
        <f aca="false">IF(AZ496="",0,IF(AZ496&gt;=Assumptions!$I$26,1,0))</f>
        <v>0</v>
      </c>
      <c r="BC496" s="9" t="n">
        <f aca="false">IF(AL496="",2,AL496+2)</f>
        <v>2</v>
      </c>
      <c r="BD496" s="10" t="n">
        <f aca="false">IF(AM496="",ROUND(AVERAGE($AM$2:$AM$921),3),AM496)</f>
        <v>0.816</v>
      </c>
      <c r="BE496" s="9" t="n">
        <f aca="false">1-BD496</f>
        <v>0.184</v>
      </c>
    </row>
    <row r="497" customFormat="false" ht="14.25" hidden="true" customHeight="false" outlineLevel="0" collapsed="false">
      <c r="A497" s="4" t="n">
        <v>681</v>
      </c>
      <c r="B497" s="5" t="n">
        <v>55059524</v>
      </c>
      <c r="C497" s="5" t="s">
        <v>85</v>
      </c>
      <c r="D497" s="5" t="s">
        <v>1961</v>
      </c>
      <c r="E497" s="5" t="s">
        <v>137</v>
      </c>
      <c r="F497" s="5" t="s">
        <v>349</v>
      </c>
      <c r="G497" s="5" t="s">
        <v>350</v>
      </c>
      <c r="H497" s="5" t="s">
        <v>349</v>
      </c>
      <c r="I497" s="5" t="s">
        <v>63</v>
      </c>
      <c r="J497" s="5" t="s">
        <v>76</v>
      </c>
      <c r="K497" s="5" t="s">
        <v>65</v>
      </c>
      <c r="L497" s="6" t="n">
        <v>44851</v>
      </c>
      <c r="M497" s="5" t="s">
        <v>310</v>
      </c>
      <c r="N497" s="6" t="n">
        <v>32995</v>
      </c>
      <c r="O497" s="5" t="s">
        <v>332</v>
      </c>
      <c r="P497" s="5" t="s">
        <v>333</v>
      </c>
      <c r="Q497" s="5" t="s">
        <v>335</v>
      </c>
      <c r="R497" s="5" t="s">
        <v>1467</v>
      </c>
      <c r="S497" s="5" t="s">
        <v>1012</v>
      </c>
      <c r="T497" s="6"/>
      <c r="U497" s="6"/>
      <c r="V497" s="5"/>
      <c r="W497" s="5" t="s">
        <v>631</v>
      </c>
      <c r="X497" s="5" t="s">
        <v>141</v>
      </c>
      <c r="Y497" s="5" t="s">
        <v>83</v>
      </c>
      <c r="Z497" s="5" t="s">
        <v>141</v>
      </c>
      <c r="AA497" s="5" t="s">
        <v>1962</v>
      </c>
      <c r="AB497" s="0" t="n">
        <f aca="false">IFERROR(VALUE(R497),0)</f>
        <v>10.4</v>
      </c>
      <c r="AC497" s="0" t="n">
        <f aca="false">IFERROR(VALUE(M497),"")</f>
        <v>36.1</v>
      </c>
      <c r="AD497" s="0" t="n">
        <f aca="false">IFERROR(VALUE(Q497),"")</f>
        <v>3.7</v>
      </c>
      <c r="AE497" s="0" t="n">
        <f aca="false">IFERROR(VALUE(S497),"")</f>
        <v>13.11</v>
      </c>
      <c r="AF497" s="0" t="str">
        <f aca="false">IF(V497="","",VLOOKUP(V497,Assumptions!$B$6:$C$9,2,FALSE()))</f>
        <v/>
      </c>
      <c r="AG497" s="0" t="n">
        <f aca="false">IF(W497="","",VLOOKUP(W497,Assumptions!$B$6:$C$9,2,FALSE()))</f>
        <v>2</v>
      </c>
      <c r="AH497" s="0" t="n">
        <f aca="false">IF(X497="","",VLOOKUP(X497,Assumptions!$B$6:$C$9,2,FALSE()))</f>
        <v>3</v>
      </c>
      <c r="AI497" s="0" t="n">
        <f aca="false">IF(Y497="","",VLOOKUP(Y497,Assumptions!$B$6:$C$9,2,FALSE()))</f>
        <v>4</v>
      </c>
      <c r="AJ497" s="0" t="n">
        <f aca="false">IF(Z497="","",VLOOKUP(Z497,Assumptions!$B$6:$C$9,2,FALSE()))</f>
        <v>3</v>
      </c>
      <c r="AK497" s="7" t="n">
        <f aca="false">IFERROR(ROUND(AVERAGE(AF497:AJ497),3),"")</f>
        <v>3</v>
      </c>
      <c r="AL497" s="7" t="str">
        <f aca="false">IF(OR(AF497="",AJ497=""),"",AJ497-AF497)</f>
        <v/>
      </c>
      <c r="AM497" s="7" t="n">
        <f aca="false">IF(COUNT(AF497:AJ497)&gt;=2,ROUND(_xlfn.STDEV.S(AF497:AJ497),3),"")</f>
        <v>0.816</v>
      </c>
      <c r="AN497" s="7" t="n">
        <f aca="false">ROUND((IF(AF497="",0,AF497)*Assumptions!$F$15)+(IF(AG497="",0,AG497)*Assumptions!$F$16)+(IF(AH497="",0,AH497)*Assumptions!$F$17)+(IF(AI497="",0,AI497)*Assumptions!$F$18)+(IF(AJ497="",0,AJ497)*Assumptions!$F$19),3)</f>
        <v>2.8</v>
      </c>
      <c r="AO497" s="0" t="str">
        <f aca="false">IF(AC497&lt;=20,"",IF(AC497&lt;=Assumptions!$F$6,"20-30",IF(AC497&lt;=Assumptions!$F$7,"30-40",IF(AC497&lt;=Assumptions!$F$8,"40-50",IF(AC497&lt;=Assumptions!$F$9,"50-60",IF(AC497&lt;=Assumptions!$F$10,"60+",""))))))</f>
        <v>30-40</v>
      </c>
      <c r="AP497" s="0" t="str">
        <f aca="false">IFERROR(VLOOKUP(O497,Assumptions!$B$14:$C$26,2,FALSE()),"Other")</f>
        <v>Manager</v>
      </c>
      <c r="AQ497" s="0" t="n">
        <f aca="false">IF(T497="",0,1)</f>
        <v>0</v>
      </c>
      <c r="AR497" s="0" t="n">
        <f aca="false">IF(U497="",0,1)</f>
        <v>0</v>
      </c>
      <c r="AS497" s="8" t="n">
        <f aca="false">IF(AK497="","",IF(MAX($AK$2:$AK$921)=MIN($AK$2:$AK$921),50,ROUND((AK497-MIN($AK$2:$AK$921))/(MAX($AK$2:$AK$921)-MIN($AK$2:$AK$921))*100,2)))</f>
        <v>57.14</v>
      </c>
      <c r="AT497" s="8" t="n">
        <f aca="false">IF(MAX($BC$2:$BC$921)=MIN($BC$2:$BC$921),50,ROUND((BC497-MIN($BC$2:$BC$921))/(MAX($BC$2:$BC$921)-MIN($BC$2:$BC$921))*100,2))</f>
        <v>50</v>
      </c>
      <c r="AU497" s="8" t="n">
        <f aca="false">IF(MAX($BE$2:$BE$921)=MIN($BE$2:$BE$921),50,ROUND((BE497-MIN($BE$2:$BE$921))/(MAX($BE$2:$BE$921)-MIN($BE$2:$BE$921))*100,2))</f>
        <v>52.89</v>
      </c>
      <c r="AV497" s="8" t="n">
        <f aca="false">IF(MAX($AD$2:$AD$921)=MIN($AD$2:$AD$921),50,ROUND((AD497-MIN($AD$2:$AD$921))/(MAX($AD$2:$AD$921)-MIN($AD$2:$AD$921))*100,2))</f>
        <v>9.76</v>
      </c>
      <c r="AW497" s="8" t="n">
        <f aca="false">IF(MAX($AN$2:$AN$921)=MIN($AN$2:$AN$921),50,ROUND((AN497-MIN($AN$2:$AN$921))/(MAX($AN$2:$AN$921)-MIN($AN$2:$AN$921))*100,2))</f>
        <v>70</v>
      </c>
      <c r="AX497" s="8" t="n">
        <f aca="false">AQ497*100</f>
        <v>0</v>
      </c>
      <c r="AY497" s="8" t="n">
        <f aca="false">AR497*100</f>
        <v>0</v>
      </c>
      <c r="AZ497" s="8" t="n">
        <f aca="false">IFERROR(ROUND(AS497*Assumptions!$I$6+AW497*Assumptions!$I$7+AT497*Assumptions!$I$8+AU497*Assumptions!$I$9+AV497*Assumptions!$I$10+AX497*Assumptions!$I$11+AY497*Assumptions!$I$12,2),"")</f>
        <v>47.55</v>
      </c>
      <c r="BA497" s="0" t="str">
        <f aca="false">IF(AZ497="","",IF(AZ497&lt;=Assumptions!$I$18,"Below Expectation",IF(AZ497&lt;=Assumptions!$I$19,"Developing",IF(AZ497&lt;=Assumptions!$I$20,"Meets Expectation",IF(AZ497&lt;=Assumptions!$I$21,"Exceeds","Star Performer")))))</f>
        <v>Developing</v>
      </c>
      <c r="BB497" s="0" t="n">
        <f aca="false">IF(AZ497="",0,IF(AZ497&gt;=Assumptions!$I$26,1,0))</f>
        <v>0</v>
      </c>
      <c r="BC497" s="9" t="n">
        <f aca="false">IF(AL497="",2,AL497+2)</f>
        <v>2</v>
      </c>
      <c r="BD497" s="10" t="n">
        <f aca="false">IF(AM497="",ROUND(AVERAGE($AM$2:$AM$921),3),AM497)</f>
        <v>0.816</v>
      </c>
      <c r="BE497" s="9" t="n">
        <f aca="false">1-BD497</f>
        <v>0.184</v>
      </c>
    </row>
    <row r="498" customFormat="false" ht="14.25" hidden="true" customHeight="false" outlineLevel="0" collapsed="false">
      <c r="A498" s="4" t="n">
        <v>59</v>
      </c>
      <c r="B498" s="5" t="n">
        <v>10018459</v>
      </c>
      <c r="C498" s="5" t="s">
        <v>526</v>
      </c>
      <c r="D498" s="5" t="s">
        <v>1963</v>
      </c>
      <c r="E498" s="5" t="s">
        <v>558</v>
      </c>
      <c r="F498" s="5" t="s">
        <v>380</v>
      </c>
      <c r="G498" s="5" t="s">
        <v>379</v>
      </c>
      <c r="H498" s="5" t="s">
        <v>380</v>
      </c>
      <c r="I498" s="5" t="s">
        <v>63</v>
      </c>
      <c r="J498" s="5" t="s">
        <v>100</v>
      </c>
      <c r="K498" s="5" t="s">
        <v>65</v>
      </c>
      <c r="L498" s="6" t="n">
        <v>39059</v>
      </c>
      <c r="M498" s="5" t="s">
        <v>1964</v>
      </c>
      <c r="N498" s="6" t="n">
        <v>29611</v>
      </c>
      <c r="O498" s="5" t="s">
        <v>262</v>
      </c>
      <c r="P498" s="5" t="s">
        <v>263</v>
      </c>
      <c r="Q498" s="5" t="s">
        <v>1638</v>
      </c>
      <c r="R498" s="5" t="s">
        <v>1677</v>
      </c>
      <c r="S498" s="5" t="s">
        <v>155</v>
      </c>
      <c r="T498" s="6" t="n">
        <v>42125</v>
      </c>
      <c r="U498" s="6" t="n">
        <v>45748</v>
      </c>
      <c r="V498" s="5" t="s">
        <v>141</v>
      </c>
      <c r="W498" s="5" t="s">
        <v>631</v>
      </c>
      <c r="X498" s="5" t="s">
        <v>631</v>
      </c>
      <c r="Y498" s="5" t="s">
        <v>631</v>
      </c>
      <c r="Z498" s="5" t="s">
        <v>631</v>
      </c>
      <c r="AA498" s="5" t="s">
        <v>1965</v>
      </c>
      <c r="AB498" s="0" t="n">
        <f aca="false">IFERROR(VALUE(R498),0)</f>
        <v>2.2</v>
      </c>
      <c r="AC498" s="0" t="n">
        <f aca="false">IFERROR(VALUE(M498),"")</f>
        <v>45.4</v>
      </c>
      <c r="AD498" s="0" t="n">
        <f aca="false">IFERROR(VALUE(Q498),"")</f>
        <v>19.6</v>
      </c>
      <c r="AE498" s="0" t="n">
        <f aca="false">IFERROR(VALUE(S498),"")</f>
        <v>21.8</v>
      </c>
      <c r="AF498" s="0" t="n">
        <f aca="false">IF(V498="","",VLOOKUP(V498,Assumptions!$B$6:$C$9,2,FALSE()))</f>
        <v>3</v>
      </c>
      <c r="AG498" s="0" t="n">
        <f aca="false">IF(W498="","",VLOOKUP(W498,Assumptions!$B$6:$C$9,2,FALSE()))</f>
        <v>2</v>
      </c>
      <c r="AH498" s="0" t="n">
        <f aca="false">IF(X498="","",VLOOKUP(X498,Assumptions!$B$6:$C$9,2,FALSE()))</f>
        <v>2</v>
      </c>
      <c r="AI498" s="0" t="n">
        <f aca="false">IF(Y498="","",VLOOKUP(Y498,Assumptions!$B$6:$C$9,2,FALSE()))</f>
        <v>2</v>
      </c>
      <c r="AJ498" s="0" t="n">
        <f aca="false">IF(Z498="","",VLOOKUP(Z498,Assumptions!$B$6:$C$9,2,FALSE()))</f>
        <v>2</v>
      </c>
      <c r="AK498" s="7" t="n">
        <f aca="false">IFERROR(ROUND(AVERAGE(AF498:AJ498),3),"")</f>
        <v>2.2</v>
      </c>
      <c r="AL498" s="7" t="n">
        <f aca="false">IF(OR(AF498="",AJ498=""),"",AJ498-AF498)</f>
        <v>-1</v>
      </c>
      <c r="AM498" s="7" t="n">
        <f aca="false">IF(COUNT(AF498:AJ498)&gt;=2,ROUND(_xlfn.STDEV.S(AF498:AJ498),3),"")</f>
        <v>0.447</v>
      </c>
      <c r="AN498" s="7" t="n">
        <f aca="false">ROUND((IF(AF498="",0,AF498)*Assumptions!$F$15)+(IF(AG498="",0,AG498)*Assumptions!$F$16)+(IF(AH498="",0,AH498)*Assumptions!$F$17)+(IF(AI498="",0,AI498)*Assumptions!$F$18)+(IF(AJ498="",0,AJ498)*Assumptions!$F$19),3)</f>
        <v>2.1</v>
      </c>
      <c r="AO498" s="0" t="str">
        <f aca="false">IF(AC498&lt;=20,"",IF(AC498&lt;=Assumptions!$F$6,"20-30",IF(AC498&lt;=Assumptions!$F$7,"30-40",IF(AC498&lt;=Assumptions!$F$8,"40-50",IF(AC498&lt;=Assumptions!$F$9,"50-60",IF(AC498&lt;=Assumptions!$F$10,"60+",""))))))</f>
        <v>40-50</v>
      </c>
      <c r="AP498" s="0" t="str">
        <f aca="false">IFERROR(VLOOKUP(O498,Assumptions!$B$14:$C$26,2,FALSE()),"Other")</f>
        <v>Manager</v>
      </c>
      <c r="AQ498" s="0" t="n">
        <f aca="false">IF(T498="",0,1)</f>
        <v>1</v>
      </c>
      <c r="AR498" s="0" t="n">
        <f aca="false">IF(U498="",0,1)</f>
        <v>1</v>
      </c>
      <c r="AS498" s="8" t="n">
        <f aca="false">IF(AK498="","",IF(MAX($AK$2:$AK$921)=MIN($AK$2:$AK$921),50,ROUND((AK498-MIN($AK$2:$AK$921))/(MAX($AK$2:$AK$921)-MIN($AK$2:$AK$921))*100,2)))</f>
        <v>22.85</v>
      </c>
      <c r="AT498" s="8" t="n">
        <f aca="false">IF(MAX($BC$2:$BC$921)=MIN($BC$2:$BC$921),50,ROUND((BC498-MIN($BC$2:$BC$921))/(MAX($BC$2:$BC$921)-MIN($BC$2:$BC$921))*100,2))</f>
        <v>25</v>
      </c>
      <c r="AU498" s="8" t="n">
        <f aca="false">IF(MAX($BE$2:$BE$921)=MIN($BE$2:$BE$921),50,ROUND((BE498-MIN($BE$2:$BE$921))/(MAX($BE$2:$BE$921)-MIN($BE$2:$BE$921))*100,2))</f>
        <v>74.19</v>
      </c>
      <c r="AV498" s="8" t="n">
        <f aca="false">IF(MAX($AD$2:$AD$921)=MIN($AD$2:$AD$921),50,ROUND((AD498-MIN($AD$2:$AD$921))/(MAX($AD$2:$AD$921)-MIN($AD$2:$AD$921))*100,2))</f>
        <v>52.98</v>
      </c>
      <c r="AW498" s="8" t="n">
        <f aca="false">IF(MAX($AN$2:$AN$921)=MIN($AN$2:$AN$921),50,ROUND((AN498-MIN($AN$2:$AN$921))/(MAX($AN$2:$AN$921)-MIN($AN$2:$AN$921))*100,2))</f>
        <v>52.5</v>
      </c>
      <c r="AX498" s="8" t="n">
        <f aca="false">AQ498*100</f>
        <v>100</v>
      </c>
      <c r="AY498" s="8" t="n">
        <f aca="false">AR498*100</f>
        <v>100</v>
      </c>
      <c r="AZ498" s="8" t="n">
        <f aca="false">IFERROR(ROUND(AS498*Assumptions!$I$6+AW498*Assumptions!$I$7+AT498*Assumptions!$I$8+AU498*Assumptions!$I$9+AV498*Assumptions!$I$10+AX498*Assumptions!$I$11+AY498*Assumptions!$I$12,2),"")</f>
        <v>47.53</v>
      </c>
      <c r="BA498" s="0" t="str">
        <f aca="false">IF(AZ498="","",IF(AZ498&lt;=Assumptions!$I$18,"Below Expectation",IF(AZ498&lt;=Assumptions!$I$19,"Developing",IF(AZ498&lt;=Assumptions!$I$20,"Meets Expectation",IF(AZ498&lt;=Assumptions!$I$21,"Exceeds","Star Performer")))))</f>
        <v>Developing</v>
      </c>
      <c r="BB498" s="0" t="n">
        <f aca="false">IF(AZ498="",0,IF(AZ498&gt;=Assumptions!$I$26,1,0))</f>
        <v>0</v>
      </c>
      <c r="BC498" s="9" t="n">
        <f aca="false">IF(AL498="",2,AL498+2)</f>
        <v>1</v>
      </c>
      <c r="BD498" s="10" t="n">
        <f aca="false">IF(AM498="",ROUND(AVERAGE($AM$2:$AM$921),3),AM498)</f>
        <v>0.447</v>
      </c>
      <c r="BE498" s="9" t="n">
        <f aca="false">1-BD498</f>
        <v>0.553</v>
      </c>
    </row>
    <row r="499" customFormat="false" ht="14.25" hidden="true" customHeight="false" outlineLevel="0" collapsed="false">
      <c r="A499" s="4" t="n">
        <v>694</v>
      </c>
      <c r="B499" s="5" t="n">
        <v>55062867</v>
      </c>
      <c r="C499" s="5" t="s">
        <v>85</v>
      </c>
      <c r="D499" s="5" t="s">
        <v>1966</v>
      </c>
      <c r="E499" s="5" t="s">
        <v>315</v>
      </c>
      <c r="F499" s="5" t="s">
        <v>602</v>
      </c>
      <c r="G499" s="5" t="s">
        <v>603</v>
      </c>
      <c r="H499" s="5" t="s">
        <v>602</v>
      </c>
      <c r="I499" s="5" t="s">
        <v>63</v>
      </c>
      <c r="J499" s="5" t="s">
        <v>76</v>
      </c>
      <c r="K499" s="5" t="s">
        <v>65</v>
      </c>
      <c r="L499" s="6" t="n">
        <v>44911</v>
      </c>
      <c r="M499" s="5" t="s">
        <v>1967</v>
      </c>
      <c r="N499" s="6" t="n">
        <v>31580</v>
      </c>
      <c r="O499" s="5" t="s">
        <v>365</v>
      </c>
      <c r="P499" s="5" t="s">
        <v>365</v>
      </c>
      <c r="Q499" s="5" t="s">
        <v>164</v>
      </c>
      <c r="R499" s="5" t="s">
        <v>392</v>
      </c>
      <c r="S499" s="5" t="s">
        <v>502</v>
      </c>
      <c r="T499" s="6"/>
      <c r="U499" s="6"/>
      <c r="V499" s="5"/>
      <c r="W499" s="5" t="s">
        <v>631</v>
      </c>
      <c r="X499" s="5" t="s">
        <v>141</v>
      </c>
      <c r="Y499" s="5" t="s">
        <v>83</v>
      </c>
      <c r="Z499" s="5" t="s">
        <v>141</v>
      </c>
      <c r="AA499" s="5" t="s">
        <v>1968</v>
      </c>
      <c r="AB499" s="0" t="n">
        <f aca="false">IFERROR(VALUE(R499),0)</f>
        <v>7.8</v>
      </c>
      <c r="AC499" s="0" t="n">
        <f aca="false">IFERROR(VALUE(M499),"")</f>
        <v>39.11</v>
      </c>
      <c r="AD499" s="0" t="n">
        <f aca="false">IFERROR(VALUE(Q499),"")</f>
        <v>3.5</v>
      </c>
      <c r="AE499" s="0" t="n">
        <f aca="false">IFERROR(VALUE(S499),"")</f>
        <v>11.1</v>
      </c>
      <c r="AF499" s="0" t="str">
        <f aca="false">IF(V499="","",VLOOKUP(V499,Assumptions!$B$6:$C$9,2,FALSE()))</f>
        <v/>
      </c>
      <c r="AG499" s="0" t="n">
        <f aca="false">IF(W499="","",VLOOKUP(W499,Assumptions!$B$6:$C$9,2,FALSE()))</f>
        <v>2</v>
      </c>
      <c r="AH499" s="0" t="n">
        <f aca="false">IF(X499="","",VLOOKUP(X499,Assumptions!$B$6:$C$9,2,FALSE()))</f>
        <v>3</v>
      </c>
      <c r="AI499" s="0" t="n">
        <f aca="false">IF(Y499="","",VLOOKUP(Y499,Assumptions!$B$6:$C$9,2,FALSE()))</f>
        <v>4</v>
      </c>
      <c r="AJ499" s="0" t="n">
        <f aca="false">IF(Z499="","",VLOOKUP(Z499,Assumptions!$B$6:$C$9,2,FALSE()))</f>
        <v>3</v>
      </c>
      <c r="AK499" s="7" t="n">
        <f aca="false">IFERROR(ROUND(AVERAGE(AF499:AJ499),3),"")</f>
        <v>3</v>
      </c>
      <c r="AL499" s="7" t="str">
        <f aca="false">IF(OR(AF499="",AJ499=""),"",AJ499-AF499)</f>
        <v/>
      </c>
      <c r="AM499" s="7" t="n">
        <f aca="false">IF(COUNT(AF499:AJ499)&gt;=2,ROUND(_xlfn.STDEV.S(AF499:AJ499),3),"")</f>
        <v>0.816</v>
      </c>
      <c r="AN499" s="7" t="n">
        <f aca="false">ROUND((IF(AF499="",0,AF499)*Assumptions!$F$15)+(IF(AG499="",0,AG499)*Assumptions!$F$16)+(IF(AH499="",0,AH499)*Assumptions!$F$17)+(IF(AI499="",0,AI499)*Assumptions!$F$18)+(IF(AJ499="",0,AJ499)*Assumptions!$F$19),3)</f>
        <v>2.8</v>
      </c>
      <c r="AO499" s="0" t="str">
        <f aca="false">IF(AC499&lt;=20,"",IF(AC499&lt;=Assumptions!$F$6,"20-30",IF(AC499&lt;=Assumptions!$F$7,"30-40",IF(AC499&lt;=Assumptions!$F$8,"40-50",IF(AC499&lt;=Assumptions!$F$9,"50-60",IF(AC499&lt;=Assumptions!$F$10,"60+",""))))))</f>
        <v>30-40</v>
      </c>
      <c r="AP499" s="0" t="str">
        <f aca="false">IFERROR(VLOOKUP(O499,Assumptions!$B$14:$C$26,2,FALSE()),"Other")</f>
        <v>Manager</v>
      </c>
      <c r="AQ499" s="0" t="n">
        <f aca="false">IF(T499="",0,1)</f>
        <v>0</v>
      </c>
      <c r="AR499" s="0" t="n">
        <f aca="false">IF(U499="",0,1)</f>
        <v>0</v>
      </c>
      <c r="AS499" s="8" t="n">
        <f aca="false">IF(AK499="","",IF(MAX($AK$2:$AK$921)=MIN($AK$2:$AK$921),50,ROUND((AK499-MIN($AK$2:$AK$921))/(MAX($AK$2:$AK$921)-MIN($AK$2:$AK$921))*100,2)))</f>
        <v>57.14</v>
      </c>
      <c r="AT499" s="8" t="n">
        <f aca="false">IF(MAX($BC$2:$BC$921)=MIN($BC$2:$BC$921),50,ROUND((BC499-MIN($BC$2:$BC$921))/(MAX($BC$2:$BC$921)-MIN($BC$2:$BC$921))*100,2))</f>
        <v>50</v>
      </c>
      <c r="AU499" s="8" t="n">
        <f aca="false">IF(MAX($BE$2:$BE$921)=MIN($BE$2:$BE$921),50,ROUND((BE499-MIN($BE$2:$BE$921))/(MAX($BE$2:$BE$921)-MIN($BE$2:$BE$921))*100,2))</f>
        <v>52.89</v>
      </c>
      <c r="AV499" s="8" t="n">
        <f aca="false">IF(MAX($AD$2:$AD$921)=MIN($AD$2:$AD$921),50,ROUND((AD499-MIN($AD$2:$AD$921))/(MAX($AD$2:$AD$921)-MIN($AD$2:$AD$921))*100,2))</f>
        <v>9.21</v>
      </c>
      <c r="AW499" s="8" t="n">
        <f aca="false">IF(MAX($AN$2:$AN$921)=MIN($AN$2:$AN$921),50,ROUND((AN499-MIN($AN$2:$AN$921))/(MAX($AN$2:$AN$921)-MIN($AN$2:$AN$921))*100,2))</f>
        <v>70</v>
      </c>
      <c r="AX499" s="8" t="n">
        <f aca="false">AQ499*100</f>
        <v>0</v>
      </c>
      <c r="AY499" s="8" t="n">
        <f aca="false">AR499*100</f>
        <v>0</v>
      </c>
      <c r="AZ499" s="8" t="n">
        <f aca="false">IFERROR(ROUND(AS499*Assumptions!$I$6+AW499*Assumptions!$I$7+AT499*Assumptions!$I$8+AU499*Assumptions!$I$9+AV499*Assumptions!$I$10+AX499*Assumptions!$I$11+AY499*Assumptions!$I$12,2),"")</f>
        <v>47.5</v>
      </c>
      <c r="BA499" s="0" t="str">
        <f aca="false">IF(AZ499="","",IF(AZ499&lt;=Assumptions!$I$18,"Below Expectation",IF(AZ499&lt;=Assumptions!$I$19,"Developing",IF(AZ499&lt;=Assumptions!$I$20,"Meets Expectation",IF(AZ499&lt;=Assumptions!$I$21,"Exceeds","Star Performer")))))</f>
        <v>Developing</v>
      </c>
      <c r="BB499" s="0" t="n">
        <f aca="false">IF(AZ499="",0,IF(AZ499&gt;=Assumptions!$I$26,1,0))</f>
        <v>0</v>
      </c>
      <c r="BC499" s="9" t="n">
        <f aca="false">IF(AL499="",2,AL499+2)</f>
        <v>2</v>
      </c>
      <c r="BD499" s="10" t="n">
        <f aca="false">IF(AM499="",ROUND(AVERAGE($AM$2:$AM$921),3),AM499)</f>
        <v>0.816</v>
      </c>
      <c r="BE499" s="9" t="n">
        <f aca="false">1-BD499</f>
        <v>0.184</v>
      </c>
    </row>
    <row r="500" customFormat="false" ht="14.25" hidden="false" customHeight="false" outlineLevel="0" collapsed="false">
      <c r="A500" s="4" t="n">
        <v>741</v>
      </c>
      <c r="B500" s="5" t="n">
        <v>55074175</v>
      </c>
      <c r="C500" s="5" t="s">
        <v>106</v>
      </c>
      <c r="D500" s="5" t="s">
        <v>1969</v>
      </c>
      <c r="E500" s="5" t="s">
        <v>108</v>
      </c>
      <c r="F500" s="5" t="s">
        <v>463</v>
      </c>
      <c r="G500" s="5" t="s">
        <v>464</v>
      </c>
      <c r="H500" s="5" t="s">
        <v>465</v>
      </c>
      <c r="I500" s="5" t="s">
        <v>63</v>
      </c>
      <c r="J500" s="5" t="s">
        <v>112</v>
      </c>
      <c r="K500" s="5" t="s">
        <v>309</v>
      </c>
      <c r="L500" s="6" t="n">
        <v>45132</v>
      </c>
      <c r="M500" s="5" t="s">
        <v>134</v>
      </c>
      <c r="N500" s="6" t="n">
        <v>37181</v>
      </c>
      <c r="O500" s="5" t="s">
        <v>1264</v>
      </c>
      <c r="P500" s="5" t="s">
        <v>1559</v>
      </c>
      <c r="Q500" s="5" t="s">
        <v>271</v>
      </c>
      <c r="R500" s="5" t="s">
        <v>115</v>
      </c>
      <c r="S500" s="5" t="s">
        <v>271</v>
      </c>
      <c r="T500" s="6"/>
      <c r="U500" s="6"/>
      <c r="V500" s="5"/>
      <c r="W500" s="5"/>
      <c r="X500" s="5" t="s">
        <v>631</v>
      </c>
      <c r="Y500" s="5" t="s">
        <v>83</v>
      </c>
      <c r="Z500" s="5" t="s">
        <v>83</v>
      </c>
      <c r="AA500" s="5" t="s">
        <v>1970</v>
      </c>
      <c r="AB500" s="0" t="n">
        <f aca="false">IFERROR(VALUE(R500),0)</f>
        <v>0</v>
      </c>
      <c r="AC500" s="0" t="n">
        <f aca="false">IFERROR(VALUE(M500),"")</f>
        <v>24.7</v>
      </c>
      <c r="AD500" s="0" t="n">
        <f aca="false">IFERROR(VALUE(Q500),"")</f>
        <v>2.1</v>
      </c>
      <c r="AE500" s="0" t="n">
        <f aca="false">IFERROR(VALUE(S500),"")</f>
        <v>2.1</v>
      </c>
      <c r="AF500" s="0" t="str">
        <f aca="false">IF(V500="","",VLOOKUP(V500,Assumptions!$B$6:$C$9,2,FALSE()))</f>
        <v/>
      </c>
      <c r="AG500" s="0" t="str">
        <f aca="false">IF(W500="","",VLOOKUP(W500,Assumptions!$B$6:$C$9,2,FALSE()))</f>
        <v/>
      </c>
      <c r="AH500" s="0" t="n">
        <f aca="false">IF(X500="","",VLOOKUP(X500,Assumptions!$B$6:$C$9,2,FALSE()))</f>
        <v>2</v>
      </c>
      <c r="AI500" s="0" t="n">
        <f aca="false">IF(Y500="","",VLOOKUP(Y500,Assumptions!$B$6:$C$9,2,FALSE()))</f>
        <v>4</v>
      </c>
      <c r="AJ500" s="0" t="n">
        <f aca="false">IF(Z500="","",VLOOKUP(Z500,Assumptions!$B$6:$C$9,2,FALSE()))</f>
        <v>4</v>
      </c>
      <c r="AK500" s="7" t="n">
        <f aca="false">IFERROR(ROUND(AVERAGE(AF500:AJ500),3),"")</f>
        <v>3.333</v>
      </c>
      <c r="AL500" s="7" t="str">
        <f aca="false">IF(OR(AF500="",AJ500=""),"",AJ500-AF500)</f>
        <v/>
      </c>
      <c r="AM500" s="7" t="n">
        <f aca="false">IF(COUNT(AF500:AJ500)&gt;=2,ROUND(_xlfn.STDEV.S(AF500:AJ500),3),"")</f>
        <v>1.155</v>
      </c>
      <c r="AN500" s="7" t="n">
        <f aca="false">ROUND((IF(AF500="",0,AF500)*Assumptions!$F$15)+(IF(AG500="",0,AG500)*Assumptions!$F$16)+(IF(AH500="",0,AH500)*Assumptions!$F$17)+(IF(AI500="",0,AI500)*Assumptions!$F$18)+(IF(AJ500="",0,AJ500)*Assumptions!$F$19),3)</f>
        <v>2.6</v>
      </c>
      <c r="AO500" s="0" t="str">
        <f aca="false">IF(AC500&lt;=20,"",IF(AC500&lt;=Assumptions!$F$6,"20-30",IF(AC500&lt;=Assumptions!$F$7,"30-40",IF(AC500&lt;=Assumptions!$F$8,"40-50",IF(AC500&lt;=Assumptions!$F$9,"50-60",IF(AC500&lt;=Assumptions!$F$10,"60+",""))))))</f>
        <v>20-30</v>
      </c>
      <c r="AP500" s="0" t="str">
        <f aca="false">IFERROR(VLOOKUP(O500,Assumptions!$B$14:$C$26,2,FALSE()),"Other")</f>
        <v>Manager</v>
      </c>
      <c r="AQ500" s="0" t="n">
        <f aca="false">IF(T500="",0,1)</f>
        <v>0</v>
      </c>
      <c r="AR500" s="0" t="n">
        <f aca="false">IF(U500="",0,1)</f>
        <v>0</v>
      </c>
      <c r="AS500" s="8" t="n">
        <f aca="false">IF(AK500="","",IF(MAX($AK$2:$AK$921)=MIN($AK$2:$AK$921),50,ROUND((AK500-MIN($AK$2:$AK$921))/(MAX($AK$2:$AK$921)-MIN($AK$2:$AK$921))*100,2)))</f>
        <v>71.41</v>
      </c>
      <c r="AT500" s="8" t="n">
        <f aca="false">IF(MAX($BC$2:$BC$921)=MIN($BC$2:$BC$921),50,ROUND((BC500-MIN($BC$2:$BC$921))/(MAX($BC$2:$BC$921)-MIN($BC$2:$BC$921))*100,2))</f>
        <v>50</v>
      </c>
      <c r="AU500" s="8" t="n">
        <f aca="false">IF(MAX($BE$2:$BE$921)=MIN($BE$2:$BE$921),50,ROUND((BE500-MIN($BE$2:$BE$921))/(MAX($BE$2:$BE$921)-MIN($BE$2:$BE$921))*100,2))</f>
        <v>33.31</v>
      </c>
      <c r="AV500" s="8" t="n">
        <f aca="false">IF(MAX($AD$2:$AD$921)=MIN($AD$2:$AD$921),50,ROUND((AD500-MIN($AD$2:$AD$921))/(MAX($AD$2:$AD$921)-MIN($AD$2:$AD$921))*100,2))</f>
        <v>5.41</v>
      </c>
      <c r="AW500" s="8" t="n">
        <f aca="false">IF(MAX($AN$2:$AN$921)=MIN($AN$2:$AN$921),50,ROUND((AN500-MIN($AN$2:$AN$921))/(MAX($AN$2:$AN$921)-MIN($AN$2:$AN$921))*100,2))</f>
        <v>65</v>
      </c>
      <c r="AX500" s="8" t="n">
        <f aca="false">AQ500*100</f>
        <v>0</v>
      </c>
      <c r="AY500" s="8" t="n">
        <f aca="false">AR500*100</f>
        <v>0</v>
      </c>
      <c r="AZ500" s="8" t="n">
        <f aca="false">IFERROR(ROUND(AS500*Assumptions!$I$6+AW500*Assumptions!$I$7+AT500*Assumptions!$I$8+AU500*Assumptions!$I$9+AV500*Assumptions!$I$10+AX500*Assumptions!$I$11+AY500*Assumptions!$I$12,2),"")</f>
        <v>47.46</v>
      </c>
      <c r="BA500" s="0" t="str">
        <f aca="false">IF(AZ500="","",IF(AZ500&lt;=Assumptions!$I$18,"Below Expectation",IF(AZ500&lt;=Assumptions!$I$19,"Developing",IF(AZ500&lt;=Assumptions!$I$20,"Meets Expectation",IF(AZ500&lt;=Assumptions!$I$21,"Exceeds","Star Performer")))))</f>
        <v>Developing</v>
      </c>
      <c r="BB500" s="0" t="n">
        <f aca="false">IF(AZ500="",0,IF(AZ500&gt;=Assumptions!$I$26,1,0))</f>
        <v>0</v>
      </c>
      <c r="BC500" s="9" t="n">
        <f aca="false">IF(AL500="",2,AL500+2)</f>
        <v>2</v>
      </c>
      <c r="BD500" s="10" t="n">
        <f aca="false">IF(AM500="",ROUND(AVERAGE($AM$2:$AM$921),3),AM500)</f>
        <v>1.155</v>
      </c>
      <c r="BE500" s="9" t="n">
        <f aca="false">1-BD500</f>
        <v>-0.155</v>
      </c>
    </row>
    <row r="501" customFormat="false" ht="14.25" hidden="true" customHeight="false" outlineLevel="0" collapsed="false">
      <c r="A501" s="4" t="n">
        <v>448</v>
      </c>
      <c r="B501" s="5" t="n">
        <v>55010045</v>
      </c>
      <c r="C501" s="5"/>
      <c r="D501" s="5" t="s">
        <v>1971</v>
      </c>
      <c r="E501" s="5" t="s">
        <v>257</v>
      </c>
      <c r="F501" s="5" t="s">
        <v>159</v>
      </c>
      <c r="G501" s="5" t="s">
        <v>160</v>
      </c>
      <c r="H501" s="5" t="s">
        <v>159</v>
      </c>
      <c r="I501" s="5" t="s">
        <v>63</v>
      </c>
      <c r="J501" s="5" t="s">
        <v>76</v>
      </c>
      <c r="K501" s="5" t="s">
        <v>65</v>
      </c>
      <c r="L501" s="6" t="n">
        <v>42251</v>
      </c>
      <c r="M501" s="5" t="s">
        <v>1972</v>
      </c>
      <c r="N501" s="6" t="n">
        <v>25377</v>
      </c>
      <c r="O501" s="5" t="s">
        <v>162</v>
      </c>
      <c r="P501" s="5" t="s">
        <v>162</v>
      </c>
      <c r="Q501" s="5" t="s">
        <v>790</v>
      </c>
      <c r="R501" s="5" t="s">
        <v>375</v>
      </c>
      <c r="S501" s="5" t="s">
        <v>466</v>
      </c>
      <c r="T501" s="6"/>
      <c r="U501" s="6"/>
      <c r="V501" s="5" t="s">
        <v>141</v>
      </c>
      <c r="W501" s="5" t="s">
        <v>141</v>
      </c>
      <c r="X501" s="5" t="s">
        <v>141</v>
      </c>
      <c r="Y501" s="5" t="s">
        <v>83</v>
      </c>
      <c r="Z501" s="5" t="s">
        <v>631</v>
      </c>
      <c r="AA501" s="5" t="s">
        <v>1973</v>
      </c>
      <c r="AB501" s="0" t="n">
        <f aca="false">IFERROR(VALUE(R501),0)</f>
        <v>22.7</v>
      </c>
      <c r="AC501" s="0" t="n">
        <f aca="false">IFERROR(VALUE(M501),"")</f>
        <v>56.11</v>
      </c>
      <c r="AD501" s="0" t="n">
        <f aca="false">IFERROR(VALUE(Q501),"")</f>
        <v>10.9</v>
      </c>
      <c r="AE501" s="0" t="n">
        <f aca="false">IFERROR(VALUE(S501),"")</f>
        <v>33.4</v>
      </c>
      <c r="AF501" s="0" t="n">
        <f aca="false">IF(V501="","",VLOOKUP(V501,Assumptions!$B$6:$C$9,2,FALSE()))</f>
        <v>3</v>
      </c>
      <c r="AG501" s="0" t="n">
        <f aca="false">IF(W501="","",VLOOKUP(W501,Assumptions!$B$6:$C$9,2,FALSE()))</f>
        <v>3</v>
      </c>
      <c r="AH501" s="0" t="n">
        <f aca="false">IF(X501="","",VLOOKUP(X501,Assumptions!$B$6:$C$9,2,FALSE()))</f>
        <v>3</v>
      </c>
      <c r="AI501" s="0" t="n">
        <f aca="false">IF(Y501="","",VLOOKUP(Y501,Assumptions!$B$6:$C$9,2,FALSE()))</f>
        <v>4</v>
      </c>
      <c r="AJ501" s="0" t="n">
        <f aca="false">IF(Z501="","",VLOOKUP(Z501,Assumptions!$B$6:$C$9,2,FALSE()))</f>
        <v>2</v>
      </c>
      <c r="AK501" s="7" t="n">
        <f aca="false">IFERROR(ROUND(AVERAGE(AF501:AJ501),3),"")</f>
        <v>3</v>
      </c>
      <c r="AL501" s="7" t="n">
        <f aca="false">IF(OR(AF501="",AJ501=""),"",AJ501-AF501)</f>
        <v>-1</v>
      </c>
      <c r="AM501" s="7" t="n">
        <f aca="false">IF(COUNT(AF501:AJ501)&gt;=2,ROUND(_xlfn.STDEV.S(AF501:AJ501),3),"")</f>
        <v>0.707</v>
      </c>
      <c r="AN501" s="7" t="n">
        <f aca="false">ROUND((IF(AF501="",0,AF501)*Assumptions!$F$15)+(IF(AG501="",0,AG501)*Assumptions!$F$16)+(IF(AH501="",0,AH501)*Assumptions!$F$17)+(IF(AI501="",0,AI501)*Assumptions!$F$18)+(IF(AJ501="",0,AJ501)*Assumptions!$F$19),3)</f>
        <v>2.95</v>
      </c>
      <c r="AO501" s="0" t="str">
        <f aca="false">IF(AC501&lt;=20,"",IF(AC501&lt;=Assumptions!$F$6,"20-30",IF(AC501&lt;=Assumptions!$F$7,"30-40",IF(AC501&lt;=Assumptions!$F$8,"40-50",IF(AC501&lt;=Assumptions!$F$9,"50-60",IF(AC501&lt;=Assumptions!$F$10,"60+",""))))))</f>
        <v>50-60</v>
      </c>
      <c r="AP501" s="0" t="str">
        <f aca="false">IFERROR(VLOOKUP(O501,Assumptions!$B$14:$C$26,2,FALSE()),"Other")</f>
        <v>Manager</v>
      </c>
      <c r="AQ501" s="0" t="n">
        <f aca="false">IF(T501="",0,1)</f>
        <v>0</v>
      </c>
      <c r="AR501" s="0" t="n">
        <f aca="false">IF(U501="",0,1)</f>
        <v>0</v>
      </c>
      <c r="AS501" s="8" t="n">
        <f aca="false">IF(AK501="","",IF(MAX($AK$2:$AK$921)=MIN($AK$2:$AK$921),50,ROUND((AK501-MIN($AK$2:$AK$921))/(MAX($AK$2:$AK$921)-MIN($AK$2:$AK$921))*100,2)))</f>
        <v>57.14</v>
      </c>
      <c r="AT501" s="8" t="n">
        <f aca="false">IF(MAX($BC$2:$BC$921)=MIN($BC$2:$BC$921),50,ROUND((BC501-MIN($BC$2:$BC$921))/(MAX($BC$2:$BC$921)-MIN($BC$2:$BC$921))*100,2))</f>
        <v>25</v>
      </c>
      <c r="AU501" s="8" t="n">
        <f aca="false">IF(MAX($BE$2:$BE$921)=MIN($BE$2:$BE$921),50,ROUND((BE501-MIN($BE$2:$BE$921))/(MAX($BE$2:$BE$921)-MIN($BE$2:$BE$921))*100,2))</f>
        <v>59.18</v>
      </c>
      <c r="AV501" s="8" t="n">
        <f aca="false">IF(MAX($AD$2:$AD$921)=MIN($AD$2:$AD$921),50,ROUND((AD501-MIN($AD$2:$AD$921))/(MAX($AD$2:$AD$921)-MIN($AD$2:$AD$921))*100,2))</f>
        <v>29.33</v>
      </c>
      <c r="AW501" s="8" t="n">
        <f aca="false">IF(MAX($AN$2:$AN$921)=MIN($AN$2:$AN$921),50,ROUND((AN501-MIN($AN$2:$AN$921))/(MAX($AN$2:$AN$921)-MIN($AN$2:$AN$921))*100,2))</f>
        <v>73.75</v>
      </c>
      <c r="AX501" s="8" t="n">
        <f aca="false">AQ501*100</f>
        <v>0</v>
      </c>
      <c r="AY501" s="8" t="n">
        <f aca="false">AR501*100</f>
        <v>0</v>
      </c>
      <c r="AZ501" s="8" t="n">
        <f aca="false">IFERROR(ROUND(AS501*Assumptions!$I$6+AW501*Assumptions!$I$7+AT501*Assumptions!$I$8+AU501*Assumptions!$I$9+AV501*Assumptions!$I$10+AX501*Assumptions!$I$11+AY501*Assumptions!$I$12,2),"")</f>
        <v>47.45</v>
      </c>
      <c r="BA501" s="0" t="str">
        <f aca="false">IF(AZ501="","",IF(AZ501&lt;=Assumptions!$I$18,"Below Expectation",IF(AZ501&lt;=Assumptions!$I$19,"Developing",IF(AZ501&lt;=Assumptions!$I$20,"Meets Expectation",IF(AZ501&lt;=Assumptions!$I$21,"Exceeds","Star Performer")))))</f>
        <v>Developing</v>
      </c>
      <c r="BB501" s="0" t="n">
        <f aca="false">IF(AZ501="",0,IF(AZ501&gt;=Assumptions!$I$26,1,0))</f>
        <v>0</v>
      </c>
      <c r="BC501" s="9" t="n">
        <f aca="false">IF(AL501="",2,AL501+2)</f>
        <v>1</v>
      </c>
      <c r="BD501" s="10" t="n">
        <f aca="false">IF(AM501="",ROUND(AVERAGE($AM$2:$AM$921),3),AM501)</f>
        <v>0.707</v>
      </c>
      <c r="BE501" s="9" t="n">
        <f aca="false">1-BD501</f>
        <v>0.293</v>
      </c>
    </row>
    <row r="502" customFormat="false" ht="14.25" hidden="false" customHeight="false" outlineLevel="0" collapsed="false">
      <c r="A502" s="4" t="n">
        <v>621</v>
      </c>
      <c r="B502" s="5" t="n">
        <v>55054369</v>
      </c>
      <c r="C502" s="5" t="s">
        <v>106</v>
      </c>
      <c r="D502" s="5" t="s">
        <v>1974</v>
      </c>
      <c r="E502" s="5" t="s">
        <v>1494</v>
      </c>
      <c r="F502" s="5" t="s">
        <v>1975</v>
      </c>
      <c r="G502" s="5" t="s">
        <v>1976</v>
      </c>
      <c r="H502" s="5" t="s">
        <v>1977</v>
      </c>
      <c r="I502" s="5" t="s">
        <v>63</v>
      </c>
      <c r="J502" s="5" t="s">
        <v>112</v>
      </c>
      <c r="K502" s="5" t="s">
        <v>309</v>
      </c>
      <c r="L502" s="6" t="n">
        <v>44763</v>
      </c>
      <c r="M502" s="5" t="s">
        <v>325</v>
      </c>
      <c r="N502" s="6" t="n">
        <v>35256</v>
      </c>
      <c r="O502" s="5" t="s">
        <v>365</v>
      </c>
      <c r="P502" s="5" t="s">
        <v>365</v>
      </c>
      <c r="Q502" s="5" t="s">
        <v>591</v>
      </c>
      <c r="R502" s="5" t="s">
        <v>115</v>
      </c>
      <c r="S502" s="5" t="s">
        <v>591</v>
      </c>
      <c r="T502" s="6"/>
      <c r="U502" s="6"/>
      <c r="V502" s="5"/>
      <c r="W502" s="5" t="s">
        <v>631</v>
      </c>
      <c r="X502" s="5" t="s">
        <v>141</v>
      </c>
      <c r="Y502" s="5" t="s">
        <v>83</v>
      </c>
      <c r="Z502" s="5" t="s">
        <v>141</v>
      </c>
      <c r="AA502" s="5" t="s">
        <v>1978</v>
      </c>
      <c r="AB502" s="0" t="n">
        <f aca="false">IFERROR(VALUE(R502),0)</f>
        <v>0</v>
      </c>
      <c r="AC502" s="0" t="n">
        <f aca="false">IFERROR(VALUE(M502),"")</f>
        <v>29.1</v>
      </c>
      <c r="AD502" s="0" t="n">
        <f aca="false">IFERROR(VALUE(Q502),"")</f>
        <v>3.1</v>
      </c>
      <c r="AE502" s="0" t="n">
        <f aca="false">IFERROR(VALUE(S502),"")</f>
        <v>3.1</v>
      </c>
      <c r="AF502" s="0" t="str">
        <f aca="false">IF(V502="","",VLOOKUP(V502,Assumptions!$B$6:$C$9,2,FALSE()))</f>
        <v/>
      </c>
      <c r="AG502" s="0" t="n">
        <f aca="false">IF(W502="","",VLOOKUP(W502,Assumptions!$B$6:$C$9,2,FALSE()))</f>
        <v>2</v>
      </c>
      <c r="AH502" s="0" t="n">
        <f aca="false">IF(X502="","",VLOOKUP(X502,Assumptions!$B$6:$C$9,2,FALSE()))</f>
        <v>3</v>
      </c>
      <c r="AI502" s="0" t="n">
        <f aca="false">IF(Y502="","",VLOOKUP(Y502,Assumptions!$B$6:$C$9,2,FALSE()))</f>
        <v>4</v>
      </c>
      <c r="AJ502" s="0" t="n">
        <f aca="false">IF(Z502="","",VLOOKUP(Z502,Assumptions!$B$6:$C$9,2,FALSE()))</f>
        <v>3</v>
      </c>
      <c r="AK502" s="7" t="n">
        <f aca="false">IFERROR(ROUND(AVERAGE(AF502:AJ502),3),"")</f>
        <v>3</v>
      </c>
      <c r="AL502" s="7" t="str">
        <f aca="false">IF(OR(AF502="",AJ502=""),"",AJ502-AF502)</f>
        <v/>
      </c>
      <c r="AM502" s="7" t="n">
        <f aca="false">IF(COUNT(AF502:AJ502)&gt;=2,ROUND(_xlfn.STDEV.S(AF502:AJ502),3),"")</f>
        <v>0.816</v>
      </c>
      <c r="AN502" s="7" t="n">
        <f aca="false">ROUND((IF(AF502="",0,AF502)*Assumptions!$F$15)+(IF(AG502="",0,AG502)*Assumptions!$F$16)+(IF(AH502="",0,AH502)*Assumptions!$F$17)+(IF(AI502="",0,AI502)*Assumptions!$F$18)+(IF(AJ502="",0,AJ502)*Assumptions!$F$19),3)</f>
        <v>2.8</v>
      </c>
      <c r="AO502" s="0" t="str">
        <f aca="false">IF(AC502&lt;=20,"",IF(AC502&lt;=Assumptions!$F$6,"20-30",IF(AC502&lt;=Assumptions!$F$7,"30-40",IF(AC502&lt;=Assumptions!$F$8,"40-50",IF(AC502&lt;=Assumptions!$F$9,"50-60",IF(AC502&lt;=Assumptions!$F$10,"60+",""))))))</f>
        <v>20-30</v>
      </c>
      <c r="AP502" s="0" t="str">
        <f aca="false">IFERROR(VLOOKUP(O502,Assumptions!$B$14:$C$26,2,FALSE()),"Other")</f>
        <v>Manager</v>
      </c>
      <c r="AQ502" s="0" t="n">
        <f aca="false">IF(T502="",0,1)</f>
        <v>0</v>
      </c>
      <c r="AR502" s="0" t="n">
        <f aca="false">IF(U502="",0,1)</f>
        <v>0</v>
      </c>
      <c r="AS502" s="8" t="n">
        <f aca="false">IF(AK502="","",IF(MAX($AK$2:$AK$921)=MIN($AK$2:$AK$921),50,ROUND((AK502-MIN($AK$2:$AK$921))/(MAX($AK$2:$AK$921)-MIN($AK$2:$AK$921))*100,2)))</f>
        <v>57.14</v>
      </c>
      <c r="AT502" s="8" t="n">
        <f aca="false">IF(MAX($BC$2:$BC$921)=MIN($BC$2:$BC$921),50,ROUND((BC502-MIN($BC$2:$BC$921))/(MAX($BC$2:$BC$921)-MIN($BC$2:$BC$921))*100,2))</f>
        <v>50</v>
      </c>
      <c r="AU502" s="8" t="n">
        <f aca="false">IF(MAX($BE$2:$BE$921)=MIN($BE$2:$BE$921),50,ROUND((BE502-MIN($BE$2:$BE$921))/(MAX($BE$2:$BE$921)-MIN($BE$2:$BE$921))*100,2))</f>
        <v>52.89</v>
      </c>
      <c r="AV502" s="8" t="n">
        <f aca="false">IF(MAX($AD$2:$AD$921)=MIN($AD$2:$AD$921),50,ROUND((AD502-MIN($AD$2:$AD$921))/(MAX($AD$2:$AD$921)-MIN($AD$2:$AD$921))*100,2))</f>
        <v>8.13</v>
      </c>
      <c r="AW502" s="8" t="n">
        <f aca="false">IF(MAX($AN$2:$AN$921)=MIN($AN$2:$AN$921),50,ROUND((AN502-MIN($AN$2:$AN$921))/(MAX($AN$2:$AN$921)-MIN($AN$2:$AN$921))*100,2))</f>
        <v>70</v>
      </c>
      <c r="AX502" s="8" t="n">
        <f aca="false">AQ502*100</f>
        <v>0</v>
      </c>
      <c r="AY502" s="8" t="n">
        <f aca="false">AR502*100</f>
        <v>0</v>
      </c>
      <c r="AZ502" s="8" t="n">
        <f aca="false">IFERROR(ROUND(AS502*Assumptions!$I$6+AW502*Assumptions!$I$7+AT502*Assumptions!$I$8+AU502*Assumptions!$I$9+AV502*Assumptions!$I$10+AX502*Assumptions!$I$11+AY502*Assumptions!$I$12,2),"")</f>
        <v>47.39</v>
      </c>
      <c r="BA502" s="0" t="str">
        <f aca="false">IF(AZ502="","",IF(AZ502&lt;=Assumptions!$I$18,"Below Expectation",IF(AZ502&lt;=Assumptions!$I$19,"Developing",IF(AZ502&lt;=Assumptions!$I$20,"Meets Expectation",IF(AZ502&lt;=Assumptions!$I$21,"Exceeds","Star Performer")))))</f>
        <v>Developing</v>
      </c>
      <c r="BB502" s="0" t="n">
        <f aca="false">IF(AZ502="",0,IF(AZ502&gt;=Assumptions!$I$26,1,0))</f>
        <v>0</v>
      </c>
      <c r="BC502" s="9" t="n">
        <f aca="false">IF(AL502="",2,AL502+2)</f>
        <v>2</v>
      </c>
      <c r="BD502" s="10" t="n">
        <f aca="false">IF(AM502="",ROUND(AVERAGE($AM$2:$AM$921),3),AM502)</f>
        <v>0.816</v>
      </c>
      <c r="BE502" s="9" t="n">
        <f aca="false">1-BD502</f>
        <v>0.184</v>
      </c>
    </row>
    <row r="503" customFormat="false" ht="14.25" hidden="false" customHeight="false" outlineLevel="0" collapsed="false">
      <c r="A503" s="4" t="n">
        <v>622</v>
      </c>
      <c r="B503" s="5" t="n">
        <v>55054535</v>
      </c>
      <c r="C503" s="5" t="s">
        <v>106</v>
      </c>
      <c r="D503" s="5" t="s">
        <v>1979</v>
      </c>
      <c r="E503" s="5" t="s">
        <v>108</v>
      </c>
      <c r="F503" s="5" t="s">
        <v>885</v>
      </c>
      <c r="G503" s="5" t="s">
        <v>259</v>
      </c>
      <c r="H503" s="5" t="s">
        <v>260</v>
      </c>
      <c r="I503" s="5" t="s">
        <v>63</v>
      </c>
      <c r="J503" s="5" t="s">
        <v>112</v>
      </c>
      <c r="K503" s="5" t="s">
        <v>65</v>
      </c>
      <c r="L503" s="6" t="n">
        <v>44767</v>
      </c>
      <c r="M503" s="5" t="s">
        <v>269</v>
      </c>
      <c r="N503" s="6" t="n">
        <v>31010</v>
      </c>
      <c r="O503" s="5" t="s">
        <v>262</v>
      </c>
      <c r="P503" s="5" t="s">
        <v>263</v>
      </c>
      <c r="Q503" s="5" t="s">
        <v>591</v>
      </c>
      <c r="R503" s="5" t="s">
        <v>1670</v>
      </c>
      <c r="S503" s="5" t="s">
        <v>620</v>
      </c>
      <c r="T503" s="6"/>
      <c r="U503" s="6"/>
      <c r="V503" s="5"/>
      <c r="W503" s="5" t="s">
        <v>141</v>
      </c>
      <c r="X503" s="5" t="s">
        <v>631</v>
      </c>
      <c r="Y503" s="5" t="s">
        <v>141</v>
      </c>
      <c r="Z503" s="5" t="s">
        <v>83</v>
      </c>
      <c r="AA503" s="5" t="s">
        <v>1980</v>
      </c>
      <c r="AB503" s="0" t="n">
        <f aca="false">IFERROR(VALUE(R503),0)</f>
        <v>16.1</v>
      </c>
      <c r="AC503" s="0" t="n">
        <f aca="false">IFERROR(VALUE(M503),"")</f>
        <v>41.6</v>
      </c>
      <c r="AD503" s="0" t="n">
        <f aca="false">IFERROR(VALUE(Q503),"")</f>
        <v>3.1</v>
      </c>
      <c r="AE503" s="0" t="n">
        <f aca="false">IFERROR(VALUE(S503),"")</f>
        <v>19.11</v>
      </c>
      <c r="AF503" s="0" t="str">
        <f aca="false">IF(V503="","",VLOOKUP(V503,Assumptions!$B$6:$C$9,2,FALSE()))</f>
        <v/>
      </c>
      <c r="AG503" s="0" t="n">
        <f aca="false">IF(W503="","",VLOOKUP(W503,Assumptions!$B$6:$C$9,2,FALSE()))</f>
        <v>3</v>
      </c>
      <c r="AH503" s="0" t="n">
        <f aca="false">IF(X503="","",VLOOKUP(X503,Assumptions!$B$6:$C$9,2,FALSE()))</f>
        <v>2</v>
      </c>
      <c r="AI503" s="0" t="n">
        <f aca="false">IF(Y503="","",VLOOKUP(Y503,Assumptions!$B$6:$C$9,2,FALSE()))</f>
        <v>3</v>
      </c>
      <c r="AJ503" s="0" t="n">
        <f aca="false">IF(Z503="","",VLOOKUP(Z503,Assumptions!$B$6:$C$9,2,FALSE()))</f>
        <v>4</v>
      </c>
      <c r="AK503" s="7" t="n">
        <f aca="false">IFERROR(ROUND(AVERAGE(AF503:AJ503),3),"")</f>
        <v>3</v>
      </c>
      <c r="AL503" s="7" t="str">
        <f aca="false">IF(OR(AF503="",AJ503=""),"",AJ503-AF503)</f>
        <v/>
      </c>
      <c r="AM503" s="7" t="n">
        <f aca="false">IF(COUNT(AF503:AJ503)&gt;=2,ROUND(_xlfn.STDEV.S(AF503:AJ503),3),"")</f>
        <v>0.816</v>
      </c>
      <c r="AN503" s="7" t="n">
        <f aca="false">ROUND((IF(AF503="",0,AF503)*Assumptions!$F$15)+(IF(AG503="",0,AG503)*Assumptions!$F$16)+(IF(AH503="",0,AH503)*Assumptions!$F$17)+(IF(AI503="",0,AI503)*Assumptions!$F$18)+(IF(AJ503="",0,AJ503)*Assumptions!$F$19),3)</f>
        <v>2.8</v>
      </c>
      <c r="AO503" s="0" t="str">
        <f aca="false">IF(AC503&lt;=20,"",IF(AC503&lt;=Assumptions!$F$6,"20-30",IF(AC503&lt;=Assumptions!$F$7,"30-40",IF(AC503&lt;=Assumptions!$F$8,"40-50",IF(AC503&lt;=Assumptions!$F$9,"50-60",IF(AC503&lt;=Assumptions!$F$10,"60+",""))))))</f>
        <v>40-50</v>
      </c>
      <c r="AP503" s="0" t="str">
        <f aca="false">IFERROR(VLOOKUP(O503,Assumptions!$B$14:$C$26,2,FALSE()),"Other")</f>
        <v>Manager</v>
      </c>
      <c r="AQ503" s="0" t="n">
        <f aca="false">IF(T503="",0,1)</f>
        <v>0</v>
      </c>
      <c r="AR503" s="0" t="n">
        <f aca="false">IF(U503="",0,1)</f>
        <v>0</v>
      </c>
      <c r="AS503" s="8" t="n">
        <f aca="false">IF(AK503="","",IF(MAX($AK$2:$AK$921)=MIN($AK$2:$AK$921),50,ROUND((AK503-MIN($AK$2:$AK$921))/(MAX($AK$2:$AK$921)-MIN($AK$2:$AK$921))*100,2)))</f>
        <v>57.14</v>
      </c>
      <c r="AT503" s="8" t="n">
        <f aca="false">IF(MAX($BC$2:$BC$921)=MIN($BC$2:$BC$921),50,ROUND((BC503-MIN($BC$2:$BC$921))/(MAX($BC$2:$BC$921)-MIN($BC$2:$BC$921))*100,2))</f>
        <v>50</v>
      </c>
      <c r="AU503" s="8" t="n">
        <f aca="false">IF(MAX($BE$2:$BE$921)=MIN($BE$2:$BE$921),50,ROUND((BE503-MIN($BE$2:$BE$921))/(MAX($BE$2:$BE$921)-MIN($BE$2:$BE$921))*100,2))</f>
        <v>52.89</v>
      </c>
      <c r="AV503" s="8" t="n">
        <f aca="false">IF(MAX($AD$2:$AD$921)=MIN($AD$2:$AD$921),50,ROUND((AD503-MIN($AD$2:$AD$921))/(MAX($AD$2:$AD$921)-MIN($AD$2:$AD$921))*100,2))</f>
        <v>8.13</v>
      </c>
      <c r="AW503" s="8" t="n">
        <f aca="false">IF(MAX($AN$2:$AN$921)=MIN($AN$2:$AN$921),50,ROUND((AN503-MIN($AN$2:$AN$921))/(MAX($AN$2:$AN$921)-MIN($AN$2:$AN$921))*100,2))</f>
        <v>70</v>
      </c>
      <c r="AX503" s="8" t="n">
        <f aca="false">AQ503*100</f>
        <v>0</v>
      </c>
      <c r="AY503" s="8" t="n">
        <f aca="false">AR503*100</f>
        <v>0</v>
      </c>
      <c r="AZ503" s="8" t="n">
        <f aca="false">IFERROR(ROUND(AS503*Assumptions!$I$6+AW503*Assumptions!$I$7+AT503*Assumptions!$I$8+AU503*Assumptions!$I$9+AV503*Assumptions!$I$10+AX503*Assumptions!$I$11+AY503*Assumptions!$I$12,2),"")</f>
        <v>47.39</v>
      </c>
      <c r="BA503" s="0" t="str">
        <f aca="false">IF(AZ503="","",IF(AZ503&lt;=Assumptions!$I$18,"Below Expectation",IF(AZ503&lt;=Assumptions!$I$19,"Developing",IF(AZ503&lt;=Assumptions!$I$20,"Meets Expectation",IF(AZ503&lt;=Assumptions!$I$21,"Exceeds","Star Performer")))))</f>
        <v>Developing</v>
      </c>
      <c r="BB503" s="0" t="n">
        <f aca="false">IF(AZ503="",0,IF(AZ503&gt;=Assumptions!$I$26,1,0))</f>
        <v>0</v>
      </c>
      <c r="BC503" s="9" t="n">
        <f aca="false">IF(AL503="",2,AL503+2)</f>
        <v>2</v>
      </c>
      <c r="BD503" s="10" t="n">
        <f aca="false">IF(AM503="",ROUND(AVERAGE($AM$2:$AM$921),3),AM503)</f>
        <v>0.816</v>
      </c>
      <c r="BE503" s="9" t="n">
        <f aca="false">1-BD503</f>
        <v>0.184</v>
      </c>
    </row>
    <row r="504" customFormat="false" ht="14.25" hidden="true" customHeight="false" outlineLevel="0" collapsed="false">
      <c r="A504" s="4" t="n">
        <v>631</v>
      </c>
      <c r="B504" s="5" t="n">
        <v>55055058</v>
      </c>
      <c r="C504" s="5" t="s">
        <v>85</v>
      </c>
      <c r="D504" s="5" t="s">
        <v>1981</v>
      </c>
      <c r="E504" s="5" t="s">
        <v>751</v>
      </c>
      <c r="F504" s="5" t="s">
        <v>1731</v>
      </c>
      <c r="G504" s="5" t="s">
        <v>1732</v>
      </c>
      <c r="H504" s="5" t="s">
        <v>1731</v>
      </c>
      <c r="I504" s="5" t="s">
        <v>63</v>
      </c>
      <c r="J504" s="5" t="s">
        <v>76</v>
      </c>
      <c r="K504" s="5" t="s">
        <v>309</v>
      </c>
      <c r="L504" s="6" t="n">
        <v>44770</v>
      </c>
      <c r="M504" s="5" t="s">
        <v>1739</v>
      </c>
      <c r="N504" s="6" t="n">
        <v>36438</v>
      </c>
      <c r="O504" s="5" t="s">
        <v>1264</v>
      </c>
      <c r="P504" s="5" t="s">
        <v>1559</v>
      </c>
      <c r="Q504" s="5" t="s">
        <v>591</v>
      </c>
      <c r="R504" s="5" t="s">
        <v>115</v>
      </c>
      <c r="S504" s="5" t="s">
        <v>591</v>
      </c>
      <c r="T504" s="6"/>
      <c r="U504" s="6"/>
      <c r="V504" s="5"/>
      <c r="W504" s="5" t="s">
        <v>631</v>
      </c>
      <c r="X504" s="5" t="s">
        <v>141</v>
      </c>
      <c r="Y504" s="5" t="s">
        <v>83</v>
      </c>
      <c r="Z504" s="5" t="s">
        <v>141</v>
      </c>
      <c r="AA504" s="5" t="s">
        <v>1982</v>
      </c>
      <c r="AB504" s="0" t="n">
        <f aca="false">IFERROR(VALUE(R504),0)</f>
        <v>0</v>
      </c>
      <c r="AC504" s="0" t="n">
        <f aca="false">IFERROR(VALUE(M504),"")</f>
        <v>26.8</v>
      </c>
      <c r="AD504" s="0" t="n">
        <f aca="false">IFERROR(VALUE(Q504),"")</f>
        <v>3.1</v>
      </c>
      <c r="AE504" s="0" t="n">
        <f aca="false">IFERROR(VALUE(S504),"")</f>
        <v>3.1</v>
      </c>
      <c r="AF504" s="0" t="str">
        <f aca="false">IF(V504="","",VLOOKUP(V504,Assumptions!$B$6:$C$9,2,FALSE()))</f>
        <v/>
      </c>
      <c r="AG504" s="0" t="n">
        <f aca="false">IF(W504="","",VLOOKUP(W504,Assumptions!$B$6:$C$9,2,FALSE()))</f>
        <v>2</v>
      </c>
      <c r="AH504" s="0" t="n">
        <f aca="false">IF(X504="","",VLOOKUP(X504,Assumptions!$B$6:$C$9,2,FALSE()))</f>
        <v>3</v>
      </c>
      <c r="AI504" s="0" t="n">
        <f aca="false">IF(Y504="","",VLOOKUP(Y504,Assumptions!$B$6:$C$9,2,FALSE()))</f>
        <v>4</v>
      </c>
      <c r="AJ504" s="0" t="n">
        <f aca="false">IF(Z504="","",VLOOKUP(Z504,Assumptions!$B$6:$C$9,2,FALSE()))</f>
        <v>3</v>
      </c>
      <c r="AK504" s="7" t="n">
        <f aca="false">IFERROR(ROUND(AVERAGE(AF504:AJ504),3),"")</f>
        <v>3</v>
      </c>
      <c r="AL504" s="7" t="str">
        <f aca="false">IF(OR(AF504="",AJ504=""),"",AJ504-AF504)</f>
        <v/>
      </c>
      <c r="AM504" s="7" t="n">
        <f aca="false">IF(COUNT(AF504:AJ504)&gt;=2,ROUND(_xlfn.STDEV.S(AF504:AJ504),3),"")</f>
        <v>0.816</v>
      </c>
      <c r="AN504" s="7" t="n">
        <f aca="false">ROUND((IF(AF504="",0,AF504)*Assumptions!$F$15)+(IF(AG504="",0,AG504)*Assumptions!$F$16)+(IF(AH504="",0,AH504)*Assumptions!$F$17)+(IF(AI504="",0,AI504)*Assumptions!$F$18)+(IF(AJ504="",0,AJ504)*Assumptions!$F$19),3)</f>
        <v>2.8</v>
      </c>
      <c r="AO504" s="0" t="str">
        <f aca="false">IF(AC504&lt;=20,"",IF(AC504&lt;=Assumptions!$F$6,"20-30",IF(AC504&lt;=Assumptions!$F$7,"30-40",IF(AC504&lt;=Assumptions!$F$8,"40-50",IF(AC504&lt;=Assumptions!$F$9,"50-60",IF(AC504&lt;=Assumptions!$F$10,"60+",""))))))</f>
        <v>20-30</v>
      </c>
      <c r="AP504" s="0" t="str">
        <f aca="false">IFERROR(VLOOKUP(O504,Assumptions!$B$14:$C$26,2,FALSE()),"Other")</f>
        <v>Manager</v>
      </c>
      <c r="AQ504" s="0" t="n">
        <f aca="false">IF(T504="",0,1)</f>
        <v>0</v>
      </c>
      <c r="AR504" s="0" t="n">
        <f aca="false">IF(U504="",0,1)</f>
        <v>0</v>
      </c>
      <c r="AS504" s="8" t="n">
        <f aca="false">IF(AK504="","",IF(MAX($AK$2:$AK$921)=MIN($AK$2:$AK$921),50,ROUND((AK504-MIN($AK$2:$AK$921))/(MAX($AK$2:$AK$921)-MIN($AK$2:$AK$921))*100,2)))</f>
        <v>57.14</v>
      </c>
      <c r="AT504" s="8" t="n">
        <f aca="false">IF(MAX($BC$2:$BC$921)=MIN($BC$2:$BC$921),50,ROUND((BC504-MIN($BC$2:$BC$921))/(MAX($BC$2:$BC$921)-MIN($BC$2:$BC$921))*100,2))</f>
        <v>50</v>
      </c>
      <c r="AU504" s="8" t="n">
        <f aca="false">IF(MAX($BE$2:$BE$921)=MIN($BE$2:$BE$921),50,ROUND((BE504-MIN($BE$2:$BE$921))/(MAX($BE$2:$BE$921)-MIN($BE$2:$BE$921))*100,2))</f>
        <v>52.89</v>
      </c>
      <c r="AV504" s="8" t="n">
        <f aca="false">IF(MAX($AD$2:$AD$921)=MIN($AD$2:$AD$921),50,ROUND((AD504-MIN($AD$2:$AD$921))/(MAX($AD$2:$AD$921)-MIN($AD$2:$AD$921))*100,2))</f>
        <v>8.13</v>
      </c>
      <c r="AW504" s="8" t="n">
        <f aca="false">IF(MAX($AN$2:$AN$921)=MIN($AN$2:$AN$921),50,ROUND((AN504-MIN($AN$2:$AN$921))/(MAX($AN$2:$AN$921)-MIN($AN$2:$AN$921))*100,2))</f>
        <v>70</v>
      </c>
      <c r="AX504" s="8" t="n">
        <f aca="false">AQ504*100</f>
        <v>0</v>
      </c>
      <c r="AY504" s="8" t="n">
        <f aca="false">AR504*100</f>
        <v>0</v>
      </c>
      <c r="AZ504" s="8" t="n">
        <f aca="false">IFERROR(ROUND(AS504*Assumptions!$I$6+AW504*Assumptions!$I$7+AT504*Assumptions!$I$8+AU504*Assumptions!$I$9+AV504*Assumptions!$I$10+AX504*Assumptions!$I$11+AY504*Assumptions!$I$12,2),"")</f>
        <v>47.39</v>
      </c>
      <c r="BA504" s="0" t="str">
        <f aca="false">IF(AZ504="","",IF(AZ504&lt;=Assumptions!$I$18,"Below Expectation",IF(AZ504&lt;=Assumptions!$I$19,"Developing",IF(AZ504&lt;=Assumptions!$I$20,"Meets Expectation",IF(AZ504&lt;=Assumptions!$I$21,"Exceeds","Star Performer")))))</f>
        <v>Developing</v>
      </c>
      <c r="BB504" s="0" t="n">
        <f aca="false">IF(AZ504="",0,IF(AZ504&gt;=Assumptions!$I$26,1,0))</f>
        <v>0</v>
      </c>
      <c r="BC504" s="9" t="n">
        <f aca="false">IF(AL504="",2,AL504+2)</f>
        <v>2</v>
      </c>
      <c r="BD504" s="10" t="n">
        <f aca="false">IF(AM504="",ROUND(AVERAGE($AM$2:$AM$921),3),AM504)</f>
        <v>0.816</v>
      </c>
      <c r="BE504" s="9" t="n">
        <f aca="false">1-BD504</f>
        <v>0.184</v>
      </c>
    </row>
    <row r="505" customFormat="false" ht="14.25" hidden="true" customHeight="false" outlineLevel="0" collapsed="false">
      <c r="A505" s="4" t="n">
        <v>325</v>
      </c>
      <c r="B505" s="5" t="n">
        <v>10087789</v>
      </c>
      <c r="C505" s="5" t="s">
        <v>526</v>
      </c>
      <c r="D505" s="5" t="s">
        <v>1983</v>
      </c>
      <c r="E505" s="5" t="s">
        <v>881</v>
      </c>
      <c r="F505" s="5" t="s">
        <v>483</v>
      </c>
      <c r="G505" s="5" t="s">
        <v>484</v>
      </c>
      <c r="H505" s="5" t="s">
        <v>483</v>
      </c>
      <c r="I505" s="5" t="s">
        <v>63</v>
      </c>
      <c r="J505" s="5" t="s">
        <v>100</v>
      </c>
      <c r="K505" s="5" t="s">
        <v>65</v>
      </c>
      <c r="L505" s="6" t="n">
        <v>44713</v>
      </c>
      <c r="M505" s="5" t="s">
        <v>544</v>
      </c>
      <c r="N505" s="6" t="n">
        <v>32449</v>
      </c>
      <c r="O505" s="5" t="s">
        <v>365</v>
      </c>
      <c r="P505" s="5" t="s">
        <v>365</v>
      </c>
      <c r="Q505" s="5" t="s">
        <v>287</v>
      </c>
      <c r="R505" s="5" t="s">
        <v>1467</v>
      </c>
      <c r="S505" s="5" t="s">
        <v>249</v>
      </c>
      <c r="T505" s="6"/>
      <c r="U505" s="6"/>
      <c r="V505" s="5"/>
      <c r="W505" s="5" t="s">
        <v>141</v>
      </c>
      <c r="X505" s="5" t="s">
        <v>631</v>
      </c>
      <c r="Y505" s="5" t="s">
        <v>83</v>
      </c>
      <c r="Z505" s="5" t="s">
        <v>141</v>
      </c>
      <c r="AA505" s="5" t="s">
        <v>1984</v>
      </c>
      <c r="AB505" s="0" t="n">
        <f aca="false">IFERROR(VALUE(R505),0)</f>
        <v>10.4</v>
      </c>
      <c r="AC505" s="0" t="n">
        <f aca="false">IFERROR(VALUE(M505),"")</f>
        <v>37.7</v>
      </c>
      <c r="AD505" s="0" t="n">
        <f aca="false">IFERROR(VALUE(Q505),"")</f>
        <v>4</v>
      </c>
      <c r="AE505" s="0" t="n">
        <f aca="false">IFERROR(VALUE(S505),"")</f>
        <v>14.4</v>
      </c>
      <c r="AF505" s="0" t="str">
        <f aca="false">IF(V505="","",VLOOKUP(V505,Assumptions!$B$6:$C$9,2,FALSE()))</f>
        <v/>
      </c>
      <c r="AG505" s="0" t="n">
        <f aca="false">IF(W505="","",VLOOKUP(W505,Assumptions!$B$6:$C$9,2,FALSE()))</f>
        <v>3</v>
      </c>
      <c r="AH505" s="0" t="n">
        <f aca="false">IF(X505="","",VLOOKUP(X505,Assumptions!$B$6:$C$9,2,FALSE()))</f>
        <v>2</v>
      </c>
      <c r="AI505" s="0" t="n">
        <f aca="false">IF(Y505="","",VLOOKUP(Y505,Assumptions!$B$6:$C$9,2,FALSE()))</f>
        <v>4</v>
      </c>
      <c r="AJ505" s="0" t="n">
        <f aca="false">IF(Z505="","",VLOOKUP(Z505,Assumptions!$B$6:$C$9,2,FALSE()))</f>
        <v>3</v>
      </c>
      <c r="AK505" s="7" t="n">
        <f aca="false">IFERROR(ROUND(AVERAGE(AF505:AJ505),3),"")</f>
        <v>3</v>
      </c>
      <c r="AL505" s="7" t="str">
        <f aca="false">IF(OR(AF505="",AJ505=""),"",AJ505-AF505)</f>
        <v/>
      </c>
      <c r="AM505" s="7" t="n">
        <f aca="false">IF(COUNT(AF505:AJ505)&gt;=2,ROUND(_xlfn.STDEV.S(AF505:AJ505),3),"")</f>
        <v>0.816</v>
      </c>
      <c r="AN505" s="7" t="n">
        <f aca="false">ROUND((IF(AF505="",0,AF505)*Assumptions!$F$15)+(IF(AG505="",0,AG505)*Assumptions!$F$16)+(IF(AH505="",0,AH505)*Assumptions!$F$17)+(IF(AI505="",0,AI505)*Assumptions!$F$18)+(IF(AJ505="",0,AJ505)*Assumptions!$F$19),3)</f>
        <v>2.75</v>
      </c>
      <c r="AO505" s="0" t="str">
        <f aca="false">IF(AC505&lt;=20,"",IF(AC505&lt;=Assumptions!$F$6,"20-30",IF(AC505&lt;=Assumptions!$F$7,"30-40",IF(AC505&lt;=Assumptions!$F$8,"40-50",IF(AC505&lt;=Assumptions!$F$9,"50-60",IF(AC505&lt;=Assumptions!$F$10,"60+",""))))))</f>
        <v>30-40</v>
      </c>
      <c r="AP505" s="0" t="str">
        <f aca="false">IFERROR(VLOOKUP(O505,Assumptions!$B$14:$C$26,2,FALSE()),"Other")</f>
        <v>Manager</v>
      </c>
      <c r="AQ505" s="0" t="n">
        <f aca="false">IF(T505="",0,1)</f>
        <v>0</v>
      </c>
      <c r="AR505" s="0" t="n">
        <f aca="false">IF(U505="",0,1)</f>
        <v>0</v>
      </c>
      <c r="AS505" s="8" t="n">
        <f aca="false">IF(AK505="","",IF(MAX($AK$2:$AK$921)=MIN($AK$2:$AK$921),50,ROUND((AK505-MIN($AK$2:$AK$921))/(MAX($AK$2:$AK$921)-MIN($AK$2:$AK$921))*100,2)))</f>
        <v>57.14</v>
      </c>
      <c r="AT505" s="8" t="n">
        <f aca="false">IF(MAX($BC$2:$BC$921)=MIN($BC$2:$BC$921),50,ROUND((BC505-MIN($BC$2:$BC$921))/(MAX($BC$2:$BC$921)-MIN($BC$2:$BC$921))*100,2))</f>
        <v>50</v>
      </c>
      <c r="AU505" s="8" t="n">
        <f aca="false">IF(MAX($BE$2:$BE$921)=MIN($BE$2:$BE$921),50,ROUND((BE505-MIN($BE$2:$BE$921))/(MAX($BE$2:$BE$921)-MIN($BE$2:$BE$921))*100,2))</f>
        <v>52.89</v>
      </c>
      <c r="AV505" s="8" t="n">
        <f aca="false">IF(MAX($AD$2:$AD$921)=MIN($AD$2:$AD$921),50,ROUND((AD505-MIN($AD$2:$AD$921))/(MAX($AD$2:$AD$921)-MIN($AD$2:$AD$921))*100,2))</f>
        <v>10.57</v>
      </c>
      <c r="AW505" s="8" t="n">
        <f aca="false">IF(MAX($AN$2:$AN$921)=MIN($AN$2:$AN$921),50,ROUND((AN505-MIN($AN$2:$AN$921))/(MAX($AN$2:$AN$921)-MIN($AN$2:$AN$921))*100,2))</f>
        <v>68.75</v>
      </c>
      <c r="AX505" s="8" t="n">
        <f aca="false">AQ505*100</f>
        <v>0</v>
      </c>
      <c r="AY505" s="8" t="n">
        <f aca="false">AR505*100</f>
        <v>0</v>
      </c>
      <c r="AZ505" s="8" t="n">
        <f aca="false">IFERROR(ROUND(AS505*Assumptions!$I$6+AW505*Assumptions!$I$7+AT505*Assumptions!$I$8+AU505*Assumptions!$I$9+AV505*Assumptions!$I$10+AX505*Assumptions!$I$11+AY505*Assumptions!$I$12,2),"")</f>
        <v>47.38</v>
      </c>
      <c r="BA505" s="0" t="str">
        <f aca="false">IF(AZ505="","",IF(AZ505&lt;=Assumptions!$I$18,"Below Expectation",IF(AZ505&lt;=Assumptions!$I$19,"Developing",IF(AZ505&lt;=Assumptions!$I$20,"Meets Expectation",IF(AZ505&lt;=Assumptions!$I$21,"Exceeds","Star Performer")))))</f>
        <v>Developing</v>
      </c>
      <c r="BB505" s="0" t="n">
        <f aca="false">IF(AZ505="",0,IF(AZ505&gt;=Assumptions!$I$26,1,0))</f>
        <v>0</v>
      </c>
      <c r="BC505" s="9" t="n">
        <f aca="false">IF(AL505="",2,AL505+2)</f>
        <v>2</v>
      </c>
      <c r="BD505" s="10" t="n">
        <f aca="false">IF(AM505="",ROUND(AVERAGE($AM$2:$AM$921),3),AM505)</f>
        <v>0.816</v>
      </c>
      <c r="BE505" s="9" t="n">
        <f aca="false">1-BD505</f>
        <v>0.184</v>
      </c>
    </row>
    <row r="506" customFormat="false" ht="14.25" hidden="true" customHeight="false" outlineLevel="0" collapsed="false">
      <c r="A506" s="4" t="n">
        <v>111</v>
      </c>
      <c r="B506" s="5" t="n">
        <v>10034314</v>
      </c>
      <c r="C506" s="5" t="s">
        <v>85</v>
      </c>
      <c r="D506" s="5" t="s">
        <v>1985</v>
      </c>
      <c r="E506" s="5" t="s">
        <v>751</v>
      </c>
      <c r="F506" s="5" t="s">
        <v>236</v>
      </c>
      <c r="G506" s="5" t="s">
        <v>237</v>
      </c>
      <c r="H506" s="5" t="s">
        <v>238</v>
      </c>
      <c r="I506" s="5" t="s">
        <v>63</v>
      </c>
      <c r="J506" s="5" t="s">
        <v>76</v>
      </c>
      <c r="K506" s="5" t="s">
        <v>65</v>
      </c>
      <c r="L506" s="6" t="n">
        <v>41122</v>
      </c>
      <c r="M506" s="5" t="s">
        <v>681</v>
      </c>
      <c r="N506" s="6" t="n">
        <v>24791</v>
      </c>
      <c r="O506" s="5" t="s">
        <v>162</v>
      </c>
      <c r="P506" s="5" t="s">
        <v>162</v>
      </c>
      <c r="Q506" s="5" t="s">
        <v>1211</v>
      </c>
      <c r="R506" s="5" t="s">
        <v>471</v>
      </c>
      <c r="S506" s="5" t="s">
        <v>1986</v>
      </c>
      <c r="T506" s="6"/>
      <c r="U506" s="6"/>
      <c r="V506" s="5" t="s">
        <v>631</v>
      </c>
      <c r="W506" s="5" t="s">
        <v>141</v>
      </c>
      <c r="X506" s="5" t="s">
        <v>83</v>
      </c>
      <c r="Y506" s="5" t="s">
        <v>141</v>
      </c>
      <c r="Z506" s="5" t="s">
        <v>631</v>
      </c>
      <c r="AA506" s="5" t="s">
        <v>1987</v>
      </c>
      <c r="AB506" s="0" t="n">
        <f aca="false">IFERROR(VALUE(R506),0)</f>
        <v>18.1</v>
      </c>
      <c r="AC506" s="0" t="n">
        <f aca="false">IFERROR(VALUE(M506),"")</f>
        <v>58.6</v>
      </c>
      <c r="AD506" s="0" t="n">
        <f aca="false">IFERROR(VALUE(Q506),"")</f>
        <v>13.1</v>
      </c>
      <c r="AE506" s="0" t="n">
        <f aca="false">IFERROR(VALUE(S506),"")</f>
        <v>31.11</v>
      </c>
      <c r="AF506" s="0" t="n">
        <f aca="false">IF(V506="","",VLOOKUP(V506,Assumptions!$B$6:$C$9,2,FALSE()))</f>
        <v>2</v>
      </c>
      <c r="AG506" s="0" t="n">
        <f aca="false">IF(W506="","",VLOOKUP(W506,Assumptions!$B$6:$C$9,2,FALSE()))</f>
        <v>3</v>
      </c>
      <c r="AH506" s="0" t="n">
        <f aca="false">IF(X506="","",VLOOKUP(X506,Assumptions!$B$6:$C$9,2,FALSE()))</f>
        <v>4</v>
      </c>
      <c r="AI506" s="0" t="n">
        <f aca="false">IF(Y506="","",VLOOKUP(Y506,Assumptions!$B$6:$C$9,2,FALSE()))</f>
        <v>3</v>
      </c>
      <c r="AJ506" s="0" t="n">
        <f aca="false">IF(Z506="","",VLOOKUP(Z506,Assumptions!$B$6:$C$9,2,FALSE()))</f>
        <v>2</v>
      </c>
      <c r="AK506" s="7" t="n">
        <f aca="false">IFERROR(ROUND(AVERAGE(AF506:AJ506),3),"")</f>
        <v>2.8</v>
      </c>
      <c r="AL506" s="7" t="n">
        <f aca="false">IF(OR(AF506="",AJ506=""),"",AJ506-AF506)</f>
        <v>0</v>
      </c>
      <c r="AM506" s="7" t="n">
        <f aca="false">IF(COUNT(AF506:AJ506)&gt;=2,ROUND(_xlfn.STDEV.S(AF506:AJ506),3),"")</f>
        <v>0.837</v>
      </c>
      <c r="AN506" s="7" t="n">
        <f aca="false">ROUND((IF(AF506="",0,AF506)*Assumptions!$F$15)+(IF(AG506="",0,AG506)*Assumptions!$F$16)+(IF(AH506="",0,AH506)*Assumptions!$F$17)+(IF(AI506="",0,AI506)*Assumptions!$F$18)+(IF(AJ506="",0,AJ506)*Assumptions!$F$19),3)</f>
        <v>2.8</v>
      </c>
      <c r="AO506" s="0" t="str">
        <f aca="false">IF(AC506&lt;=20,"",IF(AC506&lt;=Assumptions!$F$6,"20-30",IF(AC506&lt;=Assumptions!$F$7,"30-40",IF(AC506&lt;=Assumptions!$F$8,"40-50",IF(AC506&lt;=Assumptions!$F$9,"50-60",IF(AC506&lt;=Assumptions!$F$10,"60+",""))))))</f>
        <v>50-60</v>
      </c>
      <c r="AP506" s="0" t="str">
        <f aca="false">IFERROR(VLOOKUP(O506,Assumptions!$B$14:$C$26,2,FALSE()),"Other")</f>
        <v>Manager</v>
      </c>
      <c r="AQ506" s="0" t="n">
        <f aca="false">IF(T506="",0,1)</f>
        <v>0</v>
      </c>
      <c r="AR506" s="0" t="n">
        <f aca="false">IF(U506="",0,1)</f>
        <v>0</v>
      </c>
      <c r="AS506" s="8" t="n">
        <f aca="false">IF(AK506="","",IF(MAX($AK$2:$AK$921)=MIN($AK$2:$AK$921),50,ROUND((AK506-MIN($AK$2:$AK$921))/(MAX($AK$2:$AK$921)-MIN($AK$2:$AK$921))*100,2)))</f>
        <v>48.56</v>
      </c>
      <c r="AT506" s="8" t="n">
        <f aca="false">IF(MAX($BC$2:$BC$921)=MIN($BC$2:$BC$921),50,ROUND((BC506-MIN($BC$2:$BC$921))/(MAX($BC$2:$BC$921)-MIN($BC$2:$BC$921))*100,2))</f>
        <v>50</v>
      </c>
      <c r="AU506" s="8" t="n">
        <f aca="false">IF(MAX($BE$2:$BE$921)=MIN($BE$2:$BE$921),50,ROUND((BE506-MIN($BE$2:$BE$921))/(MAX($BE$2:$BE$921)-MIN($BE$2:$BE$921))*100,2))</f>
        <v>51.67</v>
      </c>
      <c r="AV506" s="8" t="n">
        <f aca="false">IF(MAX($AD$2:$AD$921)=MIN($AD$2:$AD$921),50,ROUND((AD506-MIN($AD$2:$AD$921))/(MAX($AD$2:$AD$921)-MIN($AD$2:$AD$921))*100,2))</f>
        <v>35.31</v>
      </c>
      <c r="AW506" s="8" t="n">
        <f aca="false">IF(MAX($AN$2:$AN$921)=MIN($AN$2:$AN$921),50,ROUND((AN506-MIN($AN$2:$AN$921))/(MAX($AN$2:$AN$921)-MIN($AN$2:$AN$921))*100,2))</f>
        <v>70</v>
      </c>
      <c r="AX506" s="8" t="n">
        <f aca="false">AQ506*100</f>
        <v>0</v>
      </c>
      <c r="AY506" s="8" t="n">
        <f aca="false">AR506*100</f>
        <v>0</v>
      </c>
      <c r="AZ506" s="8" t="n">
        <f aca="false">IFERROR(ROUND(AS506*Assumptions!$I$6+AW506*Assumptions!$I$7+AT506*Assumptions!$I$8+AU506*Assumptions!$I$9+AV506*Assumptions!$I$10+AX506*Assumptions!$I$11+AY506*Assumptions!$I$12,2),"")</f>
        <v>47.35</v>
      </c>
      <c r="BA506" s="0" t="str">
        <f aca="false">IF(AZ506="","",IF(AZ506&lt;=Assumptions!$I$18,"Below Expectation",IF(AZ506&lt;=Assumptions!$I$19,"Developing",IF(AZ506&lt;=Assumptions!$I$20,"Meets Expectation",IF(AZ506&lt;=Assumptions!$I$21,"Exceeds","Star Performer")))))</f>
        <v>Developing</v>
      </c>
      <c r="BB506" s="0" t="n">
        <f aca="false">IF(AZ506="",0,IF(AZ506&gt;=Assumptions!$I$26,1,0))</f>
        <v>0</v>
      </c>
      <c r="BC506" s="9" t="n">
        <f aca="false">IF(AL506="",2,AL506+2)</f>
        <v>2</v>
      </c>
      <c r="BD506" s="10" t="n">
        <f aca="false">IF(AM506="",ROUND(AVERAGE($AM$2:$AM$921),3),AM506)</f>
        <v>0.837</v>
      </c>
      <c r="BE506" s="9" t="n">
        <f aca="false">1-BD506</f>
        <v>0.163</v>
      </c>
    </row>
    <row r="507" customFormat="false" ht="14.25" hidden="true" customHeight="false" outlineLevel="0" collapsed="false">
      <c r="A507" s="4" t="n">
        <v>665</v>
      </c>
      <c r="B507" s="5" t="n">
        <v>55058084</v>
      </c>
      <c r="C507" s="5" t="s">
        <v>85</v>
      </c>
      <c r="D507" s="5" t="s">
        <v>1988</v>
      </c>
      <c r="E507" s="5" t="s">
        <v>137</v>
      </c>
      <c r="F507" s="5" t="s">
        <v>1989</v>
      </c>
      <c r="G507" s="5" t="s">
        <v>1990</v>
      </c>
      <c r="H507" s="5" t="s">
        <v>1991</v>
      </c>
      <c r="I507" s="5" t="s">
        <v>63</v>
      </c>
      <c r="J507" s="5" t="s">
        <v>76</v>
      </c>
      <c r="K507" s="5" t="s">
        <v>309</v>
      </c>
      <c r="L507" s="6" t="n">
        <v>44831</v>
      </c>
      <c r="M507" s="5" t="s">
        <v>242</v>
      </c>
      <c r="N507" s="6" t="n">
        <v>36409</v>
      </c>
      <c r="O507" s="5" t="s">
        <v>1264</v>
      </c>
      <c r="P507" s="5" t="s">
        <v>1559</v>
      </c>
      <c r="Q507" s="5" t="s">
        <v>445</v>
      </c>
      <c r="R507" s="5" t="s">
        <v>115</v>
      </c>
      <c r="S507" s="5" t="s">
        <v>445</v>
      </c>
      <c r="T507" s="6"/>
      <c r="U507" s="6"/>
      <c r="V507" s="5"/>
      <c r="W507" s="5" t="s">
        <v>631</v>
      </c>
      <c r="X507" s="5" t="s">
        <v>83</v>
      </c>
      <c r="Y507" s="5" t="s">
        <v>141</v>
      </c>
      <c r="Z507" s="5" t="s">
        <v>141</v>
      </c>
      <c r="AA507" s="5" t="s">
        <v>1992</v>
      </c>
      <c r="AB507" s="0" t="n">
        <f aca="false">IFERROR(VALUE(R507),0)</f>
        <v>0</v>
      </c>
      <c r="AC507" s="0" t="n">
        <f aca="false">IFERROR(VALUE(M507),"")</f>
        <v>26.9</v>
      </c>
      <c r="AD507" s="0" t="n">
        <f aca="false">IFERROR(VALUE(Q507),"")</f>
        <v>3.8</v>
      </c>
      <c r="AE507" s="0" t="n">
        <f aca="false">IFERROR(VALUE(S507),"")</f>
        <v>3.8</v>
      </c>
      <c r="AF507" s="0" t="str">
        <f aca="false">IF(V507="","",VLOOKUP(V507,Assumptions!$B$6:$C$9,2,FALSE()))</f>
        <v/>
      </c>
      <c r="AG507" s="0" t="n">
        <f aca="false">IF(W507="","",VLOOKUP(W507,Assumptions!$B$6:$C$9,2,FALSE()))</f>
        <v>2</v>
      </c>
      <c r="AH507" s="0" t="n">
        <f aca="false">IF(X507="","",VLOOKUP(X507,Assumptions!$B$6:$C$9,2,FALSE()))</f>
        <v>4</v>
      </c>
      <c r="AI507" s="0" t="n">
        <f aca="false">IF(Y507="","",VLOOKUP(Y507,Assumptions!$B$6:$C$9,2,FALSE()))</f>
        <v>3</v>
      </c>
      <c r="AJ507" s="0" t="n">
        <f aca="false">IF(Z507="","",VLOOKUP(Z507,Assumptions!$B$6:$C$9,2,FALSE()))</f>
        <v>3</v>
      </c>
      <c r="AK507" s="7" t="n">
        <f aca="false">IFERROR(ROUND(AVERAGE(AF507:AJ507),3),"")</f>
        <v>3</v>
      </c>
      <c r="AL507" s="7" t="str">
        <f aca="false">IF(OR(AF507="",AJ507=""),"",AJ507-AF507)</f>
        <v/>
      </c>
      <c r="AM507" s="7" t="n">
        <f aca="false">IF(COUNT(AF507:AJ507)&gt;=2,ROUND(_xlfn.STDEV.S(AF507:AJ507),3),"")</f>
        <v>0.816</v>
      </c>
      <c r="AN507" s="7" t="n">
        <f aca="false">ROUND((IF(AF507="",0,AF507)*Assumptions!$F$15)+(IF(AG507="",0,AG507)*Assumptions!$F$16)+(IF(AH507="",0,AH507)*Assumptions!$F$17)+(IF(AI507="",0,AI507)*Assumptions!$F$18)+(IF(AJ507="",0,AJ507)*Assumptions!$F$19),3)</f>
        <v>2.75</v>
      </c>
      <c r="AO507" s="0" t="str">
        <f aca="false">IF(AC507&lt;=20,"",IF(AC507&lt;=Assumptions!$F$6,"20-30",IF(AC507&lt;=Assumptions!$F$7,"30-40",IF(AC507&lt;=Assumptions!$F$8,"40-50",IF(AC507&lt;=Assumptions!$F$9,"50-60",IF(AC507&lt;=Assumptions!$F$10,"60+",""))))))</f>
        <v>20-30</v>
      </c>
      <c r="AP507" s="0" t="str">
        <f aca="false">IFERROR(VLOOKUP(O507,Assumptions!$B$14:$C$26,2,FALSE()),"Other")</f>
        <v>Manager</v>
      </c>
      <c r="AQ507" s="0" t="n">
        <f aca="false">IF(T507="",0,1)</f>
        <v>0</v>
      </c>
      <c r="AR507" s="0" t="n">
        <f aca="false">IF(U507="",0,1)</f>
        <v>0</v>
      </c>
      <c r="AS507" s="8" t="n">
        <f aca="false">IF(AK507="","",IF(MAX($AK$2:$AK$921)=MIN($AK$2:$AK$921),50,ROUND((AK507-MIN($AK$2:$AK$921))/(MAX($AK$2:$AK$921)-MIN($AK$2:$AK$921))*100,2)))</f>
        <v>57.14</v>
      </c>
      <c r="AT507" s="8" t="n">
        <f aca="false">IF(MAX($BC$2:$BC$921)=MIN($BC$2:$BC$921),50,ROUND((BC507-MIN($BC$2:$BC$921))/(MAX($BC$2:$BC$921)-MIN($BC$2:$BC$921))*100,2))</f>
        <v>50</v>
      </c>
      <c r="AU507" s="8" t="n">
        <f aca="false">IF(MAX($BE$2:$BE$921)=MIN($BE$2:$BE$921),50,ROUND((BE507-MIN($BE$2:$BE$921))/(MAX($BE$2:$BE$921)-MIN($BE$2:$BE$921))*100,2))</f>
        <v>52.89</v>
      </c>
      <c r="AV507" s="8" t="n">
        <f aca="false">IF(MAX($AD$2:$AD$921)=MIN($AD$2:$AD$921),50,ROUND((AD507-MIN($AD$2:$AD$921))/(MAX($AD$2:$AD$921)-MIN($AD$2:$AD$921))*100,2))</f>
        <v>10.03</v>
      </c>
      <c r="AW507" s="8" t="n">
        <f aca="false">IF(MAX($AN$2:$AN$921)=MIN($AN$2:$AN$921),50,ROUND((AN507-MIN($AN$2:$AN$921))/(MAX($AN$2:$AN$921)-MIN($AN$2:$AN$921))*100,2))</f>
        <v>68.75</v>
      </c>
      <c r="AX507" s="8" t="n">
        <f aca="false">AQ507*100</f>
        <v>0</v>
      </c>
      <c r="AY507" s="8" t="n">
        <f aca="false">AR507*100</f>
        <v>0</v>
      </c>
      <c r="AZ507" s="8" t="n">
        <f aca="false">IFERROR(ROUND(AS507*Assumptions!$I$6+AW507*Assumptions!$I$7+AT507*Assumptions!$I$8+AU507*Assumptions!$I$9+AV507*Assumptions!$I$10+AX507*Assumptions!$I$11+AY507*Assumptions!$I$12,2),"")</f>
        <v>47.33</v>
      </c>
      <c r="BA507" s="0" t="str">
        <f aca="false">IF(AZ507="","",IF(AZ507&lt;=Assumptions!$I$18,"Below Expectation",IF(AZ507&lt;=Assumptions!$I$19,"Developing",IF(AZ507&lt;=Assumptions!$I$20,"Meets Expectation",IF(AZ507&lt;=Assumptions!$I$21,"Exceeds","Star Performer")))))</f>
        <v>Developing</v>
      </c>
      <c r="BB507" s="0" t="n">
        <f aca="false">IF(AZ507="",0,IF(AZ507&gt;=Assumptions!$I$26,1,0))</f>
        <v>0</v>
      </c>
      <c r="BC507" s="9" t="n">
        <f aca="false">IF(AL507="",2,AL507+2)</f>
        <v>2</v>
      </c>
      <c r="BD507" s="10" t="n">
        <f aca="false">IF(AM507="",ROUND(AVERAGE($AM$2:$AM$921),3),AM507)</f>
        <v>0.816</v>
      </c>
      <c r="BE507" s="9" t="n">
        <f aca="false">1-BD507</f>
        <v>0.184</v>
      </c>
    </row>
    <row r="508" customFormat="false" ht="14.25" hidden="true" customHeight="false" outlineLevel="0" collapsed="false">
      <c r="A508" s="4" t="n">
        <v>685</v>
      </c>
      <c r="B508" s="5" t="n">
        <v>55059741</v>
      </c>
      <c r="C508" s="5" t="s">
        <v>85</v>
      </c>
      <c r="D508" s="5" t="s">
        <v>1993</v>
      </c>
      <c r="E508" s="5" t="s">
        <v>137</v>
      </c>
      <c r="F508" s="5" t="s">
        <v>1675</v>
      </c>
      <c r="G508" s="5" t="s">
        <v>1676</v>
      </c>
      <c r="H508" s="5" t="s">
        <v>1675</v>
      </c>
      <c r="I508" s="5" t="s">
        <v>63</v>
      </c>
      <c r="J508" s="5" t="s">
        <v>76</v>
      </c>
      <c r="K508" s="5" t="s">
        <v>65</v>
      </c>
      <c r="L508" s="6" t="n">
        <v>44855</v>
      </c>
      <c r="M508" s="5" t="s">
        <v>1709</v>
      </c>
      <c r="N508" s="6" t="n">
        <v>33972</v>
      </c>
      <c r="O508" s="5" t="s">
        <v>365</v>
      </c>
      <c r="P508" s="5" t="s">
        <v>365</v>
      </c>
      <c r="Q508" s="5" t="s">
        <v>335</v>
      </c>
      <c r="R508" s="5" t="s">
        <v>302</v>
      </c>
      <c r="S508" s="5" t="s">
        <v>569</v>
      </c>
      <c r="T508" s="6"/>
      <c r="U508" s="6"/>
      <c r="V508" s="5"/>
      <c r="W508" s="5" t="s">
        <v>631</v>
      </c>
      <c r="X508" s="5" t="s">
        <v>83</v>
      </c>
      <c r="Y508" s="5" t="s">
        <v>141</v>
      </c>
      <c r="Z508" s="5" t="s">
        <v>141</v>
      </c>
      <c r="AA508" s="5" t="s">
        <v>1994</v>
      </c>
      <c r="AB508" s="0" t="n">
        <f aca="false">IFERROR(VALUE(R508),0)</f>
        <v>5.8</v>
      </c>
      <c r="AC508" s="0" t="n">
        <f aca="false">IFERROR(VALUE(M508),"")</f>
        <v>33.5</v>
      </c>
      <c r="AD508" s="0" t="n">
        <f aca="false">IFERROR(VALUE(Q508),"")</f>
        <v>3.7</v>
      </c>
      <c r="AE508" s="0" t="n">
        <f aca="false">IFERROR(VALUE(S508),"")</f>
        <v>9.3</v>
      </c>
      <c r="AF508" s="0" t="str">
        <f aca="false">IF(V508="","",VLOOKUP(V508,Assumptions!$B$6:$C$9,2,FALSE()))</f>
        <v/>
      </c>
      <c r="AG508" s="0" t="n">
        <f aca="false">IF(W508="","",VLOOKUP(W508,Assumptions!$B$6:$C$9,2,FALSE()))</f>
        <v>2</v>
      </c>
      <c r="AH508" s="0" t="n">
        <f aca="false">IF(X508="","",VLOOKUP(X508,Assumptions!$B$6:$C$9,2,FALSE()))</f>
        <v>4</v>
      </c>
      <c r="AI508" s="0" t="n">
        <f aca="false">IF(Y508="","",VLOOKUP(Y508,Assumptions!$B$6:$C$9,2,FALSE()))</f>
        <v>3</v>
      </c>
      <c r="AJ508" s="0" t="n">
        <f aca="false">IF(Z508="","",VLOOKUP(Z508,Assumptions!$B$6:$C$9,2,FALSE()))</f>
        <v>3</v>
      </c>
      <c r="AK508" s="7" t="n">
        <f aca="false">IFERROR(ROUND(AVERAGE(AF508:AJ508),3),"")</f>
        <v>3</v>
      </c>
      <c r="AL508" s="7" t="str">
        <f aca="false">IF(OR(AF508="",AJ508=""),"",AJ508-AF508)</f>
        <v/>
      </c>
      <c r="AM508" s="7" t="n">
        <f aca="false">IF(COUNT(AF508:AJ508)&gt;=2,ROUND(_xlfn.STDEV.S(AF508:AJ508),3),"")</f>
        <v>0.816</v>
      </c>
      <c r="AN508" s="7" t="n">
        <f aca="false">ROUND((IF(AF508="",0,AF508)*Assumptions!$F$15)+(IF(AG508="",0,AG508)*Assumptions!$F$16)+(IF(AH508="",0,AH508)*Assumptions!$F$17)+(IF(AI508="",0,AI508)*Assumptions!$F$18)+(IF(AJ508="",0,AJ508)*Assumptions!$F$19),3)</f>
        <v>2.75</v>
      </c>
      <c r="AO508" s="0" t="str">
        <f aca="false">IF(AC508&lt;=20,"",IF(AC508&lt;=Assumptions!$F$6,"20-30",IF(AC508&lt;=Assumptions!$F$7,"30-40",IF(AC508&lt;=Assumptions!$F$8,"40-50",IF(AC508&lt;=Assumptions!$F$9,"50-60",IF(AC508&lt;=Assumptions!$F$10,"60+",""))))))</f>
        <v>30-40</v>
      </c>
      <c r="AP508" s="0" t="str">
        <f aca="false">IFERROR(VLOOKUP(O508,Assumptions!$B$14:$C$26,2,FALSE()),"Other")</f>
        <v>Manager</v>
      </c>
      <c r="AQ508" s="0" t="n">
        <f aca="false">IF(T508="",0,1)</f>
        <v>0</v>
      </c>
      <c r="AR508" s="0" t="n">
        <f aca="false">IF(U508="",0,1)</f>
        <v>0</v>
      </c>
      <c r="AS508" s="8" t="n">
        <f aca="false">IF(AK508="","",IF(MAX($AK$2:$AK$921)=MIN($AK$2:$AK$921),50,ROUND((AK508-MIN($AK$2:$AK$921))/(MAX($AK$2:$AK$921)-MIN($AK$2:$AK$921))*100,2)))</f>
        <v>57.14</v>
      </c>
      <c r="AT508" s="8" t="n">
        <f aca="false">IF(MAX($BC$2:$BC$921)=MIN($BC$2:$BC$921),50,ROUND((BC508-MIN($BC$2:$BC$921))/(MAX($BC$2:$BC$921)-MIN($BC$2:$BC$921))*100,2))</f>
        <v>50</v>
      </c>
      <c r="AU508" s="8" t="n">
        <f aca="false">IF(MAX($BE$2:$BE$921)=MIN($BE$2:$BE$921),50,ROUND((BE508-MIN($BE$2:$BE$921))/(MAX($BE$2:$BE$921)-MIN($BE$2:$BE$921))*100,2))</f>
        <v>52.89</v>
      </c>
      <c r="AV508" s="8" t="n">
        <f aca="false">IF(MAX($AD$2:$AD$921)=MIN($AD$2:$AD$921),50,ROUND((AD508-MIN($AD$2:$AD$921))/(MAX($AD$2:$AD$921)-MIN($AD$2:$AD$921))*100,2))</f>
        <v>9.76</v>
      </c>
      <c r="AW508" s="8" t="n">
        <f aca="false">IF(MAX($AN$2:$AN$921)=MIN($AN$2:$AN$921),50,ROUND((AN508-MIN($AN$2:$AN$921))/(MAX($AN$2:$AN$921)-MIN($AN$2:$AN$921))*100,2))</f>
        <v>68.75</v>
      </c>
      <c r="AX508" s="8" t="n">
        <f aca="false">AQ508*100</f>
        <v>0</v>
      </c>
      <c r="AY508" s="8" t="n">
        <f aca="false">AR508*100</f>
        <v>0</v>
      </c>
      <c r="AZ508" s="8" t="n">
        <f aca="false">IFERROR(ROUND(AS508*Assumptions!$I$6+AW508*Assumptions!$I$7+AT508*Assumptions!$I$8+AU508*Assumptions!$I$9+AV508*Assumptions!$I$10+AX508*Assumptions!$I$11+AY508*Assumptions!$I$12,2),"")</f>
        <v>47.3</v>
      </c>
      <c r="BA508" s="0" t="str">
        <f aca="false">IF(AZ508="","",IF(AZ508&lt;=Assumptions!$I$18,"Below Expectation",IF(AZ508&lt;=Assumptions!$I$19,"Developing",IF(AZ508&lt;=Assumptions!$I$20,"Meets Expectation",IF(AZ508&lt;=Assumptions!$I$21,"Exceeds","Star Performer")))))</f>
        <v>Developing</v>
      </c>
      <c r="BB508" s="0" t="n">
        <f aca="false">IF(AZ508="",0,IF(AZ508&gt;=Assumptions!$I$26,1,0))</f>
        <v>0</v>
      </c>
      <c r="BC508" s="9" t="n">
        <f aca="false">IF(AL508="",2,AL508+2)</f>
        <v>2</v>
      </c>
      <c r="BD508" s="10" t="n">
        <f aca="false">IF(AM508="",ROUND(AVERAGE($AM$2:$AM$921),3),AM508)</f>
        <v>0.816</v>
      </c>
      <c r="BE508" s="9" t="n">
        <f aca="false">1-BD508</f>
        <v>0.184</v>
      </c>
    </row>
    <row r="509" customFormat="false" ht="14.25" hidden="true" customHeight="false" outlineLevel="0" collapsed="false">
      <c r="A509" s="4" t="n">
        <v>687</v>
      </c>
      <c r="B509" s="5" t="n">
        <v>55060130</v>
      </c>
      <c r="C509" s="5" t="s">
        <v>57</v>
      </c>
      <c r="D509" s="5" t="s">
        <v>1995</v>
      </c>
      <c r="E509" s="5" t="s">
        <v>96</v>
      </c>
      <c r="F509" s="5" t="s">
        <v>608</v>
      </c>
      <c r="G509" s="5" t="s">
        <v>609</v>
      </c>
      <c r="H509" s="5" t="s">
        <v>608</v>
      </c>
      <c r="I509" s="5" t="s">
        <v>63</v>
      </c>
      <c r="J509" s="5" t="s">
        <v>100</v>
      </c>
      <c r="K509" s="5" t="s">
        <v>309</v>
      </c>
      <c r="L509" s="6" t="n">
        <v>44865</v>
      </c>
      <c r="M509" s="5" t="s">
        <v>104</v>
      </c>
      <c r="N509" s="6" t="n">
        <v>34556</v>
      </c>
      <c r="O509" s="5" t="s">
        <v>365</v>
      </c>
      <c r="P509" s="5" t="s">
        <v>365</v>
      </c>
      <c r="Q509" s="5" t="s">
        <v>335</v>
      </c>
      <c r="R509" s="5" t="s">
        <v>487</v>
      </c>
      <c r="S509" s="5" t="s">
        <v>599</v>
      </c>
      <c r="T509" s="6"/>
      <c r="U509" s="6"/>
      <c r="V509" s="5"/>
      <c r="W509" s="5" t="s">
        <v>631</v>
      </c>
      <c r="X509" s="5" t="s">
        <v>83</v>
      </c>
      <c r="Y509" s="5" t="s">
        <v>141</v>
      </c>
      <c r="Z509" s="5" t="s">
        <v>141</v>
      </c>
      <c r="AA509" s="5" t="s">
        <v>1996</v>
      </c>
      <c r="AB509" s="0" t="n">
        <f aca="false">IFERROR(VALUE(R509),0)</f>
        <v>6.4</v>
      </c>
      <c r="AC509" s="0" t="n">
        <f aca="false">IFERROR(VALUE(M509),"")</f>
        <v>31.9</v>
      </c>
      <c r="AD509" s="0" t="n">
        <f aca="false">IFERROR(VALUE(Q509),"")</f>
        <v>3.7</v>
      </c>
      <c r="AE509" s="0" t="n">
        <f aca="false">IFERROR(VALUE(S509),"")</f>
        <v>9.11</v>
      </c>
      <c r="AF509" s="0" t="str">
        <f aca="false">IF(V509="","",VLOOKUP(V509,Assumptions!$B$6:$C$9,2,FALSE()))</f>
        <v/>
      </c>
      <c r="AG509" s="0" t="n">
        <f aca="false">IF(W509="","",VLOOKUP(W509,Assumptions!$B$6:$C$9,2,FALSE()))</f>
        <v>2</v>
      </c>
      <c r="AH509" s="0" t="n">
        <f aca="false">IF(X509="","",VLOOKUP(X509,Assumptions!$B$6:$C$9,2,FALSE()))</f>
        <v>4</v>
      </c>
      <c r="AI509" s="0" t="n">
        <f aca="false">IF(Y509="","",VLOOKUP(Y509,Assumptions!$B$6:$C$9,2,FALSE()))</f>
        <v>3</v>
      </c>
      <c r="AJ509" s="0" t="n">
        <f aca="false">IF(Z509="","",VLOOKUP(Z509,Assumptions!$B$6:$C$9,2,FALSE()))</f>
        <v>3</v>
      </c>
      <c r="AK509" s="7" t="n">
        <f aca="false">IFERROR(ROUND(AVERAGE(AF509:AJ509),3),"")</f>
        <v>3</v>
      </c>
      <c r="AL509" s="7" t="str">
        <f aca="false">IF(OR(AF509="",AJ509=""),"",AJ509-AF509)</f>
        <v/>
      </c>
      <c r="AM509" s="7" t="n">
        <f aca="false">IF(COUNT(AF509:AJ509)&gt;=2,ROUND(_xlfn.STDEV.S(AF509:AJ509),3),"")</f>
        <v>0.816</v>
      </c>
      <c r="AN509" s="7" t="n">
        <f aca="false">ROUND((IF(AF509="",0,AF509)*Assumptions!$F$15)+(IF(AG509="",0,AG509)*Assumptions!$F$16)+(IF(AH509="",0,AH509)*Assumptions!$F$17)+(IF(AI509="",0,AI509)*Assumptions!$F$18)+(IF(AJ509="",0,AJ509)*Assumptions!$F$19),3)</f>
        <v>2.75</v>
      </c>
      <c r="AO509" s="0" t="str">
        <f aca="false">IF(AC509&lt;=20,"",IF(AC509&lt;=Assumptions!$F$6,"20-30",IF(AC509&lt;=Assumptions!$F$7,"30-40",IF(AC509&lt;=Assumptions!$F$8,"40-50",IF(AC509&lt;=Assumptions!$F$9,"50-60",IF(AC509&lt;=Assumptions!$F$10,"60+",""))))))</f>
        <v>30-40</v>
      </c>
      <c r="AP509" s="0" t="str">
        <f aca="false">IFERROR(VLOOKUP(O509,Assumptions!$B$14:$C$26,2,FALSE()),"Other")</f>
        <v>Manager</v>
      </c>
      <c r="AQ509" s="0" t="n">
        <f aca="false">IF(T509="",0,1)</f>
        <v>0</v>
      </c>
      <c r="AR509" s="0" t="n">
        <f aca="false">IF(U509="",0,1)</f>
        <v>0</v>
      </c>
      <c r="AS509" s="8" t="n">
        <f aca="false">IF(AK509="","",IF(MAX($AK$2:$AK$921)=MIN($AK$2:$AK$921),50,ROUND((AK509-MIN($AK$2:$AK$921))/(MAX($AK$2:$AK$921)-MIN($AK$2:$AK$921))*100,2)))</f>
        <v>57.14</v>
      </c>
      <c r="AT509" s="8" t="n">
        <f aca="false">IF(MAX($BC$2:$BC$921)=MIN($BC$2:$BC$921),50,ROUND((BC509-MIN($BC$2:$BC$921))/(MAX($BC$2:$BC$921)-MIN($BC$2:$BC$921))*100,2))</f>
        <v>50</v>
      </c>
      <c r="AU509" s="8" t="n">
        <f aca="false">IF(MAX($BE$2:$BE$921)=MIN($BE$2:$BE$921),50,ROUND((BE509-MIN($BE$2:$BE$921))/(MAX($BE$2:$BE$921)-MIN($BE$2:$BE$921))*100,2))</f>
        <v>52.89</v>
      </c>
      <c r="AV509" s="8" t="n">
        <f aca="false">IF(MAX($AD$2:$AD$921)=MIN($AD$2:$AD$921),50,ROUND((AD509-MIN($AD$2:$AD$921))/(MAX($AD$2:$AD$921)-MIN($AD$2:$AD$921))*100,2))</f>
        <v>9.76</v>
      </c>
      <c r="AW509" s="8" t="n">
        <f aca="false">IF(MAX($AN$2:$AN$921)=MIN($AN$2:$AN$921),50,ROUND((AN509-MIN($AN$2:$AN$921))/(MAX($AN$2:$AN$921)-MIN($AN$2:$AN$921))*100,2))</f>
        <v>68.75</v>
      </c>
      <c r="AX509" s="8" t="n">
        <f aca="false">AQ509*100</f>
        <v>0</v>
      </c>
      <c r="AY509" s="8" t="n">
        <f aca="false">AR509*100</f>
        <v>0</v>
      </c>
      <c r="AZ509" s="8" t="n">
        <f aca="false">IFERROR(ROUND(AS509*Assumptions!$I$6+AW509*Assumptions!$I$7+AT509*Assumptions!$I$8+AU509*Assumptions!$I$9+AV509*Assumptions!$I$10+AX509*Assumptions!$I$11+AY509*Assumptions!$I$12,2),"")</f>
        <v>47.3</v>
      </c>
      <c r="BA509" s="0" t="str">
        <f aca="false">IF(AZ509="","",IF(AZ509&lt;=Assumptions!$I$18,"Below Expectation",IF(AZ509&lt;=Assumptions!$I$19,"Developing",IF(AZ509&lt;=Assumptions!$I$20,"Meets Expectation",IF(AZ509&lt;=Assumptions!$I$21,"Exceeds","Star Performer")))))</f>
        <v>Developing</v>
      </c>
      <c r="BB509" s="0" t="n">
        <f aca="false">IF(AZ509="",0,IF(AZ509&gt;=Assumptions!$I$26,1,0))</f>
        <v>0</v>
      </c>
      <c r="BC509" s="9" t="n">
        <f aca="false">IF(AL509="",2,AL509+2)</f>
        <v>2</v>
      </c>
      <c r="BD509" s="10" t="n">
        <f aca="false">IF(AM509="",ROUND(AVERAGE($AM$2:$AM$921),3),AM509)</f>
        <v>0.816</v>
      </c>
      <c r="BE509" s="9" t="n">
        <f aca="false">1-BD509</f>
        <v>0.184</v>
      </c>
    </row>
    <row r="510" customFormat="false" ht="14.25" hidden="true" customHeight="false" outlineLevel="0" collapsed="false">
      <c r="A510" s="4" t="n">
        <v>620</v>
      </c>
      <c r="B510" s="5" t="n">
        <v>55054347</v>
      </c>
      <c r="C510" s="5" t="s">
        <v>85</v>
      </c>
      <c r="D510" s="5" t="s">
        <v>1997</v>
      </c>
      <c r="E510" s="5" t="s">
        <v>235</v>
      </c>
      <c r="F510" s="5" t="s">
        <v>590</v>
      </c>
      <c r="G510" s="5" t="s">
        <v>589</v>
      </c>
      <c r="H510" s="5" t="s">
        <v>590</v>
      </c>
      <c r="I510" s="5" t="s">
        <v>63</v>
      </c>
      <c r="J510" s="5" t="s">
        <v>76</v>
      </c>
      <c r="K510" s="5" t="s">
        <v>309</v>
      </c>
      <c r="L510" s="6" t="n">
        <v>44763</v>
      </c>
      <c r="M510" s="5" t="s">
        <v>941</v>
      </c>
      <c r="N510" s="6" t="n">
        <v>36708</v>
      </c>
      <c r="O510" s="5" t="s">
        <v>1264</v>
      </c>
      <c r="P510" s="5" t="s">
        <v>1559</v>
      </c>
      <c r="Q510" s="5" t="s">
        <v>591</v>
      </c>
      <c r="R510" s="5" t="s">
        <v>115</v>
      </c>
      <c r="S510" s="5" t="s">
        <v>591</v>
      </c>
      <c r="T510" s="6"/>
      <c r="U510" s="6"/>
      <c r="V510" s="5"/>
      <c r="W510" s="5" t="s">
        <v>631</v>
      </c>
      <c r="X510" s="5" t="s">
        <v>83</v>
      </c>
      <c r="Y510" s="5" t="s">
        <v>141</v>
      </c>
      <c r="Z510" s="5" t="s">
        <v>141</v>
      </c>
      <c r="AA510" s="5" t="s">
        <v>1998</v>
      </c>
      <c r="AB510" s="0" t="n">
        <f aca="false">IFERROR(VALUE(R510),0)</f>
        <v>0</v>
      </c>
      <c r="AC510" s="0" t="n">
        <f aca="false">IFERROR(VALUE(M510),"")</f>
        <v>25.11</v>
      </c>
      <c r="AD510" s="0" t="n">
        <f aca="false">IFERROR(VALUE(Q510),"")</f>
        <v>3.1</v>
      </c>
      <c r="AE510" s="0" t="n">
        <f aca="false">IFERROR(VALUE(S510),"")</f>
        <v>3.1</v>
      </c>
      <c r="AF510" s="0" t="str">
        <f aca="false">IF(V510="","",VLOOKUP(V510,Assumptions!$B$6:$C$9,2,FALSE()))</f>
        <v/>
      </c>
      <c r="AG510" s="0" t="n">
        <f aca="false">IF(W510="","",VLOOKUP(W510,Assumptions!$B$6:$C$9,2,FALSE()))</f>
        <v>2</v>
      </c>
      <c r="AH510" s="0" t="n">
        <f aca="false">IF(X510="","",VLOOKUP(X510,Assumptions!$B$6:$C$9,2,FALSE()))</f>
        <v>4</v>
      </c>
      <c r="AI510" s="0" t="n">
        <f aca="false">IF(Y510="","",VLOOKUP(Y510,Assumptions!$B$6:$C$9,2,FALSE()))</f>
        <v>3</v>
      </c>
      <c r="AJ510" s="0" t="n">
        <f aca="false">IF(Z510="","",VLOOKUP(Z510,Assumptions!$B$6:$C$9,2,FALSE()))</f>
        <v>3</v>
      </c>
      <c r="AK510" s="7" t="n">
        <f aca="false">IFERROR(ROUND(AVERAGE(AF510:AJ510),3),"")</f>
        <v>3</v>
      </c>
      <c r="AL510" s="7" t="str">
        <f aca="false">IF(OR(AF510="",AJ510=""),"",AJ510-AF510)</f>
        <v/>
      </c>
      <c r="AM510" s="7" t="n">
        <f aca="false">IF(COUNT(AF510:AJ510)&gt;=2,ROUND(_xlfn.STDEV.S(AF510:AJ510),3),"")</f>
        <v>0.816</v>
      </c>
      <c r="AN510" s="7" t="n">
        <f aca="false">ROUND((IF(AF510="",0,AF510)*Assumptions!$F$15)+(IF(AG510="",0,AG510)*Assumptions!$F$16)+(IF(AH510="",0,AH510)*Assumptions!$F$17)+(IF(AI510="",0,AI510)*Assumptions!$F$18)+(IF(AJ510="",0,AJ510)*Assumptions!$F$19),3)</f>
        <v>2.75</v>
      </c>
      <c r="AO510" s="0" t="str">
        <f aca="false">IF(AC510&lt;=20,"",IF(AC510&lt;=Assumptions!$F$6,"20-30",IF(AC510&lt;=Assumptions!$F$7,"30-40",IF(AC510&lt;=Assumptions!$F$8,"40-50",IF(AC510&lt;=Assumptions!$F$9,"50-60",IF(AC510&lt;=Assumptions!$F$10,"60+",""))))))</f>
        <v>20-30</v>
      </c>
      <c r="AP510" s="0" t="str">
        <f aca="false">IFERROR(VLOOKUP(O510,Assumptions!$B$14:$C$26,2,FALSE()),"Other")</f>
        <v>Manager</v>
      </c>
      <c r="AQ510" s="0" t="n">
        <f aca="false">IF(T510="",0,1)</f>
        <v>0</v>
      </c>
      <c r="AR510" s="0" t="n">
        <f aca="false">IF(U510="",0,1)</f>
        <v>0</v>
      </c>
      <c r="AS510" s="8" t="n">
        <f aca="false">IF(AK510="","",IF(MAX($AK$2:$AK$921)=MIN($AK$2:$AK$921),50,ROUND((AK510-MIN($AK$2:$AK$921))/(MAX($AK$2:$AK$921)-MIN($AK$2:$AK$921))*100,2)))</f>
        <v>57.14</v>
      </c>
      <c r="AT510" s="8" t="n">
        <f aca="false">IF(MAX($BC$2:$BC$921)=MIN($BC$2:$BC$921),50,ROUND((BC510-MIN($BC$2:$BC$921))/(MAX($BC$2:$BC$921)-MIN($BC$2:$BC$921))*100,2))</f>
        <v>50</v>
      </c>
      <c r="AU510" s="8" t="n">
        <f aca="false">IF(MAX($BE$2:$BE$921)=MIN($BE$2:$BE$921),50,ROUND((BE510-MIN($BE$2:$BE$921))/(MAX($BE$2:$BE$921)-MIN($BE$2:$BE$921))*100,2))</f>
        <v>52.89</v>
      </c>
      <c r="AV510" s="8" t="n">
        <f aca="false">IF(MAX($AD$2:$AD$921)=MIN($AD$2:$AD$921),50,ROUND((AD510-MIN($AD$2:$AD$921))/(MAX($AD$2:$AD$921)-MIN($AD$2:$AD$921))*100,2))</f>
        <v>8.13</v>
      </c>
      <c r="AW510" s="8" t="n">
        <f aca="false">IF(MAX($AN$2:$AN$921)=MIN($AN$2:$AN$921),50,ROUND((AN510-MIN($AN$2:$AN$921))/(MAX($AN$2:$AN$921)-MIN($AN$2:$AN$921))*100,2))</f>
        <v>68.75</v>
      </c>
      <c r="AX510" s="8" t="n">
        <f aca="false">AQ510*100</f>
        <v>0</v>
      </c>
      <c r="AY510" s="8" t="n">
        <f aca="false">AR510*100</f>
        <v>0</v>
      </c>
      <c r="AZ510" s="8" t="n">
        <f aca="false">IFERROR(ROUND(AS510*Assumptions!$I$6+AW510*Assumptions!$I$7+AT510*Assumptions!$I$8+AU510*Assumptions!$I$9+AV510*Assumptions!$I$10+AX510*Assumptions!$I$11+AY510*Assumptions!$I$12,2),"")</f>
        <v>47.14</v>
      </c>
      <c r="BA510" s="0" t="str">
        <f aca="false">IF(AZ510="","",IF(AZ510&lt;=Assumptions!$I$18,"Below Expectation",IF(AZ510&lt;=Assumptions!$I$19,"Developing",IF(AZ510&lt;=Assumptions!$I$20,"Meets Expectation",IF(AZ510&lt;=Assumptions!$I$21,"Exceeds","Star Performer")))))</f>
        <v>Developing</v>
      </c>
      <c r="BB510" s="0" t="n">
        <f aca="false">IF(AZ510="",0,IF(AZ510&gt;=Assumptions!$I$26,1,0))</f>
        <v>0</v>
      </c>
      <c r="BC510" s="9" t="n">
        <f aca="false">IF(AL510="",2,AL510+2)</f>
        <v>2</v>
      </c>
      <c r="BD510" s="10" t="n">
        <f aca="false">IF(AM510="",ROUND(AVERAGE($AM$2:$AM$921),3),AM510)</f>
        <v>0.816</v>
      </c>
      <c r="BE510" s="9" t="n">
        <f aca="false">1-BD510</f>
        <v>0.184</v>
      </c>
    </row>
    <row r="511" customFormat="false" ht="14.25" hidden="true" customHeight="false" outlineLevel="0" collapsed="false">
      <c r="A511" s="4" t="n">
        <v>57</v>
      </c>
      <c r="B511" s="5" t="n">
        <v>10017197</v>
      </c>
      <c r="C511" s="5" t="s">
        <v>85</v>
      </c>
      <c r="D511" s="5" t="s">
        <v>1999</v>
      </c>
      <c r="E511" s="5" t="s">
        <v>315</v>
      </c>
      <c r="F511" s="5" t="s">
        <v>705</v>
      </c>
      <c r="G511" s="5" t="s">
        <v>706</v>
      </c>
      <c r="H511" s="5" t="s">
        <v>707</v>
      </c>
      <c r="I511" s="5" t="s">
        <v>63</v>
      </c>
      <c r="J511" s="5" t="s">
        <v>76</v>
      </c>
      <c r="K511" s="5" t="s">
        <v>65</v>
      </c>
      <c r="L511" s="6" t="n">
        <v>38985</v>
      </c>
      <c r="M511" s="5" t="s">
        <v>1637</v>
      </c>
      <c r="N511" s="6" t="n">
        <v>28535</v>
      </c>
      <c r="O511" s="5" t="s">
        <v>332</v>
      </c>
      <c r="P511" s="5" t="s">
        <v>333</v>
      </c>
      <c r="Q511" s="5" t="s">
        <v>1019</v>
      </c>
      <c r="R511" s="5" t="s">
        <v>768</v>
      </c>
      <c r="S511" s="5" t="s">
        <v>346</v>
      </c>
      <c r="T511" s="6" t="n">
        <v>43739</v>
      </c>
      <c r="U511" s="6"/>
      <c r="V511" s="5" t="s">
        <v>631</v>
      </c>
      <c r="W511" s="5" t="s">
        <v>631</v>
      </c>
      <c r="X511" s="5" t="s">
        <v>631</v>
      </c>
      <c r="Y511" s="5" t="s">
        <v>631</v>
      </c>
      <c r="Z511" s="5" t="s">
        <v>631</v>
      </c>
      <c r="AA511" s="5" t="s">
        <v>2000</v>
      </c>
      <c r="AB511" s="0" t="n">
        <f aca="false">IFERROR(VALUE(R511),0)</f>
        <v>3.4</v>
      </c>
      <c r="AC511" s="0" t="n">
        <f aca="false">IFERROR(VALUE(M511),"")</f>
        <v>48.3</v>
      </c>
      <c r="AD511" s="0" t="n">
        <f aca="false">IFERROR(VALUE(Q511),"")</f>
        <v>19.8</v>
      </c>
      <c r="AE511" s="0" t="n">
        <f aca="false">IFERROR(VALUE(S511),"")</f>
        <v>23</v>
      </c>
      <c r="AF511" s="0" t="n">
        <f aca="false">IF(V511="","",VLOOKUP(V511,Assumptions!$B$6:$C$9,2,FALSE()))</f>
        <v>2</v>
      </c>
      <c r="AG511" s="0" t="n">
        <f aca="false">IF(W511="","",VLOOKUP(W511,Assumptions!$B$6:$C$9,2,FALSE()))</f>
        <v>2</v>
      </c>
      <c r="AH511" s="0" t="n">
        <f aca="false">IF(X511="","",VLOOKUP(X511,Assumptions!$B$6:$C$9,2,FALSE()))</f>
        <v>2</v>
      </c>
      <c r="AI511" s="0" t="n">
        <f aca="false">IF(Y511="","",VLOOKUP(Y511,Assumptions!$B$6:$C$9,2,FALSE()))</f>
        <v>2</v>
      </c>
      <c r="AJ511" s="0" t="n">
        <f aca="false">IF(Z511="","",VLOOKUP(Z511,Assumptions!$B$6:$C$9,2,FALSE()))</f>
        <v>2</v>
      </c>
      <c r="AK511" s="7" t="n">
        <f aca="false">IFERROR(ROUND(AVERAGE(AF511:AJ511),3),"")</f>
        <v>2</v>
      </c>
      <c r="AL511" s="7" t="n">
        <f aca="false">IF(OR(AF511="",AJ511=""),"",AJ511-AF511)</f>
        <v>0</v>
      </c>
      <c r="AM511" s="7" t="n">
        <f aca="false">IF(COUNT(AF511:AJ511)&gt;=2,ROUND(_xlfn.STDEV.S(AF511:AJ511),3),"")</f>
        <v>0</v>
      </c>
      <c r="AN511" s="7" t="n">
        <f aca="false">ROUND((IF(AF511="",0,AF511)*Assumptions!$F$15)+(IF(AG511="",0,AG511)*Assumptions!$F$16)+(IF(AH511="",0,AH511)*Assumptions!$F$17)+(IF(AI511="",0,AI511)*Assumptions!$F$18)+(IF(AJ511="",0,AJ511)*Assumptions!$F$19),3)</f>
        <v>2</v>
      </c>
      <c r="AO511" s="0" t="str">
        <f aca="false">IF(AC511&lt;=20,"",IF(AC511&lt;=Assumptions!$F$6,"20-30",IF(AC511&lt;=Assumptions!$F$7,"30-40",IF(AC511&lt;=Assumptions!$F$8,"40-50",IF(AC511&lt;=Assumptions!$F$9,"50-60",IF(AC511&lt;=Assumptions!$F$10,"60+",""))))))</f>
        <v>40-50</v>
      </c>
      <c r="AP511" s="0" t="str">
        <f aca="false">IFERROR(VLOOKUP(O511,Assumptions!$B$14:$C$26,2,FALSE()),"Other")</f>
        <v>Manager</v>
      </c>
      <c r="AQ511" s="0" t="n">
        <f aca="false">IF(T511="",0,1)</f>
        <v>1</v>
      </c>
      <c r="AR511" s="0" t="n">
        <f aca="false">IF(U511="",0,1)</f>
        <v>0</v>
      </c>
      <c r="AS511" s="8" t="n">
        <f aca="false">IF(AK511="","",IF(MAX($AK$2:$AK$921)=MIN($AK$2:$AK$921),50,ROUND((AK511-MIN($AK$2:$AK$921))/(MAX($AK$2:$AK$921)-MIN($AK$2:$AK$921))*100,2)))</f>
        <v>14.27</v>
      </c>
      <c r="AT511" s="8" t="n">
        <f aca="false">IF(MAX($BC$2:$BC$921)=MIN($BC$2:$BC$921),50,ROUND((BC511-MIN($BC$2:$BC$921))/(MAX($BC$2:$BC$921)-MIN($BC$2:$BC$921))*100,2))</f>
        <v>50</v>
      </c>
      <c r="AU511" s="8" t="n">
        <f aca="false">IF(MAX($BE$2:$BE$921)=MIN($BE$2:$BE$921),50,ROUND((BE511-MIN($BE$2:$BE$921))/(MAX($BE$2:$BE$921)-MIN($BE$2:$BE$921))*100,2))</f>
        <v>100</v>
      </c>
      <c r="AV511" s="8" t="n">
        <f aca="false">IF(MAX($AD$2:$AD$921)=MIN($AD$2:$AD$921),50,ROUND((AD511-MIN($AD$2:$AD$921))/(MAX($AD$2:$AD$921)-MIN($AD$2:$AD$921))*100,2))</f>
        <v>53.52</v>
      </c>
      <c r="AW511" s="8" t="n">
        <f aca="false">IF(MAX($AN$2:$AN$921)=MIN($AN$2:$AN$921),50,ROUND((AN511-MIN($AN$2:$AN$921))/(MAX($AN$2:$AN$921)-MIN($AN$2:$AN$921))*100,2))</f>
        <v>50</v>
      </c>
      <c r="AX511" s="8" t="n">
        <f aca="false">AQ511*100</f>
        <v>100</v>
      </c>
      <c r="AY511" s="8" t="n">
        <f aca="false">AR511*100</f>
        <v>0</v>
      </c>
      <c r="AZ511" s="8" t="n">
        <f aca="false">IFERROR(ROUND(AS511*Assumptions!$I$6+AW511*Assumptions!$I$7+AT511*Assumptions!$I$8+AU511*Assumptions!$I$9+AV511*Assumptions!$I$10+AX511*Assumptions!$I$11+AY511*Assumptions!$I$12,2),"")</f>
        <v>47.13</v>
      </c>
      <c r="BA511" s="0" t="str">
        <f aca="false">IF(AZ511="","",IF(AZ511&lt;=Assumptions!$I$18,"Below Expectation",IF(AZ511&lt;=Assumptions!$I$19,"Developing",IF(AZ511&lt;=Assumptions!$I$20,"Meets Expectation",IF(AZ511&lt;=Assumptions!$I$21,"Exceeds","Star Performer")))))</f>
        <v>Developing</v>
      </c>
      <c r="BB511" s="0" t="n">
        <f aca="false">IF(AZ511="",0,IF(AZ511&gt;=Assumptions!$I$26,1,0))</f>
        <v>0</v>
      </c>
      <c r="BC511" s="9" t="n">
        <f aca="false">IF(AL511="",2,AL511+2)</f>
        <v>2</v>
      </c>
      <c r="BD511" s="10" t="n">
        <f aca="false">IF(AM511="",ROUND(AVERAGE($AM$2:$AM$921),3),AM511)</f>
        <v>0</v>
      </c>
      <c r="BE511" s="9" t="n">
        <f aca="false">1-BD511</f>
        <v>1</v>
      </c>
    </row>
    <row r="512" customFormat="false" ht="14.25" hidden="true" customHeight="false" outlineLevel="0" collapsed="false">
      <c r="A512" s="4" t="n">
        <v>424</v>
      </c>
      <c r="B512" s="5" t="n">
        <v>50010443</v>
      </c>
      <c r="C512" s="5" t="s">
        <v>85</v>
      </c>
      <c r="D512" s="5" t="s">
        <v>2001</v>
      </c>
      <c r="E512" s="5" t="s">
        <v>137</v>
      </c>
      <c r="F512" s="5" t="s">
        <v>1341</v>
      </c>
      <c r="G512" s="5" t="s">
        <v>1342</v>
      </c>
      <c r="H512" s="5" t="s">
        <v>1343</v>
      </c>
      <c r="I512" s="5" t="s">
        <v>63</v>
      </c>
      <c r="J512" s="5" t="s">
        <v>76</v>
      </c>
      <c r="K512" s="5" t="s">
        <v>309</v>
      </c>
      <c r="L512" s="6" t="n">
        <v>41025</v>
      </c>
      <c r="M512" s="5" t="s">
        <v>1455</v>
      </c>
      <c r="N512" s="6" t="n">
        <v>31915</v>
      </c>
      <c r="O512" s="5" t="s">
        <v>332</v>
      </c>
      <c r="P512" s="5" t="s">
        <v>333</v>
      </c>
      <c r="Q512" s="5" t="s">
        <v>270</v>
      </c>
      <c r="R512" s="5" t="s">
        <v>115</v>
      </c>
      <c r="S512" s="5" t="s">
        <v>270</v>
      </c>
      <c r="T512" s="6"/>
      <c r="U512" s="6" t="n">
        <v>44440</v>
      </c>
      <c r="V512" s="5" t="s">
        <v>141</v>
      </c>
      <c r="W512" s="5" t="s">
        <v>141</v>
      </c>
      <c r="X512" s="5" t="s">
        <v>141</v>
      </c>
      <c r="Y512" s="5" t="s">
        <v>631</v>
      </c>
      <c r="Z512" s="5" t="s">
        <v>631</v>
      </c>
      <c r="AA512" s="5" t="s">
        <v>2002</v>
      </c>
      <c r="AB512" s="0" t="n">
        <f aca="false">IFERROR(VALUE(R512),0)</f>
        <v>0</v>
      </c>
      <c r="AC512" s="0" t="n">
        <f aca="false">IFERROR(VALUE(M512),"")</f>
        <v>39</v>
      </c>
      <c r="AD512" s="0" t="n">
        <f aca="false">IFERROR(VALUE(Q512),"")</f>
        <v>14.1</v>
      </c>
      <c r="AE512" s="0" t="n">
        <f aca="false">IFERROR(VALUE(S512),"")</f>
        <v>14.1</v>
      </c>
      <c r="AF512" s="0" t="n">
        <f aca="false">IF(V512="","",VLOOKUP(V512,Assumptions!$B$6:$C$9,2,FALSE()))</f>
        <v>3</v>
      </c>
      <c r="AG512" s="0" t="n">
        <f aca="false">IF(W512="","",VLOOKUP(W512,Assumptions!$B$6:$C$9,2,FALSE()))</f>
        <v>3</v>
      </c>
      <c r="AH512" s="0" t="n">
        <f aca="false">IF(X512="","",VLOOKUP(X512,Assumptions!$B$6:$C$9,2,FALSE()))</f>
        <v>3</v>
      </c>
      <c r="AI512" s="0" t="n">
        <f aca="false">IF(Y512="","",VLOOKUP(Y512,Assumptions!$B$6:$C$9,2,FALSE()))</f>
        <v>2</v>
      </c>
      <c r="AJ512" s="0" t="n">
        <f aca="false">IF(Z512="","",VLOOKUP(Z512,Assumptions!$B$6:$C$9,2,FALSE()))</f>
        <v>2</v>
      </c>
      <c r="AK512" s="7" t="n">
        <f aca="false">IFERROR(ROUND(AVERAGE(AF512:AJ512),3),"")</f>
        <v>2.6</v>
      </c>
      <c r="AL512" s="7" t="n">
        <f aca="false">IF(OR(AF512="",AJ512=""),"",AJ512-AF512)</f>
        <v>-1</v>
      </c>
      <c r="AM512" s="7" t="n">
        <f aca="false">IF(COUNT(AF512:AJ512)&gt;=2,ROUND(_xlfn.STDEV.S(AF512:AJ512),3),"")</f>
        <v>0.548</v>
      </c>
      <c r="AN512" s="7" t="n">
        <f aca="false">ROUND((IF(AF512="",0,AF512)*Assumptions!$F$15)+(IF(AG512="",0,AG512)*Assumptions!$F$16)+(IF(AH512="",0,AH512)*Assumptions!$F$17)+(IF(AI512="",0,AI512)*Assumptions!$F$18)+(IF(AJ512="",0,AJ512)*Assumptions!$F$19),3)</f>
        <v>2.45</v>
      </c>
      <c r="AO512" s="0" t="str">
        <f aca="false">IF(AC512&lt;=20,"",IF(AC512&lt;=Assumptions!$F$6,"20-30",IF(AC512&lt;=Assumptions!$F$7,"30-40",IF(AC512&lt;=Assumptions!$F$8,"40-50",IF(AC512&lt;=Assumptions!$F$9,"50-60",IF(AC512&lt;=Assumptions!$F$10,"60+",""))))))</f>
        <v>30-40</v>
      </c>
      <c r="AP512" s="0" t="str">
        <f aca="false">IFERROR(VLOOKUP(O512,Assumptions!$B$14:$C$26,2,FALSE()),"Other")</f>
        <v>Manager</v>
      </c>
      <c r="AQ512" s="0" t="n">
        <f aca="false">IF(T512="",0,1)</f>
        <v>0</v>
      </c>
      <c r="AR512" s="0" t="n">
        <f aca="false">IF(U512="",0,1)</f>
        <v>1</v>
      </c>
      <c r="AS512" s="8" t="n">
        <f aca="false">IF(AK512="","",IF(MAX($AK$2:$AK$921)=MIN($AK$2:$AK$921),50,ROUND((AK512-MIN($AK$2:$AK$921))/(MAX($AK$2:$AK$921)-MIN($AK$2:$AK$921))*100,2)))</f>
        <v>39.99</v>
      </c>
      <c r="AT512" s="8" t="n">
        <f aca="false">IF(MAX($BC$2:$BC$921)=MIN($BC$2:$BC$921),50,ROUND((BC512-MIN($BC$2:$BC$921))/(MAX($BC$2:$BC$921)-MIN($BC$2:$BC$921))*100,2))</f>
        <v>25</v>
      </c>
      <c r="AU512" s="8" t="n">
        <f aca="false">IF(MAX($BE$2:$BE$921)=MIN($BE$2:$BE$921),50,ROUND((BE512-MIN($BE$2:$BE$921))/(MAX($BE$2:$BE$921)-MIN($BE$2:$BE$921))*100,2))</f>
        <v>68.36</v>
      </c>
      <c r="AV512" s="8" t="n">
        <f aca="false">IF(MAX($AD$2:$AD$921)=MIN($AD$2:$AD$921),50,ROUND((AD512-MIN($AD$2:$AD$921))/(MAX($AD$2:$AD$921)-MIN($AD$2:$AD$921))*100,2))</f>
        <v>38.03</v>
      </c>
      <c r="AW512" s="8" t="n">
        <f aca="false">IF(MAX($AN$2:$AN$921)=MIN($AN$2:$AN$921),50,ROUND((AN512-MIN($AN$2:$AN$921))/(MAX($AN$2:$AN$921)-MIN($AN$2:$AN$921))*100,2))</f>
        <v>61.25</v>
      </c>
      <c r="AX512" s="8" t="n">
        <f aca="false">AQ512*100</f>
        <v>0</v>
      </c>
      <c r="AY512" s="8" t="n">
        <f aca="false">AR512*100</f>
        <v>100</v>
      </c>
      <c r="AZ512" s="8" t="n">
        <f aca="false">IFERROR(ROUND(AS512*Assumptions!$I$6+AW512*Assumptions!$I$7+AT512*Assumptions!$I$8+AU512*Assumptions!$I$9+AV512*Assumptions!$I$10+AX512*Assumptions!$I$11+AY512*Assumptions!$I$12,2),"")</f>
        <v>47.05</v>
      </c>
      <c r="BA512" s="0" t="str">
        <f aca="false">IF(AZ512="","",IF(AZ512&lt;=Assumptions!$I$18,"Below Expectation",IF(AZ512&lt;=Assumptions!$I$19,"Developing",IF(AZ512&lt;=Assumptions!$I$20,"Meets Expectation",IF(AZ512&lt;=Assumptions!$I$21,"Exceeds","Star Performer")))))</f>
        <v>Developing</v>
      </c>
      <c r="BB512" s="0" t="n">
        <f aca="false">IF(AZ512="",0,IF(AZ512&gt;=Assumptions!$I$26,1,0))</f>
        <v>0</v>
      </c>
      <c r="BC512" s="9" t="n">
        <f aca="false">IF(AL512="",2,AL512+2)</f>
        <v>1</v>
      </c>
      <c r="BD512" s="10" t="n">
        <f aca="false">IF(AM512="",ROUND(AVERAGE($AM$2:$AM$921),3),AM512)</f>
        <v>0.548</v>
      </c>
      <c r="BE512" s="9" t="n">
        <f aca="false">1-BD512</f>
        <v>0.452</v>
      </c>
    </row>
    <row r="513" customFormat="false" ht="14.25" hidden="true" customHeight="false" outlineLevel="0" collapsed="false">
      <c r="A513" s="4" t="n">
        <v>68</v>
      </c>
      <c r="B513" s="5" t="n">
        <v>10020833</v>
      </c>
      <c r="C513" s="5" t="s">
        <v>57</v>
      </c>
      <c r="D513" s="5" t="s">
        <v>2003</v>
      </c>
      <c r="E513" s="5" t="s">
        <v>252</v>
      </c>
      <c r="F513" s="5" t="s">
        <v>387</v>
      </c>
      <c r="G513" s="5" t="s">
        <v>388</v>
      </c>
      <c r="H513" s="5" t="s">
        <v>387</v>
      </c>
      <c r="I513" s="5" t="s">
        <v>63</v>
      </c>
      <c r="J513" s="5" t="s">
        <v>100</v>
      </c>
      <c r="K513" s="5" t="s">
        <v>65</v>
      </c>
      <c r="L513" s="6" t="n">
        <v>39209</v>
      </c>
      <c r="M513" s="5" t="s">
        <v>2004</v>
      </c>
      <c r="N513" s="6" t="n">
        <v>30342</v>
      </c>
      <c r="O513" s="5" t="s">
        <v>332</v>
      </c>
      <c r="P513" s="5" t="s">
        <v>333</v>
      </c>
      <c r="Q513" s="5" t="s">
        <v>171</v>
      </c>
      <c r="R513" s="5" t="s">
        <v>1046</v>
      </c>
      <c r="S513" s="5" t="s">
        <v>1019</v>
      </c>
      <c r="T513" s="6" t="n">
        <v>41365</v>
      </c>
      <c r="U513" s="6"/>
      <c r="V513" s="5" t="s">
        <v>631</v>
      </c>
      <c r="W513" s="5" t="s">
        <v>631</v>
      </c>
      <c r="X513" s="5" t="s">
        <v>631</v>
      </c>
      <c r="Y513" s="5" t="s">
        <v>631</v>
      </c>
      <c r="Z513" s="5" t="s">
        <v>631</v>
      </c>
      <c r="AA513" s="5" t="s">
        <v>2005</v>
      </c>
      <c r="AB513" s="0" t="n">
        <f aca="false">IFERROR(VALUE(R513),0)</f>
        <v>0.7</v>
      </c>
      <c r="AC513" s="0" t="n">
        <f aca="false">IFERROR(VALUE(M513),"")</f>
        <v>43.4</v>
      </c>
      <c r="AD513" s="0" t="n">
        <f aca="false">IFERROR(VALUE(Q513),"")</f>
        <v>19.1</v>
      </c>
      <c r="AE513" s="0" t="n">
        <f aca="false">IFERROR(VALUE(S513),"")</f>
        <v>19.8</v>
      </c>
      <c r="AF513" s="0" t="n">
        <f aca="false">IF(V513="","",VLOOKUP(V513,Assumptions!$B$6:$C$9,2,FALSE()))</f>
        <v>2</v>
      </c>
      <c r="AG513" s="0" t="n">
        <f aca="false">IF(W513="","",VLOOKUP(W513,Assumptions!$B$6:$C$9,2,FALSE()))</f>
        <v>2</v>
      </c>
      <c r="AH513" s="0" t="n">
        <f aca="false">IF(X513="","",VLOOKUP(X513,Assumptions!$B$6:$C$9,2,FALSE()))</f>
        <v>2</v>
      </c>
      <c r="AI513" s="0" t="n">
        <f aca="false">IF(Y513="","",VLOOKUP(Y513,Assumptions!$B$6:$C$9,2,FALSE()))</f>
        <v>2</v>
      </c>
      <c r="AJ513" s="0" t="n">
        <f aca="false">IF(Z513="","",VLOOKUP(Z513,Assumptions!$B$6:$C$9,2,FALSE()))</f>
        <v>2</v>
      </c>
      <c r="AK513" s="7" t="n">
        <f aca="false">IFERROR(ROUND(AVERAGE(AF513:AJ513),3),"")</f>
        <v>2</v>
      </c>
      <c r="AL513" s="7" t="n">
        <f aca="false">IF(OR(AF513="",AJ513=""),"",AJ513-AF513)</f>
        <v>0</v>
      </c>
      <c r="AM513" s="7" t="n">
        <f aca="false">IF(COUNT(AF513:AJ513)&gt;=2,ROUND(_xlfn.STDEV.S(AF513:AJ513),3),"")</f>
        <v>0</v>
      </c>
      <c r="AN513" s="7" t="n">
        <f aca="false">ROUND((IF(AF513="",0,AF513)*Assumptions!$F$15)+(IF(AG513="",0,AG513)*Assumptions!$F$16)+(IF(AH513="",0,AH513)*Assumptions!$F$17)+(IF(AI513="",0,AI513)*Assumptions!$F$18)+(IF(AJ513="",0,AJ513)*Assumptions!$F$19),3)</f>
        <v>2</v>
      </c>
      <c r="AO513" s="0" t="str">
        <f aca="false">IF(AC513&lt;=20,"",IF(AC513&lt;=Assumptions!$F$6,"20-30",IF(AC513&lt;=Assumptions!$F$7,"30-40",IF(AC513&lt;=Assumptions!$F$8,"40-50",IF(AC513&lt;=Assumptions!$F$9,"50-60",IF(AC513&lt;=Assumptions!$F$10,"60+",""))))))</f>
        <v>40-50</v>
      </c>
      <c r="AP513" s="0" t="str">
        <f aca="false">IFERROR(VLOOKUP(O513,Assumptions!$B$14:$C$26,2,FALSE()),"Other")</f>
        <v>Manager</v>
      </c>
      <c r="AQ513" s="0" t="n">
        <f aca="false">IF(T513="",0,1)</f>
        <v>1</v>
      </c>
      <c r="AR513" s="0" t="n">
        <f aca="false">IF(U513="",0,1)</f>
        <v>0</v>
      </c>
      <c r="AS513" s="8" t="n">
        <f aca="false">IF(AK513="","",IF(MAX($AK$2:$AK$921)=MIN($AK$2:$AK$921),50,ROUND((AK513-MIN($AK$2:$AK$921))/(MAX($AK$2:$AK$921)-MIN($AK$2:$AK$921))*100,2)))</f>
        <v>14.27</v>
      </c>
      <c r="AT513" s="8" t="n">
        <f aca="false">IF(MAX($BC$2:$BC$921)=MIN($BC$2:$BC$921),50,ROUND((BC513-MIN($BC$2:$BC$921))/(MAX($BC$2:$BC$921)-MIN($BC$2:$BC$921))*100,2))</f>
        <v>50</v>
      </c>
      <c r="AU513" s="8" t="n">
        <f aca="false">IF(MAX($BE$2:$BE$921)=MIN($BE$2:$BE$921),50,ROUND((BE513-MIN($BE$2:$BE$921))/(MAX($BE$2:$BE$921)-MIN($BE$2:$BE$921))*100,2))</f>
        <v>100</v>
      </c>
      <c r="AV513" s="8" t="n">
        <f aca="false">IF(MAX($AD$2:$AD$921)=MIN($AD$2:$AD$921),50,ROUND((AD513-MIN($AD$2:$AD$921))/(MAX($AD$2:$AD$921)-MIN($AD$2:$AD$921))*100,2))</f>
        <v>51.62</v>
      </c>
      <c r="AW513" s="8" t="n">
        <f aca="false">IF(MAX($AN$2:$AN$921)=MIN($AN$2:$AN$921),50,ROUND((AN513-MIN($AN$2:$AN$921))/(MAX($AN$2:$AN$921)-MIN($AN$2:$AN$921))*100,2))</f>
        <v>50</v>
      </c>
      <c r="AX513" s="8" t="n">
        <f aca="false">AQ513*100</f>
        <v>100</v>
      </c>
      <c r="AY513" s="8" t="n">
        <f aca="false">AR513*100</f>
        <v>0</v>
      </c>
      <c r="AZ513" s="8" t="n">
        <f aca="false">IFERROR(ROUND(AS513*Assumptions!$I$6+AW513*Assumptions!$I$7+AT513*Assumptions!$I$8+AU513*Assumptions!$I$9+AV513*Assumptions!$I$10+AX513*Assumptions!$I$11+AY513*Assumptions!$I$12,2),"")</f>
        <v>46.94</v>
      </c>
      <c r="BA513" s="0" t="str">
        <f aca="false">IF(AZ513="","",IF(AZ513&lt;=Assumptions!$I$18,"Below Expectation",IF(AZ513&lt;=Assumptions!$I$19,"Developing",IF(AZ513&lt;=Assumptions!$I$20,"Meets Expectation",IF(AZ513&lt;=Assumptions!$I$21,"Exceeds","Star Performer")))))</f>
        <v>Developing</v>
      </c>
      <c r="BB513" s="0" t="n">
        <f aca="false">IF(AZ513="",0,IF(AZ513&gt;=Assumptions!$I$26,1,0))</f>
        <v>0</v>
      </c>
      <c r="BC513" s="9" t="n">
        <f aca="false">IF(AL513="",2,AL513+2)</f>
        <v>2</v>
      </c>
      <c r="BD513" s="10" t="n">
        <f aca="false">IF(AM513="",ROUND(AVERAGE($AM$2:$AM$921),3),AM513)</f>
        <v>0</v>
      </c>
      <c r="BE513" s="9" t="n">
        <f aca="false">1-BD513</f>
        <v>1</v>
      </c>
    </row>
    <row r="514" customFormat="false" ht="14.25" hidden="true" customHeight="false" outlineLevel="0" collapsed="false">
      <c r="A514" s="4" t="n">
        <v>360</v>
      </c>
      <c r="B514" s="5" t="n">
        <v>37101500</v>
      </c>
      <c r="C514" s="5" t="s">
        <v>85</v>
      </c>
      <c r="D514" s="5" t="s">
        <v>2006</v>
      </c>
      <c r="E514" s="5" t="s">
        <v>315</v>
      </c>
      <c r="F514" s="5" t="s">
        <v>705</v>
      </c>
      <c r="G514" s="5" t="s">
        <v>706</v>
      </c>
      <c r="H514" s="5" t="s">
        <v>707</v>
      </c>
      <c r="I514" s="5" t="s">
        <v>63</v>
      </c>
      <c r="J514" s="5" t="s">
        <v>76</v>
      </c>
      <c r="K514" s="5" t="s">
        <v>65</v>
      </c>
      <c r="L514" s="6" t="n">
        <v>39188</v>
      </c>
      <c r="M514" s="5" t="s">
        <v>738</v>
      </c>
      <c r="N514" s="6" t="n">
        <v>27181</v>
      </c>
      <c r="O514" s="5" t="s">
        <v>332</v>
      </c>
      <c r="P514" s="5" t="s">
        <v>333</v>
      </c>
      <c r="Q514" s="5" t="s">
        <v>171</v>
      </c>
      <c r="R514" s="5" t="s">
        <v>426</v>
      </c>
      <c r="S514" s="5" t="s">
        <v>1726</v>
      </c>
      <c r="T514" s="6" t="n">
        <v>40634</v>
      </c>
      <c r="U514" s="6"/>
      <c r="V514" s="5" t="s">
        <v>631</v>
      </c>
      <c r="W514" s="5" t="s">
        <v>631</v>
      </c>
      <c r="X514" s="5" t="s">
        <v>631</v>
      </c>
      <c r="Y514" s="5" t="s">
        <v>631</v>
      </c>
      <c r="Z514" s="5" t="s">
        <v>631</v>
      </c>
      <c r="AA514" s="5" t="s">
        <v>2007</v>
      </c>
      <c r="AB514" s="0" t="n">
        <f aca="false">IFERROR(VALUE(R514),0)</f>
        <v>6.9</v>
      </c>
      <c r="AC514" s="0" t="n">
        <f aca="false">IFERROR(VALUE(M514),"")</f>
        <v>52</v>
      </c>
      <c r="AD514" s="0" t="n">
        <f aca="false">IFERROR(VALUE(Q514),"")</f>
        <v>19.1</v>
      </c>
      <c r="AE514" s="0" t="n">
        <f aca="false">IFERROR(VALUE(S514),"")</f>
        <v>25.1</v>
      </c>
      <c r="AF514" s="0" t="n">
        <f aca="false">IF(V514="","",VLOOKUP(V514,Assumptions!$B$6:$C$9,2,FALSE()))</f>
        <v>2</v>
      </c>
      <c r="AG514" s="0" t="n">
        <f aca="false">IF(W514="","",VLOOKUP(W514,Assumptions!$B$6:$C$9,2,FALSE()))</f>
        <v>2</v>
      </c>
      <c r="AH514" s="0" t="n">
        <f aca="false">IF(X514="","",VLOOKUP(X514,Assumptions!$B$6:$C$9,2,FALSE()))</f>
        <v>2</v>
      </c>
      <c r="AI514" s="0" t="n">
        <f aca="false">IF(Y514="","",VLOOKUP(Y514,Assumptions!$B$6:$C$9,2,FALSE()))</f>
        <v>2</v>
      </c>
      <c r="AJ514" s="0" t="n">
        <f aca="false">IF(Z514="","",VLOOKUP(Z514,Assumptions!$B$6:$C$9,2,FALSE()))</f>
        <v>2</v>
      </c>
      <c r="AK514" s="7" t="n">
        <f aca="false">IFERROR(ROUND(AVERAGE(AF514:AJ514),3),"")</f>
        <v>2</v>
      </c>
      <c r="AL514" s="7" t="n">
        <f aca="false">IF(OR(AF514="",AJ514=""),"",AJ514-AF514)</f>
        <v>0</v>
      </c>
      <c r="AM514" s="7" t="n">
        <f aca="false">IF(COUNT(AF514:AJ514)&gt;=2,ROUND(_xlfn.STDEV.S(AF514:AJ514),3),"")</f>
        <v>0</v>
      </c>
      <c r="AN514" s="7" t="n">
        <f aca="false">ROUND((IF(AF514="",0,AF514)*Assumptions!$F$15)+(IF(AG514="",0,AG514)*Assumptions!$F$16)+(IF(AH514="",0,AH514)*Assumptions!$F$17)+(IF(AI514="",0,AI514)*Assumptions!$F$18)+(IF(AJ514="",0,AJ514)*Assumptions!$F$19),3)</f>
        <v>2</v>
      </c>
      <c r="AO514" s="0" t="str">
        <f aca="false">IF(AC514&lt;=20,"",IF(AC514&lt;=Assumptions!$F$6,"20-30",IF(AC514&lt;=Assumptions!$F$7,"30-40",IF(AC514&lt;=Assumptions!$F$8,"40-50",IF(AC514&lt;=Assumptions!$F$9,"50-60",IF(AC514&lt;=Assumptions!$F$10,"60+",""))))))</f>
        <v>50-60</v>
      </c>
      <c r="AP514" s="0" t="str">
        <f aca="false">IFERROR(VLOOKUP(O514,Assumptions!$B$14:$C$26,2,FALSE()),"Other")</f>
        <v>Manager</v>
      </c>
      <c r="AQ514" s="0" t="n">
        <f aca="false">IF(T514="",0,1)</f>
        <v>1</v>
      </c>
      <c r="AR514" s="0" t="n">
        <f aca="false">IF(U514="",0,1)</f>
        <v>0</v>
      </c>
      <c r="AS514" s="8" t="n">
        <f aca="false">IF(AK514="","",IF(MAX($AK$2:$AK$921)=MIN($AK$2:$AK$921),50,ROUND((AK514-MIN($AK$2:$AK$921))/(MAX($AK$2:$AK$921)-MIN($AK$2:$AK$921))*100,2)))</f>
        <v>14.27</v>
      </c>
      <c r="AT514" s="8" t="n">
        <f aca="false">IF(MAX($BC$2:$BC$921)=MIN($BC$2:$BC$921),50,ROUND((BC514-MIN($BC$2:$BC$921))/(MAX($BC$2:$BC$921)-MIN($BC$2:$BC$921))*100,2))</f>
        <v>50</v>
      </c>
      <c r="AU514" s="8" t="n">
        <f aca="false">IF(MAX($BE$2:$BE$921)=MIN($BE$2:$BE$921),50,ROUND((BE514-MIN($BE$2:$BE$921))/(MAX($BE$2:$BE$921)-MIN($BE$2:$BE$921))*100,2))</f>
        <v>100</v>
      </c>
      <c r="AV514" s="8" t="n">
        <f aca="false">IF(MAX($AD$2:$AD$921)=MIN($AD$2:$AD$921),50,ROUND((AD514-MIN($AD$2:$AD$921))/(MAX($AD$2:$AD$921)-MIN($AD$2:$AD$921))*100,2))</f>
        <v>51.62</v>
      </c>
      <c r="AW514" s="8" t="n">
        <f aca="false">IF(MAX($AN$2:$AN$921)=MIN($AN$2:$AN$921),50,ROUND((AN514-MIN($AN$2:$AN$921))/(MAX($AN$2:$AN$921)-MIN($AN$2:$AN$921))*100,2))</f>
        <v>50</v>
      </c>
      <c r="AX514" s="8" t="n">
        <f aca="false">AQ514*100</f>
        <v>100</v>
      </c>
      <c r="AY514" s="8" t="n">
        <f aca="false">AR514*100</f>
        <v>0</v>
      </c>
      <c r="AZ514" s="8" t="n">
        <f aca="false">IFERROR(ROUND(AS514*Assumptions!$I$6+AW514*Assumptions!$I$7+AT514*Assumptions!$I$8+AU514*Assumptions!$I$9+AV514*Assumptions!$I$10+AX514*Assumptions!$I$11+AY514*Assumptions!$I$12,2),"")</f>
        <v>46.94</v>
      </c>
      <c r="BA514" s="0" t="str">
        <f aca="false">IF(AZ514="","",IF(AZ514&lt;=Assumptions!$I$18,"Below Expectation",IF(AZ514&lt;=Assumptions!$I$19,"Developing",IF(AZ514&lt;=Assumptions!$I$20,"Meets Expectation",IF(AZ514&lt;=Assumptions!$I$21,"Exceeds","Star Performer")))))</f>
        <v>Developing</v>
      </c>
      <c r="BB514" s="0" t="n">
        <f aca="false">IF(AZ514="",0,IF(AZ514&gt;=Assumptions!$I$26,1,0))</f>
        <v>0</v>
      </c>
      <c r="BC514" s="9" t="n">
        <f aca="false">IF(AL514="",2,AL514+2)</f>
        <v>2</v>
      </c>
      <c r="BD514" s="10" t="n">
        <f aca="false">IF(AM514="",ROUND(AVERAGE($AM$2:$AM$921),3),AM514)</f>
        <v>0</v>
      </c>
      <c r="BE514" s="9" t="n">
        <f aca="false">1-BD514</f>
        <v>1</v>
      </c>
    </row>
    <row r="515" customFormat="false" ht="14.25" hidden="true" customHeight="false" outlineLevel="0" collapsed="false">
      <c r="A515" s="4" t="n">
        <v>80</v>
      </c>
      <c r="B515" s="5" t="n">
        <v>10024858</v>
      </c>
      <c r="C515" s="5" t="s">
        <v>149</v>
      </c>
      <c r="D515" s="5" t="s">
        <v>2008</v>
      </c>
      <c r="E515" s="5" t="s">
        <v>718</v>
      </c>
      <c r="F515" s="5" t="s">
        <v>422</v>
      </c>
      <c r="G515" s="5" t="s">
        <v>423</v>
      </c>
      <c r="H515" s="5" t="s">
        <v>424</v>
      </c>
      <c r="I515" s="5" t="s">
        <v>63</v>
      </c>
      <c r="J515" s="5" t="s">
        <v>100</v>
      </c>
      <c r="K515" s="5" t="s">
        <v>65</v>
      </c>
      <c r="L515" s="6" t="n">
        <v>39366</v>
      </c>
      <c r="M515" s="5" t="s">
        <v>1452</v>
      </c>
      <c r="N515" s="6" t="n">
        <v>31713</v>
      </c>
      <c r="O515" s="5" t="s">
        <v>332</v>
      </c>
      <c r="P515" s="5" t="s">
        <v>333</v>
      </c>
      <c r="Q515" s="5" t="s">
        <v>411</v>
      </c>
      <c r="R515" s="5" t="s">
        <v>115</v>
      </c>
      <c r="S515" s="5" t="s">
        <v>411</v>
      </c>
      <c r="T515" s="6" t="n">
        <v>43862</v>
      </c>
      <c r="U515" s="6"/>
      <c r="V515" s="5" t="s">
        <v>631</v>
      </c>
      <c r="W515" s="5" t="s">
        <v>631</v>
      </c>
      <c r="X515" s="5" t="s">
        <v>631</v>
      </c>
      <c r="Y515" s="5" t="s">
        <v>631</v>
      </c>
      <c r="Z515" s="5" t="s">
        <v>631</v>
      </c>
      <c r="AA515" s="5" t="s">
        <v>1253</v>
      </c>
      <c r="AB515" s="0" t="n">
        <f aca="false">IFERROR(VALUE(R515),0)</f>
        <v>0</v>
      </c>
      <c r="AC515" s="0" t="n">
        <f aca="false">IFERROR(VALUE(M515),"")</f>
        <v>39.7</v>
      </c>
      <c r="AD515" s="0" t="n">
        <f aca="false">IFERROR(VALUE(Q515),"")</f>
        <v>18.7</v>
      </c>
      <c r="AE515" s="0" t="n">
        <f aca="false">IFERROR(VALUE(S515),"")</f>
        <v>18.7</v>
      </c>
      <c r="AF515" s="0" t="n">
        <f aca="false">IF(V515="","",VLOOKUP(V515,Assumptions!$B$6:$C$9,2,FALSE()))</f>
        <v>2</v>
      </c>
      <c r="AG515" s="0" t="n">
        <f aca="false">IF(W515="","",VLOOKUP(W515,Assumptions!$B$6:$C$9,2,FALSE()))</f>
        <v>2</v>
      </c>
      <c r="AH515" s="0" t="n">
        <f aca="false">IF(X515="","",VLOOKUP(X515,Assumptions!$B$6:$C$9,2,FALSE()))</f>
        <v>2</v>
      </c>
      <c r="AI515" s="0" t="n">
        <f aca="false">IF(Y515="","",VLOOKUP(Y515,Assumptions!$B$6:$C$9,2,FALSE()))</f>
        <v>2</v>
      </c>
      <c r="AJ515" s="0" t="n">
        <f aca="false">IF(Z515="","",VLOOKUP(Z515,Assumptions!$B$6:$C$9,2,FALSE()))</f>
        <v>2</v>
      </c>
      <c r="AK515" s="7" t="n">
        <f aca="false">IFERROR(ROUND(AVERAGE(AF515:AJ515),3),"")</f>
        <v>2</v>
      </c>
      <c r="AL515" s="7" t="n">
        <f aca="false">IF(OR(AF515="",AJ515=""),"",AJ515-AF515)</f>
        <v>0</v>
      </c>
      <c r="AM515" s="7" t="n">
        <f aca="false">IF(COUNT(AF515:AJ515)&gt;=2,ROUND(_xlfn.STDEV.S(AF515:AJ515),3),"")</f>
        <v>0</v>
      </c>
      <c r="AN515" s="7" t="n">
        <f aca="false">ROUND((IF(AF515="",0,AF515)*Assumptions!$F$15)+(IF(AG515="",0,AG515)*Assumptions!$F$16)+(IF(AH515="",0,AH515)*Assumptions!$F$17)+(IF(AI515="",0,AI515)*Assumptions!$F$18)+(IF(AJ515="",0,AJ515)*Assumptions!$F$19),3)</f>
        <v>2</v>
      </c>
      <c r="AO515" s="0" t="str">
        <f aca="false">IF(AC515&lt;=20,"",IF(AC515&lt;=Assumptions!$F$6,"20-30",IF(AC515&lt;=Assumptions!$F$7,"30-40",IF(AC515&lt;=Assumptions!$F$8,"40-50",IF(AC515&lt;=Assumptions!$F$9,"50-60",IF(AC515&lt;=Assumptions!$F$10,"60+",""))))))</f>
        <v>30-40</v>
      </c>
      <c r="AP515" s="0" t="str">
        <f aca="false">IFERROR(VLOOKUP(O515,Assumptions!$B$14:$C$26,2,FALSE()),"Other")</f>
        <v>Manager</v>
      </c>
      <c r="AQ515" s="0" t="n">
        <f aca="false">IF(T515="",0,1)</f>
        <v>1</v>
      </c>
      <c r="AR515" s="0" t="n">
        <f aca="false">IF(U515="",0,1)</f>
        <v>0</v>
      </c>
      <c r="AS515" s="8" t="n">
        <f aca="false">IF(AK515="","",IF(MAX($AK$2:$AK$921)=MIN($AK$2:$AK$921),50,ROUND((AK515-MIN($AK$2:$AK$921))/(MAX($AK$2:$AK$921)-MIN($AK$2:$AK$921))*100,2)))</f>
        <v>14.27</v>
      </c>
      <c r="AT515" s="8" t="n">
        <f aca="false">IF(MAX($BC$2:$BC$921)=MIN($BC$2:$BC$921),50,ROUND((BC515-MIN($BC$2:$BC$921))/(MAX($BC$2:$BC$921)-MIN($BC$2:$BC$921))*100,2))</f>
        <v>50</v>
      </c>
      <c r="AU515" s="8" t="n">
        <f aca="false">IF(MAX($BE$2:$BE$921)=MIN($BE$2:$BE$921),50,ROUND((BE515-MIN($BE$2:$BE$921))/(MAX($BE$2:$BE$921)-MIN($BE$2:$BE$921))*100,2))</f>
        <v>100</v>
      </c>
      <c r="AV515" s="8" t="n">
        <f aca="false">IF(MAX($AD$2:$AD$921)=MIN($AD$2:$AD$921),50,ROUND((AD515-MIN($AD$2:$AD$921))/(MAX($AD$2:$AD$921)-MIN($AD$2:$AD$921))*100,2))</f>
        <v>50.53</v>
      </c>
      <c r="AW515" s="8" t="n">
        <f aca="false">IF(MAX($AN$2:$AN$921)=MIN($AN$2:$AN$921),50,ROUND((AN515-MIN($AN$2:$AN$921))/(MAX($AN$2:$AN$921)-MIN($AN$2:$AN$921))*100,2))</f>
        <v>50</v>
      </c>
      <c r="AX515" s="8" t="n">
        <f aca="false">AQ515*100</f>
        <v>100</v>
      </c>
      <c r="AY515" s="8" t="n">
        <f aca="false">AR515*100</f>
        <v>0</v>
      </c>
      <c r="AZ515" s="8" t="n">
        <f aca="false">IFERROR(ROUND(AS515*Assumptions!$I$6+AW515*Assumptions!$I$7+AT515*Assumptions!$I$8+AU515*Assumptions!$I$9+AV515*Assumptions!$I$10+AX515*Assumptions!$I$11+AY515*Assumptions!$I$12,2),"")</f>
        <v>46.83</v>
      </c>
      <c r="BA515" s="0" t="str">
        <f aca="false">IF(AZ515="","",IF(AZ515&lt;=Assumptions!$I$18,"Below Expectation",IF(AZ515&lt;=Assumptions!$I$19,"Developing",IF(AZ515&lt;=Assumptions!$I$20,"Meets Expectation",IF(AZ515&lt;=Assumptions!$I$21,"Exceeds","Star Performer")))))</f>
        <v>Developing</v>
      </c>
      <c r="BB515" s="0" t="n">
        <f aca="false">IF(AZ515="",0,IF(AZ515&gt;=Assumptions!$I$26,1,0))</f>
        <v>0</v>
      </c>
      <c r="BC515" s="9" t="n">
        <f aca="false">IF(AL515="",2,AL515+2)</f>
        <v>2</v>
      </c>
      <c r="BD515" s="10" t="n">
        <f aca="false">IF(AM515="",ROUND(AVERAGE($AM$2:$AM$921),3),AM515)</f>
        <v>0</v>
      </c>
      <c r="BE515" s="9" t="n">
        <f aca="false">1-BD515</f>
        <v>1</v>
      </c>
    </row>
    <row r="516" customFormat="false" ht="14.25" hidden="true" customHeight="false" outlineLevel="0" collapsed="false">
      <c r="A516" s="4" t="n">
        <v>440</v>
      </c>
      <c r="B516" s="5" t="n">
        <v>50012163</v>
      </c>
      <c r="C516" s="5" t="s">
        <v>57</v>
      </c>
      <c r="D516" s="5" t="s">
        <v>2009</v>
      </c>
      <c r="E516" s="5" t="s">
        <v>456</v>
      </c>
      <c r="F516" s="5" t="s">
        <v>1770</v>
      </c>
      <c r="G516" s="5" t="s">
        <v>1771</v>
      </c>
      <c r="H516" s="5" t="s">
        <v>1770</v>
      </c>
      <c r="I516" s="5" t="s">
        <v>63</v>
      </c>
      <c r="J516" s="5" t="s">
        <v>100</v>
      </c>
      <c r="K516" s="5" t="s">
        <v>309</v>
      </c>
      <c r="L516" s="6" t="n">
        <v>41456</v>
      </c>
      <c r="M516" s="5" t="s">
        <v>225</v>
      </c>
      <c r="N516" s="6" t="n">
        <v>29717</v>
      </c>
      <c r="O516" s="5" t="s">
        <v>1624</v>
      </c>
      <c r="P516" s="5" t="s">
        <v>1625</v>
      </c>
      <c r="Q516" s="5" t="s">
        <v>1881</v>
      </c>
      <c r="R516" s="5" t="s">
        <v>2010</v>
      </c>
      <c r="S516" s="5" t="s">
        <v>516</v>
      </c>
      <c r="T516" s="6"/>
      <c r="U516" s="6" t="n">
        <v>44652</v>
      </c>
      <c r="V516" s="5" t="s">
        <v>141</v>
      </c>
      <c r="W516" s="5" t="s">
        <v>141</v>
      </c>
      <c r="X516" s="5" t="s">
        <v>631</v>
      </c>
      <c r="Y516" s="5" t="s">
        <v>141</v>
      </c>
      <c r="Z516" s="5" t="s">
        <v>631</v>
      </c>
      <c r="AA516" s="5" t="s">
        <v>2011</v>
      </c>
      <c r="AB516" s="0" t="n">
        <f aca="false">IFERROR(VALUE(R516),0)</f>
        <v>2.3</v>
      </c>
      <c r="AC516" s="0" t="n">
        <f aca="false">IFERROR(VALUE(M516),"")</f>
        <v>45</v>
      </c>
      <c r="AD516" s="0" t="n">
        <f aca="false">IFERROR(VALUE(Q516),"")</f>
        <v>12.11</v>
      </c>
      <c r="AE516" s="0" t="n">
        <f aca="false">IFERROR(VALUE(S516),"")</f>
        <v>15.2</v>
      </c>
      <c r="AF516" s="0" t="n">
        <f aca="false">IF(V516="","",VLOOKUP(V516,Assumptions!$B$6:$C$9,2,FALSE()))</f>
        <v>3</v>
      </c>
      <c r="AG516" s="0" t="n">
        <f aca="false">IF(W516="","",VLOOKUP(W516,Assumptions!$B$6:$C$9,2,FALSE()))</f>
        <v>3</v>
      </c>
      <c r="AH516" s="0" t="n">
        <f aca="false">IF(X516="","",VLOOKUP(X516,Assumptions!$B$6:$C$9,2,FALSE()))</f>
        <v>2</v>
      </c>
      <c r="AI516" s="0" t="n">
        <f aca="false">IF(Y516="","",VLOOKUP(Y516,Assumptions!$B$6:$C$9,2,FALSE()))</f>
        <v>3</v>
      </c>
      <c r="AJ516" s="0" t="n">
        <f aca="false">IF(Z516="","",VLOOKUP(Z516,Assumptions!$B$6:$C$9,2,FALSE()))</f>
        <v>2</v>
      </c>
      <c r="AK516" s="7" t="n">
        <f aca="false">IFERROR(ROUND(AVERAGE(AF516:AJ516),3),"")</f>
        <v>2.6</v>
      </c>
      <c r="AL516" s="7" t="n">
        <f aca="false">IF(OR(AF516="",AJ516=""),"",AJ516-AF516)</f>
        <v>-1</v>
      </c>
      <c r="AM516" s="7" t="n">
        <f aca="false">IF(COUNT(AF516:AJ516)&gt;=2,ROUND(_xlfn.STDEV.S(AF516:AJ516),3),"")</f>
        <v>0.548</v>
      </c>
      <c r="AN516" s="7" t="n">
        <f aca="false">ROUND((IF(AF516="",0,AF516)*Assumptions!$F$15)+(IF(AG516="",0,AG516)*Assumptions!$F$16)+(IF(AH516="",0,AH516)*Assumptions!$F$17)+(IF(AI516="",0,AI516)*Assumptions!$F$18)+(IF(AJ516="",0,AJ516)*Assumptions!$F$19),3)</f>
        <v>2.5</v>
      </c>
      <c r="AO516" s="0" t="str">
        <f aca="false">IF(AC516&lt;=20,"",IF(AC516&lt;=Assumptions!$F$6,"20-30",IF(AC516&lt;=Assumptions!$F$7,"30-40",IF(AC516&lt;=Assumptions!$F$8,"40-50",IF(AC516&lt;=Assumptions!$F$9,"50-60",IF(AC516&lt;=Assumptions!$F$10,"60+",""))))))</f>
        <v>40-50</v>
      </c>
      <c r="AP516" s="0" t="str">
        <f aca="false">IFERROR(VLOOKUP(O516,Assumptions!$B$14:$C$26,2,FALSE()),"Other")</f>
        <v>Executive</v>
      </c>
      <c r="AQ516" s="0" t="n">
        <f aca="false">IF(T516="",0,1)</f>
        <v>0</v>
      </c>
      <c r="AR516" s="0" t="n">
        <f aca="false">IF(U516="",0,1)</f>
        <v>1</v>
      </c>
      <c r="AS516" s="8" t="n">
        <f aca="false">IF(AK516="","",IF(MAX($AK$2:$AK$921)=MIN($AK$2:$AK$921),50,ROUND((AK516-MIN($AK$2:$AK$921))/(MAX($AK$2:$AK$921)-MIN($AK$2:$AK$921))*100,2)))</f>
        <v>39.99</v>
      </c>
      <c r="AT516" s="8" t="n">
        <f aca="false">IF(MAX($BC$2:$BC$921)=MIN($BC$2:$BC$921),50,ROUND((BC516-MIN($BC$2:$BC$921))/(MAX($BC$2:$BC$921)-MIN($BC$2:$BC$921))*100,2))</f>
        <v>25</v>
      </c>
      <c r="AU516" s="8" t="n">
        <f aca="false">IF(MAX($BE$2:$BE$921)=MIN($BE$2:$BE$921),50,ROUND((BE516-MIN($BE$2:$BE$921))/(MAX($BE$2:$BE$921)-MIN($BE$2:$BE$921))*100,2))</f>
        <v>68.36</v>
      </c>
      <c r="AV516" s="8" t="n">
        <f aca="false">IF(MAX($AD$2:$AD$921)=MIN($AD$2:$AD$921),50,ROUND((AD516-MIN($AD$2:$AD$921))/(MAX($AD$2:$AD$921)-MIN($AD$2:$AD$921))*100,2))</f>
        <v>32.62</v>
      </c>
      <c r="AW516" s="8" t="n">
        <f aca="false">IF(MAX($AN$2:$AN$921)=MIN($AN$2:$AN$921),50,ROUND((AN516-MIN($AN$2:$AN$921))/(MAX($AN$2:$AN$921)-MIN($AN$2:$AN$921))*100,2))</f>
        <v>62.5</v>
      </c>
      <c r="AX516" s="8" t="n">
        <f aca="false">AQ516*100</f>
        <v>0</v>
      </c>
      <c r="AY516" s="8" t="n">
        <f aca="false">AR516*100</f>
        <v>100</v>
      </c>
      <c r="AZ516" s="8" t="n">
        <f aca="false">IFERROR(ROUND(AS516*Assumptions!$I$6+AW516*Assumptions!$I$7+AT516*Assumptions!$I$8+AU516*Assumptions!$I$9+AV516*Assumptions!$I$10+AX516*Assumptions!$I$11+AY516*Assumptions!$I$12,2),"")</f>
        <v>46.76</v>
      </c>
      <c r="BA516" s="0" t="str">
        <f aca="false">IF(AZ516="","",IF(AZ516&lt;=Assumptions!$I$18,"Below Expectation",IF(AZ516&lt;=Assumptions!$I$19,"Developing",IF(AZ516&lt;=Assumptions!$I$20,"Meets Expectation",IF(AZ516&lt;=Assumptions!$I$21,"Exceeds","Star Performer")))))</f>
        <v>Developing</v>
      </c>
      <c r="BB516" s="0" t="n">
        <f aca="false">IF(AZ516="",0,IF(AZ516&gt;=Assumptions!$I$26,1,0))</f>
        <v>0</v>
      </c>
      <c r="BC516" s="9" t="n">
        <f aca="false">IF(AL516="",2,AL516+2)</f>
        <v>1</v>
      </c>
      <c r="BD516" s="10" t="n">
        <f aca="false">IF(AM516="",ROUND(AVERAGE($AM$2:$AM$921),3),AM516)</f>
        <v>0.548</v>
      </c>
      <c r="BE516" s="9" t="n">
        <f aca="false">1-BD516</f>
        <v>0.452</v>
      </c>
    </row>
    <row r="517" customFormat="false" ht="14.25" hidden="true" customHeight="false" outlineLevel="0" collapsed="false">
      <c r="A517" s="4" t="n">
        <v>388</v>
      </c>
      <c r="B517" s="5" t="n">
        <v>50007771</v>
      </c>
      <c r="C517" s="5" t="s">
        <v>149</v>
      </c>
      <c r="D517" s="5" t="s">
        <v>2012</v>
      </c>
      <c r="E517" s="5" t="s">
        <v>1226</v>
      </c>
      <c r="F517" s="5" t="s">
        <v>245</v>
      </c>
      <c r="G517" s="5" t="s">
        <v>246</v>
      </c>
      <c r="H517" s="5" t="s">
        <v>245</v>
      </c>
      <c r="I517" s="5" t="s">
        <v>63</v>
      </c>
      <c r="J517" s="5" t="s">
        <v>100</v>
      </c>
      <c r="K517" s="5" t="s">
        <v>65</v>
      </c>
      <c r="L517" s="6" t="n">
        <v>40422</v>
      </c>
      <c r="M517" s="5" t="s">
        <v>515</v>
      </c>
      <c r="N517" s="6" t="n">
        <v>28940</v>
      </c>
      <c r="O517" s="5" t="s">
        <v>262</v>
      </c>
      <c r="P517" s="5" t="s">
        <v>263</v>
      </c>
      <c r="Q517" s="5" t="s">
        <v>286</v>
      </c>
      <c r="R517" s="5" t="s">
        <v>723</v>
      </c>
      <c r="S517" s="5" t="s">
        <v>346</v>
      </c>
      <c r="T517" s="6" t="n">
        <v>41518</v>
      </c>
      <c r="U517" s="6" t="n">
        <v>44652</v>
      </c>
      <c r="V517" s="5" t="s">
        <v>141</v>
      </c>
      <c r="W517" s="5" t="s">
        <v>631</v>
      </c>
      <c r="X517" s="5" t="s">
        <v>631</v>
      </c>
      <c r="Y517" s="5" t="s">
        <v>631</v>
      </c>
      <c r="Z517" s="5" t="s">
        <v>631</v>
      </c>
      <c r="AA517" s="5" t="s">
        <v>2013</v>
      </c>
      <c r="AB517" s="0" t="n">
        <f aca="false">IFERROR(VALUE(R517),0)</f>
        <v>7.3</v>
      </c>
      <c r="AC517" s="0" t="n">
        <f aca="false">IFERROR(VALUE(M517),"")</f>
        <v>47.2</v>
      </c>
      <c r="AD517" s="0" t="n">
        <f aca="false">IFERROR(VALUE(Q517),"")</f>
        <v>15.9</v>
      </c>
      <c r="AE517" s="0" t="n">
        <f aca="false">IFERROR(VALUE(S517),"")</f>
        <v>23</v>
      </c>
      <c r="AF517" s="0" t="n">
        <f aca="false">IF(V517="","",VLOOKUP(V517,Assumptions!$B$6:$C$9,2,FALSE()))</f>
        <v>3</v>
      </c>
      <c r="AG517" s="0" t="n">
        <f aca="false">IF(W517="","",VLOOKUP(W517,Assumptions!$B$6:$C$9,2,FALSE()))</f>
        <v>2</v>
      </c>
      <c r="AH517" s="0" t="n">
        <f aca="false">IF(X517="","",VLOOKUP(X517,Assumptions!$B$6:$C$9,2,FALSE()))</f>
        <v>2</v>
      </c>
      <c r="AI517" s="0" t="n">
        <f aca="false">IF(Y517="","",VLOOKUP(Y517,Assumptions!$B$6:$C$9,2,FALSE()))</f>
        <v>2</v>
      </c>
      <c r="AJ517" s="0" t="n">
        <f aca="false">IF(Z517="","",VLOOKUP(Z517,Assumptions!$B$6:$C$9,2,FALSE()))</f>
        <v>2</v>
      </c>
      <c r="AK517" s="7" t="n">
        <f aca="false">IFERROR(ROUND(AVERAGE(AF517:AJ517),3),"")</f>
        <v>2.2</v>
      </c>
      <c r="AL517" s="7" t="n">
        <f aca="false">IF(OR(AF517="",AJ517=""),"",AJ517-AF517)</f>
        <v>-1</v>
      </c>
      <c r="AM517" s="7" t="n">
        <f aca="false">IF(COUNT(AF517:AJ517)&gt;=2,ROUND(_xlfn.STDEV.S(AF517:AJ517),3),"")</f>
        <v>0.447</v>
      </c>
      <c r="AN517" s="7" t="n">
        <f aca="false">ROUND((IF(AF517="",0,AF517)*Assumptions!$F$15)+(IF(AG517="",0,AG517)*Assumptions!$F$16)+(IF(AH517="",0,AH517)*Assumptions!$F$17)+(IF(AI517="",0,AI517)*Assumptions!$F$18)+(IF(AJ517="",0,AJ517)*Assumptions!$F$19),3)</f>
        <v>2.1</v>
      </c>
      <c r="AO517" s="0" t="str">
        <f aca="false">IF(AC517&lt;=20,"",IF(AC517&lt;=Assumptions!$F$6,"20-30",IF(AC517&lt;=Assumptions!$F$7,"30-40",IF(AC517&lt;=Assumptions!$F$8,"40-50",IF(AC517&lt;=Assumptions!$F$9,"50-60",IF(AC517&lt;=Assumptions!$F$10,"60+",""))))))</f>
        <v>40-50</v>
      </c>
      <c r="AP517" s="0" t="str">
        <f aca="false">IFERROR(VLOOKUP(O517,Assumptions!$B$14:$C$26,2,FALSE()),"Other")</f>
        <v>Manager</v>
      </c>
      <c r="AQ517" s="0" t="n">
        <f aca="false">IF(T517="",0,1)</f>
        <v>1</v>
      </c>
      <c r="AR517" s="0" t="n">
        <f aca="false">IF(U517="",0,1)</f>
        <v>1</v>
      </c>
      <c r="AS517" s="8" t="n">
        <f aca="false">IF(AK517="","",IF(MAX($AK$2:$AK$921)=MIN($AK$2:$AK$921),50,ROUND((AK517-MIN($AK$2:$AK$921))/(MAX($AK$2:$AK$921)-MIN($AK$2:$AK$921))*100,2)))</f>
        <v>22.85</v>
      </c>
      <c r="AT517" s="8" t="n">
        <f aca="false">IF(MAX($BC$2:$BC$921)=MIN($BC$2:$BC$921),50,ROUND((BC517-MIN($BC$2:$BC$921))/(MAX($BC$2:$BC$921)-MIN($BC$2:$BC$921))*100,2))</f>
        <v>25</v>
      </c>
      <c r="AU517" s="8" t="n">
        <f aca="false">IF(MAX($BE$2:$BE$921)=MIN($BE$2:$BE$921),50,ROUND((BE517-MIN($BE$2:$BE$921))/(MAX($BE$2:$BE$921)-MIN($BE$2:$BE$921))*100,2))</f>
        <v>74.19</v>
      </c>
      <c r="AV517" s="8" t="n">
        <f aca="false">IF(MAX($AD$2:$AD$921)=MIN($AD$2:$AD$921),50,ROUND((AD517-MIN($AD$2:$AD$921))/(MAX($AD$2:$AD$921)-MIN($AD$2:$AD$921))*100,2))</f>
        <v>42.92</v>
      </c>
      <c r="AW517" s="8" t="n">
        <f aca="false">IF(MAX($AN$2:$AN$921)=MIN($AN$2:$AN$921),50,ROUND((AN517-MIN($AN$2:$AN$921))/(MAX($AN$2:$AN$921)-MIN($AN$2:$AN$921))*100,2))</f>
        <v>52.5</v>
      </c>
      <c r="AX517" s="8" t="n">
        <f aca="false">AQ517*100</f>
        <v>100</v>
      </c>
      <c r="AY517" s="8" t="n">
        <f aca="false">AR517*100</f>
        <v>100</v>
      </c>
      <c r="AZ517" s="8" t="n">
        <f aca="false">IFERROR(ROUND(AS517*Assumptions!$I$6+AW517*Assumptions!$I$7+AT517*Assumptions!$I$8+AU517*Assumptions!$I$9+AV517*Assumptions!$I$10+AX517*Assumptions!$I$11+AY517*Assumptions!$I$12,2),"")</f>
        <v>46.53</v>
      </c>
      <c r="BA517" s="0" t="str">
        <f aca="false">IF(AZ517="","",IF(AZ517&lt;=Assumptions!$I$18,"Below Expectation",IF(AZ517&lt;=Assumptions!$I$19,"Developing",IF(AZ517&lt;=Assumptions!$I$20,"Meets Expectation",IF(AZ517&lt;=Assumptions!$I$21,"Exceeds","Star Performer")))))</f>
        <v>Developing</v>
      </c>
      <c r="BB517" s="0" t="n">
        <f aca="false">IF(AZ517="",0,IF(AZ517&gt;=Assumptions!$I$26,1,0))</f>
        <v>0</v>
      </c>
      <c r="BC517" s="9" t="n">
        <f aca="false">IF(AL517="",2,AL517+2)</f>
        <v>1</v>
      </c>
      <c r="BD517" s="10" t="n">
        <f aca="false">IF(AM517="",ROUND(AVERAGE($AM$2:$AM$921),3),AM517)</f>
        <v>0.447</v>
      </c>
      <c r="BE517" s="9" t="n">
        <f aca="false">1-BD517</f>
        <v>0.553</v>
      </c>
    </row>
    <row r="518" customFormat="false" ht="14.25" hidden="true" customHeight="false" outlineLevel="0" collapsed="false">
      <c r="A518" s="4" t="n">
        <v>700</v>
      </c>
      <c r="B518" s="5" t="n">
        <v>55064623</v>
      </c>
      <c r="C518" s="5" t="s">
        <v>666</v>
      </c>
      <c r="D518" s="5" t="s">
        <v>2014</v>
      </c>
      <c r="E518" s="5" t="s">
        <v>1527</v>
      </c>
      <c r="F518" s="5" t="s">
        <v>1382</v>
      </c>
      <c r="G518" s="5" t="s">
        <v>1383</v>
      </c>
      <c r="H518" s="5" t="s">
        <v>1382</v>
      </c>
      <c r="I518" s="5" t="s">
        <v>63</v>
      </c>
      <c r="J518" s="5" t="s">
        <v>100</v>
      </c>
      <c r="K518" s="5" t="s">
        <v>309</v>
      </c>
      <c r="L518" s="6" t="n">
        <v>44943</v>
      </c>
      <c r="M518" s="5" t="s">
        <v>124</v>
      </c>
      <c r="N518" s="6" t="n">
        <v>36830</v>
      </c>
      <c r="O518" s="5" t="s">
        <v>585</v>
      </c>
      <c r="P518" s="5" t="s">
        <v>586</v>
      </c>
      <c r="Q518" s="5" t="s">
        <v>768</v>
      </c>
      <c r="R518" s="5" t="s">
        <v>115</v>
      </c>
      <c r="S518" s="5" t="s">
        <v>768</v>
      </c>
      <c r="T518" s="6"/>
      <c r="U518" s="6" t="n">
        <v>45962</v>
      </c>
      <c r="V518" s="5"/>
      <c r="W518" s="5"/>
      <c r="X518" s="5" t="s">
        <v>631</v>
      </c>
      <c r="Y518" s="5" t="s">
        <v>141</v>
      </c>
      <c r="Z518" s="5" t="s">
        <v>141</v>
      </c>
      <c r="AA518" s="5" t="s">
        <v>2015</v>
      </c>
      <c r="AB518" s="0" t="n">
        <f aca="false">IFERROR(VALUE(R518),0)</f>
        <v>0</v>
      </c>
      <c r="AC518" s="0" t="n">
        <f aca="false">IFERROR(VALUE(M518),"")</f>
        <v>25.7</v>
      </c>
      <c r="AD518" s="0" t="n">
        <f aca="false">IFERROR(VALUE(Q518),"")</f>
        <v>3.4</v>
      </c>
      <c r="AE518" s="0" t="n">
        <f aca="false">IFERROR(VALUE(S518),"")</f>
        <v>3.4</v>
      </c>
      <c r="AF518" s="0" t="str">
        <f aca="false">IF(V518="","",VLOOKUP(V518,Assumptions!$B$6:$C$9,2,FALSE()))</f>
        <v/>
      </c>
      <c r="AG518" s="0" t="str">
        <f aca="false">IF(W518="","",VLOOKUP(W518,Assumptions!$B$6:$C$9,2,FALSE()))</f>
        <v/>
      </c>
      <c r="AH518" s="0" t="n">
        <f aca="false">IF(X518="","",VLOOKUP(X518,Assumptions!$B$6:$C$9,2,FALSE()))</f>
        <v>2</v>
      </c>
      <c r="AI518" s="0" t="n">
        <f aca="false">IF(Y518="","",VLOOKUP(Y518,Assumptions!$B$6:$C$9,2,FALSE()))</f>
        <v>3</v>
      </c>
      <c r="AJ518" s="0" t="n">
        <f aca="false">IF(Z518="","",VLOOKUP(Z518,Assumptions!$B$6:$C$9,2,FALSE()))</f>
        <v>3</v>
      </c>
      <c r="AK518" s="7" t="n">
        <f aca="false">IFERROR(ROUND(AVERAGE(AF518:AJ518),3),"")</f>
        <v>2.667</v>
      </c>
      <c r="AL518" s="7" t="str">
        <f aca="false">IF(OR(AF518="",AJ518=""),"",AJ518-AF518)</f>
        <v/>
      </c>
      <c r="AM518" s="7" t="n">
        <f aca="false">IF(COUNT(AF518:AJ518)&gt;=2,ROUND(_xlfn.STDEV.S(AF518:AJ518),3),"")</f>
        <v>0.577</v>
      </c>
      <c r="AN518" s="7" t="n">
        <f aca="false">ROUND((IF(AF518="",0,AF518)*Assumptions!$F$15)+(IF(AG518="",0,AG518)*Assumptions!$F$16)+(IF(AH518="",0,AH518)*Assumptions!$F$17)+(IF(AI518="",0,AI518)*Assumptions!$F$18)+(IF(AJ518="",0,AJ518)*Assumptions!$F$19),3)</f>
        <v>2.05</v>
      </c>
      <c r="AO518" s="0" t="str">
        <f aca="false">IF(AC518&lt;=20,"",IF(AC518&lt;=Assumptions!$F$6,"20-30",IF(AC518&lt;=Assumptions!$F$7,"30-40",IF(AC518&lt;=Assumptions!$F$8,"40-50",IF(AC518&lt;=Assumptions!$F$9,"50-60",IF(AC518&lt;=Assumptions!$F$10,"60+",""))))))</f>
        <v>20-30</v>
      </c>
      <c r="AP518" s="0" t="str">
        <f aca="false">IFERROR(VLOOKUP(O518,Assumptions!$B$14:$C$26,2,FALSE()),"Other")</f>
        <v>Manager</v>
      </c>
      <c r="AQ518" s="0" t="n">
        <f aca="false">IF(T518="",0,1)</f>
        <v>0</v>
      </c>
      <c r="AR518" s="0" t="n">
        <f aca="false">IF(U518="",0,1)</f>
        <v>1</v>
      </c>
      <c r="AS518" s="8" t="n">
        <f aca="false">IF(AK518="","",IF(MAX($AK$2:$AK$921)=MIN($AK$2:$AK$921),50,ROUND((AK518-MIN($AK$2:$AK$921))/(MAX($AK$2:$AK$921)-MIN($AK$2:$AK$921))*100,2)))</f>
        <v>42.86</v>
      </c>
      <c r="AT518" s="8" t="n">
        <f aca="false">IF(MAX($BC$2:$BC$921)=MIN($BC$2:$BC$921),50,ROUND((BC518-MIN($BC$2:$BC$921))/(MAX($BC$2:$BC$921)-MIN($BC$2:$BC$921))*100,2))</f>
        <v>50</v>
      </c>
      <c r="AU518" s="8" t="n">
        <f aca="false">IF(MAX($BE$2:$BE$921)=MIN($BE$2:$BE$921),50,ROUND((BE518-MIN($BE$2:$BE$921))/(MAX($BE$2:$BE$921)-MIN($BE$2:$BE$921))*100,2))</f>
        <v>66.69</v>
      </c>
      <c r="AV518" s="8" t="n">
        <f aca="false">IF(MAX($AD$2:$AD$921)=MIN($AD$2:$AD$921),50,ROUND((AD518-MIN($AD$2:$AD$921))/(MAX($AD$2:$AD$921)-MIN($AD$2:$AD$921))*100,2))</f>
        <v>8.94</v>
      </c>
      <c r="AW518" s="8" t="n">
        <f aca="false">IF(MAX($AN$2:$AN$921)=MIN($AN$2:$AN$921),50,ROUND((AN518-MIN($AN$2:$AN$921))/(MAX($AN$2:$AN$921)-MIN($AN$2:$AN$921))*100,2))</f>
        <v>51.25</v>
      </c>
      <c r="AX518" s="8" t="n">
        <f aca="false">AQ518*100</f>
        <v>0</v>
      </c>
      <c r="AY518" s="8" t="n">
        <f aca="false">AR518*100</f>
        <v>100</v>
      </c>
      <c r="AZ518" s="8" t="n">
        <f aca="false">IFERROR(ROUND(AS518*Assumptions!$I$6+AW518*Assumptions!$I$7+AT518*Assumptions!$I$8+AU518*Assumptions!$I$9+AV518*Assumptions!$I$10+AX518*Assumptions!$I$11+AY518*Assumptions!$I$12,2),"")</f>
        <v>46.51</v>
      </c>
      <c r="BA518" s="0" t="str">
        <f aca="false">IF(AZ518="","",IF(AZ518&lt;=Assumptions!$I$18,"Below Expectation",IF(AZ518&lt;=Assumptions!$I$19,"Developing",IF(AZ518&lt;=Assumptions!$I$20,"Meets Expectation",IF(AZ518&lt;=Assumptions!$I$21,"Exceeds","Star Performer")))))</f>
        <v>Developing</v>
      </c>
      <c r="BB518" s="0" t="n">
        <f aca="false">IF(AZ518="",0,IF(AZ518&gt;=Assumptions!$I$26,1,0))</f>
        <v>0</v>
      </c>
      <c r="BC518" s="9" t="n">
        <f aca="false">IF(AL518="",2,AL518+2)</f>
        <v>2</v>
      </c>
      <c r="BD518" s="10" t="n">
        <f aca="false">IF(AM518="",ROUND(AVERAGE($AM$2:$AM$921),3),AM518)</f>
        <v>0.577</v>
      </c>
      <c r="BE518" s="9" t="n">
        <f aca="false">1-BD518</f>
        <v>0.423</v>
      </c>
    </row>
    <row r="519" customFormat="false" ht="14.25" hidden="true" customHeight="false" outlineLevel="0" collapsed="false">
      <c r="A519" s="4" t="n">
        <v>209</v>
      </c>
      <c r="B519" s="5" t="n">
        <v>10056421</v>
      </c>
      <c r="C519" s="5" t="s">
        <v>57</v>
      </c>
      <c r="D519" s="5" t="s">
        <v>2016</v>
      </c>
      <c r="E519" s="5" t="s">
        <v>514</v>
      </c>
      <c r="F519" s="5" t="s">
        <v>608</v>
      </c>
      <c r="G519" s="5" t="s">
        <v>609</v>
      </c>
      <c r="H519" s="5" t="s">
        <v>608</v>
      </c>
      <c r="I519" s="5" t="s">
        <v>63</v>
      </c>
      <c r="J519" s="5" t="s">
        <v>100</v>
      </c>
      <c r="K519" s="5" t="s">
        <v>65</v>
      </c>
      <c r="L519" s="6" t="n">
        <v>42730</v>
      </c>
      <c r="M519" s="5" t="s">
        <v>610</v>
      </c>
      <c r="N519" s="6" t="n">
        <v>32838</v>
      </c>
      <c r="O519" s="5" t="s">
        <v>365</v>
      </c>
      <c r="P519" s="5" t="s">
        <v>365</v>
      </c>
      <c r="Q519" s="5" t="s">
        <v>425</v>
      </c>
      <c r="R519" s="5" t="s">
        <v>1645</v>
      </c>
      <c r="S519" s="5" t="s">
        <v>1396</v>
      </c>
      <c r="T519" s="6"/>
      <c r="U519" s="6"/>
      <c r="V519" s="5" t="s">
        <v>631</v>
      </c>
      <c r="W519" s="5" t="s">
        <v>141</v>
      </c>
      <c r="X519" s="5" t="s">
        <v>83</v>
      </c>
      <c r="Y519" s="5" t="s">
        <v>141</v>
      </c>
      <c r="Z519" s="5" t="s">
        <v>631</v>
      </c>
      <c r="AA519" s="5" t="s">
        <v>2017</v>
      </c>
      <c r="AB519" s="0" t="n">
        <f aca="false">IFERROR(VALUE(R519),0)</f>
        <v>2</v>
      </c>
      <c r="AC519" s="0" t="n">
        <f aca="false">IFERROR(VALUE(M519),"")</f>
        <v>36.6</v>
      </c>
      <c r="AD519" s="0" t="n">
        <f aca="false">IFERROR(VALUE(Q519),"")</f>
        <v>9.5</v>
      </c>
      <c r="AE519" s="0" t="n">
        <f aca="false">IFERROR(VALUE(S519),"")</f>
        <v>11.5</v>
      </c>
      <c r="AF519" s="0" t="n">
        <f aca="false">IF(V519="","",VLOOKUP(V519,Assumptions!$B$6:$C$9,2,FALSE()))</f>
        <v>2</v>
      </c>
      <c r="AG519" s="0" t="n">
        <f aca="false">IF(W519="","",VLOOKUP(W519,Assumptions!$B$6:$C$9,2,FALSE()))</f>
        <v>3</v>
      </c>
      <c r="AH519" s="0" t="n">
        <f aca="false">IF(X519="","",VLOOKUP(X519,Assumptions!$B$6:$C$9,2,FALSE()))</f>
        <v>4</v>
      </c>
      <c r="AI519" s="0" t="n">
        <f aca="false">IF(Y519="","",VLOOKUP(Y519,Assumptions!$B$6:$C$9,2,FALSE()))</f>
        <v>3</v>
      </c>
      <c r="AJ519" s="0" t="n">
        <f aca="false">IF(Z519="","",VLOOKUP(Z519,Assumptions!$B$6:$C$9,2,FALSE()))</f>
        <v>2</v>
      </c>
      <c r="AK519" s="7" t="n">
        <f aca="false">IFERROR(ROUND(AVERAGE(AF519:AJ519),3),"")</f>
        <v>2.8</v>
      </c>
      <c r="AL519" s="7" t="n">
        <f aca="false">IF(OR(AF519="",AJ519=""),"",AJ519-AF519)</f>
        <v>0</v>
      </c>
      <c r="AM519" s="7" t="n">
        <f aca="false">IF(COUNT(AF519:AJ519)&gt;=2,ROUND(_xlfn.STDEV.S(AF519:AJ519),3),"")</f>
        <v>0.837</v>
      </c>
      <c r="AN519" s="7" t="n">
        <f aca="false">ROUND((IF(AF519="",0,AF519)*Assumptions!$F$15)+(IF(AG519="",0,AG519)*Assumptions!$F$16)+(IF(AH519="",0,AH519)*Assumptions!$F$17)+(IF(AI519="",0,AI519)*Assumptions!$F$18)+(IF(AJ519="",0,AJ519)*Assumptions!$F$19),3)</f>
        <v>2.8</v>
      </c>
      <c r="AO519" s="0" t="str">
        <f aca="false">IF(AC519&lt;=20,"",IF(AC519&lt;=Assumptions!$F$6,"20-30",IF(AC519&lt;=Assumptions!$F$7,"30-40",IF(AC519&lt;=Assumptions!$F$8,"40-50",IF(AC519&lt;=Assumptions!$F$9,"50-60",IF(AC519&lt;=Assumptions!$F$10,"60+",""))))))</f>
        <v>30-40</v>
      </c>
      <c r="AP519" s="0" t="str">
        <f aca="false">IFERROR(VLOOKUP(O519,Assumptions!$B$14:$C$26,2,FALSE()),"Other")</f>
        <v>Manager</v>
      </c>
      <c r="AQ519" s="0" t="n">
        <f aca="false">IF(T519="",0,1)</f>
        <v>0</v>
      </c>
      <c r="AR519" s="0" t="n">
        <f aca="false">IF(U519="",0,1)</f>
        <v>0</v>
      </c>
      <c r="AS519" s="8" t="n">
        <f aca="false">IF(AK519="","",IF(MAX($AK$2:$AK$921)=MIN($AK$2:$AK$921),50,ROUND((AK519-MIN($AK$2:$AK$921))/(MAX($AK$2:$AK$921)-MIN($AK$2:$AK$921))*100,2)))</f>
        <v>48.56</v>
      </c>
      <c r="AT519" s="8" t="n">
        <f aca="false">IF(MAX($BC$2:$BC$921)=MIN($BC$2:$BC$921),50,ROUND((BC519-MIN($BC$2:$BC$921))/(MAX($BC$2:$BC$921)-MIN($BC$2:$BC$921))*100,2))</f>
        <v>50</v>
      </c>
      <c r="AU519" s="8" t="n">
        <f aca="false">IF(MAX($BE$2:$BE$921)=MIN($BE$2:$BE$921),50,ROUND((BE519-MIN($BE$2:$BE$921))/(MAX($BE$2:$BE$921)-MIN($BE$2:$BE$921))*100,2))</f>
        <v>51.67</v>
      </c>
      <c r="AV519" s="8" t="n">
        <f aca="false">IF(MAX($AD$2:$AD$921)=MIN($AD$2:$AD$921),50,ROUND((AD519-MIN($AD$2:$AD$921))/(MAX($AD$2:$AD$921)-MIN($AD$2:$AD$921))*100,2))</f>
        <v>25.52</v>
      </c>
      <c r="AW519" s="8" t="n">
        <f aca="false">IF(MAX($AN$2:$AN$921)=MIN($AN$2:$AN$921),50,ROUND((AN519-MIN($AN$2:$AN$921))/(MAX($AN$2:$AN$921)-MIN($AN$2:$AN$921))*100,2))</f>
        <v>70</v>
      </c>
      <c r="AX519" s="8" t="n">
        <f aca="false">AQ519*100</f>
        <v>0</v>
      </c>
      <c r="AY519" s="8" t="n">
        <f aca="false">AR519*100</f>
        <v>0</v>
      </c>
      <c r="AZ519" s="8" t="n">
        <f aca="false">IFERROR(ROUND(AS519*Assumptions!$I$6+AW519*Assumptions!$I$7+AT519*Assumptions!$I$8+AU519*Assumptions!$I$9+AV519*Assumptions!$I$10+AX519*Assumptions!$I$11+AY519*Assumptions!$I$12,2),"")</f>
        <v>46.37</v>
      </c>
      <c r="BA519" s="0" t="str">
        <f aca="false">IF(AZ519="","",IF(AZ519&lt;=Assumptions!$I$18,"Below Expectation",IF(AZ519&lt;=Assumptions!$I$19,"Developing",IF(AZ519&lt;=Assumptions!$I$20,"Meets Expectation",IF(AZ519&lt;=Assumptions!$I$21,"Exceeds","Star Performer")))))</f>
        <v>Developing</v>
      </c>
      <c r="BB519" s="0" t="n">
        <f aca="false">IF(AZ519="",0,IF(AZ519&gt;=Assumptions!$I$26,1,0))</f>
        <v>0</v>
      </c>
      <c r="BC519" s="9" t="n">
        <f aca="false">IF(AL519="",2,AL519+2)</f>
        <v>2</v>
      </c>
      <c r="BD519" s="10" t="n">
        <f aca="false">IF(AM519="",ROUND(AVERAGE($AM$2:$AM$921),3),AM519)</f>
        <v>0.837</v>
      </c>
      <c r="BE519" s="9" t="n">
        <f aca="false">1-BD519</f>
        <v>0.163</v>
      </c>
    </row>
    <row r="520" customFormat="false" ht="14.25" hidden="true" customHeight="false" outlineLevel="0" collapsed="false">
      <c r="A520" s="4" t="n">
        <v>196</v>
      </c>
      <c r="B520" s="5" t="n">
        <v>10055694</v>
      </c>
      <c r="C520" s="5" t="s">
        <v>149</v>
      </c>
      <c r="D520" s="5" t="s">
        <v>2018</v>
      </c>
      <c r="E520" s="5" t="s">
        <v>919</v>
      </c>
      <c r="F520" s="5" t="s">
        <v>2019</v>
      </c>
      <c r="G520" s="5" t="s">
        <v>1162</v>
      </c>
      <c r="H520" s="5" t="s">
        <v>1161</v>
      </c>
      <c r="I520" s="5" t="s">
        <v>63</v>
      </c>
      <c r="J520" s="5" t="s">
        <v>100</v>
      </c>
      <c r="K520" s="5" t="s">
        <v>65</v>
      </c>
      <c r="L520" s="6" t="n">
        <v>42639</v>
      </c>
      <c r="M520" s="5" t="s">
        <v>868</v>
      </c>
      <c r="N520" s="6" t="n">
        <v>28358</v>
      </c>
      <c r="O520" s="5" t="s">
        <v>162</v>
      </c>
      <c r="P520" s="5" t="s">
        <v>162</v>
      </c>
      <c r="Q520" s="5" t="s">
        <v>418</v>
      </c>
      <c r="R520" s="5" t="s">
        <v>510</v>
      </c>
      <c r="S520" s="5" t="s">
        <v>796</v>
      </c>
      <c r="T520" s="6"/>
      <c r="U520" s="6"/>
      <c r="V520" s="5" t="s">
        <v>631</v>
      </c>
      <c r="W520" s="5" t="s">
        <v>631</v>
      </c>
      <c r="X520" s="5" t="s">
        <v>631</v>
      </c>
      <c r="Y520" s="5" t="s">
        <v>141</v>
      </c>
      <c r="Z520" s="5" t="s">
        <v>141</v>
      </c>
      <c r="AA520" s="5" t="s">
        <v>2020</v>
      </c>
      <c r="AB520" s="0" t="n">
        <f aca="false">IFERROR(VALUE(R520),0)</f>
        <v>14</v>
      </c>
      <c r="AC520" s="0" t="n">
        <f aca="false">IFERROR(VALUE(M520),"")</f>
        <v>48.9</v>
      </c>
      <c r="AD520" s="0" t="n">
        <f aca="false">IFERROR(VALUE(Q520),"")</f>
        <v>9.8</v>
      </c>
      <c r="AE520" s="0" t="n">
        <f aca="false">IFERROR(VALUE(S520),"")</f>
        <v>23.8</v>
      </c>
      <c r="AF520" s="0" t="n">
        <f aca="false">IF(V520="","",VLOOKUP(V520,Assumptions!$B$6:$C$9,2,FALSE()))</f>
        <v>2</v>
      </c>
      <c r="AG520" s="0" t="n">
        <f aca="false">IF(W520="","",VLOOKUP(W520,Assumptions!$B$6:$C$9,2,FALSE()))</f>
        <v>2</v>
      </c>
      <c r="AH520" s="0" t="n">
        <f aca="false">IF(X520="","",VLOOKUP(X520,Assumptions!$B$6:$C$9,2,FALSE()))</f>
        <v>2</v>
      </c>
      <c r="AI520" s="0" t="n">
        <f aca="false">IF(Y520="","",VLOOKUP(Y520,Assumptions!$B$6:$C$9,2,FALSE()))</f>
        <v>3</v>
      </c>
      <c r="AJ520" s="0" t="n">
        <f aca="false">IF(Z520="","",VLOOKUP(Z520,Assumptions!$B$6:$C$9,2,FALSE()))</f>
        <v>3</v>
      </c>
      <c r="AK520" s="7" t="n">
        <f aca="false">IFERROR(ROUND(AVERAGE(AF520:AJ520),3),"")</f>
        <v>2.4</v>
      </c>
      <c r="AL520" s="7" t="n">
        <f aca="false">IF(OR(AF520="",AJ520=""),"",AJ520-AF520)</f>
        <v>1</v>
      </c>
      <c r="AM520" s="7" t="n">
        <f aca="false">IF(COUNT(AF520:AJ520)&gt;=2,ROUND(_xlfn.STDEV.S(AF520:AJ520),3),"")</f>
        <v>0.548</v>
      </c>
      <c r="AN520" s="7" t="n">
        <f aca="false">ROUND((IF(AF520="",0,AF520)*Assumptions!$F$15)+(IF(AG520="",0,AG520)*Assumptions!$F$16)+(IF(AH520="",0,AH520)*Assumptions!$F$17)+(IF(AI520="",0,AI520)*Assumptions!$F$18)+(IF(AJ520="",0,AJ520)*Assumptions!$F$19),3)</f>
        <v>2.55</v>
      </c>
      <c r="AO520" s="0" t="str">
        <f aca="false">IF(AC520&lt;=20,"",IF(AC520&lt;=Assumptions!$F$6,"20-30",IF(AC520&lt;=Assumptions!$F$7,"30-40",IF(AC520&lt;=Assumptions!$F$8,"40-50",IF(AC520&lt;=Assumptions!$F$9,"50-60",IF(AC520&lt;=Assumptions!$F$10,"60+",""))))))</f>
        <v>40-50</v>
      </c>
      <c r="AP520" s="0" t="str">
        <f aca="false">IFERROR(VLOOKUP(O520,Assumptions!$B$14:$C$26,2,FALSE()),"Other")</f>
        <v>Manager</v>
      </c>
      <c r="AQ520" s="0" t="n">
        <f aca="false">IF(T520="",0,1)</f>
        <v>0</v>
      </c>
      <c r="AR520" s="0" t="n">
        <f aca="false">IF(U520="",0,1)</f>
        <v>0</v>
      </c>
      <c r="AS520" s="8" t="n">
        <f aca="false">IF(AK520="","",IF(MAX($AK$2:$AK$921)=MIN($AK$2:$AK$921),50,ROUND((AK520-MIN($AK$2:$AK$921))/(MAX($AK$2:$AK$921)-MIN($AK$2:$AK$921))*100,2)))</f>
        <v>31.42</v>
      </c>
      <c r="AT520" s="8" t="n">
        <f aca="false">IF(MAX($BC$2:$BC$921)=MIN($BC$2:$BC$921),50,ROUND((BC520-MIN($BC$2:$BC$921))/(MAX($BC$2:$BC$921)-MIN($BC$2:$BC$921))*100,2))</f>
        <v>75</v>
      </c>
      <c r="AU520" s="8" t="n">
        <f aca="false">IF(MAX($BE$2:$BE$921)=MIN($BE$2:$BE$921),50,ROUND((BE520-MIN($BE$2:$BE$921))/(MAX($BE$2:$BE$921)-MIN($BE$2:$BE$921))*100,2))</f>
        <v>68.36</v>
      </c>
      <c r="AV520" s="8" t="n">
        <f aca="false">IF(MAX($AD$2:$AD$921)=MIN($AD$2:$AD$921),50,ROUND((AD520-MIN($AD$2:$AD$921))/(MAX($AD$2:$AD$921)-MIN($AD$2:$AD$921))*100,2))</f>
        <v>26.34</v>
      </c>
      <c r="AW520" s="8" t="n">
        <f aca="false">IF(MAX($AN$2:$AN$921)=MIN($AN$2:$AN$921),50,ROUND((AN520-MIN($AN$2:$AN$921))/(MAX($AN$2:$AN$921)-MIN($AN$2:$AN$921))*100,2))</f>
        <v>63.75</v>
      </c>
      <c r="AX520" s="8" t="n">
        <f aca="false">AQ520*100</f>
        <v>0</v>
      </c>
      <c r="AY520" s="8" t="n">
        <f aca="false">AR520*100</f>
        <v>0</v>
      </c>
      <c r="AZ520" s="8" t="n">
        <f aca="false">IFERROR(ROUND(AS520*Assumptions!$I$6+AW520*Assumptions!$I$7+AT520*Assumptions!$I$8+AU520*Assumptions!$I$9+AV520*Assumptions!$I$10+AX520*Assumptions!$I$11+AY520*Assumptions!$I$12,2),"")</f>
        <v>46.31</v>
      </c>
      <c r="BA520" s="0" t="str">
        <f aca="false">IF(AZ520="","",IF(AZ520&lt;=Assumptions!$I$18,"Below Expectation",IF(AZ520&lt;=Assumptions!$I$19,"Developing",IF(AZ520&lt;=Assumptions!$I$20,"Meets Expectation",IF(AZ520&lt;=Assumptions!$I$21,"Exceeds","Star Performer")))))</f>
        <v>Developing</v>
      </c>
      <c r="BB520" s="0" t="n">
        <f aca="false">IF(AZ520="",0,IF(AZ520&gt;=Assumptions!$I$26,1,0))</f>
        <v>0</v>
      </c>
      <c r="BC520" s="9" t="n">
        <f aca="false">IF(AL520="",2,AL520+2)</f>
        <v>3</v>
      </c>
      <c r="BD520" s="10" t="n">
        <f aca="false">IF(AM520="",ROUND(AVERAGE($AM$2:$AM$921),3),AM520)</f>
        <v>0.548</v>
      </c>
      <c r="BE520" s="9" t="n">
        <f aca="false">1-BD520</f>
        <v>0.452</v>
      </c>
    </row>
    <row r="521" customFormat="false" ht="14.25" hidden="true" customHeight="false" outlineLevel="0" collapsed="false">
      <c r="A521" s="4" t="n">
        <v>212</v>
      </c>
      <c r="B521" s="5" t="n">
        <v>10056529</v>
      </c>
      <c r="C521" s="5" t="s">
        <v>57</v>
      </c>
      <c r="D521" s="5" t="s">
        <v>2021</v>
      </c>
      <c r="E521" s="5" t="s">
        <v>96</v>
      </c>
      <c r="F521" s="5" t="s">
        <v>608</v>
      </c>
      <c r="G521" s="5" t="s">
        <v>609</v>
      </c>
      <c r="H521" s="5" t="s">
        <v>608</v>
      </c>
      <c r="I521" s="5" t="s">
        <v>63</v>
      </c>
      <c r="J521" s="5" t="s">
        <v>100</v>
      </c>
      <c r="K521" s="5" t="s">
        <v>65</v>
      </c>
      <c r="L521" s="6" t="n">
        <v>42737</v>
      </c>
      <c r="M521" s="5" t="s">
        <v>2022</v>
      </c>
      <c r="N521" s="6" t="n">
        <v>25941</v>
      </c>
      <c r="O521" s="5" t="s">
        <v>365</v>
      </c>
      <c r="P521" s="5" t="s">
        <v>365</v>
      </c>
      <c r="Q521" s="5" t="s">
        <v>425</v>
      </c>
      <c r="R521" s="5" t="s">
        <v>1019</v>
      </c>
      <c r="S521" s="5" t="s">
        <v>232</v>
      </c>
      <c r="T521" s="6"/>
      <c r="U521" s="6"/>
      <c r="V521" s="5" t="s">
        <v>631</v>
      </c>
      <c r="W521" s="5" t="s">
        <v>631</v>
      </c>
      <c r="X521" s="5" t="s">
        <v>631</v>
      </c>
      <c r="Y521" s="5" t="s">
        <v>141</v>
      </c>
      <c r="Z521" s="5" t="s">
        <v>141</v>
      </c>
      <c r="AA521" s="5" t="s">
        <v>2023</v>
      </c>
      <c r="AB521" s="0" t="n">
        <f aca="false">IFERROR(VALUE(R521),0)</f>
        <v>19.8</v>
      </c>
      <c r="AC521" s="0" t="n">
        <f aca="false">IFERROR(VALUE(M521),"")</f>
        <v>55.5</v>
      </c>
      <c r="AD521" s="0" t="n">
        <f aca="false">IFERROR(VALUE(Q521),"")</f>
        <v>9.5</v>
      </c>
      <c r="AE521" s="0" t="n">
        <f aca="false">IFERROR(VALUE(S521),"")</f>
        <v>29.1</v>
      </c>
      <c r="AF521" s="0" t="n">
        <f aca="false">IF(V521="","",VLOOKUP(V521,Assumptions!$B$6:$C$9,2,FALSE()))</f>
        <v>2</v>
      </c>
      <c r="AG521" s="0" t="n">
        <f aca="false">IF(W521="","",VLOOKUP(W521,Assumptions!$B$6:$C$9,2,FALSE()))</f>
        <v>2</v>
      </c>
      <c r="AH521" s="0" t="n">
        <f aca="false">IF(X521="","",VLOOKUP(X521,Assumptions!$B$6:$C$9,2,FALSE()))</f>
        <v>2</v>
      </c>
      <c r="AI521" s="0" t="n">
        <f aca="false">IF(Y521="","",VLOOKUP(Y521,Assumptions!$B$6:$C$9,2,FALSE()))</f>
        <v>3</v>
      </c>
      <c r="AJ521" s="0" t="n">
        <f aca="false">IF(Z521="","",VLOOKUP(Z521,Assumptions!$B$6:$C$9,2,FALSE()))</f>
        <v>3</v>
      </c>
      <c r="AK521" s="7" t="n">
        <f aca="false">IFERROR(ROUND(AVERAGE(AF521:AJ521),3),"")</f>
        <v>2.4</v>
      </c>
      <c r="AL521" s="7" t="n">
        <f aca="false">IF(OR(AF521="",AJ521=""),"",AJ521-AF521)</f>
        <v>1</v>
      </c>
      <c r="AM521" s="7" t="n">
        <f aca="false">IF(COUNT(AF521:AJ521)&gt;=2,ROUND(_xlfn.STDEV.S(AF521:AJ521),3),"")</f>
        <v>0.548</v>
      </c>
      <c r="AN521" s="7" t="n">
        <f aca="false">ROUND((IF(AF521="",0,AF521)*Assumptions!$F$15)+(IF(AG521="",0,AG521)*Assumptions!$F$16)+(IF(AH521="",0,AH521)*Assumptions!$F$17)+(IF(AI521="",0,AI521)*Assumptions!$F$18)+(IF(AJ521="",0,AJ521)*Assumptions!$F$19),3)</f>
        <v>2.55</v>
      </c>
      <c r="AO521" s="0" t="str">
        <f aca="false">IF(AC521&lt;=20,"",IF(AC521&lt;=Assumptions!$F$6,"20-30",IF(AC521&lt;=Assumptions!$F$7,"30-40",IF(AC521&lt;=Assumptions!$F$8,"40-50",IF(AC521&lt;=Assumptions!$F$9,"50-60",IF(AC521&lt;=Assumptions!$F$10,"60+",""))))))</f>
        <v>50-60</v>
      </c>
      <c r="AP521" s="0" t="str">
        <f aca="false">IFERROR(VLOOKUP(O521,Assumptions!$B$14:$C$26,2,FALSE()),"Other")</f>
        <v>Manager</v>
      </c>
      <c r="AQ521" s="0" t="n">
        <f aca="false">IF(T521="",0,1)</f>
        <v>0</v>
      </c>
      <c r="AR521" s="0" t="n">
        <f aca="false">IF(U521="",0,1)</f>
        <v>0</v>
      </c>
      <c r="AS521" s="8" t="n">
        <f aca="false">IF(AK521="","",IF(MAX($AK$2:$AK$921)=MIN($AK$2:$AK$921),50,ROUND((AK521-MIN($AK$2:$AK$921))/(MAX($AK$2:$AK$921)-MIN($AK$2:$AK$921))*100,2)))</f>
        <v>31.42</v>
      </c>
      <c r="AT521" s="8" t="n">
        <f aca="false">IF(MAX($BC$2:$BC$921)=MIN($BC$2:$BC$921),50,ROUND((BC521-MIN($BC$2:$BC$921))/(MAX($BC$2:$BC$921)-MIN($BC$2:$BC$921))*100,2))</f>
        <v>75</v>
      </c>
      <c r="AU521" s="8" t="n">
        <f aca="false">IF(MAX($BE$2:$BE$921)=MIN($BE$2:$BE$921),50,ROUND((BE521-MIN($BE$2:$BE$921))/(MAX($BE$2:$BE$921)-MIN($BE$2:$BE$921))*100,2))</f>
        <v>68.36</v>
      </c>
      <c r="AV521" s="8" t="n">
        <f aca="false">IF(MAX($AD$2:$AD$921)=MIN($AD$2:$AD$921),50,ROUND((AD521-MIN($AD$2:$AD$921))/(MAX($AD$2:$AD$921)-MIN($AD$2:$AD$921))*100,2))</f>
        <v>25.52</v>
      </c>
      <c r="AW521" s="8" t="n">
        <f aca="false">IF(MAX($AN$2:$AN$921)=MIN($AN$2:$AN$921),50,ROUND((AN521-MIN($AN$2:$AN$921))/(MAX($AN$2:$AN$921)-MIN($AN$2:$AN$921))*100,2))</f>
        <v>63.75</v>
      </c>
      <c r="AX521" s="8" t="n">
        <f aca="false">AQ521*100</f>
        <v>0</v>
      </c>
      <c r="AY521" s="8" t="n">
        <f aca="false">AR521*100</f>
        <v>0</v>
      </c>
      <c r="AZ521" s="8" t="n">
        <f aca="false">IFERROR(ROUND(AS521*Assumptions!$I$6+AW521*Assumptions!$I$7+AT521*Assumptions!$I$8+AU521*Assumptions!$I$9+AV521*Assumptions!$I$10+AX521*Assumptions!$I$11+AY521*Assumptions!$I$12,2),"")</f>
        <v>46.23</v>
      </c>
      <c r="BA521" s="0" t="str">
        <f aca="false">IF(AZ521="","",IF(AZ521&lt;=Assumptions!$I$18,"Below Expectation",IF(AZ521&lt;=Assumptions!$I$19,"Developing",IF(AZ521&lt;=Assumptions!$I$20,"Meets Expectation",IF(AZ521&lt;=Assumptions!$I$21,"Exceeds","Star Performer")))))</f>
        <v>Developing</v>
      </c>
      <c r="BB521" s="0" t="n">
        <f aca="false">IF(AZ521="",0,IF(AZ521&gt;=Assumptions!$I$26,1,0))</f>
        <v>0</v>
      </c>
      <c r="BC521" s="9" t="n">
        <f aca="false">IF(AL521="",2,AL521+2)</f>
        <v>3</v>
      </c>
      <c r="BD521" s="10" t="n">
        <f aca="false">IF(AM521="",ROUND(AVERAGE($AM$2:$AM$921),3),AM521)</f>
        <v>0.548</v>
      </c>
      <c r="BE521" s="9" t="n">
        <f aca="false">1-BD521</f>
        <v>0.452</v>
      </c>
    </row>
    <row r="522" customFormat="false" ht="14.25" hidden="true" customHeight="false" outlineLevel="0" collapsed="false">
      <c r="A522" s="4" t="n">
        <v>306</v>
      </c>
      <c r="B522" s="5" t="n">
        <v>10071953</v>
      </c>
      <c r="C522" s="5" t="s">
        <v>85</v>
      </c>
      <c r="D522" s="5" t="s">
        <v>2024</v>
      </c>
      <c r="E522" s="5" t="s">
        <v>235</v>
      </c>
      <c r="F522" s="5" t="s">
        <v>349</v>
      </c>
      <c r="G522" s="5" t="s">
        <v>350</v>
      </c>
      <c r="H522" s="5" t="s">
        <v>349</v>
      </c>
      <c r="I522" s="5" t="s">
        <v>63</v>
      </c>
      <c r="J522" s="5" t="s">
        <v>76</v>
      </c>
      <c r="K522" s="5" t="s">
        <v>65</v>
      </c>
      <c r="L522" s="6" t="n">
        <v>43878</v>
      </c>
      <c r="M522" s="5" t="s">
        <v>1455</v>
      </c>
      <c r="N522" s="6" t="n">
        <v>31917</v>
      </c>
      <c r="O522" s="5" t="s">
        <v>332</v>
      </c>
      <c r="P522" s="5" t="s">
        <v>333</v>
      </c>
      <c r="Q522" s="5" t="s">
        <v>495</v>
      </c>
      <c r="R522" s="5" t="s">
        <v>446</v>
      </c>
      <c r="S522" s="5" t="s">
        <v>1206</v>
      </c>
      <c r="T522" s="6"/>
      <c r="U522" s="6"/>
      <c r="V522" s="5" t="s">
        <v>141</v>
      </c>
      <c r="W522" s="5" t="s">
        <v>141</v>
      </c>
      <c r="X522" s="5" t="s">
        <v>141</v>
      </c>
      <c r="Y522" s="5" t="s">
        <v>83</v>
      </c>
      <c r="Z522" s="5" t="s">
        <v>631</v>
      </c>
      <c r="AA522" s="5" t="s">
        <v>2025</v>
      </c>
      <c r="AB522" s="0" t="n">
        <f aca="false">IFERROR(VALUE(R522),0)</f>
        <v>12.9</v>
      </c>
      <c r="AC522" s="0" t="n">
        <f aca="false">IFERROR(VALUE(M522),"")</f>
        <v>39</v>
      </c>
      <c r="AD522" s="0" t="n">
        <f aca="false">IFERROR(VALUE(Q522),"")</f>
        <v>6.3</v>
      </c>
      <c r="AE522" s="0" t="n">
        <f aca="false">IFERROR(VALUE(S522),"")</f>
        <v>19</v>
      </c>
      <c r="AF522" s="0" t="n">
        <f aca="false">IF(V522="","",VLOOKUP(V522,Assumptions!$B$6:$C$9,2,FALSE()))</f>
        <v>3</v>
      </c>
      <c r="AG522" s="0" t="n">
        <f aca="false">IF(W522="","",VLOOKUP(W522,Assumptions!$B$6:$C$9,2,FALSE()))</f>
        <v>3</v>
      </c>
      <c r="AH522" s="0" t="n">
        <f aca="false">IF(X522="","",VLOOKUP(X522,Assumptions!$B$6:$C$9,2,FALSE()))</f>
        <v>3</v>
      </c>
      <c r="AI522" s="0" t="n">
        <f aca="false">IF(Y522="","",VLOOKUP(Y522,Assumptions!$B$6:$C$9,2,FALSE()))</f>
        <v>4</v>
      </c>
      <c r="AJ522" s="0" t="n">
        <f aca="false">IF(Z522="","",VLOOKUP(Z522,Assumptions!$B$6:$C$9,2,FALSE()))</f>
        <v>2</v>
      </c>
      <c r="AK522" s="7" t="n">
        <f aca="false">IFERROR(ROUND(AVERAGE(AF522:AJ522),3),"")</f>
        <v>3</v>
      </c>
      <c r="AL522" s="7" t="n">
        <f aca="false">IF(OR(AF522="",AJ522=""),"",AJ522-AF522)</f>
        <v>-1</v>
      </c>
      <c r="AM522" s="7" t="n">
        <f aca="false">IF(COUNT(AF522:AJ522)&gt;=2,ROUND(_xlfn.STDEV.S(AF522:AJ522),3),"")</f>
        <v>0.707</v>
      </c>
      <c r="AN522" s="7" t="n">
        <f aca="false">ROUND((IF(AF522="",0,AF522)*Assumptions!$F$15)+(IF(AG522="",0,AG522)*Assumptions!$F$16)+(IF(AH522="",0,AH522)*Assumptions!$F$17)+(IF(AI522="",0,AI522)*Assumptions!$F$18)+(IF(AJ522="",0,AJ522)*Assumptions!$F$19),3)</f>
        <v>2.95</v>
      </c>
      <c r="AO522" s="0" t="str">
        <f aca="false">IF(AC522&lt;=20,"",IF(AC522&lt;=Assumptions!$F$6,"20-30",IF(AC522&lt;=Assumptions!$F$7,"30-40",IF(AC522&lt;=Assumptions!$F$8,"40-50",IF(AC522&lt;=Assumptions!$F$9,"50-60",IF(AC522&lt;=Assumptions!$F$10,"60+",""))))))</f>
        <v>30-40</v>
      </c>
      <c r="AP522" s="0" t="str">
        <f aca="false">IFERROR(VLOOKUP(O522,Assumptions!$B$14:$C$26,2,FALSE()),"Other")</f>
        <v>Manager</v>
      </c>
      <c r="AQ522" s="0" t="n">
        <f aca="false">IF(T522="",0,1)</f>
        <v>0</v>
      </c>
      <c r="AR522" s="0" t="n">
        <f aca="false">IF(U522="",0,1)</f>
        <v>0</v>
      </c>
      <c r="AS522" s="8" t="n">
        <f aca="false">IF(AK522="","",IF(MAX($AK$2:$AK$921)=MIN($AK$2:$AK$921),50,ROUND((AK522-MIN($AK$2:$AK$921))/(MAX($AK$2:$AK$921)-MIN($AK$2:$AK$921))*100,2)))</f>
        <v>57.14</v>
      </c>
      <c r="AT522" s="8" t="n">
        <f aca="false">IF(MAX($BC$2:$BC$921)=MIN($BC$2:$BC$921),50,ROUND((BC522-MIN($BC$2:$BC$921))/(MAX($BC$2:$BC$921)-MIN($BC$2:$BC$921))*100,2))</f>
        <v>25</v>
      </c>
      <c r="AU522" s="8" t="n">
        <f aca="false">IF(MAX($BE$2:$BE$921)=MIN($BE$2:$BE$921),50,ROUND((BE522-MIN($BE$2:$BE$921))/(MAX($BE$2:$BE$921)-MIN($BE$2:$BE$921))*100,2))</f>
        <v>59.18</v>
      </c>
      <c r="AV522" s="8" t="n">
        <f aca="false">IF(MAX($AD$2:$AD$921)=MIN($AD$2:$AD$921),50,ROUND((AD522-MIN($AD$2:$AD$921))/(MAX($AD$2:$AD$921)-MIN($AD$2:$AD$921))*100,2))</f>
        <v>16.83</v>
      </c>
      <c r="AW522" s="8" t="n">
        <f aca="false">IF(MAX($AN$2:$AN$921)=MIN($AN$2:$AN$921),50,ROUND((AN522-MIN($AN$2:$AN$921))/(MAX($AN$2:$AN$921)-MIN($AN$2:$AN$921))*100,2))</f>
        <v>73.75</v>
      </c>
      <c r="AX522" s="8" t="n">
        <f aca="false">AQ522*100</f>
        <v>0</v>
      </c>
      <c r="AY522" s="8" t="n">
        <f aca="false">AR522*100</f>
        <v>0</v>
      </c>
      <c r="AZ522" s="8" t="n">
        <f aca="false">IFERROR(ROUND(AS522*Assumptions!$I$6+AW522*Assumptions!$I$7+AT522*Assumptions!$I$8+AU522*Assumptions!$I$9+AV522*Assumptions!$I$10+AX522*Assumptions!$I$11+AY522*Assumptions!$I$12,2),"")</f>
        <v>46.2</v>
      </c>
      <c r="BA522" s="0" t="str">
        <f aca="false">IF(AZ522="","",IF(AZ522&lt;=Assumptions!$I$18,"Below Expectation",IF(AZ522&lt;=Assumptions!$I$19,"Developing",IF(AZ522&lt;=Assumptions!$I$20,"Meets Expectation",IF(AZ522&lt;=Assumptions!$I$21,"Exceeds","Star Performer")))))</f>
        <v>Developing</v>
      </c>
      <c r="BB522" s="0" t="n">
        <f aca="false">IF(AZ522="",0,IF(AZ522&gt;=Assumptions!$I$26,1,0))</f>
        <v>0</v>
      </c>
      <c r="BC522" s="9" t="n">
        <f aca="false">IF(AL522="",2,AL522+2)</f>
        <v>1</v>
      </c>
      <c r="BD522" s="10" t="n">
        <f aca="false">IF(AM522="",ROUND(AVERAGE($AM$2:$AM$921),3),AM522)</f>
        <v>0.707</v>
      </c>
      <c r="BE522" s="9" t="n">
        <f aca="false">1-BD522</f>
        <v>0.293</v>
      </c>
    </row>
    <row r="523" customFormat="false" ht="14.25" hidden="true" customHeight="false" outlineLevel="0" collapsed="false">
      <c r="A523" s="4" t="n">
        <v>137</v>
      </c>
      <c r="B523" s="5" t="n">
        <v>10043239</v>
      </c>
      <c r="C523" s="5" t="s">
        <v>85</v>
      </c>
      <c r="D523" s="5" t="s">
        <v>2026</v>
      </c>
      <c r="E523" s="5" t="s">
        <v>751</v>
      </c>
      <c r="F523" s="5" t="s">
        <v>349</v>
      </c>
      <c r="G523" s="5" t="s">
        <v>350</v>
      </c>
      <c r="H523" s="5" t="s">
        <v>349</v>
      </c>
      <c r="I523" s="5" t="s">
        <v>63</v>
      </c>
      <c r="J523" s="5" t="s">
        <v>76</v>
      </c>
      <c r="K523" s="5" t="s">
        <v>65</v>
      </c>
      <c r="L523" s="6" t="n">
        <v>41771</v>
      </c>
      <c r="M523" s="5" t="s">
        <v>1544</v>
      </c>
      <c r="N523" s="6" t="n">
        <v>30831</v>
      </c>
      <c r="O523" s="5" t="s">
        <v>332</v>
      </c>
      <c r="P523" s="5" t="s">
        <v>333</v>
      </c>
      <c r="Q523" s="5" t="s">
        <v>1489</v>
      </c>
      <c r="R523" s="5" t="s">
        <v>491</v>
      </c>
      <c r="S523" s="5" t="s">
        <v>1510</v>
      </c>
      <c r="T523" s="6"/>
      <c r="U523" s="6"/>
      <c r="V523" s="5" t="s">
        <v>141</v>
      </c>
      <c r="W523" s="5" t="s">
        <v>141</v>
      </c>
      <c r="X523" s="5" t="s">
        <v>141</v>
      </c>
      <c r="Y523" s="5" t="s">
        <v>141</v>
      </c>
      <c r="Z523" s="5" t="s">
        <v>631</v>
      </c>
      <c r="AA523" s="5" t="s">
        <v>2027</v>
      </c>
      <c r="AB523" s="0" t="n">
        <f aca="false">IFERROR(VALUE(R523),0)</f>
        <v>4.7</v>
      </c>
      <c r="AC523" s="0" t="n">
        <f aca="false">IFERROR(VALUE(M523),"")</f>
        <v>42</v>
      </c>
      <c r="AD523" s="0" t="n">
        <f aca="false">IFERROR(VALUE(Q523),"")</f>
        <v>12</v>
      </c>
      <c r="AE523" s="0" t="n">
        <f aca="false">IFERROR(VALUE(S523),"")</f>
        <v>16.7</v>
      </c>
      <c r="AF523" s="0" t="n">
        <f aca="false">IF(V523="","",VLOOKUP(V523,Assumptions!$B$6:$C$9,2,FALSE()))</f>
        <v>3</v>
      </c>
      <c r="AG523" s="0" t="n">
        <f aca="false">IF(W523="","",VLOOKUP(W523,Assumptions!$B$6:$C$9,2,FALSE()))</f>
        <v>3</v>
      </c>
      <c r="AH523" s="0" t="n">
        <f aca="false">IF(X523="","",VLOOKUP(X523,Assumptions!$B$6:$C$9,2,FALSE()))</f>
        <v>3</v>
      </c>
      <c r="AI523" s="0" t="n">
        <f aca="false">IF(Y523="","",VLOOKUP(Y523,Assumptions!$B$6:$C$9,2,FALSE()))</f>
        <v>3</v>
      </c>
      <c r="AJ523" s="0" t="n">
        <f aca="false">IF(Z523="","",VLOOKUP(Z523,Assumptions!$B$6:$C$9,2,FALSE()))</f>
        <v>2</v>
      </c>
      <c r="AK523" s="7" t="n">
        <f aca="false">IFERROR(ROUND(AVERAGE(AF523:AJ523),3),"")</f>
        <v>2.8</v>
      </c>
      <c r="AL523" s="7" t="n">
        <f aca="false">IF(OR(AF523="",AJ523=""),"",AJ523-AF523)</f>
        <v>-1</v>
      </c>
      <c r="AM523" s="7" t="n">
        <f aca="false">IF(COUNT(AF523:AJ523)&gt;=2,ROUND(_xlfn.STDEV.S(AF523:AJ523),3),"")</f>
        <v>0.447</v>
      </c>
      <c r="AN523" s="7" t="n">
        <f aca="false">ROUND((IF(AF523="",0,AF523)*Assumptions!$F$15)+(IF(AG523="",0,AG523)*Assumptions!$F$16)+(IF(AH523="",0,AH523)*Assumptions!$F$17)+(IF(AI523="",0,AI523)*Assumptions!$F$18)+(IF(AJ523="",0,AJ523)*Assumptions!$F$19),3)</f>
        <v>2.7</v>
      </c>
      <c r="AO523" s="0" t="str">
        <f aca="false">IF(AC523&lt;=20,"",IF(AC523&lt;=Assumptions!$F$6,"20-30",IF(AC523&lt;=Assumptions!$F$7,"30-40",IF(AC523&lt;=Assumptions!$F$8,"40-50",IF(AC523&lt;=Assumptions!$F$9,"50-60",IF(AC523&lt;=Assumptions!$F$10,"60+",""))))))</f>
        <v>40-50</v>
      </c>
      <c r="AP523" s="0" t="str">
        <f aca="false">IFERROR(VLOOKUP(O523,Assumptions!$B$14:$C$26,2,FALSE()),"Other")</f>
        <v>Manager</v>
      </c>
      <c r="AQ523" s="0" t="n">
        <f aca="false">IF(T523="",0,1)</f>
        <v>0</v>
      </c>
      <c r="AR523" s="0" t="n">
        <f aca="false">IF(U523="",0,1)</f>
        <v>0</v>
      </c>
      <c r="AS523" s="8" t="n">
        <f aca="false">IF(AK523="","",IF(MAX($AK$2:$AK$921)=MIN($AK$2:$AK$921),50,ROUND((AK523-MIN($AK$2:$AK$921))/(MAX($AK$2:$AK$921)-MIN($AK$2:$AK$921))*100,2)))</f>
        <v>48.56</v>
      </c>
      <c r="AT523" s="8" t="n">
        <f aca="false">IF(MAX($BC$2:$BC$921)=MIN($BC$2:$BC$921),50,ROUND((BC523-MIN($BC$2:$BC$921))/(MAX($BC$2:$BC$921)-MIN($BC$2:$BC$921))*100,2))</f>
        <v>25</v>
      </c>
      <c r="AU523" s="8" t="n">
        <f aca="false">IF(MAX($BE$2:$BE$921)=MIN($BE$2:$BE$921),50,ROUND((BE523-MIN($BE$2:$BE$921))/(MAX($BE$2:$BE$921)-MIN($BE$2:$BE$921))*100,2))</f>
        <v>74.19</v>
      </c>
      <c r="AV523" s="8" t="n">
        <f aca="false">IF(MAX($AD$2:$AD$921)=MIN($AD$2:$AD$921),50,ROUND((AD523-MIN($AD$2:$AD$921))/(MAX($AD$2:$AD$921)-MIN($AD$2:$AD$921))*100,2))</f>
        <v>32.32</v>
      </c>
      <c r="AW523" s="8" t="n">
        <f aca="false">IF(MAX($AN$2:$AN$921)=MIN($AN$2:$AN$921),50,ROUND((AN523-MIN($AN$2:$AN$921))/(MAX($AN$2:$AN$921)-MIN($AN$2:$AN$921))*100,2))</f>
        <v>67.5</v>
      </c>
      <c r="AX523" s="8" t="n">
        <f aca="false">AQ523*100</f>
        <v>0</v>
      </c>
      <c r="AY523" s="8" t="n">
        <f aca="false">AR523*100</f>
        <v>0</v>
      </c>
      <c r="AZ523" s="8" t="n">
        <f aca="false">IFERROR(ROUND(AS523*Assumptions!$I$6+AW523*Assumptions!$I$7+AT523*Assumptions!$I$8+AU523*Assumptions!$I$9+AV523*Assumptions!$I$10+AX523*Assumptions!$I$11+AY523*Assumptions!$I$12,2),"")</f>
        <v>46.18</v>
      </c>
      <c r="BA523" s="0" t="str">
        <f aca="false">IF(AZ523="","",IF(AZ523&lt;=Assumptions!$I$18,"Below Expectation",IF(AZ523&lt;=Assumptions!$I$19,"Developing",IF(AZ523&lt;=Assumptions!$I$20,"Meets Expectation",IF(AZ523&lt;=Assumptions!$I$21,"Exceeds","Star Performer")))))</f>
        <v>Developing</v>
      </c>
      <c r="BB523" s="0" t="n">
        <f aca="false">IF(AZ523="",0,IF(AZ523&gt;=Assumptions!$I$26,1,0))</f>
        <v>0</v>
      </c>
      <c r="BC523" s="9" t="n">
        <f aca="false">IF(AL523="",2,AL523+2)</f>
        <v>1</v>
      </c>
      <c r="BD523" s="10" t="n">
        <f aca="false">IF(AM523="",ROUND(AVERAGE($AM$2:$AM$921),3),AM523)</f>
        <v>0.447</v>
      </c>
      <c r="BE523" s="9" t="n">
        <f aca="false">1-BD523</f>
        <v>0.553</v>
      </c>
    </row>
    <row r="524" customFormat="false" ht="14.25" hidden="true" customHeight="false" outlineLevel="0" collapsed="false">
      <c r="A524" s="4" t="n">
        <v>341</v>
      </c>
      <c r="B524" s="5" t="n">
        <v>37100066</v>
      </c>
      <c r="C524" s="5" t="s">
        <v>85</v>
      </c>
      <c r="D524" s="5" t="s">
        <v>2028</v>
      </c>
      <c r="E524" s="5" t="s">
        <v>2029</v>
      </c>
      <c r="F524" s="5" t="s">
        <v>380</v>
      </c>
      <c r="G524" s="5" t="s">
        <v>379</v>
      </c>
      <c r="H524" s="5" t="s">
        <v>380</v>
      </c>
      <c r="I524" s="5" t="s">
        <v>63</v>
      </c>
      <c r="J524" s="5" t="s">
        <v>76</v>
      </c>
      <c r="K524" s="5" t="s">
        <v>65</v>
      </c>
      <c r="L524" s="6" t="n">
        <v>37879</v>
      </c>
      <c r="M524" s="5" t="s">
        <v>939</v>
      </c>
      <c r="N524" s="6" t="n">
        <v>27301</v>
      </c>
      <c r="O524" s="5" t="s">
        <v>332</v>
      </c>
      <c r="P524" s="5" t="s">
        <v>333</v>
      </c>
      <c r="Q524" s="5" t="s">
        <v>492</v>
      </c>
      <c r="R524" s="5" t="s">
        <v>486</v>
      </c>
      <c r="S524" s="5" t="s">
        <v>232</v>
      </c>
      <c r="T524" s="6" t="n">
        <v>39173</v>
      </c>
      <c r="U524" s="6"/>
      <c r="V524" s="5" t="s">
        <v>2030</v>
      </c>
      <c r="W524" s="5" t="s">
        <v>631</v>
      </c>
      <c r="X524" s="5" t="s">
        <v>141</v>
      </c>
      <c r="Y524" s="5" t="s">
        <v>631</v>
      </c>
      <c r="Z524" s="5" t="s">
        <v>631</v>
      </c>
      <c r="AA524" s="5" t="s">
        <v>2031</v>
      </c>
      <c r="AB524" s="0" t="n">
        <f aca="false">IFERROR(VALUE(R524),0)</f>
        <v>6.5</v>
      </c>
      <c r="AC524" s="0" t="n">
        <f aca="false">IFERROR(VALUE(M524),"")</f>
        <v>51.8</v>
      </c>
      <c r="AD524" s="0" t="n">
        <f aca="false">IFERROR(VALUE(Q524),"")</f>
        <v>22.8</v>
      </c>
      <c r="AE524" s="0" t="n">
        <f aca="false">IFERROR(VALUE(S524),"")</f>
        <v>29.1</v>
      </c>
      <c r="AF524" s="0" t="n">
        <f aca="false">IF(V524="","",VLOOKUP(V524,Assumptions!$B$6:$C$9,2,FALSE()))</f>
        <v>1</v>
      </c>
      <c r="AG524" s="0" t="n">
        <f aca="false">IF(W524="","",VLOOKUP(W524,Assumptions!$B$6:$C$9,2,FALSE()))</f>
        <v>2</v>
      </c>
      <c r="AH524" s="0" t="n">
        <f aca="false">IF(X524="","",VLOOKUP(X524,Assumptions!$B$6:$C$9,2,FALSE()))</f>
        <v>3</v>
      </c>
      <c r="AI524" s="0" t="n">
        <f aca="false">IF(Y524="","",VLOOKUP(Y524,Assumptions!$B$6:$C$9,2,FALSE()))</f>
        <v>2</v>
      </c>
      <c r="AJ524" s="0" t="n">
        <f aca="false">IF(Z524="","",VLOOKUP(Z524,Assumptions!$B$6:$C$9,2,FALSE()))</f>
        <v>2</v>
      </c>
      <c r="AK524" s="7" t="n">
        <f aca="false">IFERROR(ROUND(AVERAGE(AF524:AJ524),3),"")</f>
        <v>2</v>
      </c>
      <c r="AL524" s="7" t="n">
        <f aca="false">IF(OR(AF524="",AJ524=""),"",AJ524-AF524)</f>
        <v>1</v>
      </c>
      <c r="AM524" s="7" t="n">
        <f aca="false">IF(COUNT(AF524:AJ524)&gt;=2,ROUND(_xlfn.STDEV.S(AF524:AJ524),3),"")</f>
        <v>0.707</v>
      </c>
      <c r="AN524" s="7" t="n">
        <f aca="false">ROUND((IF(AF524="",0,AF524)*Assumptions!$F$15)+(IF(AG524="",0,AG524)*Assumptions!$F$16)+(IF(AH524="",0,AH524)*Assumptions!$F$17)+(IF(AI524="",0,AI524)*Assumptions!$F$18)+(IF(AJ524="",0,AJ524)*Assumptions!$F$19),3)</f>
        <v>2.1</v>
      </c>
      <c r="AO524" s="0" t="str">
        <f aca="false">IF(AC524&lt;=20,"",IF(AC524&lt;=Assumptions!$F$6,"20-30",IF(AC524&lt;=Assumptions!$F$7,"30-40",IF(AC524&lt;=Assumptions!$F$8,"40-50",IF(AC524&lt;=Assumptions!$F$9,"50-60",IF(AC524&lt;=Assumptions!$F$10,"60+",""))))))</f>
        <v>50-60</v>
      </c>
      <c r="AP524" s="0" t="str">
        <f aca="false">IFERROR(VLOOKUP(O524,Assumptions!$B$14:$C$26,2,FALSE()),"Other")</f>
        <v>Manager</v>
      </c>
      <c r="AQ524" s="0" t="n">
        <f aca="false">IF(T524="",0,1)</f>
        <v>1</v>
      </c>
      <c r="AR524" s="0" t="n">
        <f aca="false">IF(U524="",0,1)</f>
        <v>0</v>
      </c>
      <c r="AS524" s="8" t="n">
        <f aca="false">IF(AK524="","",IF(MAX($AK$2:$AK$921)=MIN($AK$2:$AK$921),50,ROUND((AK524-MIN($AK$2:$AK$921))/(MAX($AK$2:$AK$921)-MIN($AK$2:$AK$921))*100,2)))</f>
        <v>14.27</v>
      </c>
      <c r="AT524" s="8" t="n">
        <f aca="false">IF(MAX($BC$2:$BC$921)=MIN($BC$2:$BC$921),50,ROUND((BC524-MIN($BC$2:$BC$921))/(MAX($BC$2:$BC$921)-MIN($BC$2:$BC$921))*100,2))</f>
        <v>75</v>
      </c>
      <c r="AU524" s="8" t="n">
        <f aca="false">IF(MAX($BE$2:$BE$921)=MIN($BE$2:$BE$921),50,ROUND((BE524-MIN($BE$2:$BE$921))/(MAX($BE$2:$BE$921)-MIN($BE$2:$BE$921))*100,2))</f>
        <v>59.18</v>
      </c>
      <c r="AV524" s="8" t="n">
        <f aca="false">IF(MAX($AD$2:$AD$921)=MIN($AD$2:$AD$921),50,ROUND((AD524-MIN($AD$2:$AD$921))/(MAX($AD$2:$AD$921)-MIN($AD$2:$AD$921))*100,2))</f>
        <v>61.67</v>
      </c>
      <c r="AW524" s="8" t="n">
        <f aca="false">IF(MAX($AN$2:$AN$921)=MIN($AN$2:$AN$921),50,ROUND((AN524-MIN($AN$2:$AN$921))/(MAX($AN$2:$AN$921)-MIN($AN$2:$AN$921))*100,2))</f>
        <v>52.5</v>
      </c>
      <c r="AX524" s="8" t="n">
        <f aca="false">AQ524*100</f>
        <v>100</v>
      </c>
      <c r="AY524" s="8" t="n">
        <f aca="false">AR524*100</f>
        <v>0</v>
      </c>
      <c r="AZ524" s="8" t="n">
        <f aca="false">IFERROR(ROUND(AS524*Assumptions!$I$6+AW524*Assumptions!$I$7+AT524*Assumptions!$I$8+AU524*Assumptions!$I$9+AV524*Assumptions!$I$10+AX524*Assumptions!$I$11+AY524*Assumptions!$I$12,2),"")</f>
        <v>46.08</v>
      </c>
      <c r="BA524" s="0" t="str">
        <f aca="false">IF(AZ524="","",IF(AZ524&lt;=Assumptions!$I$18,"Below Expectation",IF(AZ524&lt;=Assumptions!$I$19,"Developing",IF(AZ524&lt;=Assumptions!$I$20,"Meets Expectation",IF(AZ524&lt;=Assumptions!$I$21,"Exceeds","Star Performer")))))</f>
        <v>Developing</v>
      </c>
      <c r="BB524" s="0" t="n">
        <f aca="false">IF(AZ524="",0,IF(AZ524&gt;=Assumptions!$I$26,1,0))</f>
        <v>0</v>
      </c>
      <c r="BC524" s="9" t="n">
        <f aca="false">IF(AL524="",2,AL524+2)</f>
        <v>3</v>
      </c>
      <c r="BD524" s="10" t="n">
        <f aca="false">IF(AM524="",ROUND(AVERAGE($AM$2:$AM$921),3),AM524)</f>
        <v>0.707</v>
      </c>
      <c r="BE524" s="9" t="n">
        <f aca="false">1-BD524</f>
        <v>0.293</v>
      </c>
    </row>
    <row r="525" customFormat="false" ht="14.25" hidden="true" customHeight="false" outlineLevel="0" collapsed="false">
      <c r="A525" s="4" t="n">
        <v>368</v>
      </c>
      <c r="B525" s="5" t="n">
        <v>37102288</v>
      </c>
      <c r="C525" s="5" t="s">
        <v>85</v>
      </c>
      <c r="D525" s="5" t="s">
        <v>2032</v>
      </c>
      <c r="E525" s="5" t="s">
        <v>2029</v>
      </c>
      <c r="F525" s="5" t="s">
        <v>258</v>
      </c>
      <c r="G525" s="5" t="s">
        <v>259</v>
      </c>
      <c r="H525" s="5" t="s">
        <v>260</v>
      </c>
      <c r="I525" s="5" t="s">
        <v>63</v>
      </c>
      <c r="J525" s="5" t="s">
        <v>76</v>
      </c>
      <c r="K525" s="5" t="s">
        <v>65</v>
      </c>
      <c r="L525" s="6" t="n">
        <v>40431</v>
      </c>
      <c r="M525" s="5" t="s">
        <v>1336</v>
      </c>
      <c r="N525" s="6" t="n">
        <v>26820</v>
      </c>
      <c r="O525" s="5" t="s">
        <v>262</v>
      </c>
      <c r="P525" s="5" t="s">
        <v>263</v>
      </c>
      <c r="Q525" s="5" t="s">
        <v>460</v>
      </c>
      <c r="R525" s="5" t="s">
        <v>218</v>
      </c>
      <c r="S525" s="5" t="s">
        <v>739</v>
      </c>
      <c r="T525" s="6"/>
      <c r="U525" s="6" t="n">
        <v>44440</v>
      </c>
      <c r="V525" s="5" t="s">
        <v>631</v>
      </c>
      <c r="W525" s="5" t="s">
        <v>631</v>
      </c>
      <c r="X525" s="5" t="s">
        <v>631</v>
      </c>
      <c r="Y525" s="5" t="s">
        <v>631</v>
      </c>
      <c r="Z525" s="5" t="s">
        <v>631</v>
      </c>
      <c r="AA525" s="5" t="s">
        <v>2033</v>
      </c>
      <c r="AB525" s="0" t="n">
        <f aca="false">IFERROR(VALUE(R525),0)</f>
        <v>14.6</v>
      </c>
      <c r="AC525" s="0" t="n">
        <f aca="false">IFERROR(VALUE(M525),"")</f>
        <v>53</v>
      </c>
      <c r="AD525" s="0" t="n">
        <f aca="false">IFERROR(VALUE(Q525),"")</f>
        <v>15.8</v>
      </c>
      <c r="AE525" s="0" t="n">
        <f aca="false">IFERROR(VALUE(S525),"")</f>
        <v>30.2</v>
      </c>
      <c r="AF525" s="0" t="n">
        <f aca="false">IF(V525="","",VLOOKUP(V525,Assumptions!$B$6:$C$9,2,FALSE()))</f>
        <v>2</v>
      </c>
      <c r="AG525" s="0" t="n">
        <f aca="false">IF(W525="","",VLOOKUP(W525,Assumptions!$B$6:$C$9,2,FALSE()))</f>
        <v>2</v>
      </c>
      <c r="AH525" s="0" t="n">
        <f aca="false">IF(X525="","",VLOOKUP(X525,Assumptions!$B$6:$C$9,2,FALSE()))</f>
        <v>2</v>
      </c>
      <c r="AI525" s="0" t="n">
        <f aca="false">IF(Y525="","",VLOOKUP(Y525,Assumptions!$B$6:$C$9,2,FALSE()))</f>
        <v>2</v>
      </c>
      <c r="AJ525" s="0" t="n">
        <f aca="false">IF(Z525="","",VLOOKUP(Z525,Assumptions!$B$6:$C$9,2,FALSE()))</f>
        <v>2</v>
      </c>
      <c r="AK525" s="7" t="n">
        <f aca="false">IFERROR(ROUND(AVERAGE(AF525:AJ525),3),"")</f>
        <v>2</v>
      </c>
      <c r="AL525" s="7" t="n">
        <f aca="false">IF(OR(AF525="",AJ525=""),"",AJ525-AF525)</f>
        <v>0</v>
      </c>
      <c r="AM525" s="7" t="n">
        <f aca="false">IF(COUNT(AF525:AJ525)&gt;=2,ROUND(_xlfn.STDEV.S(AF525:AJ525),3),"")</f>
        <v>0</v>
      </c>
      <c r="AN525" s="7" t="n">
        <f aca="false">ROUND((IF(AF525="",0,AF525)*Assumptions!$F$15)+(IF(AG525="",0,AG525)*Assumptions!$F$16)+(IF(AH525="",0,AH525)*Assumptions!$F$17)+(IF(AI525="",0,AI525)*Assumptions!$F$18)+(IF(AJ525="",0,AJ525)*Assumptions!$F$19),3)</f>
        <v>2</v>
      </c>
      <c r="AO525" s="0" t="str">
        <f aca="false">IF(AC525&lt;=20,"",IF(AC525&lt;=Assumptions!$F$6,"20-30",IF(AC525&lt;=Assumptions!$F$7,"30-40",IF(AC525&lt;=Assumptions!$F$8,"40-50",IF(AC525&lt;=Assumptions!$F$9,"50-60",IF(AC525&lt;=Assumptions!$F$10,"60+",""))))))</f>
        <v>50-60</v>
      </c>
      <c r="AP525" s="0" t="str">
        <f aca="false">IFERROR(VLOOKUP(O525,Assumptions!$B$14:$C$26,2,FALSE()),"Other")</f>
        <v>Manager</v>
      </c>
      <c r="AQ525" s="0" t="n">
        <f aca="false">IF(T525="",0,1)</f>
        <v>0</v>
      </c>
      <c r="AR525" s="0" t="n">
        <f aca="false">IF(U525="",0,1)</f>
        <v>1</v>
      </c>
      <c r="AS525" s="8" t="n">
        <f aca="false">IF(AK525="","",IF(MAX($AK$2:$AK$921)=MIN($AK$2:$AK$921),50,ROUND((AK525-MIN($AK$2:$AK$921))/(MAX($AK$2:$AK$921)-MIN($AK$2:$AK$921))*100,2)))</f>
        <v>14.27</v>
      </c>
      <c r="AT525" s="8" t="n">
        <f aca="false">IF(MAX($BC$2:$BC$921)=MIN($BC$2:$BC$921),50,ROUND((BC525-MIN($BC$2:$BC$921))/(MAX($BC$2:$BC$921)-MIN($BC$2:$BC$921))*100,2))</f>
        <v>50</v>
      </c>
      <c r="AU525" s="8" t="n">
        <f aca="false">IF(MAX($BE$2:$BE$921)=MIN($BE$2:$BE$921),50,ROUND((BE525-MIN($BE$2:$BE$921))/(MAX($BE$2:$BE$921)-MIN($BE$2:$BE$921))*100,2))</f>
        <v>100</v>
      </c>
      <c r="AV525" s="8" t="n">
        <f aca="false">IF(MAX($AD$2:$AD$921)=MIN($AD$2:$AD$921),50,ROUND((AD525-MIN($AD$2:$AD$921))/(MAX($AD$2:$AD$921)-MIN($AD$2:$AD$921))*100,2))</f>
        <v>42.65</v>
      </c>
      <c r="AW525" s="8" t="n">
        <f aca="false">IF(MAX($AN$2:$AN$921)=MIN($AN$2:$AN$921),50,ROUND((AN525-MIN($AN$2:$AN$921))/(MAX($AN$2:$AN$921)-MIN($AN$2:$AN$921))*100,2))</f>
        <v>50</v>
      </c>
      <c r="AX525" s="8" t="n">
        <f aca="false">AQ525*100</f>
        <v>0</v>
      </c>
      <c r="AY525" s="8" t="n">
        <f aca="false">AR525*100</f>
        <v>100</v>
      </c>
      <c r="AZ525" s="8" t="n">
        <f aca="false">IFERROR(ROUND(AS525*Assumptions!$I$6+AW525*Assumptions!$I$7+AT525*Assumptions!$I$8+AU525*Assumptions!$I$9+AV525*Assumptions!$I$10+AX525*Assumptions!$I$11+AY525*Assumptions!$I$12,2),"")</f>
        <v>46.05</v>
      </c>
      <c r="BA525" s="0" t="str">
        <f aca="false">IF(AZ525="","",IF(AZ525&lt;=Assumptions!$I$18,"Below Expectation",IF(AZ525&lt;=Assumptions!$I$19,"Developing",IF(AZ525&lt;=Assumptions!$I$20,"Meets Expectation",IF(AZ525&lt;=Assumptions!$I$21,"Exceeds","Star Performer")))))</f>
        <v>Developing</v>
      </c>
      <c r="BB525" s="0" t="n">
        <f aca="false">IF(AZ525="",0,IF(AZ525&gt;=Assumptions!$I$26,1,0))</f>
        <v>0</v>
      </c>
      <c r="BC525" s="9" t="n">
        <f aca="false">IF(AL525="",2,AL525+2)</f>
        <v>2</v>
      </c>
      <c r="BD525" s="10" t="n">
        <f aca="false">IF(AM525="",ROUND(AVERAGE($AM$2:$AM$921),3),AM525)</f>
        <v>0</v>
      </c>
      <c r="BE525" s="9" t="n">
        <f aca="false">1-BD525</f>
        <v>1</v>
      </c>
    </row>
    <row r="526" customFormat="false" ht="14.25" hidden="true" customHeight="false" outlineLevel="0" collapsed="false">
      <c r="A526" s="4" t="n">
        <v>295</v>
      </c>
      <c r="B526" s="5" t="n">
        <v>10070380</v>
      </c>
      <c r="C526" s="5" t="s">
        <v>85</v>
      </c>
      <c r="D526" s="5" t="s">
        <v>2034</v>
      </c>
      <c r="E526" s="5" t="s">
        <v>137</v>
      </c>
      <c r="F526" s="5" t="s">
        <v>1731</v>
      </c>
      <c r="G526" s="5" t="s">
        <v>1732</v>
      </c>
      <c r="H526" s="5" t="s">
        <v>1731</v>
      </c>
      <c r="I526" s="5" t="s">
        <v>63</v>
      </c>
      <c r="J526" s="5" t="s">
        <v>76</v>
      </c>
      <c r="K526" s="5" t="s">
        <v>65</v>
      </c>
      <c r="L526" s="6" t="n">
        <v>43734</v>
      </c>
      <c r="M526" s="5" t="s">
        <v>80</v>
      </c>
      <c r="N526" s="6" t="n">
        <v>35353</v>
      </c>
      <c r="O526" s="5" t="s">
        <v>1264</v>
      </c>
      <c r="P526" s="5" t="s">
        <v>1559</v>
      </c>
      <c r="Q526" s="5" t="s">
        <v>711</v>
      </c>
      <c r="R526" s="5" t="s">
        <v>115</v>
      </c>
      <c r="S526" s="5" t="s">
        <v>711</v>
      </c>
      <c r="T526" s="6" t="n">
        <v>45078</v>
      </c>
      <c r="U526" s="6"/>
      <c r="V526" s="5" t="s">
        <v>631</v>
      </c>
      <c r="W526" s="5" t="s">
        <v>141</v>
      </c>
      <c r="X526" s="5" t="s">
        <v>631</v>
      </c>
      <c r="Y526" s="5" t="s">
        <v>141</v>
      </c>
      <c r="Z526" s="5" t="s">
        <v>631</v>
      </c>
      <c r="AA526" s="5" t="s">
        <v>2035</v>
      </c>
      <c r="AB526" s="0" t="n">
        <f aca="false">IFERROR(VALUE(R526),0)</f>
        <v>0</v>
      </c>
      <c r="AC526" s="0" t="n">
        <f aca="false">IFERROR(VALUE(M526),"")</f>
        <v>29.7</v>
      </c>
      <c r="AD526" s="0" t="n">
        <f aca="false">IFERROR(VALUE(Q526),"")</f>
        <v>6.8</v>
      </c>
      <c r="AE526" s="0" t="n">
        <f aca="false">IFERROR(VALUE(S526),"")</f>
        <v>6.8</v>
      </c>
      <c r="AF526" s="0" t="n">
        <f aca="false">IF(V526="","",VLOOKUP(V526,Assumptions!$B$6:$C$9,2,FALSE()))</f>
        <v>2</v>
      </c>
      <c r="AG526" s="0" t="n">
        <f aca="false">IF(W526="","",VLOOKUP(W526,Assumptions!$B$6:$C$9,2,FALSE()))</f>
        <v>3</v>
      </c>
      <c r="AH526" s="0" t="n">
        <f aca="false">IF(X526="","",VLOOKUP(X526,Assumptions!$B$6:$C$9,2,FALSE()))</f>
        <v>2</v>
      </c>
      <c r="AI526" s="0" t="n">
        <f aca="false">IF(Y526="","",VLOOKUP(Y526,Assumptions!$B$6:$C$9,2,FALSE()))</f>
        <v>3</v>
      </c>
      <c r="AJ526" s="0" t="n">
        <f aca="false">IF(Z526="","",VLOOKUP(Z526,Assumptions!$B$6:$C$9,2,FALSE()))</f>
        <v>2</v>
      </c>
      <c r="AK526" s="7" t="n">
        <f aca="false">IFERROR(ROUND(AVERAGE(AF526:AJ526),3),"")</f>
        <v>2.4</v>
      </c>
      <c r="AL526" s="7" t="n">
        <f aca="false">IF(OR(AF526="",AJ526=""),"",AJ526-AF526)</f>
        <v>0</v>
      </c>
      <c r="AM526" s="7" t="n">
        <f aca="false">IF(COUNT(AF526:AJ526)&gt;=2,ROUND(_xlfn.STDEV.S(AF526:AJ526),3),"")</f>
        <v>0.548</v>
      </c>
      <c r="AN526" s="7" t="n">
        <f aca="false">ROUND((IF(AF526="",0,AF526)*Assumptions!$F$15)+(IF(AG526="",0,AG526)*Assumptions!$F$16)+(IF(AH526="",0,AH526)*Assumptions!$F$17)+(IF(AI526="",0,AI526)*Assumptions!$F$18)+(IF(AJ526="",0,AJ526)*Assumptions!$F$19),3)</f>
        <v>2.4</v>
      </c>
      <c r="AO526" s="0" t="str">
        <f aca="false">IF(AC526&lt;=20,"",IF(AC526&lt;=Assumptions!$F$6,"20-30",IF(AC526&lt;=Assumptions!$F$7,"30-40",IF(AC526&lt;=Assumptions!$F$8,"40-50",IF(AC526&lt;=Assumptions!$F$9,"50-60",IF(AC526&lt;=Assumptions!$F$10,"60+",""))))))</f>
        <v>20-30</v>
      </c>
      <c r="AP526" s="0" t="str">
        <f aca="false">IFERROR(VLOOKUP(O526,Assumptions!$B$14:$C$26,2,FALSE()),"Other")</f>
        <v>Manager</v>
      </c>
      <c r="AQ526" s="0" t="n">
        <f aca="false">IF(T526="",0,1)</f>
        <v>1</v>
      </c>
      <c r="AR526" s="0" t="n">
        <f aca="false">IF(U526="",0,1)</f>
        <v>0</v>
      </c>
      <c r="AS526" s="8" t="n">
        <f aca="false">IF(AK526="","",IF(MAX($AK$2:$AK$921)=MIN($AK$2:$AK$921),50,ROUND((AK526-MIN($AK$2:$AK$921))/(MAX($AK$2:$AK$921)-MIN($AK$2:$AK$921))*100,2)))</f>
        <v>31.42</v>
      </c>
      <c r="AT526" s="8" t="n">
        <f aca="false">IF(MAX($BC$2:$BC$921)=MIN($BC$2:$BC$921),50,ROUND((BC526-MIN($BC$2:$BC$921))/(MAX($BC$2:$BC$921)-MIN($BC$2:$BC$921))*100,2))</f>
        <v>50</v>
      </c>
      <c r="AU526" s="8" t="n">
        <f aca="false">IF(MAX($BE$2:$BE$921)=MIN($BE$2:$BE$921),50,ROUND((BE526-MIN($BE$2:$BE$921))/(MAX($BE$2:$BE$921)-MIN($BE$2:$BE$921))*100,2))</f>
        <v>68.36</v>
      </c>
      <c r="AV526" s="8" t="n">
        <f aca="false">IF(MAX($AD$2:$AD$921)=MIN($AD$2:$AD$921),50,ROUND((AD526-MIN($AD$2:$AD$921))/(MAX($AD$2:$AD$921)-MIN($AD$2:$AD$921))*100,2))</f>
        <v>18.18</v>
      </c>
      <c r="AW526" s="8" t="n">
        <f aca="false">IF(MAX($AN$2:$AN$921)=MIN($AN$2:$AN$921),50,ROUND((AN526-MIN($AN$2:$AN$921))/(MAX($AN$2:$AN$921)-MIN($AN$2:$AN$921))*100,2))</f>
        <v>60</v>
      </c>
      <c r="AX526" s="8" t="n">
        <f aca="false">AQ526*100</f>
        <v>100</v>
      </c>
      <c r="AY526" s="8" t="n">
        <f aca="false">AR526*100</f>
        <v>0</v>
      </c>
      <c r="AZ526" s="8" t="n">
        <f aca="false">IFERROR(ROUND(AS526*Assumptions!$I$6+AW526*Assumptions!$I$7+AT526*Assumptions!$I$8+AU526*Assumptions!$I$9+AV526*Assumptions!$I$10+AX526*Assumptions!$I$11+AY526*Assumptions!$I$12,2),"")</f>
        <v>46</v>
      </c>
      <c r="BA526" s="0" t="str">
        <f aca="false">IF(AZ526="","",IF(AZ526&lt;=Assumptions!$I$18,"Below Expectation",IF(AZ526&lt;=Assumptions!$I$19,"Developing",IF(AZ526&lt;=Assumptions!$I$20,"Meets Expectation",IF(AZ526&lt;=Assumptions!$I$21,"Exceeds","Star Performer")))))</f>
        <v>Developing</v>
      </c>
      <c r="BB526" s="0" t="n">
        <f aca="false">IF(AZ526="",0,IF(AZ526&gt;=Assumptions!$I$26,1,0))</f>
        <v>0</v>
      </c>
      <c r="BC526" s="9" t="n">
        <f aca="false">IF(AL526="",2,AL526+2)</f>
        <v>2</v>
      </c>
      <c r="BD526" s="10" t="n">
        <f aca="false">IF(AM526="",ROUND(AVERAGE($AM$2:$AM$921),3),AM526)</f>
        <v>0.548</v>
      </c>
      <c r="BE526" s="9" t="n">
        <f aca="false">1-BD526</f>
        <v>0.452</v>
      </c>
    </row>
    <row r="527" customFormat="false" ht="14.25" hidden="true" customHeight="false" outlineLevel="0" collapsed="false">
      <c r="A527" s="4" t="n">
        <v>533</v>
      </c>
      <c r="B527" s="5" t="n">
        <v>55046886</v>
      </c>
      <c r="C527" s="5" t="s">
        <v>57</v>
      </c>
      <c r="D527" s="5" t="s">
        <v>2036</v>
      </c>
      <c r="E527" s="5" t="s">
        <v>456</v>
      </c>
      <c r="F527" s="5" t="s">
        <v>387</v>
      </c>
      <c r="G527" s="5" t="s">
        <v>388</v>
      </c>
      <c r="H527" s="5" t="s">
        <v>387</v>
      </c>
      <c r="I527" s="5" t="s">
        <v>63</v>
      </c>
      <c r="J527" s="5" t="s">
        <v>100</v>
      </c>
      <c r="K527" s="5" t="s">
        <v>309</v>
      </c>
      <c r="L527" s="6" t="n">
        <v>44602</v>
      </c>
      <c r="M527" s="5" t="s">
        <v>1579</v>
      </c>
      <c r="N527" s="6" t="n">
        <v>29585</v>
      </c>
      <c r="O527" s="5" t="s">
        <v>332</v>
      </c>
      <c r="P527" s="5" t="s">
        <v>333</v>
      </c>
      <c r="Q527" s="5" t="s">
        <v>1407</v>
      </c>
      <c r="R527" s="5" t="s">
        <v>383</v>
      </c>
      <c r="S527" s="5" t="s">
        <v>288</v>
      </c>
      <c r="T527" s="6"/>
      <c r="U527" s="6"/>
      <c r="V527" s="5"/>
      <c r="W527" s="5" t="s">
        <v>631</v>
      </c>
      <c r="X527" s="5" t="s">
        <v>141</v>
      </c>
      <c r="Y527" s="5" t="s">
        <v>141</v>
      </c>
      <c r="Z527" s="5" t="s">
        <v>141</v>
      </c>
      <c r="AA527" s="5" t="s">
        <v>2037</v>
      </c>
      <c r="AB527" s="0" t="n">
        <f aca="false">IFERROR(VALUE(R527),0)</f>
        <v>15.6</v>
      </c>
      <c r="AC527" s="0" t="n">
        <f aca="false">IFERROR(VALUE(M527),"")</f>
        <v>45.5</v>
      </c>
      <c r="AD527" s="0" t="n">
        <f aca="false">IFERROR(VALUE(Q527),"")</f>
        <v>4.3</v>
      </c>
      <c r="AE527" s="0" t="n">
        <f aca="false">IFERROR(VALUE(S527),"")</f>
        <v>19.9</v>
      </c>
      <c r="AF527" s="0" t="str">
        <f aca="false">IF(V527="","",VLOOKUP(V527,Assumptions!$B$6:$C$9,2,FALSE()))</f>
        <v/>
      </c>
      <c r="AG527" s="0" t="n">
        <f aca="false">IF(W527="","",VLOOKUP(W527,Assumptions!$B$6:$C$9,2,FALSE()))</f>
        <v>2</v>
      </c>
      <c r="AH527" s="0" t="n">
        <f aca="false">IF(X527="","",VLOOKUP(X527,Assumptions!$B$6:$C$9,2,FALSE()))</f>
        <v>3</v>
      </c>
      <c r="AI527" s="0" t="n">
        <f aca="false">IF(Y527="","",VLOOKUP(Y527,Assumptions!$B$6:$C$9,2,FALSE()))</f>
        <v>3</v>
      </c>
      <c r="AJ527" s="0" t="n">
        <f aca="false">IF(Z527="","",VLOOKUP(Z527,Assumptions!$B$6:$C$9,2,FALSE()))</f>
        <v>3</v>
      </c>
      <c r="AK527" s="7" t="n">
        <f aca="false">IFERROR(ROUND(AVERAGE(AF527:AJ527),3),"")</f>
        <v>2.75</v>
      </c>
      <c r="AL527" s="7" t="str">
        <f aca="false">IF(OR(AF527="",AJ527=""),"",AJ527-AF527)</f>
        <v/>
      </c>
      <c r="AM527" s="7" t="n">
        <f aca="false">IF(COUNT(AF527:AJ527)&gt;=2,ROUND(_xlfn.STDEV.S(AF527:AJ527),3),"")</f>
        <v>0.5</v>
      </c>
      <c r="AN527" s="7" t="n">
        <f aca="false">ROUND((IF(AF527="",0,AF527)*Assumptions!$F$15)+(IF(AG527="",0,AG527)*Assumptions!$F$16)+(IF(AH527="",0,AH527)*Assumptions!$F$17)+(IF(AI527="",0,AI527)*Assumptions!$F$18)+(IF(AJ527="",0,AJ527)*Assumptions!$F$19),3)</f>
        <v>2.55</v>
      </c>
      <c r="AO527" s="0" t="str">
        <f aca="false">IF(AC527&lt;=20,"",IF(AC527&lt;=Assumptions!$F$6,"20-30",IF(AC527&lt;=Assumptions!$F$7,"30-40",IF(AC527&lt;=Assumptions!$F$8,"40-50",IF(AC527&lt;=Assumptions!$F$9,"50-60",IF(AC527&lt;=Assumptions!$F$10,"60+",""))))))</f>
        <v>40-50</v>
      </c>
      <c r="AP527" s="0" t="str">
        <f aca="false">IFERROR(VLOOKUP(O527,Assumptions!$B$14:$C$26,2,FALSE()),"Other")</f>
        <v>Manager</v>
      </c>
      <c r="AQ527" s="0" t="n">
        <f aca="false">IF(T527="",0,1)</f>
        <v>0</v>
      </c>
      <c r="AR527" s="0" t="n">
        <f aca="false">IF(U527="",0,1)</f>
        <v>0</v>
      </c>
      <c r="AS527" s="8" t="n">
        <f aca="false">IF(AK527="","",IF(MAX($AK$2:$AK$921)=MIN($AK$2:$AK$921),50,ROUND((AK527-MIN($AK$2:$AK$921))/(MAX($AK$2:$AK$921)-MIN($AK$2:$AK$921))*100,2)))</f>
        <v>46.42</v>
      </c>
      <c r="AT527" s="8" t="n">
        <f aca="false">IF(MAX($BC$2:$BC$921)=MIN($BC$2:$BC$921),50,ROUND((BC527-MIN($BC$2:$BC$921))/(MAX($BC$2:$BC$921)-MIN($BC$2:$BC$921))*100,2))</f>
        <v>50</v>
      </c>
      <c r="AU527" s="8" t="n">
        <f aca="false">IF(MAX($BE$2:$BE$921)=MIN($BE$2:$BE$921),50,ROUND((BE527-MIN($BE$2:$BE$921))/(MAX($BE$2:$BE$921)-MIN($BE$2:$BE$921))*100,2))</f>
        <v>71.13</v>
      </c>
      <c r="AV527" s="8" t="n">
        <f aca="false">IF(MAX($AD$2:$AD$921)=MIN($AD$2:$AD$921),50,ROUND((AD527-MIN($AD$2:$AD$921))/(MAX($AD$2:$AD$921)-MIN($AD$2:$AD$921))*100,2))</f>
        <v>11.39</v>
      </c>
      <c r="AW527" s="8" t="n">
        <f aca="false">IF(MAX($AN$2:$AN$921)=MIN($AN$2:$AN$921),50,ROUND((AN527-MIN($AN$2:$AN$921))/(MAX($AN$2:$AN$921)-MIN($AN$2:$AN$921))*100,2))</f>
        <v>63.75</v>
      </c>
      <c r="AX527" s="8" t="n">
        <f aca="false">AQ527*100</f>
        <v>0</v>
      </c>
      <c r="AY527" s="8" t="n">
        <f aca="false">AR527*100</f>
        <v>0</v>
      </c>
      <c r="AZ527" s="8" t="n">
        <f aca="false">IFERROR(ROUND(AS527*Assumptions!$I$6+AW527*Assumptions!$I$7+AT527*Assumptions!$I$8+AU527*Assumptions!$I$9+AV527*Assumptions!$I$10+AX527*Assumptions!$I$11+AY527*Assumptions!$I$12,2),"")</f>
        <v>45.98</v>
      </c>
      <c r="BA527" s="0" t="str">
        <f aca="false">IF(AZ527="","",IF(AZ527&lt;=Assumptions!$I$18,"Below Expectation",IF(AZ527&lt;=Assumptions!$I$19,"Developing",IF(AZ527&lt;=Assumptions!$I$20,"Meets Expectation",IF(AZ527&lt;=Assumptions!$I$21,"Exceeds","Star Performer")))))</f>
        <v>Developing</v>
      </c>
      <c r="BB527" s="0" t="n">
        <f aca="false">IF(AZ527="",0,IF(AZ527&gt;=Assumptions!$I$26,1,0))</f>
        <v>0</v>
      </c>
      <c r="BC527" s="9" t="n">
        <f aca="false">IF(AL527="",2,AL527+2)</f>
        <v>2</v>
      </c>
      <c r="BD527" s="10" t="n">
        <f aca="false">IF(AM527="",ROUND(AVERAGE($AM$2:$AM$921),3),AM527)</f>
        <v>0.5</v>
      </c>
      <c r="BE527" s="9" t="n">
        <f aca="false">1-BD527</f>
        <v>0.5</v>
      </c>
    </row>
    <row r="528" customFormat="false" ht="14.25" hidden="true" customHeight="false" outlineLevel="0" collapsed="false">
      <c r="A528" s="4" t="n">
        <v>537</v>
      </c>
      <c r="B528" s="5" t="n">
        <v>55047237</v>
      </c>
      <c r="C528" s="5" t="s">
        <v>85</v>
      </c>
      <c r="D528" s="5" t="s">
        <v>2038</v>
      </c>
      <c r="E528" s="5" t="s">
        <v>315</v>
      </c>
      <c r="F528" s="5" t="s">
        <v>602</v>
      </c>
      <c r="G528" s="5" t="s">
        <v>603</v>
      </c>
      <c r="H528" s="5" t="s">
        <v>602</v>
      </c>
      <c r="I528" s="5" t="s">
        <v>63</v>
      </c>
      <c r="J528" s="5" t="s">
        <v>76</v>
      </c>
      <c r="K528" s="5" t="s">
        <v>65</v>
      </c>
      <c r="L528" s="6" t="n">
        <v>44609</v>
      </c>
      <c r="M528" s="5" t="s">
        <v>2039</v>
      </c>
      <c r="N528" s="6" t="n">
        <v>31902</v>
      </c>
      <c r="O528" s="5" t="s">
        <v>365</v>
      </c>
      <c r="P528" s="5" t="s">
        <v>365</v>
      </c>
      <c r="Q528" s="5" t="s">
        <v>1407</v>
      </c>
      <c r="R528" s="5" t="s">
        <v>418</v>
      </c>
      <c r="S528" s="5" t="s">
        <v>1012</v>
      </c>
      <c r="T528" s="6"/>
      <c r="U528" s="6"/>
      <c r="V528" s="5"/>
      <c r="W528" s="5" t="s">
        <v>631</v>
      </c>
      <c r="X528" s="5" t="s">
        <v>141</v>
      </c>
      <c r="Y528" s="5" t="s">
        <v>141</v>
      </c>
      <c r="Z528" s="5" t="s">
        <v>141</v>
      </c>
      <c r="AA528" s="5" t="s">
        <v>2040</v>
      </c>
      <c r="AB528" s="0" t="n">
        <f aca="false">IFERROR(VALUE(R528),0)</f>
        <v>9.8</v>
      </c>
      <c r="AC528" s="0" t="n">
        <f aca="false">IFERROR(VALUE(M528),"")</f>
        <v>39.1</v>
      </c>
      <c r="AD528" s="0" t="n">
        <f aca="false">IFERROR(VALUE(Q528),"")</f>
        <v>4.3</v>
      </c>
      <c r="AE528" s="0" t="n">
        <f aca="false">IFERROR(VALUE(S528),"")</f>
        <v>13.11</v>
      </c>
      <c r="AF528" s="0" t="str">
        <f aca="false">IF(V528="","",VLOOKUP(V528,Assumptions!$B$6:$C$9,2,FALSE()))</f>
        <v/>
      </c>
      <c r="AG528" s="0" t="n">
        <f aca="false">IF(W528="","",VLOOKUP(W528,Assumptions!$B$6:$C$9,2,FALSE()))</f>
        <v>2</v>
      </c>
      <c r="AH528" s="0" t="n">
        <f aca="false">IF(X528="","",VLOOKUP(X528,Assumptions!$B$6:$C$9,2,FALSE()))</f>
        <v>3</v>
      </c>
      <c r="AI528" s="0" t="n">
        <f aca="false">IF(Y528="","",VLOOKUP(Y528,Assumptions!$B$6:$C$9,2,FALSE()))</f>
        <v>3</v>
      </c>
      <c r="AJ528" s="0" t="n">
        <f aca="false">IF(Z528="","",VLOOKUP(Z528,Assumptions!$B$6:$C$9,2,FALSE()))</f>
        <v>3</v>
      </c>
      <c r="AK528" s="7" t="n">
        <f aca="false">IFERROR(ROUND(AVERAGE(AF528:AJ528),3),"")</f>
        <v>2.75</v>
      </c>
      <c r="AL528" s="7" t="str">
        <f aca="false">IF(OR(AF528="",AJ528=""),"",AJ528-AF528)</f>
        <v/>
      </c>
      <c r="AM528" s="7" t="n">
        <f aca="false">IF(COUNT(AF528:AJ528)&gt;=2,ROUND(_xlfn.STDEV.S(AF528:AJ528),3),"")</f>
        <v>0.5</v>
      </c>
      <c r="AN528" s="7" t="n">
        <f aca="false">ROUND((IF(AF528="",0,AF528)*Assumptions!$F$15)+(IF(AG528="",0,AG528)*Assumptions!$F$16)+(IF(AH528="",0,AH528)*Assumptions!$F$17)+(IF(AI528="",0,AI528)*Assumptions!$F$18)+(IF(AJ528="",0,AJ528)*Assumptions!$F$19),3)</f>
        <v>2.55</v>
      </c>
      <c r="AO528" s="0" t="str">
        <f aca="false">IF(AC528&lt;=20,"",IF(AC528&lt;=Assumptions!$F$6,"20-30",IF(AC528&lt;=Assumptions!$F$7,"30-40",IF(AC528&lt;=Assumptions!$F$8,"40-50",IF(AC528&lt;=Assumptions!$F$9,"50-60",IF(AC528&lt;=Assumptions!$F$10,"60+",""))))))</f>
        <v>30-40</v>
      </c>
      <c r="AP528" s="0" t="str">
        <f aca="false">IFERROR(VLOOKUP(O528,Assumptions!$B$14:$C$26,2,FALSE()),"Other")</f>
        <v>Manager</v>
      </c>
      <c r="AQ528" s="0" t="n">
        <f aca="false">IF(T528="",0,1)</f>
        <v>0</v>
      </c>
      <c r="AR528" s="0" t="n">
        <f aca="false">IF(U528="",0,1)</f>
        <v>0</v>
      </c>
      <c r="AS528" s="8" t="n">
        <f aca="false">IF(AK528="","",IF(MAX($AK$2:$AK$921)=MIN($AK$2:$AK$921),50,ROUND((AK528-MIN($AK$2:$AK$921))/(MAX($AK$2:$AK$921)-MIN($AK$2:$AK$921))*100,2)))</f>
        <v>46.42</v>
      </c>
      <c r="AT528" s="8" t="n">
        <f aca="false">IF(MAX($BC$2:$BC$921)=MIN($BC$2:$BC$921),50,ROUND((BC528-MIN($BC$2:$BC$921))/(MAX($BC$2:$BC$921)-MIN($BC$2:$BC$921))*100,2))</f>
        <v>50</v>
      </c>
      <c r="AU528" s="8" t="n">
        <f aca="false">IF(MAX($BE$2:$BE$921)=MIN($BE$2:$BE$921),50,ROUND((BE528-MIN($BE$2:$BE$921))/(MAX($BE$2:$BE$921)-MIN($BE$2:$BE$921))*100,2))</f>
        <v>71.13</v>
      </c>
      <c r="AV528" s="8" t="n">
        <f aca="false">IF(MAX($AD$2:$AD$921)=MIN($AD$2:$AD$921),50,ROUND((AD528-MIN($AD$2:$AD$921))/(MAX($AD$2:$AD$921)-MIN($AD$2:$AD$921))*100,2))</f>
        <v>11.39</v>
      </c>
      <c r="AW528" s="8" t="n">
        <f aca="false">IF(MAX($AN$2:$AN$921)=MIN($AN$2:$AN$921),50,ROUND((AN528-MIN($AN$2:$AN$921))/(MAX($AN$2:$AN$921)-MIN($AN$2:$AN$921))*100,2))</f>
        <v>63.75</v>
      </c>
      <c r="AX528" s="8" t="n">
        <f aca="false">AQ528*100</f>
        <v>0</v>
      </c>
      <c r="AY528" s="8" t="n">
        <f aca="false">AR528*100</f>
        <v>0</v>
      </c>
      <c r="AZ528" s="8" t="n">
        <f aca="false">IFERROR(ROUND(AS528*Assumptions!$I$6+AW528*Assumptions!$I$7+AT528*Assumptions!$I$8+AU528*Assumptions!$I$9+AV528*Assumptions!$I$10+AX528*Assumptions!$I$11+AY528*Assumptions!$I$12,2),"")</f>
        <v>45.98</v>
      </c>
      <c r="BA528" s="0" t="str">
        <f aca="false">IF(AZ528="","",IF(AZ528&lt;=Assumptions!$I$18,"Below Expectation",IF(AZ528&lt;=Assumptions!$I$19,"Developing",IF(AZ528&lt;=Assumptions!$I$20,"Meets Expectation",IF(AZ528&lt;=Assumptions!$I$21,"Exceeds","Star Performer")))))</f>
        <v>Developing</v>
      </c>
      <c r="BB528" s="0" t="n">
        <f aca="false">IF(AZ528="",0,IF(AZ528&gt;=Assumptions!$I$26,1,0))</f>
        <v>0</v>
      </c>
      <c r="BC528" s="9" t="n">
        <f aca="false">IF(AL528="",2,AL528+2)</f>
        <v>2</v>
      </c>
      <c r="BD528" s="10" t="n">
        <f aca="false">IF(AM528="",ROUND(AVERAGE($AM$2:$AM$921),3),AM528)</f>
        <v>0.5</v>
      </c>
      <c r="BE528" s="9" t="n">
        <f aca="false">1-BD528</f>
        <v>0.5</v>
      </c>
    </row>
    <row r="529" customFormat="false" ht="14.25" hidden="true" customHeight="false" outlineLevel="0" collapsed="false">
      <c r="A529" s="4" t="n">
        <v>214</v>
      </c>
      <c r="B529" s="5" t="n">
        <v>10056622</v>
      </c>
      <c r="C529" s="5" t="s">
        <v>57</v>
      </c>
      <c r="D529" s="5" t="s">
        <v>2041</v>
      </c>
      <c r="E529" s="5" t="s">
        <v>514</v>
      </c>
      <c r="F529" s="5" t="s">
        <v>608</v>
      </c>
      <c r="G529" s="5" t="s">
        <v>609</v>
      </c>
      <c r="H529" s="5" t="s">
        <v>608</v>
      </c>
      <c r="I529" s="5" t="s">
        <v>63</v>
      </c>
      <c r="J529" s="5" t="s">
        <v>100</v>
      </c>
      <c r="K529" s="5" t="s">
        <v>65</v>
      </c>
      <c r="L529" s="6" t="n">
        <v>42744</v>
      </c>
      <c r="M529" s="5" t="s">
        <v>1841</v>
      </c>
      <c r="N529" s="6" t="n">
        <v>31407</v>
      </c>
      <c r="O529" s="5" t="s">
        <v>365</v>
      </c>
      <c r="P529" s="5" t="s">
        <v>365</v>
      </c>
      <c r="Q529" s="5" t="s">
        <v>70</v>
      </c>
      <c r="R529" s="5" t="s">
        <v>248</v>
      </c>
      <c r="S529" s="5" t="s">
        <v>249</v>
      </c>
      <c r="T529" s="6"/>
      <c r="U529" s="6"/>
      <c r="V529" s="5" t="s">
        <v>631</v>
      </c>
      <c r="W529" s="5" t="s">
        <v>631</v>
      </c>
      <c r="X529" s="5" t="s">
        <v>141</v>
      </c>
      <c r="Y529" s="5" t="s">
        <v>631</v>
      </c>
      <c r="Z529" s="5" t="s">
        <v>141</v>
      </c>
      <c r="AA529" s="5" t="s">
        <v>2042</v>
      </c>
      <c r="AB529" s="0" t="n">
        <f aca="false">IFERROR(VALUE(R529),0)</f>
        <v>5</v>
      </c>
      <c r="AC529" s="0" t="n">
        <f aca="false">IFERROR(VALUE(M529),"")</f>
        <v>40.5</v>
      </c>
      <c r="AD529" s="0" t="n">
        <f aca="false">IFERROR(VALUE(Q529),"")</f>
        <v>9.4</v>
      </c>
      <c r="AE529" s="0" t="n">
        <f aca="false">IFERROR(VALUE(S529),"")</f>
        <v>14.4</v>
      </c>
      <c r="AF529" s="0" t="n">
        <f aca="false">IF(V529="","",VLOOKUP(V529,Assumptions!$B$6:$C$9,2,FALSE()))</f>
        <v>2</v>
      </c>
      <c r="AG529" s="0" t="n">
        <f aca="false">IF(W529="","",VLOOKUP(W529,Assumptions!$B$6:$C$9,2,FALSE()))</f>
        <v>2</v>
      </c>
      <c r="AH529" s="0" t="n">
        <f aca="false">IF(X529="","",VLOOKUP(X529,Assumptions!$B$6:$C$9,2,FALSE()))</f>
        <v>3</v>
      </c>
      <c r="AI529" s="0" t="n">
        <f aca="false">IF(Y529="","",VLOOKUP(Y529,Assumptions!$B$6:$C$9,2,FALSE()))</f>
        <v>2</v>
      </c>
      <c r="AJ529" s="0" t="n">
        <f aca="false">IF(Z529="","",VLOOKUP(Z529,Assumptions!$B$6:$C$9,2,FALSE()))</f>
        <v>3</v>
      </c>
      <c r="AK529" s="7" t="n">
        <f aca="false">IFERROR(ROUND(AVERAGE(AF529:AJ529),3),"")</f>
        <v>2.4</v>
      </c>
      <c r="AL529" s="7" t="n">
        <f aca="false">IF(OR(AF529="",AJ529=""),"",AJ529-AF529)</f>
        <v>1</v>
      </c>
      <c r="AM529" s="7" t="n">
        <f aca="false">IF(COUNT(AF529:AJ529)&gt;=2,ROUND(_xlfn.STDEV.S(AF529:AJ529),3),"")</f>
        <v>0.548</v>
      </c>
      <c r="AN529" s="7" t="n">
        <f aca="false">ROUND((IF(AF529="",0,AF529)*Assumptions!$F$15)+(IF(AG529="",0,AG529)*Assumptions!$F$16)+(IF(AH529="",0,AH529)*Assumptions!$F$17)+(IF(AI529="",0,AI529)*Assumptions!$F$18)+(IF(AJ529="",0,AJ529)*Assumptions!$F$19),3)</f>
        <v>2.5</v>
      </c>
      <c r="AO529" s="0" t="str">
        <f aca="false">IF(AC529&lt;=20,"",IF(AC529&lt;=Assumptions!$F$6,"20-30",IF(AC529&lt;=Assumptions!$F$7,"30-40",IF(AC529&lt;=Assumptions!$F$8,"40-50",IF(AC529&lt;=Assumptions!$F$9,"50-60",IF(AC529&lt;=Assumptions!$F$10,"60+",""))))))</f>
        <v>40-50</v>
      </c>
      <c r="AP529" s="0" t="str">
        <f aca="false">IFERROR(VLOOKUP(O529,Assumptions!$B$14:$C$26,2,FALSE()),"Other")</f>
        <v>Manager</v>
      </c>
      <c r="AQ529" s="0" t="n">
        <f aca="false">IF(T529="",0,1)</f>
        <v>0</v>
      </c>
      <c r="AR529" s="0" t="n">
        <f aca="false">IF(U529="",0,1)</f>
        <v>0</v>
      </c>
      <c r="AS529" s="8" t="n">
        <f aca="false">IF(AK529="","",IF(MAX($AK$2:$AK$921)=MIN($AK$2:$AK$921),50,ROUND((AK529-MIN($AK$2:$AK$921))/(MAX($AK$2:$AK$921)-MIN($AK$2:$AK$921))*100,2)))</f>
        <v>31.42</v>
      </c>
      <c r="AT529" s="8" t="n">
        <f aca="false">IF(MAX($BC$2:$BC$921)=MIN($BC$2:$BC$921),50,ROUND((BC529-MIN($BC$2:$BC$921))/(MAX($BC$2:$BC$921)-MIN($BC$2:$BC$921))*100,2))</f>
        <v>75</v>
      </c>
      <c r="AU529" s="8" t="n">
        <f aca="false">IF(MAX($BE$2:$BE$921)=MIN($BE$2:$BE$921),50,ROUND((BE529-MIN($BE$2:$BE$921))/(MAX($BE$2:$BE$921)-MIN($BE$2:$BE$921))*100,2))</f>
        <v>68.36</v>
      </c>
      <c r="AV529" s="8" t="n">
        <f aca="false">IF(MAX($AD$2:$AD$921)=MIN($AD$2:$AD$921),50,ROUND((AD529-MIN($AD$2:$AD$921))/(MAX($AD$2:$AD$921)-MIN($AD$2:$AD$921))*100,2))</f>
        <v>25.25</v>
      </c>
      <c r="AW529" s="8" t="n">
        <f aca="false">IF(MAX($AN$2:$AN$921)=MIN($AN$2:$AN$921),50,ROUND((AN529-MIN($AN$2:$AN$921))/(MAX($AN$2:$AN$921)-MIN($AN$2:$AN$921))*100,2))</f>
        <v>62.5</v>
      </c>
      <c r="AX529" s="8" t="n">
        <f aca="false">AQ529*100</f>
        <v>0</v>
      </c>
      <c r="AY529" s="8" t="n">
        <f aca="false">AR529*100</f>
        <v>0</v>
      </c>
      <c r="AZ529" s="8" t="n">
        <f aca="false">IFERROR(ROUND(AS529*Assumptions!$I$6+AW529*Assumptions!$I$7+AT529*Assumptions!$I$8+AU529*Assumptions!$I$9+AV529*Assumptions!$I$10+AX529*Assumptions!$I$11+AY529*Assumptions!$I$12,2),"")</f>
        <v>45.96</v>
      </c>
      <c r="BA529" s="0" t="str">
        <f aca="false">IF(AZ529="","",IF(AZ529&lt;=Assumptions!$I$18,"Below Expectation",IF(AZ529&lt;=Assumptions!$I$19,"Developing",IF(AZ529&lt;=Assumptions!$I$20,"Meets Expectation",IF(AZ529&lt;=Assumptions!$I$21,"Exceeds","Star Performer")))))</f>
        <v>Developing</v>
      </c>
      <c r="BB529" s="0" t="n">
        <f aca="false">IF(AZ529="",0,IF(AZ529&gt;=Assumptions!$I$26,1,0))</f>
        <v>0</v>
      </c>
      <c r="BC529" s="9" t="n">
        <f aca="false">IF(AL529="",2,AL529+2)</f>
        <v>3</v>
      </c>
      <c r="BD529" s="10" t="n">
        <f aca="false">IF(AM529="",ROUND(AVERAGE($AM$2:$AM$921),3),AM529)</f>
        <v>0.548</v>
      </c>
      <c r="BE529" s="9" t="n">
        <f aca="false">1-BD529</f>
        <v>0.452</v>
      </c>
    </row>
    <row r="530" customFormat="false" ht="14.25" hidden="true" customHeight="false" outlineLevel="0" collapsed="false">
      <c r="A530" s="4" t="n">
        <v>289</v>
      </c>
      <c r="B530" s="5" t="n">
        <v>10069491</v>
      </c>
      <c r="C530" s="5" t="s">
        <v>85</v>
      </c>
      <c r="D530" s="5" t="s">
        <v>2043</v>
      </c>
      <c r="E530" s="5" t="s">
        <v>1292</v>
      </c>
      <c r="F530" s="5" t="s">
        <v>483</v>
      </c>
      <c r="G530" s="5" t="s">
        <v>484</v>
      </c>
      <c r="H530" s="5" t="s">
        <v>483</v>
      </c>
      <c r="I530" s="5" t="s">
        <v>63</v>
      </c>
      <c r="J530" s="5" t="s">
        <v>76</v>
      </c>
      <c r="K530" s="5" t="s">
        <v>309</v>
      </c>
      <c r="L530" s="6" t="n">
        <v>43682</v>
      </c>
      <c r="M530" s="5" t="s">
        <v>1356</v>
      </c>
      <c r="N530" s="6" t="n">
        <v>35485</v>
      </c>
      <c r="O530" s="5" t="s">
        <v>365</v>
      </c>
      <c r="P530" s="5" t="s">
        <v>365</v>
      </c>
      <c r="Q530" s="5" t="s">
        <v>604</v>
      </c>
      <c r="R530" s="5" t="s">
        <v>115</v>
      </c>
      <c r="S530" s="5" t="s">
        <v>604</v>
      </c>
      <c r="T530" s="6"/>
      <c r="U530" s="6"/>
      <c r="V530" s="5" t="s">
        <v>141</v>
      </c>
      <c r="W530" s="5" t="s">
        <v>141</v>
      </c>
      <c r="X530" s="5" t="s">
        <v>83</v>
      </c>
      <c r="Y530" s="5" t="s">
        <v>141</v>
      </c>
      <c r="Z530" s="5" t="s">
        <v>631</v>
      </c>
      <c r="AA530" s="5" t="s">
        <v>2044</v>
      </c>
      <c r="AB530" s="0" t="n">
        <f aca="false">IFERROR(VALUE(R530),0)</f>
        <v>0</v>
      </c>
      <c r="AC530" s="0" t="n">
        <f aca="false">IFERROR(VALUE(M530),"")</f>
        <v>29.3</v>
      </c>
      <c r="AD530" s="0" t="n">
        <f aca="false">IFERROR(VALUE(Q530),"")</f>
        <v>6.1</v>
      </c>
      <c r="AE530" s="0" t="n">
        <f aca="false">IFERROR(VALUE(S530),"")</f>
        <v>6.1</v>
      </c>
      <c r="AF530" s="0" t="n">
        <f aca="false">IF(V530="","",VLOOKUP(V530,Assumptions!$B$6:$C$9,2,FALSE()))</f>
        <v>3</v>
      </c>
      <c r="AG530" s="0" t="n">
        <f aca="false">IF(W530="","",VLOOKUP(W530,Assumptions!$B$6:$C$9,2,FALSE()))</f>
        <v>3</v>
      </c>
      <c r="AH530" s="0" t="n">
        <f aca="false">IF(X530="","",VLOOKUP(X530,Assumptions!$B$6:$C$9,2,FALSE()))</f>
        <v>4</v>
      </c>
      <c r="AI530" s="0" t="n">
        <f aca="false">IF(Y530="","",VLOOKUP(Y530,Assumptions!$B$6:$C$9,2,FALSE()))</f>
        <v>3</v>
      </c>
      <c r="AJ530" s="0" t="n">
        <f aca="false">IF(Z530="","",VLOOKUP(Z530,Assumptions!$B$6:$C$9,2,FALSE()))</f>
        <v>2</v>
      </c>
      <c r="AK530" s="7" t="n">
        <f aca="false">IFERROR(ROUND(AVERAGE(AF530:AJ530),3),"")</f>
        <v>3</v>
      </c>
      <c r="AL530" s="7" t="n">
        <f aca="false">IF(OR(AF530="",AJ530=""),"",AJ530-AF530)</f>
        <v>-1</v>
      </c>
      <c r="AM530" s="7" t="n">
        <f aca="false">IF(COUNT(AF530:AJ530)&gt;=2,ROUND(_xlfn.STDEV.S(AF530:AJ530),3),"")</f>
        <v>0.707</v>
      </c>
      <c r="AN530" s="7" t="n">
        <f aca="false">ROUND((IF(AF530="",0,AF530)*Assumptions!$F$15)+(IF(AG530="",0,AG530)*Assumptions!$F$16)+(IF(AH530="",0,AH530)*Assumptions!$F$17)+(IF(AI530="",0,AI530)*Assumptions!$F$18)+(IF(AJ530="",0,AJ530)*Assumptions!$F$19),3)</f>
        <v>2.9</v>
      </c>
      <c r="AO530" s="0" t="str">
        <f aca="false">IF(AC530&lt;=20,"",IF(AC530&lt;=Assumptions!$F$6,"20-30",IF(AC530&lt;=Assumptions!$F$7,"30-40",IF(AC530&lt;=Assumptions!$F$8,"40-50",IF(AC530&lt;=Assumptions!$F$9,"50-60",IF(AC530&lt;=Assumptions!$F$10,"60+",""))))))</f>
        <v>20-30</v>
      </c>
      <c r="AP530" s="0" t="str">
        <f aca="false">IFERROR(VLOOKUP(O530,Assumptions!$B$14:$C$26,2,FALSE()),"Other")</f>
        <v>Manager</v>
      </c>
      <c r="AQ530" s="0" t="n">
        <f aca="false">IF(T530="",0,1)</f>
        <v>0</v>
      </c>
      <c r="AR530" s="0" t="n">
        <f aca="false">IF(U530="",0,1)</f>
        <v>0</v>
      </c>
      <c r="AS530" s="8" t="n">
        <f aca="false">IF(AK530="","",IF(MAX($AK$2:$AK$921)=MIN($AK$2:$AK$921),50,ROUND((AK530-MIN($AK$2:$AK$921))/(MAX($AK$2:$AK$921)-MIN($AK$2:$AK$921))*100,2)))</f>
        <v>57.14</v>
      </c>
      <c r="AT530" s="8" t="n">
        <f aca="false">IF(MAX($BC$2:$BC$921)=MIN($BC$2:$BC$921),50,ROUND((BC530-MIN($BC$2:$BC$921))/(MAX($BC$2:$BC$921)-MIN($BC$2:$BC$921))*100,2))</f>
        <v>25</v>
      </c>
      <c r="AU530" s="8" t="n">
        <f aca="false">IF(MAX($BE$2:$BE$921)=MIN($BE$2:$BE$921),50,ROUND((BE530-MIN($BE$2:$BE$921))/(MAX($BE$2:$BE$921)-MIN($BE$2:$BE$921))*100,2))</f>
        <v>59.18</v>
      </c>
      <c r="AV530" s="8" t="n">
        <f aca="false">IF(MAX($AD$2:$AD$921)=MIN($AD$2:$AD$921),50,ROUND((AD530-MIN($AD$2:$AD$921))/(MAX($AD$2:$AD$921)-MIN($AD$2:$AD$921))*100,2))</f>
        <v>16.28</v>
      </c>
      <c r="AW530" s="8" t="n">
        <f aca="false">IF(MAX($AN$2:$AN$921)=MIN($AN$2:$AN$921),50,ROUND((AN530-MIN($AN$2:$AN$921))/(MAX($AN$2:$AN$921)-MIN($AN$2:$AN$921))*100,2))</f>
        <v>72.5</v>
      </c>
      <c r="AX530" s="8" t="n">
        <f aca="false">AQ530*100</f>
        <v>0</v>
      </c>
      <c r="AY530" s="8" t="n">
        <f aca="false">AR530*100</f>
        <v>0</v>
      </c>
      <c r="AZ530" s="8" t="n">
        <f aca="false">IFERROR(ROUND(AS530*Assumptions!$I$6+AW530*Assumptions!$I$7+AT530*Assumptions!$I$8+AU530*Assumptions!$I$9+AV530*Assumptions!$I$10+AX530*Assumptions!$I$11+AY530*Assumptions!$I$12,2),"")</f>
        <v>45.9</v>
      </c>
      <c r="BA530" s="0" t="str">
        <f aca="false">IF(AZ530="","",IF(AZ530&lt;=Assumptions!$I$18,"Below Expectation",IF(AZ530&lt;=Assumptions!$I$19,"Developing",IF(AZ530&lt;=Assumptions!$I$20,"Meets Expectation",IF(AZ530&lt;=Assumptions!$I$21,"Exceeds","Star Performer")))))</f>
        <v>Developing</v>
      </c>
      <c r="BB530" s="0" t="n">
        <f aca="false">IF(AZ530="",0,IF(AZ530&gt;=Assumptions!$I$26,1,0))</f>
        <v>0</v>
      </c>
      <c r="BC530" s="9" t="n">
        <f aca="false">IF(AL530="",2,AL530+2)</f>
        <v>1</v>
      </c>
      <c r="BD530" s="10" t="n">
        <f aca="false">IF(AM530="",ROUND(AVERAGE($AM$2:$AM$921),3),AM530)</f>
        <v>0.707</v>
      </c>
      <c r="BE530" s="9" t="n">
        <f aca="false">1-BD530</f>
        <v>0.293</v>
      </c>
    </row>
    <row r="531" customFormat="false" ht="14.25" hidden="true" customHeight="false" outlineLevel="0" collapsed="false">
      <c r="A531" s="4" t="n">
        <v>373</v>
      </c>
      <c r="B531" s="5" t="n">
        <v>37102316</v>
      </c>
      <c r="C531" s="5" t="s">
        <v>85</v>
      </c>
      <c r="D531" s="5" t="s">
        <v>2045</v>
      </c>
      <c r="E531" s="5" t="s">
        <v>291</v>
      </c>
      <c r="F531" s="5" t="s">
        <v>550</v>
      </c>
      <c r="G531" s="5" t="s">
        <v>551</v>
      </c>
      <c r="H531" s="5" t="s">
        <v>552</v>
      </c>
      <c r="I531" s="5" t="s">
        <v>63</v>
      </c>
      <c r="J531" s="5" t="s">
        <v>76</v>
      </c>
      <c r="K531" s="5" t="s">
        <v>65</v>
      </c>
      <c r="L531" s="6" t="n">
        <v>40623</v>
      </c>
      <c r="M531" s="5" t="s">
        <v>1296</v>
      </c>
      <c r="N531" s="6" t="n">
        <v>29692</v>
      </c>
      <c r="O531" s="5" t="s">
        <v>162</v>
      </c>
      <c r="P531" s="5" t="s">
        <v>162</v>
      </c>
      <c r="Q531" s="5" t="s">
        <v>516</v>
      </c>
      <c r="R531" s="5" t="s">
        <v>439</v>
      </c>
      <c r="S531" s="5" t="s">
        <v>301</v>
      </c>
      <c r="T531" s="6" t="n">
        <v>42555</v>
      </c>
      <c r="U531" s="6"/>
      <c r="V531" s="5" t="s">
        <v>631</v>
      </c>
      <c r="W531" s="5" t="s">
        <v>631</v>
      </c>
      <c r="X531" s="5" t="s">
        <v>631</v>
      </c>
      <c r="Y531" s="5" t="s">
        <v>631</v>
      </c>
      <c r="Z531" s="5" t="s">
        <v>631</v>
      </c>
      <c r="AA531" s="5" t="s">
        <v>2046</v>
      </c>
      <c r="AB531" s="0" t="n">
        <f aca="false">IFERROR(VALUE(R531),0)</f>
        <v>7.1</v>
      </c>
      <c r="AC531" s="0" t="n">
        <f aca="false">IFERROR(VALUE(M531),"")</f>
        <v>45.1</v>
      </c>
      <c r="AD531" s="0" t="n">
        <f aca="false">IFERROR(VALUE(Q531),"")</f>
        <v>15.2</v>
      </c>
      <c r="AE531" s="0" t="n">
        <f aca="false">IFERROR(VALUE(S531),"")</f>
        <v>22.3</v>
      </c>
      <c r="AF531" s="0" t="n">
        <f aca="false">IF(V531="","",VLOOKUP(V531,Assumptions!$B$6:$C$9,2,FALSE()))</f>
        <v>2</v>
      </c>
      <c r="AG531" s="0" t="n">
        <f aca="false">IF(W531="","",VLOOKUP(W531,Assumptions!$B$6:$C$9,2,FALSE()))</f>
        <v>2</v>
      </c>
      <c r="AH531" s="0" t="n">
        <f aca="false">IF(X531="","",VLOOKUP(X531,Assumptions!$B$6:$C$9,2,FALSE()))</f>
        <v>2</v>
      </c>
      <c r="AI531" s="0" t="n">
        <f aca="false">IF(Y531="","",VLOOKUP(Y531,Assumptions!$B$6:$C$9,2,FALSE()))</f>
        <v>2</v>
      </c>
      <c r="AJ531" s="0" t="n">
        <f aca="false">IF(Z531="","",VLOOKUP(Z531,Assumptions!$B$6:$C$9,2,FALSE()))</f>
        <v>2</v>
      </c>
      <c r="AK531" s="7" t="n">
        <f aca="false">IFERROR(ROUND(AVERAGE(AF531:AJ531),3),"")</f>
        <v>2</v>
      </c>
      <c r="AL531" s="7" t="n">
        <f aca="false">IF(OR(AF531="",AJ531=""),"",AJ531-AF531)</f>
        <v>0</v>
      </c>
      <c r="AM531" s="7" t="n">
        <f aca="false">IF(COUNT(AF531:AJ531)&gt;=2,ROUND(_xlfn.STDEV.S(AF531:AJ531),3),"")</f>
        <v>0</v>
      </c>
      <c r="AN531" s="7" t="n">
        <f aca="false">ROUND((IF(AF531="",0,AF531)*Assumptions!$F$15)+(IF(AG531="",0,AG531)*Assumptions!$F$16)+(IF(AH531="",0,AH531)*Assumptions!$F$17)+(IF(AI531="",0,AI531)*Assumptions!$F$18)+(IF(AJ531="",0,AJ531)*Assumptions!$F$19),3)</f>
        <v>2</v>
      </c>
      <c r="AO531" s="0" t="str">
        <f aca="false">IF(AC531&lt;=20,"",IF(AC531&lt;=Assumptions!$F$6,"20-30",IF(AC531&lt;=Assumptions!$F$7,"30-40",IF(AC531&lt;=Assumptions!$F$8,"40-50",IF(AC531&lt;=Assumptions!$F$9,"50-60",IF(AC531&lt;=Assumptions!$F$10,"60+",""))))))</f>
        <v>40-50</v>
      </c>
      <c r="AP531" s="0" t="str">
        <f aca="false">IFERROR(VLOOKUP(O531,Assumptions!$B$14:$C$26,2,FALSE()),"Other")</f>
        <v>Manager</v>
      </c>
      <c r="AQ531" s="0" t="n">
        <f aca="false">IF(T531="",0,1)</f>
        <v>1</v>
      </c>
      <c r="AR531" s="0" t="n">
        <f aca="false">IF(U531="",0,1)</f>
        <v>0</v>
      </c>
      <c r="AS531" s="8" t="n">
        <f aca="false">IF(AK531="","",IF(MAX($AK$2:$AK$921)=MIN($AK$2:$AK$921),50,ROUND((AK531-MIN($AK$2:$AK$921))/(MAX($AK$2:$AK$921)-MIN($AK$2:$AK$921))*100,2)))</f>
        <v>14.27</v>
      </c>
      <c r="AT531" s="8" t="n">
        <f aca="false">IF(MAX($BC$2:$BC$921)=MIN($BC$2:$BC$921),50,ROUND((BC531-MIN($BC$2:$BC$921))/(MAX($BC$2:$BC$921)-MIN($BC$2:$BC$921))*100,2))</f>
        <v>50</v>
      </c>
      <c r="AU531" s="8" t="n">
        <f aca="false">IF(MAX($BE$2:$BE$921)=MIN($BE$2:$BE$921),50,ROUND((BE531-MIN($BE$2:$BE$921))/(MAX($BE$2:$BE$921)-MIN($BE$2:$BE$921))*100,2))</f>
        <v>100</v>
      </c>
      <c r="AV531" s="8" t="n">
        <f aca="false">IF(MAX($AD$2:$AD$921)=MIN($AD$2:$AD$921),50,ROUND((AD531-MIN($AD$2:$AD$921))/(MAX($AD$2:$AD$921)-MIN($AD$2:$AD$921))*100,2))</f>
        <v>41.02</v>
      </c>
      <c r="AW531" s="8" t="n">
        <f aca="false">IF(MAX($AN$2:$AN$921)=MIN($AN$2:$AN$921),50,ROUND((AN531-MIN($AN$2:$AN$921))/(MAX($AN$2:$AN$921)-MIN($AN$2:$AN$921))*100,2))</f>
        <v>50</v>
      </c>
      <c r="AX531" s="8" t="n">
        <f aca="false">AQ531*100</f>
        <v>100</v>
      </c>
      <c r="AY531" s="8" t="n">
        <f aca="false">AR531*100</f>
        <v>0</v>
      </c>
      <c r="AZ531" s="8" t="n">
        <f aca="false">IFERROR(ROUND(AS531*Assumptions!$I$6+AW531*Assumptions!$I$7+AT531*Assumptions!$I$8+AU531*Assumptions!$I$9+AV531*Assumptions!$I$10+AX531*Assumptions!$I$11+AY531*Assumptions!$I$12,2),"")</f>
        <v>45.88</v>
      </c>
      <c r="BA531" s="0" t="str">
        <f aca="false">IF(AZ531="","",IF(AZ531&lt;=Assumptions!$I$18,"Below Expectation",IF(AZ531&lt;=Assumptions!$I$19,"Developing",IF(AZ531&lt;=Assumptions!$I$20,"Meets Expectation",IF(AZ531&lt;=Assumptions!$I$21,"Exceeds","Star Performer")))))</f>
        <v>Developing</v>
      </c>
      <c r="BB531" s="0" t="n">
        <f aca="false">IF(AZ531="",0,IF(AZ531&gt;=Assumptions!$I$26,1,0))</f>
        <v>0</v>
      </c>
      <c r="BC531" s="9" t="n">
        <f aca="false">IF(AL531="",2,AL531+2)</f>
        <v>2</v>
      </c>
      <c r="BD531" s="10" t="n">
        <f aca="false">IF(AM531="",ROUND(AVERAGE($AM$2:$AM$921),3),AM531)</f>
        <v>0</v>
      </c>
      <c r="BE531" s="9" t="n">
        <f aca="false">1-BD531</f>
        <v>1</v>
      </c>
    </row>
    <row r="532" customFormat="false" ht="14.25" hidden="true" customHeight="false" outlineLevel="0" collapsed="false">
      <c r="A532" s="4" t="n">
        <v>649</v>
      </c>
      <c r="B532" s="5" t="n">
        <v>55056898</v>
      </c>
      <c r="C532" s="5" t="s">
        <v>858</v>
      </c>
      <c r="D532" s="5" t="s">
        <v>2047</v>
      </c>
      <c r="E532" s="5" t="s">
        <v>1176</v>
      </c>
      <c r="F532" s="5" t="s">
        <v>2048</v>
      </c>
      <c r="G532" s="5" t="s">
        <v>2049</v>
      </c>
      <c r="H532" s="5" t="s">
        <v>2050</v>
      </c>
      <c r="I532" s="5" t="s">
        <v>63</v>
      </c>
      <c r="J532" s="5" t="s">
        <v>100</v>
      </c>
      <c r="K532" s="5" t="s">
        <v>309</v>
      </c>
      <c r="L532" s="6" t="n">
        <v>44809</v>
      </c>
      <c r="M532" s="5" t="s">
        <v>524</v>
      </c>
      <c r="N532" s="6" t="n">
        <v>35854</v>
      </c>
      <c r="O532" s="5" t="s">
        <v>585</v>
      </c>
      <c r="P532" s="5" t="s">
        <v>586</v>
      </c>
      <c r="Q532" s="5" t="s">
        <v>231</v>
      </c>
      <c r="R532" s="5" t="s">
        <v>115</v>
      </c>
      <c r="S532" s="5" t="s">
        <v>231</v>
      </c>
      <c r="T532" s="6"/>
      <c r="U532" s="6"/>
      <c r="V532" s="5"/>
      <c r="W532" s="5" t="s">
        <v>631</v>
      </c>
      <c r="X532" s="5" t="s">
        <v>141</v>
      </c>
      <c r="Y532" s="5" t="s">
        <v>141</v>
      </c>
      <c r="Z532" s="5" t="s">
        <v>141</v>
      </c>
      <c r="AA532" s="5" t="s">
        <v>2051</v>
      </c>
      <c r="AB532" s="0" t="n">
        <f aca="false">IFERROR(VALUE(R532),0)</f>
        <v>0</v>
      </c>
      <c r="AC532" s="0" t="n">
        <f aca="false">IFERROR(VALUE(M532),"")</f>
        <v>28.3</v>
      </c>
      <c r="AD532" s="0" t="n">
        <f aca="false">IFERROR(VALUE(Q532),"")</f>
        <v>3.9</v>
      </c>
      <c r="AE532" s="0" t="n">
        <f aca="false">IFERROR(VALUE(S532),"")</f>
        <v>3.9</v>
      </c>
      <c r="AF532" s="0" t="str">
        <f aca="false">IF(V532="","",VLOOKUP(V532,Assumptions!$B$6:$C$9,2,FALSE()))</f>
        <v/>
      </c>
      <c r="AG532" s="0" t="n">
        <f aca="false">IF(W532="","",VLOOKUP(W532,Assumptions!$B$6:$C$9,2,FALSE()))</f>
        <v>2</v>
      </c>
      <c r="AH532" s="0" t="n">
        <f aca="false">IF(X532="","",VLOOKUP(X532,Assumptions!$B$6:$C$9,2,FALSE()))</f>
        <v>3</v>
      </c>
      <c r="AI532" s="0" t="n">
        <f aca="false">IF(Y532="","",VLOOKUP(Y532,Assumptions!$B$6:$C$9,2,FALSE()))</f>
        <v>3</v>
      </c>
      <c r="AJ532" s="0" t="n">
        <f aca="false">IF(Z532="","",VLOOKUP(Z532,Assumptions!$B$6:$C$9,2,FALSE()))</f>
        <v>3</v>
      </c>
      <c r="AK532" s="7" t="n">
        <f aca="false">IFERROR(ROUND(AVERAGE(AF532:AJ532),3),"")</f>
        <v>2.75</v>
      </c>
      <c r="AL532" s="7" t="str">
        <f aca="false">IF(OR(AF532="",AJ532=""),"",AJ532-AF532)</f>
        <v/>
      </c>
      <c r="AM532" s="7" t="n">
        <f aca="false">IF(COUNT(AF532:AJ532)&gt;=2,ROUND(_xlfn.STDEV.S(AF532:AJ532),3),"")</f>
        <v>0.5</v>
      </c>
      <c r="AN532" s="7" t="n">
        <f aca="false">ROUND((IF(AF532="",0,AF532)*Assumptions!$F$15)+(IF(AG532="",0,AG532)*Assumptions!$F$16)+(IF(AH532="",0,AH532)*Assumptions!$F$17)+(IF(AI532="",0,AI532)*Assumptions!$F$18)+(IF(AJ532="",0,AJ532)*Assumptions!$F$19),3)</f>
        <v>2.55</v>
      </c>
      <c r="AO532" s="0" t="str">
        <f aca="false">IF(AC532&lt;=20,"",IF(AC532&lt;=Assumptions!$F$6,"20-30",IF(AC532&lt;=Assumptions!$F$7,"30-40",IF(AC532&lt;=Assumptions!$F$8,"40-50",IF(AC532&lt;=Assumptions!$F$9,"50-60",IF(AC532&lt;=Assumptions!$F$10,"60+",""))))))</f>
        <v>20-30</v>
      </c>
      <c r="AP532" s="0" t="str">
        <f aca="false">IFERROR(VLOOKUP(O532,Assumptions!$B$14:$C$26,2,FALSE()),"Other")</f>
        <v>Manager</v>
      </c>
      <c r="AQ532" s="0" t="n">
        <f aca="false">IF(T532="",0,1)</f>
        <v>0</v>
      </c>
      <c r="AR532" s="0" t="n">
        <f aca="false">IF(U532="",0,1)</f>
        <v>0</v>
      </c>
      <c r="AS532" s="8" t="n">
        <f aca="false">IF(AK532="","",IF(MAX($AK$2:$AK$921)=MIN($AK$2:$AK$921),50,ROUND((AK532-MIN($AK$2:$AK$921))/(MAX($AK$2:$AK$921)-MIN($AK$2:$AK$921))*100,2)))</f>
        <v>46.42</v>
      </c>
      <c r="AT532" s="8" t="n">
        <f aca="false">IF(MAX($BC$2:$BC$921)=MIN($BC$2:$BC$921),50,ROUND((BC532-MIN($BC$2:$BC$921))/(MAX($BC$2:$BC$921)-MIN($BC$2:$BC$921))*100,2))</f>
        <v>50</v>
      </c>
      <c r="AU532" s="8" t="n">
        <f aca="false">IF(MAX($BE$2:$BE$921)=MIN($BE$2:$BE$921),50,ROUND((BE532-MIN($BE$2:$BE$921))/(MAX($BE$2:$BE$921)-MIN($BE$2:$BE$921))*100,2))</f>
        <v>71.13</v>
      </c>
      <c r="AV532" s="8" t="n">
        <f aca="false">IF(MAX($AD$2:$AD$921)=MIN($AD$2:$AD$921),50,ROUND((AD532-MIN($AD$2:$AD$921))/(MAX($AD$2:$AD$921)-MIN($AD$2:$AD$921))*100,2))</f>
        <v>10.3</v>
      </c>
      <c r="AW532" s="8" t="n">
        <f aca="false">IF(MAX($AN$2:$AN$921)=MIN($AN$2:$AN$921),50,ROUND((AN532-MIN($AN$2:$AN$921))/(MAX($AN$2:$AN$921)-MIN($AN$2:$AN$921))*100,2))</f>
        <v>63.75</v>
      </c>
      <c r="AX532" s="8" t="n">
        <f aca="false">AQ532*100</f>
        <v>0</v>
      </c>
      <c r="AY532" s="8" t="n">
        <f aca="false">AR532*100</f>
        <v>0</v>
      </c>
      <c r="AZ532" s="8" t="n">
        <f aca="false">IFERROR(ROUND(AS532*Assumptions!$I$6+AW532*Assumptions!$I$7+AT532*Assumptions!$I$8+AU532*Assumptions!$I$9+AV532*Assumptions!$I$10+AX532*Assumptions!$I$11+AY532*Assumptions!$I$12,2),"")</f>
        <v>45.88</v>
      </c>
      <c r="BA532" s="0" t="str">
        <f aca="false">IF(AZ532="","",IF(AZ532&lt;=Assumptions!$I$18,"Below Expectation",IF(AZ532&lt;=Assumptions!$I$19,"Developing",IF(AZ532&lt;=Assumptions!$I$20,"Meets Expectation",IF(AZ532&lt;=Assumptions!$I$21,"Exceeds","Star Performer")))))</f>
        <v>Developing</v>
      </c>
      <c r="BB532" s="0" t="n">
        <f aca="false">IF(AZ532="",0,IF(AZ532&gt;=Assumptions!$I$26,1,0))</f>
        <v>0</v>
      </c>
      <c r="BC532" s="9" t="n">
        <f aca="false">IF(AL532="",2,AL532+2)</f>
        <v>2</v>
      </c>
      <c r="BD532" s="10" t="n">
        <f aca="false">IF(AM532="",ROUND(AVERAGE($AM$2:$AM$921),3),AM532)</f>
        <v>0.5</v>
      </c>
      <c r="BE532" s="9" t="n">
        <f aca="false">1-BD532</f>
        <v>0.5</v>
      </c>
    </row>
    <row r="533" customFormat="false" ht="14.25" hidden="false" customHeight="false" outlineLevel="0" collapsed="false">
      <c r="A533" s="4" t="n">
        <v>660</v>
      </c>
      <c r="B533" s="5" t="n">
        <v>55058031</v>
      </c>
      <c r="C533" s="5" t="s">
        <v>106</v>
      </c>
      <c r="D533" s="5" t="s">
        <v>2052</v>
      </c>
      <c r="E533" s="5" t="s">
        <v>108</v>
      </c>
      <c r="F533" s="5" t="s">
        <v>463</v>
      </c>
      <c r="G533" s="5" t="s">
        <v>589</v>
      </c>
      <c r="H533" s="5" t="s">
        <v>590</v>
      </c>
      <c r="I533" s="5" t="s">
        <v>63</v>
      </c>
      <c r="J533" s="5" t="s">
        <v>112</v>
      </c>
      <c r="K533" s="5" t="s">
        <v>309</v>
      </c>
      <c r="L533" s="6" t="n">
        <v>44830</v>
      </c>
      <c r="M533" s="5" t="s">
        <v>584</v>
      </c>
      <c r="N533" s="6" t="n">
        <v>36524</v>
      </c>
      <c r="O533" s="5" t="s">
        <v>1264</v>
      </c>
      <c r="P533" s="5" t="s">
        <v>1559</v>
      </c>
      <c r="Q533" s="5" t="s">
        <v>445</v>
      </c>
      <c r="R533" s="5" t="s">
        <v>115</v>
      </c>
      <c r="S533" s="5" t="s">
        <v>445</v>
      </c>
      <c r="T533" s="6"/>
      <c r="U533" s="6"/>
      <c r="V533" s="5"/>
      <c r="W533" s="5" t="s">
        <v>631</v>
      </c>
      <c r="X533" s="5" t="s">
        <v>141</v>
      </c>
      <c r="Y533" s="5" t="s">
        <v>141</v>
      </c>
      <c r="Z533" s="5" t="s">
        <v>141</v>
      </c>
      <c r="AA533" s="5" t="s">
        <v>2053</v>
      </c>
      <c r="AB533" s="0" t="n">
        <f aca="false">IFERROR(VALUE(R533),0)</f>
        <v>0</v>
      </c>
      <c r="AC533" s="0" t="n">
        <f aca="false">IFERROR(VALUE(M533),"")</f>
        <v>26.5</v>
      </c>
      <c r="AD533" s="0" t="n">
        <f aca="false">IFERROR(VALUE(Q533),"")</f>
        <v>3.8</v>
      </c>
      <c r="AE533" s="0" t="n">
        <f aca="false">IFERROR(VALUE(S533),"")</f>
        <v>3.8</v>
      </c>
      <c r="AF533" s="0" t="str">
        <f aca="false">IF(V533="","",VLOOKUP(V533,Assumptions!$B$6:$C$9,2,FALSE()))</f>
        <v/>
      </c>
      <c r="AG533" s="0" t="n">
        <f aca="false">IF(W533="","",VLOOKUP(W533,Assumptions!$B$6:$C$9,2,FALSE()))</f>
        <v>2</v>
      </c>
      <c r="AH533" s="0" t="n">
        <f aca="false">IF(X533="","",VLOOKUP(X533,Assumptions!$B$6:$C$9,2,FALSE()))</f>
        <v>3</v>
      </c>
      <c r="AI533" s="0" t="n">
        <f aca="false">IF(Y533="","",VLOOKUP(Y533,Assumptions!$B$6:$C$9,2,FALSE()))</f>
        <v>3</v>
      </c>
      <c r="AJ533" s="0" t="n">
        <f aca="false">IF(Z533="","",VLOOKUP(Z533,Assumptions!$B$6:$C$9,2,FALSE()))</f>
        <v>3</v>
      </c>
      <c r="AK533" s="7" t="n">
        <f aca="false">IFERROR(ROUND(AVERAGE(AF533:AJ533),3),"")</f>
        <v>2.75</v>
      </c>
      <c r="AL533" s="7" t="str">
        <f aca="false">IF(OR(AF533="",AJ533=""),"",AJ533-AF533)</f>
        <v/>
      </c>
      <c r="AM533" s="7" t="n">
        <f aca="false">IF(COUNT(AF533:AJ533)&gt;=2,ROUND(_xlfn.STDEV.S(AF533:AJ533),3),"")</f>
        <v>0.5</v>
      </c>
      <c r="AN533" s="7" t="n">
        <f aca="false">ROUND((IF(AF533="",0,AF533)*Assumptions!$F$15)+(IF(AG533="",0,AG533)*Assumptions!$F$16)+(IF(AH533="",0,AH533)*Assumptions!$F$17)+(IF(AI533="",0,AI533)*Assumptions!$F$18)+(IF(AJ533="",0,AJ533)*Assumptions!$F$19),3)</f>
        <v>2.55</v>
      </c>
      <c r="AO533" s="0" t="str">
        <f aca="false">IF(AC533&lt;=20,"",IF(AC533&lt;=Assumptions!$F$6,"20-30",IF(AC533&lt;=Assumptions!$F$7,"30-40",IF(AC533&lt;=Assumptions!$F$8,"40-50",IF(AC533&lt;=Assumptions!$F$9,"50-60",IF(AC533&lt;=Assumptions!$F$10,"60+",""))))))</f>
        <v>20-30</v>
      </c>
      <c r="AP533" s="0" t="str">
        <f aca="false">IFERROR(VLOOKUP(O533,Assumptions!$B$14:$C$26,2,FALSE()),"Other")</f>
        <v>Manager</v>
      </c>
      <c r="AQ533" s="0" t="n">
        <f aca="false">IF(T533="",0,1)</f>
        <v>0</v>
      </c>
      <c r="AR533" s="0" t="n">
        <f aca="false">IF(U533="",0,1)</f>
        <v>0</v>
      </c>
      <c r="AS533" s="8" t="n">
        <f aca="false">IF(AK533="","",IF(MAX($AK$2:$AK$921)=MIN($AK$2:$AK$921),50,ROUND((AK533-MIN($AK$2:$AK$921))/(MAX($AK$2:$AK$921)-MIN($AK$2:$AK$921))*100,2)))</f>
        <v>46.42</v>
      </c>
      <c r="AT533" s="8" t="n">
        <f aca="false">IF(MAX($BC$2:$BC$921)=MIN($BC$2:$BC$921),50,ROUND((BC533-MIN($BC$2:$BC$921))/(MAX($BC$2:$BC$921)-MIN($BC$2:$BC$921))*100,2))</f>
        <v>50</v>
      </c>
      <c r="AU533" s="8" t="n">
        <f aca="false">IF(MAX($BE$2:$BE$921)=MIN($BE$2:$BE$921),50,ROUND((BE533-MIN($BE$2:$BE$921))/(MAX($BE$2:$BE$921)-MIN($BE$2:$BE$921))*100,2))</f>
        <v>71.13</v>
      </c>
      <c r="AV533" s="8" t="n">
        <f aca="false">IF(MAX($AD$2:$AD$921)=MIN($AD$2:$AD$921),50,ROUND((AD533-MIN($AD$2:$AD$921))/(MAX($AD$2:$AD$921)-MIN($AD$2:$AD$921))*100,2))</f>
        <v>10.03</v>
      </c>
      <c r="AW533" s="8" t="n">
        <f aca="false">IF(MAX($AN$2:$AN$921)=MIN($AN$2:$AN$921),50,ROUND((AN533-MIN($AN$2:$AN$921))/(MAX($AN$2:$AN$921)-MIN($AN$2:$AN$921))*100,2))</f>
        <v>63.75</v>
      </c>
      <c r="AX533" s="8" t="n">
        <f aca="false">AQ533*100</f>
        <v>0</v>
      </c>
      <c r="AY533" s="8" t="n">
        <f aca="false">AR533*100</f>
        <v>0</v>
      </c>
      <c r="AZ533" s="8" t="n">
        <f aca="false">IFERROR(ROUND(AS533*Assumptions!$I$6+AW533*Assumptions!$I$7+AT533*Assumptions!$I$8+AU533*Assumptions!$I$9+AV533*Assumptions!$I$10+AX533*Assumptions!$I$11+AY533*Assumptions!$I$12,2),"")</f>
        <v>45.85</v>
      </c>
      <c r="BA533" s="0" t="str">
        <f aca="false">IF(AZ533="","",IF(AZ533&lt;=Assumptions!$I$18,"Below Expectation",IF(AZ533&lt;=Assumptions!$I$19,"Developing",IF(AZ533&lt;=Assumptions!$I$20,"Meets Expectation",IF(AZ533&lt;=Assumptions!$I$21,"Exceeds","Star Performer")))))</f>
        <v>Developing</v>
      </c>
      <c r="BB533" s="0" t="n">
        <f aca="false">IF(AZ533="",0,IF(AZ533&gt;=Assumptions!$I$26,1,0))</f>
        <v>0</v>
      </c>
      <c r="BC533" s="9" t="n">
        <f aca="false">IF(AL533="",2,AL533+2)</f>
        <v>2</v>
      </c>
      <c r="BD533" s="10" t="n">
        <f aca="false">IF(AM533="",ROUND(AVERAGE($AM$2:$AM$921),3),AM533)</f>
        <v>0.5</v>
      </c>
      <c r="BE533" s="9" t="n">
        <f aca="false">1-BD533</f>
        <v>0.5</v>
      </c>
    </row>
    <row r="534" customFormat="false" ht="14.25" hidden="false" customHeight="false" outlineLevel="0" collapsed="false">
      <c r="A534" s="4" t="n">
        <v>673</v>
      </c>
      <c r="B534" s="5" t="n">
        <v>55059443</v>
      </c>
      <c r="C534" s="5" t="s">
        <v>106</v>
      </c>
      <c r="D534" s="5" t="s">
        <v>2054</v>
      </c>
      <c r="E534" s="5" t="s">
        <v>108</v>
      </c>
      <c r="F534" s="5" t="s">
        <v>463</v>
      </c>
      <c r="G534" s="5" t="s">
        <v>589</v>
      </c>
      <c r="H534" s="5" t="s">
        <v>590</v>
      </c>
      <c r="I534" s="5" t="s">
        <v>63</v>
      </c>
      <c r="J534" s="5" t="s">
        <v>112</v>
      </c>
      <c r="K534" s="5" t="s">
        <v>309</v>
      </c>
      <c r="L534" s="6" t="n">
        <v>44851</v>
      </c>
      <c r="M534" s="5" t="s">
        <v>1690</v>
      </c>
      <c r="N534" s="6" t="n">
        <v>36546</v>
      </c>
      <c r="O534" s="5" t="s">
        <v>1264</v>
      </c>
      <c r="P534" s="5" t="s">
        <v>1559</v>
      </c>
      <c r="Q534" s="5" t="s">
        <v>335</v>
      </c>
      <c r="R534" s="5" t="s">
        <v>115</v>
      </c>
      <c r="S534" s="5" t="s">
        <v>335</v>
      </c>
      <c r="T534" s="6"/>
      <c r="U534" s="6"/>
      <c r="V534" s="5"/>
      <c r="W534" s="5" t="s">
        <v>631</v>
      </c>
      <c r="X534" s="5" t="s">
        <v>141</v>
      </c>
      <c r="Y534" s="5" t="s">
        <v>141</v>
      </c>
      <c r="Z534" s="5" t="s">
        <v>141</v>
      </c>
      <c r="AA534" s="5" t="s">
        <v>2055</v>
      </c>
      <c r="AB534" s="0" t="n">
        <f aca="false">IFERROR(VALUE(R534),0)</f>
        <v>0</v>
      </c>
      <c r="AC534" s="0" t="n">
        <f aca="false">IFERROR(VALUE(M534),"")</f>
        <v>26.4</v>
      </c>
      <c r="AD534" s="0" t="n">
        <f aca="false">IFERROR(VALUE(Q534),"")</f>
        <v>3.7</v>
      </c>
      <c r="AE534" s="0" t="n">
        <f aca="false">IFERROR(VALUE(S534),"")</f>
        <v>3.7</v>
      </c>
      <c r="AF534" s="0" t="str">
        <f aca="false">IF(V534="","",VLOOKUP(V534,Assumptions!$B$6:$C$9,2,FALSE()))</f>
        <v/>
      </c>
      <c r="AG534" s="0" t="n">
        <f aca="false">IF(W534="","",VLOOKUP(W534,Assumptions!$B$6:$C$9,2,FALSE()))</f>
        <v>2</v>
      </c>
      <c r="AH534" s="0" t="n">
        <f aca="false">IF(X534="","",VLOOKUP(X534,Assumptions!$B$6:$C$9,2,FALSE()))</f>
        <v>3</v>
      </c>
      <c r="AI534" s="0" t="n">
        <f aca="false">IF(Y534="","",VLOOKUP(Y534,Assumptions!$B$6:$C$9,2,FALSE()))</f>
        <v>3</v>
      </c>
      <c r="AJ534" s="0" t="n">
        <f aca="false">IF(Z534="","",VLOOKUP(Z534,Assumptions!$B$6:$C$9,2,FALSE()))</f>
        <v>3</v>
      </c>
      <c r="AK534" s="7" t="n">
        <f aca="false">IFERROR(ROUND(AVERAGE(AF534:AJ534),3),"")</f>
        <v>2.75</v>
      </c>
      <c r="AL534" s="7" t="str">
        <f aca="false">IF(OR(AF534="",AJ534=""),"",AJ534-AF534)</f>
        <v/>
      </c>
      <c r="AM534" s="7" t="n">
        <f aca="false">IF(COUNT(AF534:AJ534)&gt;=2,ROUND(_xlfn.STDEV.S(AF534:AJ534),3),"")</f>
        <v>0.5</v>
      </c>
      <c r="AN534" s="7" t="n">
        <f aca="false">ROUND((IF(AF534="",0,AF534)*Assumptions!$F$15)+(IF(AG534="",0,AG534)*Assumptions!$F$16)+(IF(AH534="",0,AH534)*Assumptions!$F$17)+(IF(AI534="",0,AI534)*Assumptions!$F$18)+(IF(AJ534="",0,AJ534)*Assumptions!$F$19),3)</f>
        <v>2.55</v>
      </c>
      <c r="AO534" s="0" t="str">
        <f aca="false">IF(AC534&lt;=20,"",IF(AC534&lt;=Assumptions!$F$6,"20-30",IF(AC534&lt;=Assumptions!$F$7,"30-40",IF(AC534&lt;=Assumptions!$F$8,"40-50",IF(AC534&lt;=Assumptions!$F$9,"50-60",IF(AC534&lt;=Assumptions!$F$10,"60+",""))))))</f>
        <v>20-30</v>
      </c>
      <c r="AP534" s="0" t="str">
        <f aca="false">IFERROR(VLOOKUP(O534,Assumptions!$B$14:$C$26,2,FALSE()),"Other")</f>
        <v>Manager</v>
      </c>
      <c r="AQ534" s="0" t="n">
        <f aca="false">IF(T534="",0,1)</f>
        <v>0</v>
      </c>
      <c r="AR534" s="0" t="n">
        <f aca="false">IF(U534="",0,1)</f>
        <v>0</v>
      </c>
      <c r="AS534" s="8" t="n">
        <f aca="false">IF(AK534="","",IF(MAX($AK$2:$AK$921)=MIN($AK$2:$AK$921),50,ROUND((AK534-MIN($AK$2:$AK$921))/(MAX($AK$2:$AK$921)-MIN($AK$2:$AK$921))*100,2)))</f>
        <v>46.42</v>
      </c>
      <c r="AT534" s="8" t="n">
        <f aca="false">IF(MAX($BC$2:$BC$921)=MIN($BC$2:$BC$921),50,ROUND((BC534-MIN($BC$2:$BC$921))/(MAX($BC$2:$BC$921)-MIN($BC$2:$BC$921))*100,2))</f>
        <v>50</v>
      </c>
      <c r="AU534" s="8" t="n">
        <f aca="false">IF(MAX($BE$2:$BE$921)=MIN($BE$2:$BE$921),50,ROUND((BE534-MIN($BE$2:$BE$921))/(MAX($BE$2:$BE$921)-MIN($BE$2:$BE$921))*100,2))</f>
        <v>71.13</v>
      </c>
      <c r="AV534" s="8" t="n">
        <f aca="false">IF(MAX($AD$2:$AD$921)=MIN($AD$2:$AD$921),50,ROUND((AD534-MIN($AD$2:$AD$921))/(MAX($AD$2:$AD$921)-MIN($AD$2:$AD$921))*100,2))</f>
        <v>9.76</v>
      </c>
      <c r="AW534" s="8" t="n">
        <f aca="false">IF(MAX($AN$2:$AN$921)=MIN($AN$2:$AN$921),50,ROUND((AN534-MIN($AN$2:$AN$921))/(MAX($AN$2:$AN$921)-MIN($AN$2:$AN$921))*100,2))</f>
        <v>63.75</v>
      </c>
      <c r="AX534" s="8" t="n">
        <f aca="false">AQ534*100</f>
        <v>0</v>
      </c>
      <c r="AY534" s="8" t="n">
        <f aca="false">AR534*100</f>
        <v>0</v>
      </c>
      <c r="AZ534" s="8" t="n">
        <f aca="false">IFERROR(ROUND(AS534*Assumptions!$I$6+AW534*Assumptions!$I$7+AT534*Assumptions!$I$8+AU534*Assumptions!$I$9+AV534*Assumptions!$I$10+AX534*Assumptions!$I$11+AY534*Assumptions!$I$12,2),"")</f>
        <v>45.82</v>
      </c>
      <c r="BA534" s="0" t="str">
        <f aca="false">IF(AZ534="","",IF(AZ534&lt;=Assumptions!$I$18,"Below Expectation",IF(AZ534&lt;=Assumptions!$I$19,"Developing",IF(AZ534&lt;=Assumptions!$I$20,"Meets Expectation",IF(AZ534&lt;=Assumptions!$I$21,"Exceeds","Star Performer")))))</f>
        <v>Developing</v>
      </c>
      <c r="BB534" s="0" t="n">
        <f aca="false">IF(AZ534="",0,IF(AZ534&gt;=Assumptions!$I$26,1,0))</f>
        <v>0</v>
      </c>
      <c r="BC534" s="9" t="n">
        <f aca="false">IF(AL534="",2,AL534+2)</f>
        <v>2</v>
      </c>
      <c r="BD534" s="10" t="n">
        <f aca="false">IF(AM534="",ROUND(AVERAGE($AM$2:$AM$921),3),AM534)</f>
        <v>0.5</v>
      </c>
      <c r="BE534" s="9" t="n">
        <f aca="false">1-BD534</f>
        <v>0.5</v>
      </c>
    </row>
    <row r="535" customFormat="false" ht="14.25" hidden="false" customHeight="false" outlineLevel="0" collapsed="false">
      <c r="A535" s="4" t="n">
        <v>675</v>
      </c>
      <c r="B535" s="5" t="n">
        <v>55059470</v>
      </c>
      <c r="C535" s="5" t="s">
        <v>106</v>
      </c>
      <c r="D535" s="5" t="s">
        <v>2056</v>
      </c>
      <c r="E535" s="5" t="s">
        <v>108</v>
      </c>
      <c r="F535" s="5" t="s">
        <v>463</v>
      </c>
      <c r="G535" s="5" t="s">
        <v>589</v>
      </c>
      <c r="H535" s="5" t="s">
        <v>590</v>
      </c>
      <c r="I535" s="5" t="s">
        <v>63</v>
      </c>
      <c r="J535" s="5" t="s">
        <v>112</v>
      </c>
      <c r="K535" s="5" t="s">
        <v>309</v>
      </c>
      <c r="L535" s="6" t="n">
        <v>44851</v>
      </c>
      <c r="M535" s="5" t="s">
        <v>1167</v>
      </c>
      <c r="N535" s="6" t="n">
        <v>36467</v>
      </c>
      <c r="O535" s="5" t="s">
        <v>1264</v>
      </c>
      <c r="P535" s="5" t="s">
        <v>1559</v>
      </c>
      <c r="Q535" s="5" t="s">
        <v>335</v>
      </c>
      <c r="R535" s="5" t="s">
        <v>115</v>
      </c>
      <c r="S535" s="5" t="s">
        <v>335</v>
      </c>
      <c r="T535" s="6"/>
      <c r="U535" s="6"/>
      <c r="V535" s="5"/>
      <c r="W535" s="5" t="s">
        <v>631</v>
      </c>
      <c r="X535" s="5" t="s">
        <v>141</v>
      </c>
      <c r="Y535" s="5" t="s">
        <v>141</v>
      </c>
      <c r="Z535" s="5" t="s">
        <v>141</v>
      </c>
      <c r="AA535" s="5" t="s">
        <v>2057</v>
      </c>
      <c r="AB535" s="0" t="n">
        <f aca="false">IFERROR(VALUE(R535),0)</f>
        <v>0</v>
      </c>
      <c r="AC535" s="0" t="n">
        <f aca="false">IFERROR(VALUE(M535),"")</f>
        <v>26.7</v>
      </c>
      <c r="AD535" s="0" t="n">
        <f aca="false">IFERROR(VALUE(Q535),"")</f>
        <v>3.7</v>
      </c>
      <c r="AE535" s="0" t="n">
        <f aca="false">IFERROR(VALUE(S535),"")</f>
        <v>3.7</v>
      </c>
      <c r="AF535" s="0" t="str">
        <f aca="false">IF(V535="","",VLOOKUP(V535,Assumptions!$B$6:$C$9,2,FALSE()))</f>
        <v/>
      </c>
      <c r="AG535" s="0" t="n">
        <f aca="false">IF(W535="","",VLOOKUP(W535,Assumptions!$B$6:$C$9,2,FALSE()))</f>
        <v>2</v>
      </c>
      <c r="AH535" s="0" t="n">
        <f aca="false">IF(X535="","",VLOOKUP(X535,Assumptions!$B$6:$C$9,2,FALSE()))</f>
        <v>3</v>
      </c>
      <c r="AI535" s="0" t="n">
        <f aca="false">IF(Y535="","",VLOOKUP(Y535,Assumptions!$B$6:$C$9,2,FALSE()))</f>
        <v>3</v>
      </c>
      <c r="AJ535" s="0" t="n">
        <f aca="false">IF(Z535="","",VLOOKUP(Z535,Assumptions!$B$6:$C$9,2,FALSE()))</f>
        <v>3</v>
      </c>
      <c r="AK535" s="7" t="n">
        <f aca="false">IFERROR(ROUND(AVERAGE(AF535:AJ535),3),"")</f>
        <v>2.75</v>
      </c>
      <c r="AL535" s="7" t="str">
        <f aca="false">IF(OR(AF535="",AJ535=""),"",AJ535-AF535)</f>
        <v/>
      </c>
      <c r="AM535" s="7" t="n">
        <f aca="false">IF(COUNT(AF535:AJ535)&gt;=2,ROUND(_xlfn.STDEV.S(AF535:AJ535),3),"")</f>
        <v>0.5</v>
      </c>
      <c r="AN535" s="7" t="n">
        <f aca="false">ROUND((IF(AF535="",0,AF535)*Assumptions!$F$15)+(IF(AG535="",0,AG535)*Assumptions!$F$16)+(IF(AH535="",0,AH535)*Assumptions!$F$17)+(IF(AI535="",0,AI535)*Assumptions!$F$18)+(IF(AJ535="",0,AJ535)*Assumptions!$F$19),3)</f>
        <v>2.55</v>
      </c>
      <c r="AO535" s="0" t="str">
        <f aca="false">IF(AC535&lt;=20,"",IF(AC535&lt;=Assumptions!$F$6,"20-30",IF(AC535&lt;=Assumptions!$F$7,"30-40",IF(AC535&lt;=Assumptions!$F$8,"40-50",IF(AC535&lt;=Assumptions!$F$9,"50-60",IF(AC535&lt;=Assumptions!$F$10,"60+",""))))))</f>
        <v>20-30</v>
      </c>
      <c r="AP535" s="0" t="str">
        <f aca="false">IFERROR(VLOOKUP(O535,Assumptions!$B$14:$C$26,2,FALSE()),"Other")</f>
        <v>Manager</v>
      </c>
      <c r="AQ535" s="0" t="n">
        <f aca="false">IF(T535="",0,1)</f>
        <v>0</v>
      </c>
      <c r="AR535" s="0" t="n">
        <f aca="false">IF(U535="",0,1)</f>
        <v>0</v>
      </c>
      <c r="AS535" s="8" t="n">
        <f aca="false">IF(AK535="","",IF(MAX($AK$2:$AK$921)=MIN($AK$2:$AK$921),50,ROUND((AK535-MIN($AK$2:$AK$921))/(MAX($AK$2:$AK$921)-MIN($AK$2:$AK$921))*100,2)))</f>
        <v>46.42</v>
      </c>
      <c r="AT535" s="8" t="n">
        <f aca="false">IF(MAX($BC$2:$BC$921)=MIN($BC$2:$BC$921),50,ROUND((BC535-MIN($BC$2:$BC$921))/(MAX($BC$2:$BC$921)-MIN($BC$2:$BC$921))*100,2))</f>
        <v>50</v>
      </c>
      <c r="AU535" s="8" t="n">
        <f aca="false">IF(MAX($BE$2:$BE$921)=MIN($BE$2:$BE$921),50,ROUND((BE535-MIN($BE$2:$BE$921))/(MAX($BE$2:$BE$921)-MIN($BE$2:$BE$921))*100,2))</f>
        <v>71.13</v>
      </c>
      <c r="AV535" s="8" t="n">
        <f aca="false">IF(MAX($AD$2:$AD$921)=MIN($AD$2:$AD$921),50,ROUND((AD535-MIN($AD$2:$AD$921))/(MAX($AD$2:$AD$921)-MIN($AD$2:$AD$921))*100,2))</f>
        <v>9.76</v>
      </c>
      <c r="AW535" s="8" t="n">
        <f aca="false">IF(MAX($AN$2:$AN$921)=MIN($AN$2:$AN$921),50,ROUND((AN535-MIN($AN$2:$AN$921))/(MAX($AN$2:$AN$921)-MIN($AN$2:$AN$921))*100,2))</f>
        <v>63.75</v>
      </c>
      <c r="AX535" s="8" t="n">
        <f aca="false">AQ535*100</f>
        <v>0</v>
      </c>
      <c r="AY535" s="8" t="n">
        <f aca="false">AR535*100</f>
        <v>0</v>
      </c>
      <c r="AZ535" s="8" t="n">
        <f aca="false">IFERROR(ROUND(AS535*Assumptions!$I$6+AW535*Assumptions!$I$7+AT535*Assumptions!$I$8+AU535*Assumptions!$I$9+AV535*Assumptions!$I$10+AX535*Assumptions!$I$11+AY535*Assumptions!$I$12,2),"")</f>
        <v>45.82</v>
      </c>
      <c r="BA535" s="0" t="str">
        <f aca="false">IF(AZ535="","",IF(AZ535&lt;=Assumptions!$I$18,"Below Expectation",IF(AZ535&lt;=Assumptions!$I$19,"Developing",IF(AZ535&lt;=Assumptions!$I$20,"Meets Expectation",IF(AZ535&lt;=Assumptions!$I$21,"Exceeds","Star Performer")))))</f>
        <v>Developing</v>
      </c>
      <c r="BB535" s="0" t="n">
        <f aca="false">IF(AZ535="",0,IF(AZ535&gt;=Assumptions!$I$26,1,0))</f>
        <v>0</v>
      </c>
      <c r="BC535" s="9" t="n">
        <f aca="false">IF(AL535="",2,AL535+2)</f>
        <v>2</v>
      </c>
      <c r="BD535" s="10" t="n">
        <f aca="false">IF(AM535="",ROUND(AVERAGE($AM$2:$AM$921),3),AM535)</f>
        <v>0.5</v>
      </c>
      <c r="BE535" s="9" t="n">
        <f aca="false">1-BD535</f>
        <v>0.5</v>
      </c>
    </row>
    <row r="536" customFormat="false" ht="14.25" hidden="true" customHeight="false" outlineLevel="0" collapsed="false">
      <c r="A536" s="4" t="n">
        <v>683</v>
      </c>
      <c r="B536" s="5" t="n">
        <v>55059527</v>
      </c>
      <c r="C536" s="5" t="s">
        <v>85</v>
      </c>
      <c r="D536" s="5" t="s">
        <v>2058</v>
      </c>
      <c r="E536" s="5" t="s">
        <v>137</v>
      </c>
      <c r="F536" s="5" t="s">
        <v>1382</v>
      </c>
      <c r="G536" s="5" t="s">
        <v>1383</v>
      </c>
      <c r="H536" s="5" t="s">
        <v>1382</v>
      </c>
      <c r="I536" s="5" t="s">
        <v>63</v>
      </c>
      <c r="J536" s="5" t="s">
        <v>76</v>
      </c>
      <c r="K536" s="5" t="s">
        <v>309</v>
      </c>
      <c r="L536" s="6" t="n">
        <v>44851</v>
      </c>
      <c r="M536" s="5" t="s">
        <v>960</v>
      </c>
      <c r="N536" s="6" t="n">
        <v>36970</v>
      </c>
      <c r="O536" s="5" t="s">
        <v>1264</v>
      </c>
      <c r="P536" s="5" t="s">
        <v>1559</v>
      </c>
      <c r="Q536" s="5" t="s">
        <v>335</v>
      </c>
      <c r="R536" s="5" t="s">
        <v>115</v>
      </c>
      <c r="S536" s="5" t="s">
        <v>335</v>
      </c>
      <c r="T536" s="6"/>
      <c r="U536" s="6"/>
      <c r="V536" s="5"/>
      <c r="W536" s="5" t="s">
        <v>631</v>
      </c>
      <c r="X536" s="5" t="s">
        <v>141</v>
      </c>
      <c r="Y536" s="5" t="s">
        <v>141</v>
      </c>
      <c r="Z536" s="5" t="s">
        <v>141</v>
      </c>
      <c r="AA536" s="5" t="s">
        <v>2059</v>
      </c>
      <c r="AB536" s="0" t="n">
        <f aca="false">IFERROR(VALUE(R536),0)</f>
        <v>0</v>
      </c>
      <c r="AC536" s="0" t="n">
        <f aca="false">IFERROR(VALUE(M536),"")</f>
        <v>25.2</v>
      </c>
      <c r="AD536" s="0" t="n">
        <f aca="false">IFERROR(VALUE(Q536),"")</f>
        <v>3.7</v>
      </c>
      <c r="AE536" s="0" t="n">
        <f aca="false">IFERROR(VALUE(S536),"")</f>
        <v>3.7</v>
      </c>
      <c r="AF536" s="0" t="str">
        <f aca="false">IF(V536="","",VLOOKUP(V536,Assumptions!$B$6:$C$9,2,FALSE()))</f>
        <v/>
      </c>
      <c r="AG536" s="0" t="n">
        <f aca="false">IF(W536="","",VLOOKUP(W536,Assumptions!$B$6:$C$9,2,FALSE()))</f>
        <v>2</v>
      </c>
      <c r="AH536" s="0" t="n">
        <f aca="false">IF(X536="","",VLOOKUP(X536,Assumptions!$B$6:$C$9,2,FALSE()))</f>
        <v>3</v>
      </c>
      <c r="AI536" s="0" t="n">
        <f aca="false">IF(Y536="","",VLOOKUP(Y536,Assumptions!$B$6:$C$9,2,FALSE()))</f>
        <v>3</v>
      </c>
      <c r="AJ536" s="0" t="n">
        <f aca="false">IF(Z536="","",VLOOKUP(Z536,Assumptions!$B$6:$C$9,2,FALSE()))</f>
        <v>3</v>
      </c>
      <c r="AK536" s="7" t="n">
        <f aca="false">IFERROR(ROUND(AVERAGE(AF536:AJ536),3),"")</f>
        <v>2.75</v>
      </c>
      <c r="AL536" s="7" t="str">
        <f aca="false">IF(OR(AF536="",AJ536=""),"",AJ536-AF536)</f>
        <v/>
      </c>
      <c r="AM536" s="7" t="n">
        <f aca="false">IF(COUNT(AF536:AJ536)&gt;=2,ROUND(_xlfn.STDEV.S(AF536:AJ536),3),"")</f>
        <v>0.5</v>
      </c>
      <c r="AN536" s="7" t="n">
        <f aca="false">ROUND((IF(AF536="",0,AF536)*Assumptions!$F$15)+(IF(AG536="",0,AG536)*Assumptions!$F$16)+(IF(AH536="",0,AH536)*Assumptions!$F$17)+(IF(AI536="",0,AI536)*Assumptions!$F$18)+(IF(AJ536="",0,AJ536)*Assumptions!$F$19),3)</f>
        <v>2.55</v>
      </c>
      <c r="AO536" s="0" t="str">
        <f aca="false">IF(AC536&lt;=20,"",IF(AC536&lt;=Assumptions!$F$6,"20-30",IF(AC536&lt;=Assumptions!$F$7,"30-40",IF(AC536&lt;=Assumptions!$F$8,"40-50",IF(AC536&lt;=Assumptions!$F$9,"50-60",IF(AC536&lt;=Assumptions!$F$10,"60+",""))))))</f>
        <v>20-30</v>
      </c>
      <c r="AP536" s="0" t="str">
        <f aca="false">IFERROR(VLOOKUP(O536,Assumptions!$B$14:$C$26,2,FALSE()),"Other")</f>
        <v>Manager</v>
      </c>
      <c r="AQ536" s="0" t="n">
        <f aca="false">IF(T536="",0,1)</f>
        <v>0</v>
      </c>
      <c r="AR536" s="0" t="n">
        <f aca="false">IF(U536="",0,1)</f>
        <v>0</v>
      </c>
      <c r="AS536" s="8" t="n">
        <f aca="false">IF(AK536="","",IF(MAX($AK$2:$AK$921)=MIN($AK$2:$AK$921),50,ROUND((AK536-MIN($AK$2:$AK$921))/(MAX($AK$2:$AK$921)-MIN($AK$2:$AK$921))*100,2)))</f>
        <v>46.42</v>
      </c>
      <c r="AT536" s="8" t="n">
        <f aca="false">IF(MAX($BC$2:$BC$921)=MIN($BC$2:$BC$921),50,ROUND((BC536-MIN($BC$2:$BC$921))/(MAX($BC$2:$BC$921)-MIN($BC$2:$BC$921))*100,2))</f>
        <v>50</v>
      </c>
      <c r="AU536" s="8" t="n">
        <f aca="false">IF(MAX($BE$2:$BE$921)=MIN($BE$2:$BE$921),50,ROUND((BE536-MIN($BE$2:$BE$921))/(MAX($BE$2:$BE$921)-MIN($BE$2:$BE$921))*100,2))</f>
        <v>71.13</v>
      </c>
      <c r="AV536" s="8" t="n">
        <f aca="false">IF(MAX($AD$2:$AD$921)=MIN($AD$2:$AD$921),50,ROUND((AD536-MIN($AD$2:$AD$921))/(MAX($AD$2:$AD$921)-MIN($AD$2:$AD$921))*100,2))</f>
        <v>9.76</v>
      </c>
      <c r="AW536" s="8" t="n">
        <f aca="false">IF(MAX($AN$2:$AN$921)=MIN($AN$2:$AN$921),50,ROUND((AN536-MIN($AN$2:$AN$921))/(MAX($AN$2:$AN$921)-MIN($AN$2:$AN$921))*100,2))</f>
        <v>63.75</v>
      </c>
      <c r="AX536" s="8" t="n">
        <f aca="false">AQ536*100</f>
        <v>0</v>
      </c>
      <c r="AY536" s="8" t="n">
        <f aca="false">AR536*100</f>
        <v>0</v>
      </c>
      <c r="AZ536" s="8" t="n">
        <f aca="false">IFERROR(ROUND(AS536*Assumptions!$I$6+AW536*Assumptions!$I$7+AT536*Assumptions!$I$8+AU536*Assumptions!$I$9+AV536*Assumptions!$I$10+AX536*Assumptions!$I$11+AY536*Assumptions!$I$12,2),"")</f>
        <v>45.82</v>
      </c>
      <c r="BA536" s="0" t="str">
        <f aca="false">IF(AZ536="","",IF(AZ536&lt;=Assumptions!$I$18,"Below Expectation",IF(AZ536&lt;=Assumptions!$I$19,"Developing",IF(AZ536&lt;=Assumptions!$I$20,"Meets Expectation",IF(AZ536&lt;=Assumptions!$I$21,"Exceeds","Star Performer")))))</f>
        <v>Developing</v>
      </c>
      <c r="BB536" s="0" t="n">
        <f aca="false">IF(AZ536="",0,IF(AZ536&gt;=Assumptions!$I$26,1,0))</f>
        <v>0</v>
      </c>
      <c r="BC536" s="9" t="n">
        <f aca="false">IF(AL536="",2,AL536+2)</f>
        <v>2</v>
      </c>
      <c r="BD536" s="10" t="n">
        <f aca="false">IF(AM536="",ROUND(AVERAGE($AM$2:$AM$921),3),AM536)</f>
        <v>0.5</v>
      </c>
      <c r="BE536" s="9" t="n">
        <f aca="false">1-BD536</f>
        <v>0.5</v>
      </c>
    </row>
    <row r="537" customFormat="false" ht="14.25" hidden="true" customHeight="false" outlineLevel="0" collapsed="false">
      <c r="A537" s="4" t="n">
        <v>530</v>
      </c>
      <c r="B537" s="5" t="n">
        <v>55046544</v>
      </c>
      <c r="C537" s="5" t="s">
        <v>85</v>
      </c>
      <c r="D537" s="5" t="s">
        <v>2060</v>
      </c>
      <c r="E537" s="5" t="s">
        <v>137</v>
      </c>
      <c r="F537" s="5" t="s">
        <v>1382</v>
      </c>
      <c r="G537" s="5" t="s">
        <v>1383</v>
      </c>
      <c r="H537" s="5" t="s">
        <v>1382</v>
      </c>
      <c r="I537" s="5" t="s">
        <v>63</v>
      </c>
      <c r="J537" s="5" t="s">
        <v>76</v>
      </c>
      <c r="K537" s="5" t="s">
        <v>309</v>
      </c>
      <c r="L537" s="6" t="n">
        <v>44593</v>
      </c>
      <c r="M537" s="5" t="s">
        <v>1370</v>
      </c>
      <c r="N537" s="6" t="n">
        <v>35796</v>
      </c>
      <c r="O537" s="5" t="s">
        <v>1264</v>
      </c>
      <c r="P537" s="5" t="s">
        <v>1559</v>
      </c>
      <c r="Q537" s="5" t="s">
        <v>545</v>
      </c>
      <c r="R537" s="5" t="s">
        <v>115</v>
      </c>
      <c r="S537" s="5" t="s">
        <v>545</v>
      </c>
      <c r="T537" s="6"/>
      <c r="U537" s="6"/>
      <c r="V537" s="5"/>
      <c r="W537" s="5" t="s">
        <v>141</v>
      </c>
      <c r="X537" s="5" t="s">
        <v>631</v>
      </c>
      <c r="Y537" s="5" t="s">
        <v>141</v>
      </c>
      <c r="Z537" s="5" t="s">
        <v>141</v>
      </c>
      <c r="AA537" s="5" t="s">
        <v>2061</v>
      </c>
      <c r="AB537" s="0" t="n">
        <f aca="false">IFERROR(VALUE(R537),0)</f>
        <v>0</v>
      </c>
      <c r="AC537" s="0" t="n">
        <f aca="false">IFERROR(VALUE(M537),"")</f>
        <v>28.5</v>
      </c>
      <c r="AD537" s="0" t="n">
        <f aca="false">IFERROR(VALUE(Q537),"")</f>
        <v>4.4</v>
      </c>
      <c r="AE537" s="0" t="n">
        <f aca="false">IFERROR(VALUE(S537),"")</f>
        <v>4.4</v>
      </c>
      <c r="AF537" s="0" t="str">
        <f aca="false">IF(V537="","",VLOOKUP(V537,Assumptions!$B$6:$C$9,2,FALSE()))</f>
        <v/>
      </c>
      <c r="AG537" s="0" t="n">
        <f aca="false">IF(W537="","",VLOOKUP(W537,Assumptions!$B$6:$C$9,2,FALSE()))</f>
        <v>3</v>
      </c>
      <c r="AH537" s="0" t="n">
        <f aca="false">IF(X537="","",VLOOKUP(X537,Assumptions!$B$6:$C$9,2,FALSE()))</f>
        <v>2</v>
      </c>
      <c r="AI537" s="0" t="n">
        <f aca="false">IF(Y537="","",VLOOKUP(Y537,Assumptions!$B$6:$C$9,2,FALSE()))</f>
        <v>3</v>
      </c>
      <c r="AJ537" s="0" t="n">
        <f aca="false">IF(Z537="","",VLOOKUP(Z537,Assumptions!$B$6:$C$9,2,FALSE()))</f>
        <v>3</v>
      </c>
      <c r="AK537" s="7" t="n">
        <f aca="false">IFERROR(ROUND(AVERAGE(AF537:AJ537),3),"")</f>
        <v>2.75</v>
      </c>
      <c r="AL537" s="7" t="str">
        <f aca="false">IF(OR(AF537="",AJ537=""),"",AJ537-AF537)</f>
        <v/>
      </c>
      <c r="AM537" s="7" t="n">
        <f aca="false">IF(COUNT(AF537:AJ537)&gt;=2,ROUND(_xlfn.STDEV.S(AF537:AJ537),3),"")</f>
        <v>0.5</v>
      </c>
      <c r="AN537" s="7" t="n">
        <f aca="false">ROUND((IF(AF537="",0,AF537)*Assumptions!$F$15)+(IF(AG537="",0,AG537)*Assumptions!$F$16)+(IF(AH537="",0,AH537)*Assumptions!$F$17)+(IF(AI537="",0,AI537)*Assumptions!$F$18)+(IF(AJ537="",0,AJ537)*Assumptions!$F$19),3)</f>
        <v>2.5</v>
      </c>
      <c r="AO537" s="0" t="str">
        <f aca="false">IF(AC537&lt;=20,"",IF(AC537&lt;=Assumptions!$F$6,"20-30",IF(AC537&lt;=Assumptions!$F$7,"30-40",IF(AC537&lt;=Assumptions!$F$8,"40-50",IF(AC537&lt;=Assumptions!$F$9,"50-60",IF(AC537&lt;=Assumptions!$F$10,"60+",""))))))</f>
        <v>20-30</v>
      </c>
      <c r="AP537" s="0" t="str">
        <f aca="false">IFERROR(VLOOKUP(O537,Assumptions!$B$14:$C$26,2,FALSE()),"Other")</f>
        <v>Manager</v>
      </c>
      <c r="AQ537" s="0" t="n">
        <f aca="false">IF(T537="",0,1)</f>
        <v>0</v>
      </c>
      <c r="AR537" s="0" t="n">
        <f aca="false">IF(U537="",0,1)</f>
        <v>0</v>
      </c>
      <c r="AS537" s="8" t="n">
        <f aca="false">IF(AK537="","",IF(MAX($AK$2:$AK$921)=MIN($AK$2:$AK$921),50,ROUND((AK537-MIN($AK$2:$AK$921))/(MAX($AK$2:$AK$921)-MIN($AK$2:$AK$921))*100,2)))</f>
        <v>46.42</v>
      </c>
      <c r="AT537" s="8" t="n">
        <f aca="false">IF(MAX($BC$2:$BC$921)=MIN($BC$2:$BC$921),50,ROUND((BC537-MIN($BC$2:$BC$921))/(MAX($BC$2:$BC$921)-MIN($BC$2:$BC$921))*100,2))</f>
        <v>50</v>
      </c>
      <c r="AU537" s="8" t="n">
        <f aca="false">IF(MAX($BE$2:$BE$921)=MIN($BE$2:$BE$921),50,ROUND((BE537-MIN($BE$2:$BE$921))/(MAX($BE$2:$BE$921)-MIN($BE$2:$BE$921))*100,2))</f>
        <v>71.13</v>
      </c>
      <c r="AV537" s="8" t="n">
        <f aca="false">IF(MAX($AD$2:$AD$921)=MIN($AD$2:$AD$921),50,ROUND((AD537-MIN($AD$2:$AD$921))/(MAX($AD$2:$AD$921)-MIN($AD$2:$AD$921))*100,2))</f>
        <v>11.66</v>
      </c>
      <c r="AW537" s="8" t="n">
        <f aca="false">IF(MAX($AN$2:$AN$921)=MIN($AN$2:$AN$921),50,ROUND((AN537-MIN($AN$2:$AN$921))/(MAX($AN$2:$AN$921)-MIN($AN$2:$AN$921))*100,2))</f>
        <v>62.5</v>
      </c>
      <c r="AX537" s="8" t="n">
        <f aca="false">AQ537*100</f>
        <v>0</v>
      </c>
      <c r="AY537" s="8" t="n">
        <f aca="false">AR537*100</f>
        <v>0</v>
      </c>
      <c r="AZ537" s="8" t="n">
        <f aca="false">IFERROR(ROUND(AS537*Assumptions!$I$6+AW537*Assumptions!$I$7+AT537*Assumptions!$I$8+AU537*Assumptions!$I$9+AV537*Assumptions!$I$10+AX537*Assumptions!$I$11+AY537*Assumptions!$I$12,2),"")</f>
        <v>45.76</v>
      </c>
      <c r="BA537" s="0" t="str">
        <f aca="false">IF(AZ537="","",IF(AZ537&lt;=Assumptions!$I$18,"Below Expectation",IF(AZ537&lt;=Assumptions!$I$19,"Developing",IF(AZ537&lt;=Assumptions!$I$20,"Meets Expectation",IF(AZ537&lt;=Assumptions!$I$21,"Exceeds","Star Performer")))))</f>
        <v>Developing</v>
      </c>
      <c r="BB537" s="0" t="n">
        <f aca="false">IF(AZ537="",0,IF(AZ537&gt;=Assumptions!$I$26,1,0))</f>
        <v>0</v>
      </c>
      <c r="BC537" s="9" t="n">
        <f aca="false">IF(AL537="",2,AL537+2)</f>
        <v>2</v>
      </c>
      <c r="BD537" s="10" t="n">
        <f aca="false">IF(AM537="",ROUND(AVERAGE($AM$2:$AM$921),3),AM537)</f>
        <v>0.5</v>
      </c>
      <c r="BE537" s="9" t="n">
        <f aca="false">1-BD537</f>
        <v>0.5</v>
      </c>
    </row>
    <row r="538" customFormat="false" ht="14.25" hidden="true" customHeight="false" outlineLevel="0" collapsed="false">
      <c r="A538" s="4" t="n">
        <v>615</v>
      </c>
      <c r="B538" s="5" t="n">
        <v>55054334</v>
      </c>
      <c r="C538" s="5" t="s">
        <v>85</v>
      </c>
      <c r="D538" s="5" t="s">
        <v>2062</v>
      </c>
      <c r="E538" s="5" t="s">
        <v>235</v>
      </c>
      <c r="F538" s="5" t="s">
        <v>1382</v>
      </c>
      <c r="G538" s="5" t="s">
        <v>1383</v>
      </c>
      <c r="H538" s="5" t="s">
        <v>1382</v>
      </c>
      <c r="I538" s="5" t="s">
        <v>63</v>
      </c>
      <c r="J538" s="5" t="s">
        <v>76</v>
      </c>
      <c r="K538" s="5" t="s">
        <v>309</v>
      </c>
      <c r="L538" s="6" t="n">
        <v>44763</v>
      </c>
      <c r="M538" s="5" t="s">
        <v>1690</v>
      </c>
      <c r="N538" s="6" t="n">
        <v>36549</v>
      </c>
      <c r="O538" s="5" t="s">
        <v>1264</v>
      </c>
      <c r="P538" s="5" t="s">
        <v>1559</v>
      </c>
      <c r="Q538" s="5" t="s">
        <v>591</v>
      </c>
      <c r="R538" s="5" t="s">
        <v>115</v>
      </c>
      <c r="S538" s="5" t="s">
        <v>591</v>
      </c>
      <c r="T538" s="6"/>
      <c r="U538" s="6"/>
      <c r="V538" s="5"/>
      <c r="W538" s="5" t="s">
        <v>631</v>
      </c>
      <c r="X538" s="5" t="s">
        <v>141</v>
      </c>
      <c r="Y538" s="5" t="s">
        <v>141</v>
      </c>
      <c r="Z538" s="5" t="s">
        <v>141</v>
      </c>
      <c r="AA538" s="5" t="s">
        <v>2063</v>
      </c>
      <c r="AB538" s="0" t="n">
        <f aca="false">IFERROR(VALUE(R538),0)</f>
        <v>0</v>
      </c>
      <c r="AC538" s="0" t="n">
        <f aca="false">IFERROR(VALUE(M538),"")</f>
        <v>26.4</v>
      </c>
      <c r="AD538" s="0" t="n">
        <f aca="false">IFERROR(VALUE(Q538),"")</f>
        <v>3.1</v>
      </c>
      <c r="AE538" s="0" t="n">
        <f aca="false">IFERROR(VALUE(S538),"")</f>
        <v>3.1</v>
      </c>
      <c r="AF538" s="0" t="str">
        <f aca="false">IF(V538="","",VLOOKUP(V538,Assumptions!$B$6:$C$9,2,FALSE()))</f>
        <v/>
      </c>
      <c r="AG538" s="0" t="n">
        <f aca="false">IF(W538="","",VLOOKUP(W538,Assumptions!$B$6:$C$9,2,FALSE()))</f>
        <v>2</v>
      </c>
      <c r="AH538" s="0" t="n">
        <f aca="false">IF(X538="","",VLOOKUP(X538,Assumptions!$B$6:$C$9,2,FALSE()))</f>
        <v>3</v>
      </c>
      <c r="AI538" s="0" t="n">
        <f aca="false">IF(Y538="","",VLOOKUP(Y538,Assumptions!$B$6:$C$9,2,FALSE()))</f>
        <v>3</v>
      </c>
      <c r="AJ538" s="0" t="n">
        <f aca="false">IF(Z538="","",VLOOKUP(Z538,Assumptions!$B$6:$C$9,2,FALSE()))</f>
        <v>3</v>
      </c>
      <c r="AK538" s="7" t="n">
        <f aca="false">IFERROR(ROUND(AVERAGE(AF538:AJ538),3),"")</f>
        <v>2.75</v>
      </c>
      <c r="AL538" s="7" t="str">
        <f aca="false">IF(OR(AF538="",AJ538=""),"",AJ538-AF538)</f>
        <v/>
      </c>
      <c r="AM538" s="7" t="n">
        <f aca="false">IF(COUNT(AF538:AJ538)&gt;=2,ROUND(_xlfn.STDEV.S(AF538:AJ538),3),"")</f>
        <v>0.5</v>
      </c>
      <c r="AN538" s="7" t="n">
        <f aca="false">ROUND((IF(AF538="",0,AF538)*Assumptions!$F$15)+(IF(AG538="",0,AG538)*Assumptions!$F$16)+(IF(AH538="",0,AH538)*Assumptions!$F$17)+(IF(AI538="",0,AI538)*Assumptions!$F$18)+(IF(AJ538="",0,AJ538)*Assumptions!$F$19),3)</f>
        <v>2.55</v>
      </c>
      <c r="AO538" s="0" t="str">
        <f aca="false">IF(AC538&lt;=20,"",IF(AC538&lt;=Assumptions!$F$6,"20-30",IF(AC538&lt;=Assumptions!$F$7,"30-40",IF(AC538&lt;=Assumptions!$F$8,"40-50",IF(AC538&lt;=Assumptions!$F$9,"50-60",IF(AC538&lt;=Assumptions!$F$10,"60+",""))))))</f>
        <v>20-30</v>
      </c>
      <c r="AP538" s="0" t="str">
        <f aca="false">IFERROR(VLOOKUP(O538,Assumptions!$B$14:$C$26,2,FALSE()),"Other")</f>
        <v>Manager</v>
      </c>
      <c r="AQ538" s="0" t="n">
        <f aca="false">IF(T538="",0,1)</f>
        <v>0</v>
      </c>
      <c r="AR538" s="0" t="n">
        <f aca="false">IF(U538="",0,1)</f>
        <v>0</v>
      </c>
      <c r="AS538" s="8" t="n">
        <f aca="false">IF(AK538="","",IF(MAX($AK$2:$AK$921)=MIN($AK$2:$AK$921),50,ROUND((AK538-MIN($AK$2:$AK$921))/(MAX($AK$2:$AK$921)-MIN($AK$2:$AK$921))*100,2)))</f>
        <v>46.42</v>
      </c>
      <c r="AT538" s="8" t="n">
        <f aca="false">IF(MAX($BC$2:$BC$921)=MIN($BC$2:$BC$921),50,ROUND((BC538-MIN($BC$2:$BC$921))/(MAX($BC$2:$BC$921)-MIN($BC$2:$BC$921))*100,2))</f>
        <v>50</v>
      </c>
      <c r="AU538" s="8" t="n">
        <f aca="false">IF(MAX($BE$2:$BE$921)=MIN($BE$2:$BE$921),50,ROUND((BE538-MIN($BE$2:$BE$921))/(MAX($BE$2:$BE$921)-MIN($BE$2:$BE$921))*100,2))</f>
        <v>71.13</v>
      </c>
      <c r="AV538" s="8" t="n">
        <f aca="false">IF(MAX($AD$2:$AD$921)=MIN($AD$2:$AD$921),50,ROUND((AD538-MIN($AD$2:$AD$921))/(MAX($AD$2:$AD$921)-MIN($AD$2:$AD$921))*100,2))</f>
        <v>8.13</v>
      </c>
      <c r="AW538" s="8" t="n">
        <f aca="false">IF(MAX($AN$2:$AN$921)=MIN($AN$2:$AN$921),50,ROUND((AN538-MIN($AN$2:$AN$921))/(MAX($AN$2:$AN$921)-MIN($AN$2:$AN$921))*100,2))</f>
        <v>63.75</v>
      </c>
      <c r="AX538" s="8" t="n">
        <f aca="false">AQ538*100</f>
        <v>0</v>
      </c>
      <c r="AY538" s="8" t="n">
        <f aca="false">AR538*100</f>
        <v>0</v>
      </c>
      <c r="AZ538" s="8" t="n">
        <f aca="false">IFERROR(ROUND(AS538*Assumptions!$I$6+AW538*Assumptions!$I$7+AT538*Assumptions!$I$8+AU538*Assumptions!$I$9+AV538*Assumptions!$I$10+AX538*Assumptions!$I$11+AY538*Assumptions!$I$12,2),"")</f>
        <v>45.66</v>
      </c>
      <c r="BA538" s="0" t="str">
        <f aca="false">IF(AZ538="","",IF(AZ538&lt;=Assumptions!$I$18,"Below Expectation",IF(AZ538&lt;=Assumptions!$I$19,"Developing",IF(AZ538&lt;=Assumptions!$I$20,"Meets Expectation",IF(AZ538&lt;=Assumptions!$I$21,"Exceeds","Star Performer")))))</f>
        <v>Developing</v>
      </c>
      <c r="BB538" s="0" t="n">
        <f aca="false">IF(AZ538="",0,IF(AZ538&gt;=Assumptions!$I$26,1,0))</f>
        <v>0</v>
      </c>
      <c r="BC538" s="9" t="n">
        <f aca="false">IF(AL538="",2,AL538+2)</f>
        <v>2</v>
      </c>
      <c r="BD538" s="10" t="n">
        <f aca="false">IF(AM538="",ROUND(AVERAGE($AM$2:$AM$921),3),AM538)</f>
        <v>0.5</v>
      </c>
      <c r="BE538" s="9" t="n">
        <f aca="false">1-BD538</f>
        <v>0.5</v>
      </c>
    </row>
    <row r="539" customFormat="false" ht="14.25" hidden="true" customHeight="false" outlineLevel="0" collapsed="false">
      <c r="A539" s="4" t="n">
        <v>616</v>
      </c>
      <c r="B539" s="5" t="n">
        <v>55054339</v>
      </c>
      <c r="C539" s="5" t="s">
        <v>85</v>
      </c>
      <c r="D539" s="5" t="s">
        <v>2064</v>
      </c>
      <c r="E539" s="5" t="s">
        <v>185</v>
      </c>
      <c r="F539" s="5" t="s">
        <v>1382</v>
      </c>
      <c r="G539" s="5" t="s">
        <v>1383</v>
      </c>
      <c r="H539" s="5" t="s">
        <v>1382</v>
      </c>
      <c r="I539" s="5" t="s">
        <v>63</v>
      </c>
      <c r="J539" s="5" t="s">
        <v>76</v>
      </c>
      <c r="K539" s="5" t="s">
        <v>309</v>
      </c>
      <c r="L539" s="6" t="n">
        <v>44763</v>
      </c>
      <c r="M539" s="5" t="s">
        <v>1167</v>
      </c>
      <c r="N539" s="6" t="n">
        <v>36460</v>
      </c>
      <c r="O539" s="5" t="s">
        <v>1264</v>
      </c>
      <c r="P539" s="5" t="s">
        <v>1559</v>
      </c>
      <c r="Q539" s="5" t="s">
        <v>591</v>
      </c>
      <c r="R539" s="5" t="s">
        <v>115</v>
      </c>
      <c r="S539" s="5" t="s">
        <v>591</v>
      </c>
      <c r="T539" s="6"/>
      <c r="U539" s="6"/>
      <c r="V539" s="5"/>
      <c r="W539" s="5" t="s">
        <v>631</v>
      </c>
      <c r="X539" s="5" t="s">
        <v>141</v>
      </c>
      <c r="Y539" s="5" t="s">
        <v>141</v>
      </c>
      <c r="Z539" s="5" t="s">
        <v>141</v>
      </c>
      <c r="AA539" s="5" t="s">
        <v>2065</v>
      </c>
      <c r="AB539" s="0" t="n">
        <f aca="false">IFERROR(VALUE(R539),0)</f>
        <v>0</v>
      </c>
      <c r="AC539" s="0" t="n">
        <f aca="false">IFERROR(VALUE(M539),"")</f>
        <v>26.7</v>
      </c>
      <c r="AD539" s="0" t="n">
        <f aca="false">IFERROR(VALUE(Q539),"")</f>
        <v>3.1</v>
      </c>
      <c r="AE539" s="0" t="n">
        <f aca="false">IFERROR(VALUE(S539),"")</f>
        <v>3.1</v>
      </c>
      <c r="AF539" s="0" t="str">
        <f aca="false">IF(V539="","",VLOOKUP(V539,Assumptions!$B$6:$C$9,2,FALSE()))</f>
        <v/>
      </c>
      <c r="AG539" s="0" t="n">
        <f aca="false">IF(W539="","",VLOOKUP(W539,Assumptions!$B$6:$C$9,2,FALSE()))</f>
        <v>2</v>
      </c>
      <c r="AH539" s="0" t="n">
        <f aca="false">IF(X539="","",VLOOKUP(X539,Assumptions!$B$6:$C$9,2,FALSE()))</f>
        <v>3</v>
      </c>
      <c r="AI539" s="0" t="n">
        <f aca="false">IF(Y539="","",VLOOKUP(Y539,Assumptions!$B$6:$C$9,2,FALSE()))</f>
        <v>3</v>
      </c>
      <c r="AJ539" s="0" t="n">
        <f aca="false">IF(Z539="","",VLOOKUP(Z539,Assumptions!$B$6:$C$9,2,FALSE()))</f>
        <v>3</v>
      </c>
      <c r="AK539" s="7" t="n">
        <f aca="false">IFERROR(ROUND(AVERAGE(AF539:AJ539),3),"")</f>
        <v>2.75</v>
      </c>
      <c r="AL539" s="7" t="str">
        <f aca="false">IF(OR(AF539="",AJ539=""),"",AJ539-AF539)</f>
        <v/>
      </c>
      <c r="AM539" s="7" t="n">
        <f aca="false">IF(COUNT(AF539:AJ539)&gt;=2,ROUND(_xlfn.STDEV.S(AF539:AJ539),3),"")</f>
        <v>0.5</v>
      </c>
      <c r="AN539" s="7" t="n">
        <f aca="false">ROUND((IF(AF539="",0,AF539)*Assumptions!$F$15)+(IF(AG539="",0,AG539)*Assumptions!$F$16)+(IF(AH539="",0,AH539)*Assumptions!$F$17)+(IF(AI539="",0,AI539)*Assumptions!$F$18)+(IF(AJ539="",0,AJ539)*Assumptions!$F$19),3)</f>
        <v>2.55</v>
      </c>
      <c r="AO539" s="0" t="str">
        <f aca="false">IF(AC539&lt;=20,"",IF(AC539&lt;=Assumptions!$F$6,"20-30",IF(AC539&lt;=Assumptions!$F$7,"30-40",IF(AC539&lt;=Assumptions!$F$8,"40-50",IF(AC539&lt;=Assumptions!$F$9,"50-60",IF(AC539&lt;=Assumptions!$F$10,"60+",""))))))</f>
        <v>20-30</v>
      </c>
      <c r="AP539" s="0" t="str">
        <f aca="false">IFERROR(VLOOKUP(O539,Assumptions!$B$14:$C$26,2,FALSE()),"Other")</f>
        <v>Manager</v>
      </c>
      <c r="AQ539" s="0" t="n">
        <f aca="false">IF(T539="",0,1)</f>
        <v>0</v>
      </c>
      <c r="AR539" s="0" t="n">
        <f aca="false">IF(U539="",0,1)</f>
        <v>0</v>
      </c>
      <c r="AS539" s="8" t="n">
        <f aca="false">IF(AK539="","",IF(MAX($AK$2:$AK$921)=MIN($AK$2:$AK$921),50,ROUND((AK539-MIN($AK$2:$AK$921))/(MAX($AK$2:$AK$921)-MIN($AK$2:$AK$921))*100,2)))</f>
        <v>46.42</v>
      </c>
      <c r="AT539" s="8" t="n">
        <f aca="false">IF(MAX($BC$2:$BC$921)=MIN($BC$2:$BC$921),50,ROUND((BC539-MIN($BC$2:$BC$921))/(MAX($BC$2:$BC$921)-MIN($BC$2:$BC$921))*100,2))</f>
        <v>50</v>
      </c>
      <c r="AU539" s="8" t="n">
        <f aca="false">IF(MAX($BE$2:$BE$921)=MIN($BE$2:$BE$921),50,ROUND((BE539-MIN($BE$2:$BE$921))/(MAX($BE$2:$BE$921)-MIN($BE$2:$BE$921))*100,2))</f>
        <v>71.13</v>
      </c>
      <c r="AV539" s="8" t="n">
        <f aca="false">IF(MAX($AD$2:$AD$921)=MIN($AD$2:$AD$921),50,ROUND((AD539-MIN($AD$2:$AD$921))/(MAX($AD$2:$AD$921)-MIN($AD$2:$AD$921))*100,2))</f>
        <v>8.13</v>
      </c>
      <c r="AW539" s="8" t="n">
        <f aca="false">IF(MAX($AN$2:$AN$921)=MIN($AN$2:$AN$921),50,ROUND((AN539-MIN($AN$2:$AN$921))/(MAX($AN$2:$AN$921)-MIN($AN$2:$AN$921))*100,2))</f>
        <v>63.75</v>
      </c>
      <c r="AX539" s="8" t="n">
        <f aca="false">AQ539*100</f>
        <v>0</v>
      </c>
      <c r="AY539" s="8" t="n">
        <f aca="false">AR539*100</f>
        <v>0</v>
      </c>
      <c r="AZ539" s="8" t="n">
        <f aca="false">IFERROR(ROUND(AS539*Assumptions!$I$6+AW539*Assumptions!$I$7+AT539*Assumptions!$I$8+AU539*Assumptions!$I$9+AV539*Assumptions!$I$10+AX539*Assumptions!$I$11+AY539*Assumptions!$I$12,2),"")</f>
        <v>45.66</v>
      </c>
      <c r="BA539" s="0" t="str">
        <f aca="false">IF(AZ539="","",IF(AZ539&lt;=Assumptions!$I$18,"Below Expectation",IF(AZ539&lt;=Assumptions!$I$19,"Developing",IF(AZ539&lt;=Assumptions!$I$20,"Meets Expectation",IF(AZ539&lt;=Assumptions!$I$21,"Exceeds","Star Performer")))))</f>
        <v>Developing</v>
      </c>
      <c r="BB539" s="0" t="n">
        <f aca="false">IF(AZ539="",0,IF(AZ539&gt;=Assumptions!$I$26,1,0))</f>
        <v>0</v>
      </c>
      <c r="BC539" s="9" t="n">
        <f aca="false">IF(AL539="",2,AL539+2)</f>
        <v>2</v>
      </c>
      <c r="BD539" s="10" t="n">
        <f aca="false">IF(AM539="",ROUND(AVERAGE($AM$2:$AM$921),3),AM539)</f>
        <v>0.5</v>
      </c>
      <c r="BE539" s="9" t="n">
        <f aca="false">1-BD539</f>
        <v>0.5</v>
      </c>
    </row>
    <row r="540" customFormat="false" ht="14.25" hidden="true" customHeight="false" outlineLevel="0" collapsed="false">
      <c r="A540" s="4" t="n">
        <v>619</v>
      </c>
      <c r="B540" s="5" t="n">
        <v>55054345</v>
      </c>
      <c r="C540" s="5" t="s">
        <v>85</v>
      </c>
      <c r="D540" s="5" t="s">
        <v>2066</v>
      </c>
      <c r="E540" s="5" t="s">
        <v>185</v>
      </c>
      <c r="F540" s="5" t="s">
        <v>1382</v>
      </c>
      <c r="G540" s="5" t="s">
        <v>1383</v>
      </c>
      <c r="H540" s="5" t="s">
        <v>1382</v>
      </c>
      <c r="I540" s="5" t="s">
        <v>63</v>
      </c>
      <c r="J540" s="5" t="s">
        <v>76</v>
      </c>
      <c r="K540" s="5" t="s">
        <v>65</v>
      </c>
      <c r="L540" s="6" t="n">
        <v>44763</v>
      </c>
      <c r="M540" s="5" t="s">
        <v>182</v>
      </c>
      <c r="N540" s="6" t="n">
        <v>36354</v>
      </c>
      <c r="O540" s="5" t="s">
        <v>1264</v>
      </c>
      <c r="P540" s="5" t="s">
        <v>1559</v>
      </c>
      <c r="Q540" s="5" t="s">
        <v>591</v>
      </c>
      <c r="R540" s="5" t="s">
        <v>115</v>
      </c>
      <c r="S540" s="5" t="s">
        <v>591</v>
      </c>
      <c r="T540" s="6"/>
      <c r="U540" s="6"/>
      <c r="V540" s="5"/>
      <c r="W540" s="5" t="s">
        <v>631</v>
      </c>
      <c r="X540" s="5" t="s">
        <v>141</v>
      </c>
      <c r="Y540" s="5" t="s">
        <v>141</v>
      </c>
      <c r="Z540" s="5" t="s">
        <v>141</v>
      </c>
      <c r="AA540" s="5" t="s">
        <v>2067</v>
      </c>
      <c r="AB540" s="0" t="n">
        <f aca="false">IFERROR(VALUE(R540),0)</f>
        <v>0</v>
      </c>
      <c r="AC540" s="0" t="n">
        <f aca="false">IFERROR(VALUE(M540),"")</f>
        <v>26.1</v>
      </c>
      <c r="AD540" s="0" t="n">
        <f aca="false">IFERROR(VALUE(Q540),"")</f>
        <v>3.1</v>
      </c>
      <c r="AE540" s="0" t="n">
        <f aca="false">IFERROR(VALUE(S540),"")</f>
        <v>3.1</v>
      </c>
      <c r="AF540" s="0" t="str">
        <f aca="false">IF(V540="","",VLOOKUP(V540,Assumptions!$B$6:$C$9,2,FALSE()))</f>
        <v/>
      </c>
      <c r="AG540" s="0" t="n">
        <f aca="false">IF(W540="","",VLOOKUP(W540,Assumptions!$B$6:$C$9,2,FALSE()))</f>
        <v>2</v>
      </c>
      <c r="AH540" s="0" t="n">
        <f aca="false">IF(X540="","",VLOOKUP(X540,Assumptions!$B$6:$C$9,2,FALSE()))</f>
        <v>3</v>
      </c>
      <c r="AI540" s="0" t="n">
        <f aca="false">IF(Y540="","",VLOOKUP(Y540,Assumptions!$B$6:$C$9,2,FALSE()))</f>
        <v>3</v>
      </c>
      <c r="AJ540" s="0" t="n">
        <f aca="false">IF(Z540="","",VLOOKUP(Z540,Assumptions!$B$6:$C$9,2,FALSE()))</f>
        <v>3</v>
      </c>
      <c r="AK540" s="7" t="n">
        <f aca="false">IFERROR(ROUND(AVERAGE(AF540:AJ540),3),"")</f>
        <v>2.75</v>
      </c>
      <c r="AL540" s="7" t="str">
        <f aca="false">IF(OR(AF540="",AJ540=""),"",AJ540-AF540)</f>
        <v/>
      </c>
      <c r="AM540" s="7" t="n">
        <f aca="false">IF(COUNT(AF540:AJ540)&gt;=2,ROUND(_xlfn.STDEV.S(AF540:AJ540),3),"")</f>
        <v>0.5</v>
      </c>
      <c r="AN540" s="7" t="n">
        <f aca="false">ROUND((IF(AF540="",0,AF540)*Assumptions!$F$15)+(IF(AG540="",0,AG540)*Assumptions!$F$16)+(IF(AH540="",0,AH540)*Assumptions!$F$17)+(IF(AI540="",0,AI540)*Assumptions!$F$18)+(IF(AJ540="",0,AJ540)*Assumptions!$F$19),3)</f>
        <v>2.55</v>
      </c>
      <c r="AO540" s="0" t="str">
        <f aca="false">IF(AC540&lt;=20,"",IF(AC540&lt;=Assumptions!$F$6,"20-30",IF(AC540&lt;=Assumptions!$F$7,"30-40",IF(AC540&lt;=Assumptions!$F$8,"40-50",IF(AC540&lt;=Assumptions!$F$9,"50-60",IF(AC540&lt;=Assumptions!$F$10,"60+",""))))))</f>
        <v>20-30</v>
      </c>
      <c r="AP540" s="0" t="str">
        <f aca="false">IFERROR(VLOOKUP(O540,Assumptions!$B$14:$C$26,2,FALSE()),"Other")</f>
        <v>Manager</v>
      </c>
      <c r="AQ540" s="0" t="n">
        <f aca="false">IF(T540="",0,1)</f>
        <v>0</v>
      </c>
      <c r="AR540" s="0" t="n">
        <f aca="false">IF(U540="",0,1)</f>
        <v>0</v>
      </c>
      <c r="AS540" s="8" t="n">
        <f aca="false">IF(AK540="","",IF(MAX($AK$2:$AK$921)=MIN($AK$2:$AK$921),50,ROUND((AK540-MIN($AK$2:$AK$921))/(MAX($AK$2:$AK$921)-MIN($AK$2:$AK$921))*100,2)))</f>
        <v>46.42</v>
      </c>
      <c r="AT540" s="8" t="n">
        <f aca="false">IF(MAX($BC$2:$BC$921)=MIN($BC$2:$BC$921),50,ROUND((BC540-MIN($BC$2:$BC$921))/(MAX($BC$2:$BC$921)-MIN($BC$2:$BC$921))*100,2))</f>
        <v>50</v>
      </c>
      <c r="AU540" s="8" t="n">
        <f aca="false">IF(MAX($BE$2:$BE$921)=MIN($BE$2:$BE$921),50,ROUND((BE540-MIN($BE$2:$BE$921))/(MAX($BE$2:$BE$921)-MIN($BE$2:$BE$921))*100,2))</f>
        <v>71.13</v>
      </c>
      <c r="AV540" s="8" t="n">
        <f aca="false">IF(MAX($AD$2:$AD$921)=MIN($AD$2:$AD$921),50,ROUND((AD540-MIN($AD$2:$AD$921))/(MAX($AD$2:$AD$921)-MIN($AD$2:$AD$921))*100,2))</f>
        <v>8.13</v>
      </c>
      <c r="AW540" s="8" t="n">
        <f aca="false">IF(MAX($AN$2:$AN$921)=MIN($AN$2:$AN$921),50,ROUND((AN540-MIN($AN$2:$AN$921))/(MAX($AN$2:$AN$921)-MIN($AN$2:$AN$921))*100,2))</f>
        <v>63.75</v>
      </c>
      <c r="AX540" s="8" t="n">
        <f aca="false">AQ540*100</f>
        <v>0</v>
      </c>
      <c r="AY540" s="8" t="n">
        <f aca="false">AR540*100</f>
        <v>0</v>
      </c>
      <c r="AZ540" s="8" t="n">
        <f aca="false">IFERROR(ROUND(AS540*Assumptions!$I$6+AW540*Assumptions!$I$7+AT540*Assumptions!$I$8+AU540*Assumptions!$I$9+AV540*Assumptions!$I$10+AX540*Assumptions!$I$11+AY540*Assumptions!$I$12,2),"")</f>
        <v>45.66</v>
      </c>
      <c r="BA540" s="0" t="str">
        <f aca="false">IF(AZ540="","",IF(AZ540&lt;=Assumptions!$I$18,"Below Expectation",IF(AZ540&lt;=Assumptions!$I$19,"Developing",IF(AZ540&lt;=Assumptions!$I$20,"Meets Expectation",IF(AZ540&lt;=Assumptions!$I$21,"Exceeds","Star Performer")))))</f>
        <v>Developing</v>
      </c>
      <c r="BB540" s="0" t="n">
        <f aca="false">IF(AZ540="",0,IF(AZ540&gt;=Assumptions!$I$26,1,0))</f>
        <v>0</v>
      </c>
      <c r="BC540" s="9" t="n">
        <f aca="false">IF(AL540="",2,AL540+2)</f>
        <v>2</v>
      </c>
      <c r="BD540" s="10" t="n">
        <f aca="false">IF(AM540="",ROUND(AVERAGE($AM$2:$AM$921),3),AM540)</f>
        <v>0.5</v>
      </c>
      <c r="BE540" s="9" t="n">
        <f aca="false">1-BD540</f>
        <v>0.5</v>
      </c>
    </row>
    <row r="541" customFormat="false" ht="14.25" hidden="false" customHeight="false" outlineLevel="0" collapsed="false">
      <c r="A541" s="4" t="n">
        <v>572</v>
      </c>
      <c r="B541" s="5" t="n">
        <v>55051857</v>
      </c>
      <c r="C541" s="5" t="s">
        <v>106</v>
      </c>
      <c r="D541" s="5" t="s">
        <v>2068</v>
      </c>
      <c r="E541" s="5" t="s">
        <v>305</v>
      </c>
      <c r="F541" s="5" t="s">
        <v>2069</v>
      </c>
      <c r="G541" s="5" t="s">
        <v>2070</v>
      </c>
      <c r="H541" s="5" t="s">
        <v>2071</v>
      </c>
      <c r="I541" s="5" t="s">
        <v>63</v>
      </c>
      <c r="J541" s="5" t="s">
        <v>112</v>
      </c>
      <c r="K541" s="5" t="s">
        <v>65</v>
      </c>
      <c r="L541" s="6" t="n">
        <v>44719</v>
      </c>
      <c r="M541" s="5" t="s">
        <v>82</v>
      </c>
      <c r="N541" s="6" t="n">
        <v>33751</v>
      </c>
      <c r="O541" s="5" t="s">
        <v>1624</v>
      </c>
      <c r="P541" s="5" t="s">
        <v>1624</v>
      </c>
      <c r="Q541" s="5" t="s">
        <v>287</v>
      </c>
      <c r="R541" s="5" t="s">
        <v>418</v>
      </c>
      <c r="S541" s="5" t="s">
        <v>2072</v>
      </c>
      <c r="T541" s="6"/>
      <c r="U541" s="6"/>
      <c r="V541" s="5"/>
      <c r="W541" s="5" t="s">
        <v>141</v>
      </c>
      <c r="X541" s="5" t="s">
        <v>631</v>
      </c>
      <c r="Y541" s="5" t="s">
        <v>141</v>
      </c>
      <c r="Z541" s="5" t="s">
        <v>141</v>
      </c>
      <c r="AA541" s="5" t="s">
        <v>2073</v>
      </c>
      <c r="AB541" s="0" t="n">
        <f aca="false">IFERROR(VALUE(R541),0)</f>
        <v>9.8</v>
      </c>
      <c r="AC541" s="0" t="n">
        <f aca="false">IFERROR(VALUE(M541),"")</f>
        <v>34</v>
      </c>
      <c r="AD541" s="0" t="n">
        <f aca="false">IFERROR(VALUE(Q541),"")</f>
        <v>4</v>
      </c>
      <c r="AE541" s="0" t="n">
        <f aca="false">IFERROR(VALUE(S541),"")</f>
        <v>13.8</v>
      </c>
      <c r="AF541" s="0" t="str">
        <f aca="false">IF(V541="","",VLOOKUP(V541,Assumptions!$B$6:$C$9,2,FALSE()))</f>
        <v/>
      </c>
      <c r="AG541" s="0" t="n">
        <f aca="false">IF(W541="","",VLOOKUP(W541,Assumptions!$B$6:$C$9,2,FALSE()))</f>
        <v>3</v>
      </c>
      <c r="AH541" s="0" t="n">
        <f aca="false">IF(X541="","",VLOOKUP(X541,Assumptions!$B$6:$C$9,2,FALSE()))</f>
        <v>2</v>
      </c>
      <c r="AI541" s="0" t="n">
        <f aca="false">IF(Y541="","",VLOOKUP(Y541,Assumptions!$B$6:$C$9,2,FALSE()))</f>
        <v>3</v>
      </c>
      <c r="AJ541" s="0" t="n">
        <f aca="false">IF(Z541="","",VLOOKUP(Z541,Assumptions!$B$6:$C$9,2,FALSE()))</f>
        <v>3</v>
      </c>
      <c r="AK541" s="7" t="n">
        <f aca="false">IFERROR(ROUND(AVERAGE(AF541:AJ541),3),"")</f>
        <v>2.75</v>
      </c>
      <c r="AL541" s="7" t="str">
        <f aca="false">IF(OR(AF541="",AJ541=""),"",AJ541-AF541)</f>
        <v/>
      </c>
      <c r="AM541" s="7" t="n">
        <f aca="false">IF(COUNT(AF541:AJ541)&gt;=2,ROUND(_xlfn.STDEV.S(AF541:AJ541),3),"")</f>
        <v>0.5</v>
      </c>
      <c r="AN541" s="7" t="n">
        <f aca="false">ROUND((IF(AF541="",0,AF541)*Assumptions!$F$15)+(IF(AG541="",0,AG541)*Assumptions!$F$16)+(IF(AH541="",0,AH541)*Assumptions!$F$17)+(IF(AI541="",0,AI541)*Assumptions!$F$18)+(IF(AJ541="",0,AJ541)*Assumptions!$F$19),3)</f>
        <v>2.5</v>
      </c>
      <c r="AO541" s="0" t="str">
        <f aca="false">IF(AC541&lt;=20,"",IF(AC541&lt;=Assumptions!$F$6,"20-30",IF(AC541&lt;=Assumptions!$F$7,"30-40",IF(AC541&lt;=Assumptions!$F$8,"40-50",IF(AC541&lt;=Assumptions!$F$9,"50-60",IF(AC541&lt;=Assumptions!$F$10,"60+",""))))))</f>
        <v>30-40</v>
      </c>
      <c r="AP541" s="0" t="str">
        <f aca="false">IFERROR(VLOOKUP(O541,Assumptions!$B$14:$C$26,2,FALSE()),"Other")</f>
        <v>Executive</v>
      </c>
      <c r="AQ541" s="0" t="n">
        <f aca="false">IF(T541="",0,1)</f>
        <v>0</v>
      </c>
      <c r="AR541" s="0" t="n">
        <f aca="false">IF(U541="",0,1)</f>
        <v>0</v>
      </c>
      <c r="AS541" s="8" t="n">
        <f aca="false">IF(AK541="","",IF(MAX($AK$2:$AK$921)=MIN($AK$2:$AK$921),50,ROUND((AK541-MIN($AK$2:$AK$921))/(MAX($AK$2:$AK$921)-MIN($AK$2:$AK$921))*100,2)))</f>
        <v>46.42</v>
      </c>
      <c r="AT541" s="8" t="n">
        <f aca="false">IF(MAX($BC$2:$BC$921)=MIN($BC$2:$BC$921),50,ROUND((BC541-MIN($BC$2:$BC$921))/(MAX($BC$2:$BC$921)-MIN($BC$2:$BC$921))*100,2))</f>
        <v>50</v>
      </c>
      <c r="AU541" s="8" t="n">
        <f aca="false">IF(MAX($BE$2:$BE$921)=MIN($BE$2:$BE$921),50,ROUND((BE541-MIN($BE$2:$BE$921))/(MAX($BE$2:$BE$921)-MIN($BE$2:$BE$921))*100,2))</f>
        <v>71.13</v>
      </c>
      <c r="AV541" s="8" t="n">
        <f aca="false">IF(MAX($AD$2:$AD$921)=MIN($AD$2:$AD$921),50,ROUND((AD541-MIN($AD$2:$AD$921))/(MAX($AD$2:$AD$921)-MIN($AD$2:$AD$921))*100,2))</f>
        <v>10.57</v>
      </c>
      <c r="AW541" s="8" t="n">
        <f aca="false">IF(MAX($AN$2:$AN$921)=MIN($AN$2:$AN$921),50,ROUND((AN541-MIN($AN$2:$AN$921))/(MAX($AN$2:$AN$921)-MIN($AN$2:$AN$921))*100,2))</f>
        <v>62.5</v>
      </c>
      <c r="AX541" s="8" t="n">
        <f aca="false">AQ541*100</f>
        <v>0</v>
      </c>
      <c r="AY541" s="8" t="n">
        <f aca="false">AR541*100</f>
        <v>0</v>
      </c>
      <c r="AZ541" s="8" t="n">
        <f aca="false">IFERROR(ROUND(AS541*Assumptions!$I$6+AW541*Assumptions!$I$7+AT541*Assumptions!$I$8+AU541*Assumptions!$I$9+AV541*Assumptions!$I$10+AX541*Assumptions!$I$11+AY541*Assumptions!$I$12,2),"")</f>
        <v>45.65</v>
      </c>
      <c r="BA541" s="0" t="str">
        <f aca="false">IF(AZ541="","",IF(AZ541&lt;=Assumptions!$I$18,"Below Expectation",IF(AZ541&lt;=Assumptions!$I$19,"Developing",IF(AZ541&lt;=Assumptions!$I$20,"Meets Expectation",IF(AZ541&lt;=Assumptions!$I$21,"Exceeds","Star Performer")))))</f>
        <v>Developing</v>
      </c>
      <c r="BB541" s="0" t="n">
        <f aca="false">IF(AZ541="",0,IF(AZ541&gt;=Assumptions!$I$26,1,0))</f>
        <v>0</v>
      </c>
      <c r="BC541" s="9" t="n">
        <f aca="false">IF(AL541="",2,AL541+2)</f>
        <v>2</v>
      </c>
      <c r="BD541" s="10" t="n">
        <f aca="false">IF(AM541="",ROUND(AVERAGE($AM$2:$AM$921),3),AM541)</f>
        <v>0.5</v>
      </c>
      <c r="BE541" s="9" t="n">
        <f aca="false">1-BD541</f>
        <v>0.5</v>
      </c>
    </row>
    <row r="542" customFormat="false" ht="14.25" hidden="true" customHeight="false" outlineLevel="0" collapsed="false">
      <c r="A542" s="4" t="n">
        <v>541</v>
      </c>
      <c r="B542" s="5" t="n">
        <v>55047832</v>
      </c>
      <c r="C542" s="5" t="s">
        <v>57</v>
      </c>
      <c r="D542" s="5" t="s">
        <v>2074</v>
      </c>
      <c r="E542" s="5" t="s">
        <v>275</v>
      </c>
      <c r="F542" s="5" t="s">
        <v>387</v>
      </c>
      <c r="G542" s="5" t="s">
        <v>388</v>
      </c>
      <c r="H542" s="5" t="s">
        <v>387</v>
      </c>
      <c r="I542" s="5" t="s">
        <v>63</v>
      </c>
      <c r="J542" s="5" t="s">
        <v>100</v>
      </c>
      <c r="K542" s="5" t="s">
        <v>65</v>
      </c>
      <c r="L542" s="6" t="n">
        <v>44627</v>
      </c>
      <c r="M542" s="5" t="s">
        <v>1143</v>
      </c>
      <c r="N542" s="6" t="n">
        <v>33519</v>
      </c>
      <c r="O542" s="5" t="s">
        <v>332</v>
      </c>
      <c r="P542" s="5" t="s">
        <v>333</v>
      </c>
      <c r="Q542" s="5" t="s">
        <v>1407</v>
      </c>
      <c r="R542" s="5" t="s">
        <v>486</v>
      </c>
      <c r="S542" s="5" t="s">
        <v>1188</v>
      </c>
      <c r="T542" s="6"/>
      <c r="U542" s="6"/>
      <c r="V542" s="5"/>
      <c r="W542" s="5" t="s">
        <v>141</v>
      </c>
      <c r="X542" s="5" t="s">
        <v>141</v>
      </c>
      <c r="Y542" s="5" t="s">
        <v>631</v>
      </c>
      <c r="Z542" s="5" t="s">
        <v>141</v>
      </c>
      <c r="AA542" s="5" t="s">
        <v>2075</v>
      </c>
      <c r="AB542" s="0" t="n">
        <f aca="false">IFERROR(VALUE(R542),0)</f>
        <v>6.5</v>
      </c>
      <c r="AC542" s="0" t="n">
        <f aca="false">IFERROR(VALUE(M542),"")</f>
        <v>34.8</v>
      </c>
      <c r="AD542" s="0" t="n">
        <f aca="false">IFERROR(VALUE(Q542),"")</f>
        <v>4.3</v>
      </c>
      <c r="AE542" s="0" t="n">
        <f aca="false">IFERROR(VALUE(S542),"")</f>
        <v>10.8</v>
      </c>
      <c r="AF542" s="0" t="str">
        <f aca="false">IF(V542="","",VLOOKUP(V542,Assumptions!$B$6:$C$9,2,FALSE()))</f>
        <v/>
      </c>
      <c r="AG542" s="0" t="n">
        <f aca="false">IF(W542="","",VLOOKUP(W542,Assumptions!$B$6:$C$9,2,FALSE()))</f>
        <v>3</v>
      </c>
      <c r="AH542" s="0" t="n">
        <f aca="false">IF(X542="","",VLOOKUP(X542,Assumptions!$B$6:$C$9,2,FALSE()))</f>
        <v>3</v>
      </c>
      <c r="AI542" s="0" t="n">
        <f aca="false">IF(Y542="","",VLOOKUP(Y542,Assumptions!$B$6:$C$9,2,FALSE()))</f>
        <v>2</v>
      </c>
      <c r="AJ542" s="0" t="n">
        <f aca="false">IF(Z542="","",VLOOKUP(Z542,Assumptions!$B$6:$C$9,2,FALSE()))</f>
        <v>3</v>
      </c>
      <c r="AK542" s="7" t="n">
        <f aca="false">IFERROR(ROUND(AVERAGE(AF542:AJ542),3),"")</f>
        <v>2.75</v>
      </c>
      <c r="AL542" s="7" t="str">
        <f aca="false">IF(OR(AF542="",AJ542=""),"",AJ542-AF542)</f>
        <v/>
      </c>
      <c r="AM542" s="7" t="n">
        <f aca="false">IF(COUNT(AF542:AJ542)&gt;=2,ROUND(_xlfn.STDEV.S(AF542:AJ542),3),"")</f>
        <v>0.5</v>
      </c>
      <c r="AN542" s="7" t="n">
        <f aca="false">ROUND((IF(AF542="",0,AF542)*Assumptions!$F$15)+(IF(AG542="",0,AG542)*Assumptions!$F$16)+(IF(AH542="",0,AH542)*Assumptions!$F$17)+(IF(AI542="",0,AI542)*Assumptions!$F$18)+(IF(AJ542="",0,AJ542)*Assumptions!$F$19),3)</f>
        <v>2.45</v>
      </c>
      <c r="AO542" s="0" t="str">
        <f aca="false">IF(AC542&lt;=20,"",IF(AC542&lt;=Assumptions!$F$6,"20-30",IF(AC542&lt;=Assumptions!$F$7,"30-40",IF(AC542&lt;=Assumptions!$F$8,"40-50",IF(AC542&lt;=Assumptions!$F$9,"50-60",IF(AC542&lt;=Assumptions!$F$10,"60+",""))))))</f>
        <v>30-40</v>
      </c>
      <c r="AP542" s="0" t="str">
        <f aca="false">IFERROR(VLOOKUP(O542,Assumptions!$B$14:$C$26,2,FALSE()),"Other")</f>
        <v>Manager</v>
      </c>
      <c r="AQ542" s="0" t="n">
        <f aca="false">IF(T542="",0,1)</f>
        <v>0</v>
      </c>
      <c r="AR542" s="0" t="n">
        <f aca="false">IF(U542="",0,1)</f>
        <v>0</v>
      </c>
      <c r="AS542" s="8" t="n">
        <f aca="false">IF(AK542="","",IF(MAX($AK$2:$AK$921)=MIN($AK$2:$AK$921),50,ROUND((AK542-MIN($AK$2:$AK$921))/(MAX($AK$2:$AK$921)-MIN($AK$2:$AK$921))*100,2)))</f>
        <v>46.42</v>
      </c>
      <c r="AT542" s="8" t="n">
        <f aca="false">IF(MAX($BC$2:$BC$921)=MIN($BC$2:$BC$921),50,ROUND((BC542-MIN($BC$2:$BC$921))/(MAX($BC$2:$BC$921)-MIN($BC$2:$BC$921))*100,2))</f>
        <v>50</v>
      </c>
      <c r="AU542" s="8" t="n">
        <f aca="false">IF(MAX($BE$2:$BE$921)=MIN($BE$2:$BE$921),50,ROUND((BE542-MIN($BE$2:$BE$921))/(MAX($BE$2:$BE$921)-MIN($BE$2:$BE$921))*100,2))</f>
        <v>71.13</v>
      </c>
      <c r="AV542" s="8" t="n">
        <f aca="false">IF(MAX($AD$2:$AD$921)=MIN($AD$2:$AD$921),50,ROUND((AD542-MIN($AD$2:$AD$921))/(MAX($AD$2:$AD$921)-MIN($AD$2:$AD$921))*100,2))</f>
        <v>11.39</v>
      </c>
      <c r="AW542" s="8" t="n">
        <f aca="false">IF(MAX($AN$2:$AN$921)=MIN($AN$2:$AN$921),50,ROUND((AN542-MIN($AN$2:$AN$921))/(MAX($AN$2:$AN$921)-MIN($AN$2:$AN$921))*100,2))</f>
        <v>61.25</v>
      </c>
      <c r="AX542" s="8" t="n">
        <f aca="false">AQ542*100</f>
        <v>0</v>
      </c>
      <c r="AY542" s="8" t="n">
        <f aca="false">AR542*100</f>
        <v>0</v>
      </c>
      <c r="AZ542" s="8" t="n">
        <f aca="false">IFERROR(ROUND(AS542*Assumptions!$I$6+AW542*Assumptions!$I$7+AT542*Assumptions!$I$8+AU542*Assumptions!$I$9+AV542*Assumptions!$I$10+AX542*Assumptions!$I$11+AY542*Assumptions!$I$12,2),"")</f>
        <v>45.48</v>
      </c>
      <c r="BA542" s="0" t="str">
        <f aca="false">IF(AZ542="","",IF(AZ542&lt;=Assumptions!$I$18,"Below Expectation",IF(AZ542&lt;=Assumptions!$I$19,"Developing",IF(AZ542&lt;=Assumptions!$I$20,"Meets Expectation",IF(AZ542&lt;=Assumptions!$I$21,"Exceeds","Star Performer")))))</f>
        <v>Developing</v>
      </c>
      <c r="BB542" s="0" t="n">
        <f aca="false">IF(AZ542="",0,IF(AZ542&gt;=Assumptions!$I$26,1,0))</f>
        <v>0</v>
      </c>
      <c r="BC542" s="9" t="n">
        <f aca="false">IF(AL542="",2,AL542+2)</f>
        <v>2</v>
      </c>
      <c r="BD542" s="10" t="n">
        <f aca="false">IF(AM542="",ROUND(AVERAGE($AM$2:$AM$921),3),AM542)</f>
        <v>0.5</v>
      </c>
      <c r="BE542" s="9" t="n">
        <f aca="false">1-BD542</f>
        <v>0.5</v>
      </c>
    </row>
    <row r="543" customFormat="false" ht="14.25" hidden="true" customHeight="false" outlineLevel="0" collapsed="false">
      <c r="A543" s="4" t="n">
        <v>164</v>
      </c>
      <c r="B543" s="5" t="n">
        <v>10051376</v>
      </c>
      <c r="C543" s="5" t="s">
        <v>85</v>
      </c>
      <c r="D543" s="5" t="s">
        <v>2076</v>
      </c>
      <c r="E543" s="5" t="s">
        <v>185</v>
      </c>
      <c r="F543" s="5" t="s">
        <v>1675</v>
      </c>
      <c r="G543" s="5" t="s">
        <v>1676</v>
      </c>
      <c r="H543" s="5" t="s">
        <v>1675</v>
      </c>
      <c r="I543" s="5" t="s">
        <v>63</v>
      </c>
      <c r="J543" s="5" t="s">
        <v>76</v>
      </c>
      <c r="K543" s="5" t="s">
        <v>65</v>
      </c>
      <c r="L543" s="6" t="n">
        <v>42219</v>
      </c>
      <c r="M543" s="5" t="s">
        <v>625</v>
      </c>
      <c r="N543" s="6" t="n">
        <v>33562</v>
      </c>
      <c r="O543" s="5" t="s">
        <v>365</v>
      </c>
      <c r="P543" s="5" t="s">
        <v>365</v>
      </c>
      <c r="Q543" s="5" t="s">
        <v>391</v>
      </c>
      <c r="R543" s="5" t="s">
        <v>648</v>
      </c>
      <c r="S543" s="5" t="s">
        <v>714</v>
      </c>
      <c r="T543" s="6"/>
      <c r="U543" s="6"/>
      <c r="V543" s="5" t="s">
        <v>631</v>
      </c>
      <c r="W543" s="5" t="s">
        <v>141</v>
      </c>
      <c r="X543" s="5" t="s">
        <v>141</v>
      </c>
      <c r="Y543" s="5" t="s">
        <v>141</v>
      </c>
      <c r="Z543" s="5" t="s">
        <v>631</v>
      </c>
      <c r="AA543" s="5" t="s">
        <v>612</v>
      </c>
      <c r="AB543" s="0" t="n">
        <f aca="false">IFERROR(VALUE(R543),0)</f>
        <v>0.1</v>
      </c>
      <c r="AC543" s="0" t="n">
        <f aca="false">IFERROR(VALUE(M543),"")</f>
        <v>34.6</v>
      </c>
      <c r="AD543" s="0" t="n">
        <f aca="false">IFERROR(VALUE(Q543),"")</f>
        <v>10.1</v>
      </c>
      <c r="AE543" s="0" t="n">
        <f aca="false">IFERROR(VALUE(S543),"")</f>
        <v>11.8</v>
      </c>
      <c r="AF543" s="0" t="n">
        <f aca="false">IF(V543="","",VLOOKUP(V543,Assumptions!$B$6:$C$9,2,FALSE()))</f>
        <v>2</v>
      </c>
      <c r="AG543" s="0" t="n">
        <f aca="false">IF(W543="","",VLOOKUP(W543,Assumptions!$B$6:$C$9,2,FALSE()))</f>
        <v>3</v>
      </c>
      <c r="AH543" s="0" t="n">
        <f aca="false">IF(X543="","",VLOOKUP(X543,Assumptions!$B$6:$C$9,2,FALSE()))</f>
        <v>3</v>
      </c>
      <c r="AI543" s="0" t="n">
        <f aca="false">IF(Y543="","",VLOOKUP(Y543,Assumptions!$B$6:$C$9,2,FALSE()))</f>
        <v>3</v>
      </c>
      <c r="AJ543" s="0" t="n">
        <f aca="false">IF(Z543="","",VLOOKUP(Z543,Assumptions!$B$6:$C$9,2,FALSE()))</f>
        <v>2</v>
      </c>
      <c r="AK543" s="7" t="n">
        <f aca="false">IFERROR(ROUND(AVERAGE(AF543:AJ543),3),"")</f>
        <v>2.6</v>
      </c>
      <c r="AL543" s="7" t="n">
        <f aca="false">IF(OR(AF543="",AJ543=""),"",AJ543-AF543)</f>
        <v>0</v>
      </c>
      <c r="AM543" s="7" t="n">
        <f aca="false">IF(COUNT(AF543:AJ543)&gt;=2,ROUND(_xlfn.STDEV.S(AF543:AJ543),3),"")</f>
        <v>0.548</v>
      </c>
      <c r="AN543" s="7" t="n">
        <f aca="false">ROUND((IF(AF543="",0,AF543)*Assumptions!$F$15)+(IF(AG543="",0,AG543)*Assumptions!$F$16)+(IF(AH543="",0,AH543)*Assumptions!$F$17)+(IF(AI543="",0,AI543)*Assumptions!$F$18)+(IF(AJ543="",0,AJ543)*Assumptions!$F$19),3)</f>
        <v>2.6</v>
      </c>
      <c r="AO543" s="0" t="str">
        <f aca="false">IF(AC543&lt;=20,"",IF(AC543&lt;=Assumptions!$F$6,"20-30",IF(AC543&lt;=Assumptions!$F$7,"30-40",IF(AC543&lt;=Assumptions!$F$8,"40-50",IF(AC543&lt;=Assumptions!$F$9,"50-60",IF(AC543&lt;=Assumptions!$F$10,"60+",""))))))</f>
        <v>30-40</v>
      </c>
      <c r="AP543" s="0" t="str">
        <f aca="false">IFERROR(VLOOKUP(O543,Assumptions!$B$14:$C$26,2,FALSE()),"Other")</f>
        <v>Manager</v>
      </c>
      <c r="AQ543" s="0" t="n">
        <f aca="false">IF(T543="",0,1)</f>
        <v>0</v>
      </c>
      <c r="AR543" s="0" t="n">
        <f aca="false">IF(U543="",0,1)</f>
        <v>0</v>
      </c>
      <c r="AS543" s="8" t="n">
        <f aca="false">IF(AK543="","",IF(MAX($AK$2:$AK$921)=MIN($AK$2:$AK$921),50,ROUND((AK543-MIN($AK$2:$AK$921))/(MAX($AK$2:$AK$921)-MIN($AK$2:$AK$921))*100,2)))</f>
        <v>39.99</v>
      </c>
      <c r="AT543" s="8" t="n">
        <f aca="false">IF(MAX($BC$2:$BC$921)=MIN($BC$2:$BC$921),50,ROUND((BC543-MIN($BC$2:$BC$921))/(MAX($BC$2:$BC$921)-MIN($BC$2:$BC$921))*100,2))</f>
        <v>50</v>
      </c>
      <c r="AU543" s="8" t="n">
        <f aca="false">IF(MAX($BE$2:$BE$921)=MIN($BE$2:$BE$921),50,ROUND((BE543-MIN($BE$2:$BE$921))/(MAX($BE$2:$BE$921)-MIN($BE$2:$BE$921))*100,2))</f>
        <v>68.36</v>
      </c>
      <c r="AV543" s="8" t="n">
        <f aca="false">IF(MAX($AD$2:$AD$921)=MIN($AD$2:$AD$921),50,ROUND((AD543-MIN($AD$2:$AD$921))/(MAX($AD$2:$AD$921)-MIN($AD$2:$AD$921))*100,2))</f>
        <v>27.15</v>
      </c>
      <c r="AW543" s="8" t="n">
        <f aca="false">IF(MAX($AN$2:$AN$921)=MIN($AN$2:$AN$921),50,ROUND((AN543-MIN($AN$2:$AN$921))/(MAX($AN$2:$AN$921)-MIN($AN$2:$AN$921))*100,2))</f>
        <v>65</v>
      </c>
      <c r="AX543" s="8" t="n">
        <f aca="false">AQ543*100</f>
        <v>0</v>
      </c>
      <c r="AY543" s="8" t="n">
        <f aca="false">AR543*100</f>
        <v>0</v>
      </c>
      <c r="AZ543" s="8" t="n">
        <f aca="false">IFERROR(ROUND(AS543*Assumptions!$I$6+AW543*Assumptions!$I$7+AT543*Assumptions!$I$8+AU543*Assumptions!$I$9+AV543*Assumptions!$I$10+AX543*Assumptions!$I$11+AY543*Assumptions!$I$12,2),"")</f>
        <v>45.47</v>
      </c>
      <c r="BA543" s="0" t="str">
        <f aca="false">IF(AZ543="","",IF(AZ543&lt;=Assumptions!$I$18,"Below Expectation",IF(AZ543&lt;=Assumptions!$I$19,"Developing",IF(AZ543&lt;=Assumptions!$I$20,"Meets Expectation",IF(AZ543&lt;=Assumptions!$I$21,"Exceeds","Star Performer")))))</f>
        <v>Developing</v>
      </c>
      <c r="BB543" s="0" t="n">
        <f aca="false">IF(AZ543="",0,IF(AZ543&gt;=Assumptions!$I$26,1,0))</f>
        <v>0</v>
      </c>
      <c r="BC543" s="9" t="n">
        <f aca="false">IF(AL543="",2,AL543+2)</f>
        <v>2</v>
      </c>
      <c r="BD543" s="10" t="n">
        <f aca="false">IF(AM543="",ROUND(AVERAGE($AM$2:$AM$921),3),AM543)</f>
        <v>0.548</v>
      </c>
      <c r="BE543" s="9" t="n">
        <f aca="false">1-BD543</f>
        <v>0.452</v>
      </c>
    </row>
    <row r="544" customFormat="false" ht="14.25" hidden="true" customHeight="false" outlineLevel="0" collapsed="false">
      <c r="A544" s="4" t="n">
        <v>653</v>
      </c>
      <c r="B544" s="5" t="n">
        <v>55056972</v>
      </c>
      <c r="C544" s="5" t="s">
        <v>85</v>
      </c>
      <c r="D544" s="5" t="s">
        <v>2077</v>
      </c>
      <c r="E544" s="5" t="s">
        <v>805</v>
      </c>
      <c r="F544" s="5" t="s">
        <v>590</v>
      </c>
      <c r="G544" s="5" t="s">
        <v>589</v>
      </c>
      <c r="H544" s="5" t="s">
        <v>590</v>
      </c>
      <c r="I544" s="5" t="s">
        <v>63</v>
      </c>
      <c r="J544" s="5" t="s">
        <v>76</v>
      </c>
      <c r="K544" s="5" t="s">
        <v>309</v>
      </c>
      <c r="L544" s="6" t="n">
        <v>44809</v>
      </c>
      <c r="M544" s="5" t="s">
        <v>124</v>
      </c>
      <c r="N544" s="6" t="n">
        <v>36829</v>
      </c>
      <c r="O544" s="5" t="s">
        <v>1264</v>
      </c>
      <c r="P544" s="5" t="s">
        <v>1559</v>
      </c>
      <c r="Q544" s="5" t="s">
        <v>231</v>
      </c>
      <c r="R544" s="5" t="s">
        <v>115</v>
      </c>
      <c r="S544" s="5" t="s">
        <v>231</v>
      </c>
      <c r="T544" s="6"/>
      <c r="U544" s="6"/>
      <c r="V544" s="5"/>
      <c r="W544" s="5" t="s">
        <v>141</v>
      </c>
      <c r="X544" s="5" t="s">
        <v>141</v>
      </c>
      <c r="Y544" s="5" t="s">
        <v>631</v>
      </c>
      <c r="Z544" s="5" t="s">
        <v>141</v>
      </c>
      <c r="AA544" s="5" t="s">
        <v>2078</v>
      </c>
      <c r="AB544" s="0" t="n">
        <f aca="false">IFERROR(VALUE(R544),0)</f>
        <v>0</v>
      </c>
      <c r="AC544" s="0" t="n">
        <f aca="false">IFERROR(VALUE(M544),"")</f>
        <v>25.7</v>
      </c>
      <c r="AD544" s="0" t="n">
        <f aca="false">IFERROR(VALUE(Q544),"")</f>
        <v>3.9</v>
      </c>
      <c r="AE544" s="0" t="n">
        <f aca="false">IFERROR(VALUE(S544),"")</f>
        <v>3.9</v>
      </c>
      <c r="AF544" s="0" t="str">
        <f aca="false">IF(V544="","",VLOOKUP(V544,Assumptions!$B$6:$C$9,2,FALSE()))</f>
        <v/>
      </c>
      <c r="AG544" s="0" t="n">
        <f aca="false">IF(W544="","",VLOOKUP(W544,Assumptions!$B$6:$C$9,2,FALSE()))</f>
        <v>3</v>
      </c>
      <c r="AH544" s="0" t="n">
        <f aca="false">IF(X544="","",VLOOKUP(X544,Assumptions!$B$6:$C$9,2,FALSE()))</f>
        <v>3</v>
      </c>
      <c r="AI544" s="0" t="n">
        <f aca="false">IF(Y544="","",VLOOKUP(Y544,Assumptions!$B$6:$C$9,2,FALSE()))</f>
        <v>2</v>
      </c>
      <c r="AJ544" s="0" t="n">
        <f aca="false">IF(Z544="","",VLOOKUP(Z544,Assumptions!$B$6:$C$9,2,FALSE()))</f>
        <v>3</v>
      </c>
      <c r="AK544" s="7" t="n">
        <f aca="false">IFERROR(ROUND(AVERAGE(AF544:AJ544),3),"")</f>
        <v>2.75</v>
      </c>
      <c r="AL544" s="7" t="str">
        <f aca="false">IF(OR(AF544="",AJ544=""),"",AJ544-AF544)</f>
        <v/>
      </c>
      <c r="AM544" s="7" t="n">
        <f aca="false">IF(COUNT(AF544:AJ544)&gt;=2,ROUND(_xlfn.STDEV.S(AF544:AJ544),3),"")</f>
        <v>0.5</v>
      </c>
      <c r="AN544" s="7" t="n">
        <f aca="false">ROUND((IF(AF544="",0,AF544)*Assumptions!$F$15)+(IF(AG544="",0,AG544)*Assumptions!$F$16)+(IF(AH544="",0,AH544)*Assumptions!$F$17)+(IF(AI544="",0,AI544)*Assumptions!$F$18)+(IF(AJ544="",0,AJ544)*Assumptions!$F$19),3)</f>
        <v>2.45</v>
      </c>
      <c r="AO544" s="0" t="str">
        <f aca="false">IF(AC544&lt;=20,"",IF(AC544&lt;=Assumptions!$F$6,"20-30",IF(AC544&lt;=Assumptions!$F$7,"30-40",IF(AC544&lt;=Assumptions!$F$8,"40-50",IF(AC544&lt;=Assumptions!$F$9,"50-60",IF(AC544&lt;=Assumptions!$F$10,"60+",""))))))</f>
        <v>20-30</v>
      </c>
      <c r="AP544" s="0" t="str">
        <f aca="false">IFERROR(VLOOKUP(O544,Assumptions!$B$14:$C$26,2,FALSE()),"Other")</f>
        <v>Manager</v>
      </c>
      <c r="AQ544" s="0" t="n">
        <f aca="false">IF(T544="",0,1)</f>
        <v>0</v>
      </c>
      <c r="AR544" s="0" t="n">
        <f aca="false">IF(U544="",0,1)</f>
        <v>0</v>
      </c>
      <c r="AS544" s="8" t="n">
        <f aca="false">IF(AK544="","",IF(MAX($AK$2:$AK$921)=MIN($AK$2:$AK$921),50,ROUND((AK544-MIN($AK$2:$AK$921))/(MAX($AK$2:$AK$921)-MIN($AK$2:$AK$921))*100,2)))</f>
        <v>46.42</v>
      </c>
      <c r="AT544" s="8" t="n">
        <f aca="false">IF(MAX($BC$2:$BC$921)=MIN($BC$2:$BC$921),50,ROUND((BC544-MIN($BC$2:$BC$921))/(MAX($BC$2:$BC$921)-MIN($BC$2:$BC$921))*100,2))</f>
        <v>50</v>
      </c>
      <c r="AU544" s="8" t="n">
        <f aca="false">IF(MAX($BE$2:$BE$921)=MIN($BE$2:$BE$921),50,ROUND((BE544-MIN($BE$2:$BE$921))/(MAX($BE$2:$BE$921)-MIN($BE$2:$BE$921))*100,2))</f>
        <v>71.13</v>
      </c>
      <c r="AV544" s="8" t="n">
        <f aca="false">IF(MAX($AD$2:$AD$921)=MIN($AD$2:$AD$921),50,ROUND((AD544-MIN($AD$2:$AD$921))/(MAX($AD$2:$AD$921)-MIN($AD$2:$AD$921))*100,2))</f>
        <v>10.3</v>
      </c>
      <c r="AW544" s="8" t="n">
        <f aca="false">IF(MAX($AN$2:$AN$921)=MIN($AN$2:$AN$921),50,ROUND((AN544-MIN($AN$2:$AN$921))/(MAX($AN$2:$AN$921)-MIN($AN$2:$AN$921))*100,2))</f>
        <v>61.25</v>
      </c>
      <c r="AX544" s="8" t="n">
        <f aca="false">AQ544*100</f>
        <v>0</v>
      </c>
      <c r="AY544" s="8" t="n">
        <f aca="false">AR544*100</f>
        <v>0</v>
      </c>
      <c r="AZ544" s="8" t="n">
        <f aca="false">IFERROR(ROUND(AS544*Assumptions!$I$6+AW544*Assumptions!$I$7+AT544*Assumptions!$I$8+AU544*Assumptions!$I$9+AV544*Assumptions!$I$10+AX544*Assumptions!$I$11+AY544*Assumptions!$I$12,2),"")</f>
        <v>45.38</v>
      </c>
      <c r="BA544" s="0" t="str">
        <f aca="false">IF(AZ544="","",IF(AZ544&lt;=Assumptions!$I$18,"Below Expectation",IF(AZ544&lt;=Assumptions!$I$19,"Developing",IF(AZ544&lt;=Assumptions!$I$20,"Meets Expectation",IF(AZ544&lt;=Assumptions!$I$21,"Exceeds","Star Performer")))))</f>
        <v>Developing</v>
      </c>
      <c r="BB544" s="0" t="n">
        <f aca="false">IF(AZ544="",0,IF(AZ544&gt;=Assumptions!$I$26,1,0))</f>
        <v>0</v>
      </c>
      <c r="BC544" s="9" t="n">
        <f aca="false">IF(AL544="",2,AL544+2)</f>
        <v>2</v>
      </c>
      <c r="BD544" s="10" t="n">
        <f aca="false">IF(AM544="",ROUND(AVERAGE($AM$2:$AM$921),3),AM544)</f>
        <v>0.5</v>
      </c>
      <c r="BE544" s="9" t="n">
        <f aca="false">1-BD544</f>
        <v>0.5</v>
      </c>
    </row>
    <row r="545" customFormat="false" ht="14.25" hidden="true" customHeight="false" outlineLevel="0" collapsed="false">
      <c r="A545" s="4" t="n">
        <v>586</v>
      </c>
      <c r="B545" s="5" t="n">
        <v>55052310</v>
      </c>
      <c r="C545" s="5" t="s">
        <v>85</v>
      </c>
      <c r="D545" s="5" t="s">
        <v>2079</v>
      </c>
      <c r="E545" s="5" t="s">
        <v>291</v>
      </c>
      <c r="F545" s="5" t="s">
        <v>581</v>
      </c>
      <c r="G545" s="5" t="s">
        <v>582</v>
      </c>
      <c r="H545" s="5" t="s">
        <v>583</v>
      </c>
      <c r="I545" s="5" t="s">
        <v>63</v>
      </c>
      <c r="J545" s="5" t="s">
        <v>76</v>
      </c>
      <c r="K545" s="5" t="s">
        <v>309</v>
      </c>
      <c r="L545" s="6" t="n">
        <v>44732</v>
      </c>
      <c r="M545" s="5" t="s">
        <v>102</v>
      </c>
      <c r="N545" s="6" t="n">
        <v>35738</v>
      </c>
      <c r="O545" s="5" t="s">
        <v>585</v>
      </c>
      <c r="P545" s="5" t="s">
        <v>586</v>
      </c>
      <c r="Q545" s="5" t="s">
        <v>345</v>
      </c>
      <c r="R545" s="5" t="s">
        <v>115</v>
      </c>
      <c r="S545" s="5" t="s">
        <v>345</v>
      </c>
      <c r="T545" s="6"/>
      <c r="U545" s="6" t="n">
        <v>45108</v>
      </c>
      <c r="V545" s="5"/>
      <c r="W545" s="5" t="s">
        <v>631</v>
      </c>
      <c r="X545" s="5" t="s">
        <v>141</v>
      </c>
      <c r="Y545" s="5" t="s">
        <v>141</v>
      </c>
      <c r="Z545" s="5" t="s">
        <v>631</v>
      </c>
      <c r="AA545" s="5" t="s">
        <v>2080</v>
      </c>
      <c r="AB545" s="0" t="n">
        <f aca="false">IFERROR(VALUE(R545),0)</f>
        <v>0</v>
      </c>
      <c r="AC545" s="0" t="n">
        <f aca="false">IFERROR(VALUE(M545),"")</f>
        <v>28.7</v>
      </c>
      <c r="AD545" s="0" t="n">
        <f aca="false">IFERROR(VALUE(Q545),"")</f>
        <v>3.11</v>
      </c>
      <c r="AE545" s="0" t="n">
        <f aca="false">IFERROR(VALUE(S545),"")</f>
        <v>3.11</v>
      </c>
      <c r="AF545" s="0" t="str">
        <f aca="false">IF(V545="","",VLOOKUP(V545,Assumptions!$B$6:$C$9,2,FALSE()))</f>
        <v/>
      </c>
      <c r="AG545" s="0" t="n">
        <f aca="false">IF(W545="","",VLOOKUP(W545,Assumptions!$B$6:$C$9,2,FALSE()))</f>
        <v>2</v>
      </c>
      <c r="AH545" s="0" t="n">
        <f aca="false">IF(X545="","",VLOOKUP(X545,Assumptions!$B$6:$C$9,2,FALSE()))</f>
        <v>3</v>
      </c>
      <c r="AI545" s="0" t="n">
        <f aca="false">IF(Y545="","",VLOOKUP(Y545,Assumptions!$B$6:$C$9,2,FALSE()))</f>
        <v>3</v>
      </c>
      <c r="AJ545" s="0" t="n">
        <f aca="false">IF(Z545="","",VLOOKUP(Z545,Assumptions!$B$6:$C$9,2,FALSE()))</f>
        <v>2</v>
      </c>
      <c r="AK545" s="7" t="n">
        <f aca="false">IFERROR(ROUND(AVERAGE(AF545:AJ545),3),"")</f>
        <v>2.5</v>
      </c>
      <c r="AL545" s="7" t="str">
        <f aca="false">IF(OR(AF545="",AJ545=""),"",AJ545-AF545)</f>
        <v/>
      </c>
      <c r="AM545" s="7" t="n">
        <f aca="false">IF(COUNT(AF545:AJ545)&gt;=2,ROUND(_xlfn.STDEV.S(AF545:AJ545),3),"")</f>
        <v>0.577</v>
      </c>
      <c r="AN545" s="7" t="n">
        <f aca="false">ROUND((IF(AF545="",0,AF545)*Assumptions!$F$15)+(IF(AG545="",0,AG545)*Assumptions!$F$16)+(IF(AH545="",0,AH545)*Assumptions!$F$17)+(IF(AI545="",0,AI545)*Assumptions!$F$18)+(IF(AJ545="",0,AJ545)*Assumptions!$F$19),3)</f>
        <v>2.25</v>
      </c>
      <c r="AO545" s="0" t="str">
        <f aca="false">IF(AC545&lt;=20,"",IF(AC545&lt;=Assumptions!$F$6,"20-30",IF(AC545&lt;=Assumptions!$F$7,"30-40",IF(AC545&lt;=Assumptions!$F$8,"40-50",IF(AC545&lt;=Assumptions!$F$9,"50-60",IF(AC545&lt;=Assumptions!$F$10,"60+",""))))))</f>
        <v>20-30</v>
      </c>
      <c r="AP545" s="0" t="str">
        <f aca="false">IFERROR(VLOOKUP(O545,Assumptions!$B$14:$C$26,2,FALSE()),"Other")</f>
        <v>Manager</v>
      </c>
      <c r="AQ545" s="0" t="n">
        <f aca="false">IF(T545="",0,1)</f>
        <v>0</v>
      </c>
      <c r="AR545" s="0" t="n">
        <f aca="false">IF(U545="",0,1)</f>
        <v>1</v>
      </c>
      <c r="AS545" s="8" t="n">
        <f aca="false">IF(AK545="","",IF(MAX($AK$2:$AK$921)=MIN($AK$2:$AK$921),50,ROUND((AK545-MIN($AK$2:$AK$921))/(MAX($AK$2:$AK$921)-MIN($AK$2:$AK$921))*100,2)))</f>
        <v>35.71</v>
      </c>
      <c r="AT545" s="8" t="n">
        <f aca="false">IF(MAX($BC$2:$BC$921)=MIN($BC$2:$BC$921),50,ROUND((BC545-MIN($BC$2:$BC$921))/(MAX($BC$2:$BC$921)-MIN($BC$2:$BC$921))*100,2))</f>
        <v>50</v>
      </c>
      <c r="AU545" s="8" t="n">
        <f aca="false">IF(MAX($BE$2:$BE$921)=MIN($BE$2:$BE$921),50,ROUND((BE545-MIN($BE$2:$BE$921))/(MAX($BE$2:$BE$921)-MIN($BE$2:$BE$921))*100,2))</f>
        <v>66.69</v>
      </c>
      <c r="AV545" s="8" t="n">
        <f aca="false">IF(MAX($AD$2:$AD$921)=MIN($AD$2:$AD$921),50,ROUND((AD545-MIN($AD$2:$AD$921))/(MAX($AD$2:$AD$921)-MIN($AD$2:$AD$921))*100,2))</f>
        <v>8.15</v>
      </c>
      <c r="AW545" s="8" t="n">
        <f aca="false">IF(MAX($AN$2:$AN$921)=MIN($AN$2:$AN$921),50,ROUND((AN545-MIN($AN$2:$AN$921))/(MAX($AN$2:$AN$921)-MIN($AN$2:$AN$921))*100,2))</f>
        <v>56.25</v>
      </c>
      <c r="AX545" s="8" t="n">
        <f aca="false">AQ545*100</f>
        <v>0</v>
      </c>
      <c r="AY545" s="8" t="n">
        <f aca="false">AR545*100</f>
        <v>100</v>
      </c>
      <c r="AZ545" s="8" t="n">
        <f aca="false">IFERROR(ROUND(AS545*Assumptions!$I$6+AW545*Assumptions!$I$7+AT545*Assumptions!$I$8+AU545*Assumptions!$I$9+AV545*Assumptions!$I$10+AX545*Assumptions!$I$11+AY545*Assumptions!$I$12,2),"")</f>
        <v>45.28</v>
      </c>
      <c r="BA545" s="0" t="str">
        <f aca="false">IF(AZ545="","",IF(AZ545&lt;=Assumptions!$I$18,"Below Expectation",IF(AZ545&lt;=Assumptions!$I$19,"Developing",IF(AZ545&lt;=Assumptions!$I$20,"Meets Expectation",IF(AZ545&lt;=Assumptions!$I$21,"Exceeds","Star Performer")))))</f>
        <v>Developing</v>
      </c>
      <c r="BB545" s="0" t="n">
        <f aca="false">IF(AZ545="",0,IF(AZ545&gt;=Assumptions!$I$26,1,0))</f>
        <v>0</v>
      </c>
      <c r="BC545" s="9" t="n">
        <f aca="false">IF(AL545="",2,AL545+2)</f>
        <v>2</v>
      </c>
      <c r="BD545" s="10" t="n">
        <f aca="false">IF(AM545="",ROUND(AVERAGE($AM$2:$AM$921),3),AM545)</f>
        <v>0.577</v>
      </c>
      <c r="BE545" s="9" t="n">
        <f aca="false">1-BD545</f>
        <v>0.423</v>
      </c>
    </row>
    <row r="546" customFormat="false" ht="14.25" hidden="true" customHeight="false" outlineLevel="0" collapsed="false">
      <c r="A546" s="4" t="n">
        <v>524</v>
      </c>
      <c r="B546" s="5" t="n">
        <v>55046333</v>
      </c>
      <c r="C546" s="5" t="s">
        <v>57</v>
      </c>
      <c r="D546" s="5" t="s">
        <v>2081</v>
      </c>
      <c r="E546" s="5" t="s">
        <v>607</v>
      </c>
      <c r="F546" s="5" t="s">
        <v>387</v>
      </c>
      <c r="G546" s="5" t="s">
        <v>388</v>
      </c>
      <c r="H546" s="5" t="s">
        <v>387</v>
      </c>
      <c r="I546" s="5" t="s">
        <v>63</v>
      </c>
      <c r="J546" s="5" t="s">
        <v>100</v>
      </c>
      <c r="K546" s="5" t="s">
        <v>65</v>
      </c>
      <c r="L546" s="6" t="n">
        <v>44585</v>
      </c>
      <c r="M546" s="5" t="s">
        <v>2082</v>
      </c>
      <c r="N546" s="6" t="n">
        <v>31976</v>
      </c>
      <c r="O546" s="5" t="s">
        <v>332</v>
      </c>
      <c r="P546" s="5" t="s">
        <v>333</v>
      </c>
      <c r="Q546" s="5" t="s">
        <v>545</v>
      </c>
      <c r="R546" s="5" t="s">
        <v>502</v>
      </c>
      <c r="S546" s="5" t="s">
        <v>419</v>
      </c>
      <c r="T546" s="6"/>
      <c r="U546" s="6"/>
      <c r="V546" s="5"/>
      <c r="W546" s="5" t="s">
        <v>141</v>
      </c>
      <c r="X546" s="5" t="s">
        <v>141</v>
      </c>
      <c r="Y546" s="5" t="s">
        <v>141</v>
      </c>
      <c r="Z546" s="5" t="s">
        <v>631</v>
      </c>
      <c r="AA546" s="5" t="s">
        <v>2083</v>
      </c>
      <c r="AB546" s="0" t="n">
        <f aca="false">IFERROR(VALUE(R546),0)</f>
        <v>11.1</v>
      </c>
      <c r="AC546" s="0" t="n">
        <f aca="false">IFERROR(VALUE(M546),"")</f>
        <v>38.1</v>
      </c>
      <c r="AD546" s="0" t="n">
        <f aca="false">IFERROR(VALUE(Q546),"")</f>
        <v>4.4</v>
      </c>
      <c r="AE546" s="0" t="n">
        <f aca="false">IFERROR(VALUE(S546),"")</f>
        <v>15.5</v>
      </c>
      <c r="AF546" s="0" t="str">
        <f aca="false">IF(V546="","",VLOOKUP(V546,Assumptions!$B$6:$C$9,2,FALSE()))</f>
        <v/>
      </c>
      <c r="AG546" s="0" t="n">
        <f aca="false">IF(W546="","",VLOOKUP(W546,Assumptions!$B$6:$C$9,2,FALSE()))</f>
        <v>3</v>
      </c>
      <c r="AH546" s="0" t="n">
        <f aca="false">IF(X546="","",VLOOKUP(X546,Assumptions!$B$6:$C$9,2,FALSE()))</f>
        <v>3</v>
      </c>
      <c r="AI546" s="0" t="n">
        <f aca="false">IF(Y546="","",VLOOKUP(Y546,Assumptions!$B$6:$C$9,2,FALSE()))</f>
        <v>3</v>
      </c>
      <c r="AJ546" s="0" t="n">
        <f aca="false">IF(Z546="","",VLOOKUP(Z546,Assumptions!$B$6:$C$9,2,FALSE()))</f>
        <v>2</v>
      </c>
      <c r="AK546" s="7" t="n">
        <f aca="false">IFERROR(ROUND(AVERAGE(AF546:AJ546),3),"")</f>
        <v>2.75</v>
      </c>
      <c r="AL546" s="7" t="str">
        <f aca="false">IF(OR(AF546="",AJ546=""),"",AJ546-AF546)</f>
        <v/>
      </c>
      <c r="AM546" s="7" t="n">
        <f aca="false">IF(COUNT(AF546:AJ546)&gt;=2,ROUND(_xlfn.STDEV.S(AF546:AJ546),3),"")</f>
        <v>0.5</v>
      </c>
      <c r="AN546" s="7" t="n">
        <f aca="false">ROUND((IF(AF546="",0,AF546)*Assumptions!$F$15)+(IF(AG546="",0,AG546)*Assumptions!$F$16)+(IF(AH546="",0,AH546)*Assumptions!$F$17)+(IF(AI546="",0,AI546)*Assumptions!$F$18)+(IF(AJ546="",0,AJ546)*Assumptions!$F$19),3)</f>
        <v>2.4</v>
      </c>
      <c r="AO546" s="0" t="str">
        <f aca="false">IF(AC546&lt;=20,"",IF(AC546&lt;=Assumptions!$F$6,"20-30",IF(AC546&lt;=Assumptions!$F$7,"30-40",IF(AC546&lt;=Assumptions!$F$8,"40-50",IF(AC546&lt;=Assumptions!$F$9,"50-60",IF(AC546&lt;=Assumptions!$F$10,"60+",""))))))</f>
        <v>30-40</v>
      </c>
      <c r="AP546" s="0" t="str">
        <f aca="false">IFERROR(VLOOKUP(O546,Assumptions!$B$14:$C$26,2,FALSE()),"Other")</f>
        <v>Manager</v>
      </c>
      <c r="AQ546" s="0" t="n">
        <f aca="false">IF(T546="",0,1)</f>
        <v>0</v>
      </c>
      <c r="AR546" s="0" t="n">
        <f aca="false">IF(U546="",0,1)</f>
        <v>0</v>
      </c>
      <c r="AS546" s="8" t="n">
        <f aca="false">IF(AK546="","",IF(MAX($AK$2:$AK$921)=MIN($AK$2:$AK$921),50,ROUND((AK546-MIN($AK$2:$AK$921))/(MAX($AK$2:$AK$921)-MIN($AK$2:$AK$921))*100,2)))</f>
        <v>46.42</v>
      </c>
      <c r="AT546" s="8" t="n">
        <f aca="false">IF(MAX($BC$2:$BC$921)=MIN($BC$2:$BC$921),50,ROUND((BC546-MIN($BC$2:$BC$921))/(MAX($BC$2:$BC$921)-MIN($BC$2:$BC$921))*100,2))</f>
        <v>50</v>
      </c>
      <c r="AU546" s="8" t="n">
        <f aca="false">IF(MAX($BE$2:$BE$921)=MIN($BE$2:$BE$921),50,ROUND((BE546-MIN($BE$2:$BE$921))/(MAX($BE$2:$BE$921)-MIN($BE$2:$BE$921))*100,2))</f>
        <v>71.13</v>
      </c>
      <c r="AV546" s="8" t="n">
        <f aca="false">IF(MAX($AD$2:$AD$921)=MIN($AD$2:$AD$921),50,ROUND((AD546-MIN($AD$2:$AD$921))/(MAX($AD$2:$AD$921)-MIN($AD$2:$AD$921))*100,2))</f>
        <v>11.66</v>
      </c>
      <c r="AW546" s="8" t="n">
        <f aca="false">IF(MAX($AN$2:$AN$921)=MIN($AN$2:$AN$921),50,ROUND((AN546-MIN($AN$2:$AN$921))/(MAX($AN$2:$AN$921)-MIN($AN$2:$AN$921))*100,2))</f>
        <v>60</v>
      </c>
      <c r="AX546" s="8" t="n">
        <f aca="false">AQ546*100</f>
        <v>0</v>
      </c>
      <c r="AY546" s="8" t="n">
        <f aca="false">AR546*100</f>
        <v>0</v>
      </c>
      <c r="AZ546" s="8" t="n">
        <f aca="false">IFERROR(ROUND(AS546*Assumptions!$I$6+AW546*Assumptions!$I$7+AT546*Assumptions!$I$8+AU546*Assumptions!$I$9+AV546*Assumptions!$I$10+AX546*Assumptions!$I$11+AY546*Assumptions!$I$12,2),"")</f>
        <v>45.26</v>
      </c>
      <c r="BA546" s="0" t="str">
        <f aca="false">IF(AZ546="","",IF(AZ546&lt;=Assumptions!$I$18,"Below Expectation",IF(AZ546&lt;=Assumptions!$I$19,"Developing",IF(AZ546&lt;=Assumptions!$I$20,"Meets Expectation",IF(AZ546&lt;=Assumptions!$I$21,"Exceeds","Star Performer")))))</f>
        <v>Developing</v>
      </c>
      <c r="BB546" s="0" t="n">
        <f aca="false">IF(AZ546="",0,IF(AZ546&gt;=Assumptions!$I$26,1,0))</f>
        <v>0</v>
      </c>
      <c r="BC546" s="9" t="n">
        <f aca="false">IF(AL546="",2,AL546+2)</f>
        <v>2</v>
      </c>
      <c r="BD546" s="10" t="n">
        <f aca="false">IF(AM546="",ROUND(AVERAGE($AM$2:$AM$921),3),AM546)</f>
        <v>0.5</v>
      </c>
      <c r="BE546" s="9" t="n">
        <f aca="false">1-BD546</f>
        <v>0.5</v>
      </c>
    </row>
    <row r="547" customFormat="false" ht="14.25" hidden="true" customHeight="false" outlineLevel="0" collapsed="false">
      <c r="A547" s="4" t="n">
        <v>543</v>
      </c>
      <c r="B547" s="5" t="n">
        <v>55048312</v>
      </c>
      <c r="C547" s="5" t="s">
        <v>858</v>
      </c>
      <c r="D547" s="5" t="s">
        <v>2084</v>
      </c>
      <c r="E547" s="5" t="s">
        <v>1080</v>
      </c>
      <c r="F547" s="5" t="s">
        <v>861</v>
      </c>
      <c r="G547" s="5" t="s">
        <v>862</v>
      </c>
      <c r="H547" s="5" t="s">
        <v>861</v>
      </c>
      <c r="I547" s="5" t="s">
        <v>63</v>
      </c>
      <c r="J547" s="5" t="s">
        <v>100</v>
      </c>
      <c r="K547" s="5" t="s">
        <v>309</v>
      </c>
      <c r="L547" s="6" t="n">
        <v>44637</v>
      </c>
      <c r="M547" s="5" t="s">
        <v>2085</v>
      </c>
      <c r="N547" s="6" t="n">
        <v>33886</v>
      </c>
      <c r="O547" s="5" t="s">
        <v>365</v>
      </c>
      <c r="P547" s="5" t="s">
        <v>365</v>
      </c>
      <c r="Q547" s="5" t="s">
        <v>554</v>
      </c>
      <c r="R547" s="5" t="s">
        <v>987</v>
      </c>
      <c r="S547" s="5" t="s">
        <v>2086</v>
      </c>
      <c r="T547" s="6"/>
      <c r="U547" s="6"/>
      <c r="V547" s="5"/>
      <c r="W547" s="5" t="s">
        <v>141</v>
      </c>
      <c r="X547" s="5" t="s">
        <v>141</v>
      </c>
      <c r="Y547" s="5" t="s">
        <v>141</v>
      </c>
      <c r="Z547" s="5" t="s">
        <v>631</v>
      </c>
      <c r="AA547" s="5" t="s">
        <v>2087</v>
      </c>
      <c r="AB547" s="0" t="n">
        <f aca="false">IFERROR(VALUE(R547),0)</f>
        <v>5.1</v>
      </c>
      <c r="AC547" s="0" t="n">
        <f aca="false">IFERROR(VALUE(M547),"")</f>
        <v>33.7</v>
      </c>
      <c r="AD547" s="0" t="n">
        <f aca="false">IFERROR(VALUE(Q547),"")</f>
        <v>4.2</v>
      </c>
      <c r="AE547" s="0" t="n">
        <f aca="false">IFERROR(VALUE(S547),"")</f>
        <v>10</v>
      </c>
      <c r="AF547" s="0" t="str">
        <f aca="false">IF(V547="","",VLOOKUP(V547,Assumptions!$B$6:$C$9,2,FALSE()))</f>
        <v/>
      </c>
      <c r="AG547" s="0" t="n">
        <f aca="false">IF(W547="","",VLOOKUP(W547,Assumptions!$B$6:$C$9,2,FALSE()))</f>
        <v>3</v>
      </c>
      <c r="AH547" s="0" t="n">
        <f aca="false">IF(X547="","",VLOOKUP(X547,Assumptions!$B$6:$C$9,2,FALSE()))</f>
        <v>3</v>
      </c>
      <c r="AI547" s="0" t="n">
        <f aca="false">IF(Y547="","",VLOOKUP(Y547,Assumptions!$B$6:$C$9,2,FALSE()))</f>
        <v>3</v>
      </c>
      <c r="AJ547" s="0" t="n">
        <f aca="false">IF(Z547="","",VLOOKUP(Z547,Assumptions!$B$6:$C$9,2,FALSE()))</f>
        <v>2</v>
      </c>
      <c r="AK547" s="7" t="n">
        <f aca="false">IFERROR(ROUND(AVERAGE(AF547:AJ547),3),"")</f>
        <v>2.75</v>
      </c>
      <c r="AL547" s="7" t="str">
        <f aca="false">IF(OR(AF547="",AJ547=""),"",AJ547-AF547)</f>
        <v/>
      </c>
      <c r="AM547" s="7" t="n">
        <f aca="false">IF(COUNT(AF547:AJ547)&gt;=2,ROUND(_xlfn.STDEV.S(AF547:AJ547),3),"")</f>
        <v>0.5</v>
      </c>
      <c r="AN547" s="7" t="n">
        <f aca="false">ROUND((IF(AF547="",0,AF547)*Assumptions!$F$15)+(IF(AG547="",0,AG547)*Assumptions!$F$16)+(IF(AH547="",0,AH547)*Assumptions!$F$17)+(IF(AI547="",0,AI547)*Assumptions!$F$18)+(IF(AJ547="",0,AJ547)*Assumptions!$F$19),3)</f>
        <v>2.4</v>
      </c>
      <c r="AO547" s="0" t="str">
        <f aca="false">IF(AC547&lt;=20,"",IF(AC547&lt;=Assumptions!$F$6,"20-30",IF(AC547&lt;=Assumptions!$F$7,"30-40",IF(AC547&lt;=Assumptions!$F$8,"40-50",IF(AC547&lt;=Assumptions!$F$9,"50-60",IF(AC547&lt;=Assumptions!$F$10,"60+",""))))))</f>
        <v>30-40</v>
      </c>
      <c r="AP547" s="0" t="str">
        <f aca="false">IFERROR(VLOOKUP(O547,Assumptions!$B$14:$C$26,2,FALSE()),"Other")</f>
        <v>Manager</v>
      </c>
      <c r="AQ547" s="0" t="n">
        <f aca="false">IF(T547="",0,1)</f>
        <v>0</v>
      </c>
      <c r="AR547" s="0" t="n">
        <f aca="false">IF(U547="",0,1)</f>
        <v>0</v>
      </c>
      <c r="AS547" s="8" t="n">
        <f aca="false">IF(AK547="","",IF(MAX($AK$2:$AK$921)=MIN($AK$2:$AK$921),50,ROUND((AK547-MIN($AK$2:$AK$921))/(MAX($AK$2:$AK$921)-MIN($AK$2:$AK$921))*100,2)))</f>
        <v>46.42</v>
      </c>
      <c r="AT547" s="8" t="n">
        <f aca="false">IF(MAX($BC$2:$BC$921)=MIN($BC$2:$BC$921),50,ROUND((BC547-MIN($BC$2:$BC$921))/(MAX($BC$2:$BC$921)-MIN($BC$2:$BC$921))*100,2))</f>
        <v>50</v>
      </c>
      <c r="AU547" s="8" t="n">
        <f aca="false">IF(MAX($BE$2:$BE$921)=MIN($BE$2:$BE$921),50,ROUND((BE547-MIN($BE$2:$BE$921))/(MAX($BE$2:$BE$921)-MIN($BE$2:$BE$921))*100,2))</f>
        <v>71.13</v>
      </c>
      <c r="AV547" s="8" t="n">
        <f aca="false">IF(MAX($AD$2:$AD$921)=MIN($AD$2:$AD$921),50,ROUND((AD547-MIN($AD$2:$AD$921))/(MAX($AD$2:$AD$921)-MIN($AD$2:$AD$921))*100,2))</f>
        <v>11.12</v>
      </c>
      <c r="AW547" s="8" t="n">
        <f aca="false">IF(MAX($AN$2:$AN$921)=MIN($AN$2:$AN$921),50,ROUND((AN547-MIN($AN$2:$AN$921))/(MAX($AN$2:$AN$921)-MIN($AN$2:$AN$921))*100,2))</f>
        <v>60</v>
      </c>
      <c r="AX547" s="8" t="n">
        <f aca="false">AQ547*100</f>
        <v>0</v>
      </c>
      <c r="AY547" s="8" t="n">
        <f aca="false">AR547*100</f>
        <v>0</v>
      </c>
      <c r="AZ547" s="8" t="n">
        <f aca="false">IFERROR(ROUND(AS547*Assumptions!$I$6+AW547*Assumptions!$I$7+AT547*Assumptions!$I$8+AU547*Assumptions!$I$9+AV547*Assumptions!$I$10+AX547*Assumptions!$I$11+AY547*Assumptions!$I$12,2),"")</f>
        <v>45.21</v>
      </c>
      <c r="BA547" s="0" t="str">
        <f aca="false">IF(AZ547="","",IF(AZ547&lt;=Assumptions!$I$18,"Below Expectation",IF(AZ547&lt;=Assumptions!$I$19,"Developing",IF(AZ547&lt;=Assumptions!$I$20,"Meets Expectation",IF(AZ547&lt;=Assumptions!$I$21,"Exceeds","Star Performer")))))</f>
        <v>Developing</v>
      </c>
      <c r="BB547" s="0" t="n">
        <f aca="false">IF(AZ547="",0,IF(AZ547&gt;=Assumptions!$I$26,1,0))</f>
        <v>0</v>
      </c>
      <c r="BC547" s="9" t="n">
        <f aca="false">IF(AL547="",2,AL547+2)</f>
        <v>2</v>
      </c>
      <c r="BD547" s="10" t="n">
        <f aca="false">IF(AM547="",ROUND(AVERAGE($AM$2:$AM$921),3),AM547)</f>
        <v>0.5</v>
      </c>
      <c r="BE547" s="9" t="n">
        <f aca="false">1-BD547</f>
        <v>0.5</v>
      </c>
    </row>
    <row r="548" customFormat="false" ht="14.25" hidden="true" customHeight="false" outlineLevel="0" collapsed="false">
      <c r="A548" s="4" t="n">
        <v>237</v>
      </c>
      <c r="B548" s="5" t="n">
        <v>10059957</v>
      </c>
      <c r="C548" s="5" t="s">
        <v>57</v>
      </c>
      <c r="D548" s="5" t="s">
        <v>2088</v>
      </c>
      <c r="E548" s="5" t="s">
        <v>275</v>
      </c>
      <c r="F548" s="5" t="s">
        <v>387</v>
      </c>
      <c r="G548" s="5" t="s">
        <v>388</v>
      </c>
      <c r="H548" s="5" t="s">
        <v>387</v>
      </c>
      <c r="I548" s="5" t="s">
        <v>63</v>
      </c>
      <c r="J548" s="5" t="s">
        <v>100</v>
      </c>
      <c r="K548" s="5" t="s">
        <v>65</v>
      </c>
      <c r="L548" s="6" t="n">
        <v>42954</v>
      </c>
      <c r="M548" s="5" t="s">
        <v>1505</v>
      </c>
      <c r="N548" s="6" t="n">
        <v>28622</v>
      </c>
      <c r="O548" s="5" t="s">
        <v>332</v>
      </c>
      <c r="P548" s="5" t="s">
        <v>333</v>
      </c>
      <c r="Q548" s="5" t="s">
        <v>181</v>
      </c>
      <c r="R548" s="5" t="s">
        <v>241</v>
      </c>
      <c r="S548" s="5" t="s">
        <v>1445</v>
      </c>
      <c r="T548" s="6"/>
      <c r="U548" s="6"/>
      <c r="V548" s="5" t="s">
        <v>141</v>
      </c>
      <c r="W548" s="5" t="s">
        <v>141</v>
      </c>
      <c r="X548" s="5" t="s">
        <v>141</v>
      </c>
      <c r="Y548" s="5" t="s">
        <v>141</v>
      </c>
      <c r="Z548" s="5" t="s">
        <v>631</v>
      </c>
      <c r="AA548" s="5" t="s">
        <v>2089</v>
      </c>
      <c r="AB548" s="0" t="n">
        <f aca="false">IFERROR(VALUE(R548),0)</f>
        <v>15</v>
      </c>
      <c r="AC548" s="0" t="n">
        <f aca="false">IFERROR(VALUE(M548),"")</f>
        <v>48</v>
      </c>
      <c r="AD548" s="0" t="n">
        <f aca="false">IFERROR(VALUE(Q548),"")</f>
        <v>8.1</v>
      </c>
      <c r="AE548" s="0" t="n">
        <f aca="false">IFERROR(VALUE(S548),"")</f>
        <v>23.1</v>
      </c>
      <c r="AF548" s="0" t="n">
        <f aca="false">IF(V548="","",VLOOKUP(V548,Assumptions!$B$6:$C$9,2,FALSE()))</f>
        <v>3</v>
      </c>
      <c r="AG548" s="0" t="n">
        <f aca="false">IF(W548="","",VLOOKUP(W548,Assumptions!$B$6:$C$9,2,FALSE()))</f>
        <v>3</v>
      </c>
      <c r="AH548" s="0" t="n">
        <f aca="false">IF(X548="","",VLOOKUP(X548,Assumptions!$B$6:$C$9,2,FALSE()))</f>
        <v>3</v>
      </c>
      <c r="AI548" s="0" t="n">
        <f aca="false">IF(Y548="","",VLOOKUP(Y548,Assumptions!$B$6:$C$9,2,FALSE()))</f>
        <v>3</v>
      </c>
      <c r="AJ548" s="0" t="n">
        <f aca="false">IF(Z548="","",VLOOKUP(Z548,Assumptions!$B$6:$C$9,2,FALSE()))</f>
        <v>2</v>
      </c>
      <c r="AK548" s="7" t="n">
        <f aca="false">IFERROR(ROUND(AVERAGE(AF548:AJ548),3),"")</f>
        <v>2.8</v>
      </c>
      <c r="AL548" s="7" t="n">
        <f aca="false">IF(OR(AF548="",AJ548=""),"",AJ548-AF548)</f>
        <v>-1</v>
      </c>
      <c r="AM548" s="7" t="n">
        <f aca="false">IF(COUNT(AF548:AJ548)&gt;=2,ROUND(_xlfn.STDEV.S(AF548:AJ548),3),"")</f>
        <v>0.447</v>
      </c>
      <c r="AN548" s="7" t="n">
        <f aca="false">ROUND((IF(AF548="",0,AF548)*Assumptions!$F$15)+(IF(AG548="",0,AG548)*Assumptions!$F$16)+(IF(AH548="",0,AH548)*Assumptions!$F$17)+(IF(AI548="",0,AI548)*Assumptions!$F$18)+(IF(AJ548="",0,AJ548)*Assumptions!$F$19),3)</f>
        <v>2.7</v>
      </c>
      <c r="AO548" s="0" t="str">
        <f aca="false">IF(AC548&lt;=20,"",IF(AC548&lt;=Assumptions!$F$6,"20-30",IF(AC548&lt;=Assumptions!$F$7,"30-40",IF(AC548&lt;=Assumptions!$F$8,"40-50",IF(AC548&lt;=Assumptions!$F$9,"50-60",IF(AC548&lt;=Assumptions!$F$10,"60+",""))))))</f>
        <v>40-50</v>
      </c>
      <c r="AP548" s="0" t="str">
        <f aca="false">IFERROR(VLOOKUP(O548,Assumptions!$B$14:$C$26,2,FALSE()),"Other")</f>
        <v>Manager</v>
      </c>
      <c r="AQ548" s="0" t="n">
        <f aca="false">IF(T548="",0,1)</f>
        <v>0</v>
      </c>
      <c r="AR548" s="0" t="n">
        <f aca="false">IF(U548="",0,1)</f>
        <v>0</v>
      </c>
      <c r="AS548" s="8" t="n">
        <f aca="false">IF(AK548="","",IF(MAX($AK$2:$AK$921)=MIN($AK$2:$AK$921),50,ROUND((AK548-MIN($AK$2:$AK$921))/(MAX($AK$2:$AK$921)-MIN($AK$2:$AK$921))*100,2)))</f>
        <v>48.56</v>
      </c>
      <c r="AT548" s="8" t="n">
        <f aca="false">IF(MAX($BC$2:$BC$921)=MIN($BC$2:$BC$921),50,ROUND((BC548-MIN($BC$2:$BC$921))/(MAX($BC$2:$BC$921)-MIN($BC$2:$BC$921))*100,2))</f>
        <v>25</v>
      </c>
      <c r="AU548" s="8" t="n">
        <f aca="false">IF(MAX($BE$2:$BE$921)=MIN($BE$2:$BE$921),50,ROUND((BE548-MIN($BE$2:$BE$921))/(MAX($BE$2:$BE$921)-MIN($BE$2:$BE$921))*100,2))</f>
        <v>74.19</v>
      </c>
      <c r="AV548" s="8" t="n">
        <f aca="false">IF(MAX($AD$2:$AD$921)=MIN($AD$2:$AD$921),50,ROUND((AD548-MIN($AD$2:$AD$921))/(MAX($AD$2:$AD$921)-MIN($AD$2:$AD$921))*100,2))</f>
        <v>21.72</v>
      </c>
      <c r="AW548" s="8" t="n">
        <f aca="false">IF(MAX($AN$2:$AN$921)=MIN($AN$2:$AN$921),50,ROUND((AN548-MIN($AN$2:$AN$921))/(MAX($AN$2:$AN$921)-MIN($AN$2:$AN$921))*100,2))</f>
        <v>67.5</v>
      </c>
      <c r="AX548" s="8" t="n">
        <f aca="false">AQ548*100</f>
        <v>0</v>
      </c>
      <c r="AY548" s="8" t="n">
        <f aca="false">AR548*100</f>
        <v>0</v>
      </c>
      <c r="AZ548" s="8" t="n">
        <f aca="false">IFERROR(ROUND(AS548*Assumptions!$I$6+AW548*Assumptions!$I$7+AT548*Assumptions!$I$8+AU548*Assumptions!$I$9+AV548*Assumptions!$I$10+AX548*Assumptions!$I$11+AY548*Assumptions!$I$12,2),"")</f>
        <v>45.12</v>
      </c>
      <c r="BA548" s="0" t="str">
        <f aca="false">IF(AZ548="","",IF(AZ548&lt;=Assumptions!$I$18,"Below Expectation",IF(AZ548&lt;=Assumptions!$I$19,"Developing",IF(AZ548&lt;=Assumptions!$I$20,"Meets Expectation",IF(AZ548&lt;=Assumptions!$I$21,"Exceeds","Star Performer")))))</f>
        <v>Developing</v>
      </c>
      <c r="BB548" s="0" t="n">
        <f aca="false">IF(AZ548="",0,IF(AZ548&gt;=Assumptions!$I$26,1,0))</f>
        <v>0</v>
      </c>
      <c r="BC548" s="9" t="n">
        <f aca="false">IF(AL548="",2,AL548+2)</f>
        <v>1</v>
      </c>
      <c r="BD548" s="10" t="n">
        <f aca="false">IF(AM548="",ROUND(AVERAGE($AM$2:$AM$921),3),AM548)</f>
        <v>0.447</v>
      </c>
      <c r="BE548" s="9" t="n">
        <f aca="false">1-BD548</f>
        <v>0.553</v>
      </c>
    </row>
    <row r="549" customFormat="false" ht="14.25" hidden="false" customHeight="false" outlineLevel="0" collapsed="false">
      <c r="A549" s="4" t="n">
        <v>655</v>
      </c>
      <c r="B549" s="5" t="n">
        <v>55057711</v>
      </c>
      <c r="C549" s="5" t="s">
        <v>106</v>
      </c>
      <c r="D549" s="5" t="s">
        <v>2090</v>
      </c>
      <c r="E549" s="5" t="s">
        <v>305</v>
      </c>
      <c r="F549" s="5" t="s">
        <v>563</v>
      </c>
      <c r="G549" s="5" t="s">
        <v>924</v>
      </c>
      <c r="H549" s="5" t="s">
        <v>925</v>
      </c>
      <c r="I549" s="5" t="s">
        <v>63</v>
      </c>
      <c r="J549" s="5" t="s">
        <v>112</v>
      </c>
      <c r="K549" s="5" t="s">
        <v>309</v>
      </c>
      <c r="L549" s="6" t="n">
        <v>44824</v>
      </c>
      <c r="M549" s="5" t="s">
        <v>104</v>
      </c>
      <c r="N549" s="6" t="n">
        <v>34577</v>
      </c>
      <c r="O549" s="5" t="s">
        <v>1624</v>
      </c>
      <c r="P549" s="5" t="s">
        <v>1624</v>
      </c>
      <c r="Q549" s="5" t="s">
        <v>445</v>
      </c>
      <c r="R549" s="5" t="s">
        <v>554</v>
      </c>
      <c r="S549" s="5" t="s">
        <v>940</v>
      </c>
      <c r="T549" s="6"/>
      <c r="U549" s="6"/>
      <c r="V549" s="5"/>
      <c r="W549" s="5" t="s">
        <v>141</v>
      </c>
      <c r="X549" s="5" t="s">
        <v>141</v>
      </c>
      <c r="Y549" s="5" t="s">
        <v>141</v>
      </c>
      <c r="Z549" s="5" t="s">
        <v>631</v>
      </c>
      <c r="AA549" s="5" t="s">
        <v>2091</v>
      </c>
      <c r="AB549" s="0" t="n">
        <f aca="false">IFERROR(VALUE(R549),0)</f>
        <v>4.2</v>
      </c>
      <c r="AC549" s="0" t="n">
        <f aca="false">IFERROR(VALUE(M549),"")</f>
        <v>31.9</v>
      </c>
      <c r="AD549" s="0" t="n">
        <f aca="false">IFERROR(VALUE(Q549),"")</f>
        <v>3.8</v>
      </c>
      <c r="AE549" s="0" t="n">
        <f aca="false">IFERROR(VALUE(S549),"")</f>
        <v>7.1</v>
      </c>
      <c r="AF549" s="0" t="str">
        <f aca="false">IF(V549="","",VLOOKUP(V549,Assumptions!$B$6:$C$9,2,FALSE()))</f>
        <v/>
      </c>
      <c r="AG549" s="0" t="n">
        <f aca="false">IF(W549="","",VLOOKUP(W549,Assumptions!$B$6:$C$9,2,FALSE()))</f>
        <v>3</v>
      </c>
      <c r="AH549" s="0" t="n">
        <f aca="false">IF(X549="","",VLOOKUP(X549,Assumptions!$B$6:$C$9,2,FALSE()))</f>
        <v>3</v>
      </c>
      <c r="AI549" s="0" t="n">
        <f aca="false">IF(Y549="","",VLOOKUP(Y549,Assumptions!$B$6:$C$9,2,FALSE()))</f>
        <v>3</v>
      </c>
      <c r="AJ549" s="0" t="n">
        <f aca="false">IF(Z549="","",VLOOKUP(Z549,Assumptions!$B$6:$C$9,2,FALSE()))</f>
        <v>2</v>
      </c>
      <c r="AK549" s="7" t="n">
        <f aca="false">IFERROR(ROUND(AVERAGE(AF549:AJ549),3),"")</f>
        <v>2.75</v>
      </c>
      <c r="AL549" s="7" t="str">
        <f aca="false">IF(OR(AF549="",AJ549=""),"",AJ549-AF549)</f>
        <v/>
      </c>
      <c r="AM549" s="7" t="n">
        <f aca="false">IF(COUNT(AF549:AJ549)&gt;=2,ROUND(_xlfn.STDEV.S(AF549:AJ549),3),"")</f>
        <v>0.5</v>
      </c>
      <c r="AN549" s="7" t="n">
        <f aca="false">ROUND((IF(AF549="",0,AF549)*Assumptions!$F$15)+(IF(AG549="",0,AG549)*Assumptions!$F$16)+(IF(AH549="",0,AH549)*Assumptions!$F$17)+(IF(AI549="",0,AI549)*Assumptions!$F$18)+(IF(AJ549="",0,AJ549)*Assumptions!$F$19),3)</f>
        <v>2.4</v>
      </c>
      <c r="AO549" s="0" t="str">
        <f aca="false">IF(AC549&lt;=20,"",IF(AC549&lt;=Assumptions!$F$6,"20-30",IF(AC549&lt;=Assumptions!$F$7,"30-40",IF(AC549&lt;=Assumptions!$F$8,"40-50",IF(AC549&lt;=Assumptions!$F$9,"50-60",IF(AC549&lt;=Assumptions!$F$10,"60+",""))))))</f>
        <v>30-40</v>
      </c>
      <c r="AP549" s="0" t="str">
        <f aca="false">IFERROR(VLOOKUP(O549,Assumptions!$B$14:$C$26,2,FALSE()),"Other")</f>
        <v>Executive</v>
      </c>
      <c r="AQ549" s="0" t="n">
        <f aca="false">IF(T549="",0,1)</f>
        <v>0</v>
      </c>
      <c r="AR549" s="0" t="n">
        <f aca="false">IF(U549="",0,1)</f>
        <v>0</v>
      </c>
      <c r="AS549" s="8" t="n">
        <f aca="false">IF(AK549="","",IF(MAX($AK$2:$AK$921)=MIN($AK$2:$AK$921),50,ROUND((AK549-MIN($AK$2:$AK$921))/(MAX($AK$2:$AK$921)-MIN($AK$2:$AK$921))*100,2)))</f>
        <v>46.42</v>
      </c>
      <c r="AT549" s="8" t="n">
        <f aca="false">IF(MAX($BC$2:$BC$921)=MIN($BC$2:$BC$921),50,ROUND((BC549-MIN($BC$2:$BC$921))/(MAX($BC$2:$BC$921)-MIN($BC$2:$BC$921))*100,2))</f>
        <v>50</v>
      </c>
      <c r="AU549" s="8" t="n">
        <f aca="false">IF(MAX($BE$2:$BE$921)=MIN($BE$2:$BE$921),50,ROUND((BE549-MIN($BE$2:$BE$921))/(MAX($BE$2:$BE$921)-MIN($BE$2:$BE$921))*100,2))</f>
        <v>71.13</v>
      </c>
      <c r="AV549" s="8" t="n">
        <f aca="false">IF(MAX($AD$2:$AD$921)=MIN($AD$2:$AD$921),50,ROUND((AD549-MIN($AD$2:$AD$921))/(MAX($AD$2:$AD$921)-MIN($AD$2:$AD$921))*100,2))</f>
        <v>10.03</v>
      </c>
      <c r="AW549" s="8" t="n">
        <f aca="false">IF(MAX($AN$2:$AN$921)=MIN($AN$2:$AN$921),50,ROUND((AN549-MIN($AN$2:$AN$921))/(MAX($AN$2:$AN$921)-MIN($AN$2:$AN$921))*100,2))</f>
        <v>60</v>
      </c>
      <c r="AX549" s="8" t="n">
        <f aca="false">AQ549*100</f>
        <v>0</v>
      </c>
      <c r="AY549" s="8" t="n">
        <f aca="false">AR549*100</f>
        <v>0</v>
      </c>
      <c r="AZ549" s="8" t="n">
        <f aca="false">IFERROR(ROUND(AS549*Assumptions!$I$6+AW549*Assumptions!$I$7+AT549*Assumptions!$I$8+AU549*Assumptions!$I$9+AV549*Assumptions!$I$10+AX549*Assumptions!$I$11+AY549*Assumptions!$I$12,2),"")</f>
        <v>45.1</v>
      </c>
      <c r="BA549" s="0" t="str">
        <f aca="false">IF(AZ549="","",IF(AZ549&lt;=Assumptions!$I$18,"Below Expectation",IF(AZ549&lt;=Assumptions!$I$19,"Developing",IF(AZ549&lt;=Assumptions!$I$20,"Meets Expectation",IF(AZ549&lt;=Assumptions!$I$21,"Exceeds","Star Performer")))))</f>
        <v>Developing</v>
      </c>
      <c r="BB549" s="0" t="n">
        <f aca="false">IF(AZ549="",0,IF(AZ549&gt;=Assumptions!$I$26,1,0))</f>
        <v>0</v>
      </c>
      <c r="BC549" s="9" t="n">
        <f aca="false">IF(AL549="",2,AL549+2)</f>
        <v>2</v>
      </c>
      <c r="BD549" s="10" t="n">
        <f aca="false">IF(AM549="",ROUND(AVERAGE($AM$2:$AM$921),3),AM549)</f>
        <v>0.5</v>
      </c>
      <c r="BE549" s="9" t="n">
        <f aca="false">1-BD549</f>
        <v>0.5</v>
      </c>
    </row>
    <row r="550" customFormat="false" ht="14.25" hidden="true" customHeight="false" outlineLevel="0" collapsed="false">
      <c r="A550" s="4" t="n">
        <v>313</v>
      </c>
      <c r="B550" s="5" t="n">
        <v>10072279</v>
      </c>
      <c r="C550" s="5" t="s">
        <v>57</v>
      </c>
      <c r="D550" s="5" t="s">
        <v>2092</v>
      </c>
      <c r="E550" s="5" t="s">
        <v>456</v>
      </c>
      <c r="F550" s="5" t="s">
        <v>608</v>
      </c>
      <c r="G550" s="5" t="s">
        <v>609</v>
      </c>
      <c r="H550" s="5" t="s">
        <v>608</v>
      </c>
      <c r="I550" s="5" t="s">
        <v>63</v>
      </c>
      <c r="J550" s="5" t="s">
        <v>100</v>
      </c>
      <c r="K550" s="5" t="s">
        <v>65</v>
      </c>
      <c r="L550" s="6" t="n">
        <v>43906</v>
      </c>
      <c r="M550" s="5" t="s">
        <v>2093</v>
      </c>
      <c r="N550" s="6" t="n">
        <v>34032</v>
      </c>
      <c r="O550" s="5" t="s">
        <v>365</v>
      </c>
      <c r="P550" s="5" t="s">
        <v>365</v>
      </c>
      <c r="Q550" s="5" t="s">
        <v>1286</v>
      </c>
      <c r="R550" s="5" t="s">
        <v>1297</v>
      </c>
      <c r="S550" s="5" t="s">
        <v>497</v>
      </c>
      <c r="T550" s="6"/>
      <c r="U550" s="6"/>
      <c r="V550" s="5" t="s">
        <v>631</v>
      </c>
      <c r="W550" s="5" t="s">
        <v>631</v>
      </c>
      <c r="X550" s="5" t="s">
        <v>141</v>
      </c>
      <c r="Y550" s="5" t="s">
        <v>631</v>
      </c>
      <c r="Z550" s="5" t="s">
        <v>141</v>
      </c>
      <c r="AA550" s="5" t="s">
        <v>2094</v>
      </c>
      <c r="AB550" s="0" t="n">
        <f aca="false">IFERROR(VALUE(R550),0)</f>
        <v>4.9</v>
      </c>
      <c r="AC550" s="0" t="n">
        <f aca="false">IFERROR(VALUE(M550),"")</f>
        <v>33.3</v>
      </c>
      <c r="AD550" s="0" t="n">
        <f aca="false">IFERROR(VALUE(Q550),"")</f>
        <v>6.2</v>
      </c>
      <c r="AE550" s="0" t="n">
        <f aca="false">IFERROR(VALUE(S550),"")</f>
        <v>10.11</v>
      </c>
      <c r="AF550" s="0" t="n">
        <f aca="false">IF(V550="","",VLOOKUP(V550,Assumptions!$B$6:$C$9,2,FALSE()))</f>
        <v>2</v>
      </c>
      <c r="AG550" s="0" t="n">
        <f aca="false">IF(W550="","",VLOOKUP(W550,Assumptions!$B$6:$C$9,2,FALSE()))</f>
        <v>2</v>
      </c>
      <c r="AH550" s="0" t="n">
        <f aca="false">IF(X550="","",VLOOKUP(X550,Assumptions!$B$6:$C$9,2,FALSE()))</f>
        <v>3</v>
      </c>
      <c r="AI550" s="0" t="n">
        <f aca="false">IF(Y550="","",VLOOKUP(Y550,Assumptions!$B$6:$C$9,2,FALSE()))</f>
        <v>2</v>
      </c>
      <c r="AJ550" s="0" t="n">
        <f aca="false">IF(Z550="","",VLOOKUP(Z550,Assumptions!$B$6:$C$9,2,FALSE()))</f>
        <v>3</v>
      </c>
      <c r="AK550" s="7" t="n">
        <f aca="false">IFERROR(ROUND(AVERAGE(AF550:AJ550),3),"")</f>
        <v>2.4</v>
      </c>
      <c r="AL550" s="7" t="n">
        <f aca="false">IF(OR(AF550="",AJ550=""),"",AJ550-AF550)</f>
        <v>1</v>
      </c>
      <c r="AM550" s="7" t="n">
        <f aca="false">IF(COUNT(AF550:AJ550)&gt;=2,ROUND(_xlfn.STDEV.S(AF550:AJ550),3),"")</f>
        <v>0.548</v>
      </c>
      <c r="AN550" s="7" t="n">
        <f aca="false">ROUND((IF(AF550="",0,AF550)*Assumptions!$F$15)+(IF(AG550="",0,AG550)*Assumptions!$F$16)+(IF(AH550="",0,AH550)*Assumptions!$F$17)+(IF(AI550="",0,AI550)*Assumptions!$F$18)+(IF(AJ550="",0,AJ550)*Assumptions!$F$19),3)</f>
        <v>2.5</v>
      </c>
      <c r="AO550" s="0" t="str">
        <f aca="false">IF(AC550&lt;=20,"",IF(AC550&lt;=Assumptions!$F$6,"20-30",IF(AC550&lt;=Assumptions!$F$7,"30-40",IF(AC550&lt;=Assumptions!$F$8,"40-50",IF(AC550&lt;=Assumptions!$F$9,"50-60",IF(AC550&lt;=Assumptions!$F$10,"60+",""))))))</f>
        <v>30-40</v>
      </c>
      <c r="AP550" s="0" t="str">
        <f aca="false">IFERROR(VLOOKUP(O550,Assumptions!$B$14:$C$26,2,FALSE()),"Other")</f>
        <v>Manager</v>
      </c>
      <c r="AQ550" s="0" t="n">
        <f aca="false">IF(T550="",0,1)</f>
        <v>0</v>
      </c>
      <c r="AR550" s="0" t="n">
        <f aca="false">IF(U550="",0,1)</f>
        <v>0</v>
      </c>
      <c r="AS550" s="8" t="n">
        <f aca="false">IF(AK550="","",IF(MAX($AK$2:$AK$921)=MIN($AK$2:$AK$921),50,ROUND((AK550-MIN($AK$2:$AK$921))/(MAX($AK$2:$AK$921)-MIN($AK$2:$AK$921))*100,2)))</f>
        <v>31.42</v>
      </c>
      <c r="AT550" s="8" t="n">
        <f aca="false">IF(MAX($BC$2:$BC$921)=MIN($BC$2:$BC$921),50,ROUND((BC550-MIN($BC$2:$BC$921))/(MAX($BC$2:$BC$921)-MIN($BC$2:$BC$921))*100,2))</f>
        <v>75</v>
      </c>
      <c r="AU550" s="8" t="n">
        <f aca="false">IF(MAX($BE$2:$BE$921)=MIN($BE$2:$BE$921),50,ROUND((BE550-MIN($BE$2:$BE$921))/(MAX($BE$2:$BE$921)-MIN($BE$2:$BE$921))*100,2))</f>
        <v>68.36</v>
      </c>
      <c r="AV550" s="8" t="n">
        <f aca="false">IF(MAX($AD$2:$AD$921)=MIN($AD$2:$AD$921),50,ROUND((AD550-MIN($AD$2:$AD$921))/(MAX($AD$2:$AD$921)-MIN($AD$2:$AD$921))*100,2))</f>
        <v>16.55</v>
      </c>
      <c r="AW550" s="8" t="n">
        <f aca="false">IF(MAX($AN$2:$AN$921)=MIN($AN$2:$AN$921),50,ROUND((AN550-MIN($AN$2:$AN$921))/(MAX($AN$2:$AN$921)-MIN($AN$2:$AN$921))*100,2))</f>
        <v>62.5</v>
      </c>
      <c r="AX550" s="8" t="n">
        <f aca="false">AQ550*100</f>
        <v>0</v>
      </c>
      <c r="AY550" s="8" t="n">
        <f aca="false">AR550*100</f>
        <v>0</v>
      </c>
      <c r="AZ550" s="8" t="n">
        <f aca="false">IFERROR(ROUND(AS550*Assumptions!$I$6+AW550*Assumptions!$I$7+AT550*Assumptions!$I$8+AU550*Assumptions!$I$9+AV550*Assumptions!$I$10+AX550*Assumptions!$I$11+AY550*Assumptions!$I$12,2),"")</f>
        <v>45.09</v>
      </c>
      <c r="BA550" s="0" t="str">
        <f aca="false">IF(AZ550="","",IF(AZ550&lt;=Assumptions!$I$18,"Below Expectation",IF(AZ550&lt;=Assumptions!$I$19,"Developing",IF(AZ550&lt;=Assumptions!$I$20,"Meets Expectation",IF(AZ550&lt;=Assumptions!$I$21,"Exceeds","Star Performer")))))</f>
        <v>Developing</v>
      </c>
      <c r="BB550" s="0" t="n">
        <f aca="false">IF(AZ550="",0,IF(AZ550&gt;=Assumptions!$I$26,1,0))</f>
        <v>0</v>
      </c>
      <c r="BC550" s="9" t="n">
        <f aca="false">IF(AL550="",2,AL550+2)</f>
        <v>3</v>
      </c>
      <c r="BD550" s="10" t="n">
        <f aca="false">IF(AM550="",ROUND(AVERAGE($AM$2:$AM$921),3),AM550)</f>
        <v>0.548</v>
      </c>
      <c r="BE550" s="9" t="n">
        <f aca="false">1-BD550</f>
        <v>0.452</v>
      </c>
    </row>
    <row r="551" customFormat="false" ht="14.25" hidden="true" customHeight="false" outlineLevel="0" collapsed="false">
      <c r="A551" s="4" t="n">
        <v>353</v>
      </c>
      <c r="B551" s="5" t="n">
        <v>37100807</v>
      </c>
      <c r="C551" s="5" t="s">
        <v>85</v>
      </c>
      <c r="D551" s="5" t="s">
        <v>2095</v>
      </c>
      <c r="E551" s="5" t="s">
        <v>865</v>
      </c>
      <c r="F551" s="5" t="s">
        <v>370</v>
      </c>
      <c r="G551" s="5" t="s">
        <v>371</v>
      </c>
      <c r="H551" s="5" t="s">
        <v>370</v>
      </c>
      <c r="I551" s="5" t="s">
        <v>63</v>
      </c>
      <c r="J551" s="5" t="s">
        <v>76</v>
      </c>
      <c r="K551" s="5" t="s">
        <v>65</v>
      </c>
      <c r="L551" s="6" t="n">
        <v>39052</v>
      </c>
      <c r="M551" s="5" t="s">
        <v>1537</v>
      </c>
      <c r="N551" s="6" t="n">
        <v>29410</v>
      </c>
      <c r="O551" s="5" t="s">
        <v>262</v>
      </c>
      <c r="P551" s="5" t="s">
        <v>263</v>
      </c>
      <c r="Q551" s="5" t="s">
        <v>1638</v>
      </c>
      <c r="R551" s="5" t="s">
        <v>554</v>
      </c>
      <c r="S551" s="5" t="s">
        <v>796</v>
      </c>
      <c r="T551" s="6"/>
      <c r="U551" s="6" t="n">
        <v>44440</v>
      </c>
      <c r="V551" s="5" t="s">
        <v>141</v>
      </c>
      <c r="W551" s="5" t="s">
        <v>141</v>
      </c>
      <c r="X551" s="5" t="s">
        <v>631</v>
      </c>
      <c r="Y551" s="5" t="s">
        <v>631</v>
      </c>
      <c r="Z551" s="5" t="s">
        <v>631</v>
      </c>
      <c r="AA551" s="5" t="s">
        <v>2096</v>
      </c>
      <c r="AB551" s="0" t="n">
        <f aca="false">IFERROR(VALUE(R551),0)</f>
        <v>4.2</v>
      </c>
      <c r="AC551" s="0" t="n">
        <f aca="false">IFERROR(VALUE(M551),"")</f>
        <v>45.11</v>
      </c>
      <c r="AD551" s="0" t="n">
        <f aca="false">IFERROR(VALUE(Q551),"")</f>
        <v>19.6</v>
      </c>
      <c r="AE551" s="0" t="n">
        <f aca="false">IFERROR(VALUE(S551),"")</f>
        <v>23.8</v>
      </c>
      <c r="AF551" s="0" t="n">
        <f aca="false">IF(V551="","",VLOOKUP(V551,Assumptions!$B$6:$C$9,2,FALSE()))</f>
        <v>3</v>
      </c>
      <c r="AG551" s="0" t="n">
        <f aca="false">IF(W551="","",VLOOKUP(W551,Assumptions!$B$6:$C$9,2,FALSE()))</f>
        <v>3</v>
      </c>
      <c r="AH551" s="0" t="n">
        <f aca="false">IF(X551="","",VLOOKUP(X551,Assumptions!$B$6:$C$9,2,FALSE()))</f>
        <v>2</v>
      </c>
      <c r="AI551" s="0" t="n">
        <f aca="false">IF(Y551="","",VLOOKUP(Y551,Assumptions!$B$6:$C$9,2,FALSE()))</f>
        <v>2</v>
      </c>
      <c r="AJ551" s="0" t="n">
        <f aca="false">IF(Z551="","",VLOOKUP(Z551,Assumptions!$B$6:$C$9,2,FALSE()))</f>
        <v>2</v>
      </c>
      <c r="AK551" s="7" t="n">
        <f aca="false">IFERROR(ROUND(AVERAGE(AF551:AJ551),3),"")</f>
        <v>2.4</v>
      </c>
      <c r="AL551" s="7" t="n">
        <f aca="false">IF(OR(AF551="",AJ551=""),"",AJ551-AF551)</f>
        <v>-1</v>
      </c>
      <c r="AM551" s="7" t="n">
        <f aca="false">IF(COUNT(AF551:AJ551)&gt;=2,ROUND(_xlfn.STDEV.S(AF551:AJ551),3),"")</f>
        <v>0.548</v>
      </c>
      <c r="AN551" s="7" t="n">
        <f aca="false">ROUND((IF(AF551="",0,AF551)*Assumptions!$F$15)+(IF(AG551="",0,AG551)*Assumptions!$F$16)+(IF(AH551="",0,AH551)*Assumptions!$F$17)+(IF(AI551="",0,AI551)*Assumptions!$F$18)+(IF(AJ551="",0,AJ551)*Assumptions!$F$19),3)</f>
        <v>2.25</v>
      </c>
      <c r="AO551" s="0" t="str">
        <f aca="false">IF(AC551&lt;=20,"",IF(AC551&lt;=Assumptions!$F$6,"20-30",IF(AC551&lt;=Assumptions!$F$7,"30-40",IF(AC551&lt;=Assumptions!$F$8,"40-50",IF(AC551&lt;=Assumptions!$F$9,"50-60",IF(AC551&lt;=Assumptions!$F$10,"60+",""))))))</f>
        <v>40-50</v>
      </c>
      <c r="AP551" s="0" t="str">
        <f aca="false">IFERROR(VLOOKUP(O551,Assumptions!$B$14:$C$26,2,FALSE()),"Other")</f>
        <v>Manager</v>
      </c>
      <c r="AQ551" s="0" t="n">
        <f aca="false">IF(T551="",0,1)</f>
        <v>0</v>
      </c>
      <c r="AR551" s="0" t="n">
        <f aca="false">IF(U551="",0,1)</f>
        <v>1</v>
      </c>
      <c r="AS551" s="8" t="n">
        <f aca="false">IF(AK551="","",IF(MAX($AK$2:$AK$921)=MIN($AK$2:$AK$921),50,ROUND((AK551-MIN($AK$2:$AK$921))/(MAX($AK$2:$AK$921)-MIN($AK$2:$AK$921))*100,2)))</f>
        <v>31.42</v>
      </c>
      <c r="AT551" s="8" t="n">
        <f aca="false">IF(MAX($BC$2:$BC$921)=MIN($BC$2:$BC$921),50,ROUND((BC551-MIN($BC$2:$BC$921))/(MAX($BC$2:$BC$921)-MIN($BC$2:$BC$921))*100,2))</f>
        <v>25</v>
      </c>
      <c r="AU551" s="8" t="n">
        <f aca="false">IF(MAX($BE$2:$BE$921)=MIN($BE$2:$BE$921),50,ROUND((BE551-MIN($BE$2:$BE$921))/(MAX($BE$2:$BE$921)-MIN($BE$2:$BE$921))*100,2))</f>
        <v>68.36</v>
      </c>
      <c r="AV551" s="8" t="n">
        <f aca="false">IF(MAX($AD$2:$AD$921)=MIN($AD$2:$AD$921),50,ROUND((AD551-MIN($AD$2:$AD$921))/(MAX($AD$2:$AD$921)-MIN($AD$2:$AD$921))*100,2))</f>
        <v>52.98</v>
      </c>
      <c r="AW551" s="8" t="n">
        <f aca="false">IF(MAX($AN$2:$AN$921)=MIN($AN$2:$AN$921),50,ROUND((AN551-MIN($AN$2:$AN$921))/(MAX($AN$2:$AN$921)-MIN($AN$2:$AN$921))*100,2))</f>
        <v>56.25</v>
      </c>
      <c r="AX551" s="8" t="n">
        <f aca="false">AQ551*100</f>
        <v>0</v>
      </c>
      <c r="AY551" s="8" t="n">
        <f aca="false">AR551*100</f>
        <v>100</v>
      </c>
      <c r="AZ551" s="8" t="n">
        <f aca="false">IFERROR(ROUND(AS551*Assumptions!$I$6+AW551*Assumptions!$I$7+AT551*Assumptions!$I$8+AU551*Assumptions!$I$9+AV551*Assumptions!$I$10+AX551*Assumptions!$I$11+AY551*Assumptions!$I$12,2),"")</f>
        <v>44.98</v>
      </c>
      <c r="BA551" s="0" t="str">
        <f aca="false">IF(AZ551="","",IF(AZ551&lt;=Assumptions!$I$18,"Below Expectation",IF(AZ551&lt;=Assumptions!$I$19,"Developing",IF(AZ551&lt;=Assumptions!$I$20,"Meets Expectation",IF(AZ551&lt;=Assumptions!$I$21,"Exceeds","Star Performer")))))</f>
        <v>Developing</v>
      </c>
      <c r="BB551" s="0" t="n">
        <f aca="false">IF(AZ551="",0,IF(AZ551&gt;=Assumptions!$I$26,1,0))</f>
        <v>0</v>
      </c>
      <c r="BC551" s="9" t="n">
        <f aca="false">IF(AL551="",2,AL551+2)</f>
        <v>1</v>
      </c>
      <c r="BD551" s="10" t="n">
        <f aca="false">IF(AM551="",ROUND(AVERAGE($AM$2:$AM$921),3),AM551)</f>
        <v>0.548</v>
      </c>
      <c r="BE551" s="9" t="n">
        <f aca="false">1-BD551</f>
        <v>0.452</v>
      </c>
    </row>
    <row r="552" customFormat="false" ht="14.25" hidden="true" customHeight="false" outlineLevel="0" collapsed="false">
      <c r="A552" s="4" t="n">
        <v>491</v>
      </c>
      <c r="B552" s="5" t="n">
        <v>55043842</v>
      </c>
      <c r="C552" s="5" t="s">
        <v>85</v>
      </c>
      <c r="D552" s="5" t="s">
        <v>2097</v>
      </c>
      <c r="E552" s="5" t="s">
        <v>594</v>
      </c>
      <c r="F552" s="5" t="s">
        <v>1382</v>
      </c>
      <c r="G552" s="5" t="s">
        <v>1383</v>
      </c>
      <c r="H552" s="5" t="s">
        <v>1382</v>
      </c>
      <c r="I552" s="5" t="s">
        <v>63</v>
      </c>
      <c r="J552" s="5" t="s">
        <v>76</v>
      </c>
      <c r="K552" s="5" t="s">
        <v>309</v>
      </c>
      <c r="L552" s="6" t="n">
        <v>44494</v>
      </c>
      <c r="M552" s="5" t="s">
        <v>2098</v>
      </c>
      <c r="N552" s="6" t="n">
        <v>36862</v>
      </c>
      <c r="O552" s="5" t="s">
        <v>1264</v>
      </c>
      <c r="P552" s="5" t="s">
        <v>1559</v>
      </c>
      <c r="Q552" s="5" t="s">
        <v>491</v>
      </c>
      <c r="R552" s="5" t="s">
        <v>115</v>
      </c>
      <c r="S552" s="5" t="s">
        <v>491</v>
      </c>
      <c r="T552" s="6"/>
      <c r="U552" s="6"/>
      <c r="V552" s="5" t="s">
        <v>631</v>
      </c>
      <c r="W552" s="5" t="s">
        <v>631</v>
      </c>
      <c r="X552" s="5" t="s">
        <v>631</v>
      </c>
      <c r="Y552" s="5" t="s">
        <v>141</v>
      </c>
      <c r="Z552" s="5" t="s">
        <v>141</v>
      </c>
      <c r="AA552" s="5" t="s">
        <v>2099</v>
      </c>
      <c r="AB552" s="0" t="n">
        <f aca="false">IFERROR(VALUE(R552),0)</f>
        <v>0</v>
      </c>
      <c r="AC552" s="0" t="n">
        <f aca="false">IFERROR(VALUE(M552),"")</f>
        <v>25.6</v>
      </c>
      <c r="AD552" s="0" t="n">
        <f aca="false">IFERROR(VALUE(Q552),"")</f>
        <v>4.7</v>
      </c>
      <c r="AE552" s="0" t="n">
        <f aca="false">IFERROR(VALUE(S552),"")</f>
        <v>4.7</v>
      </c>
      <c r="AF552" s="0" t="n">
        <f aca="false">IF(V552="","",VLOOKUP(V552,Assumptions!$B$6:$C$9,2,FALSE()))</f>
        <v>2</v>
      </c>
      <c r="AG552" s="0" t="n">
        <f aca="false">IF(W552="","",VLOOKUP(W552,Assumptions!$B$6:$C$9,2,FALSE()))</f>
        <v>2</v>
      </c>
      <c r="AH552" s="0" t="n">
        <f aca="false">IF(X552="","",VLOOKUP(X552,Assumptions!$B$6:$C$9,2,FALSE()))</f>
        <v>2</v>
      </c>
      <c r="AI552" s="0" t="n">
        <f aca="false">IF(Y552="","",VLOOKUP(Y552,Assumptions!$B$6:$C$9,2,FALSE()))</f>
        <v>3</v>
      </c>
      <c r="AJ552" s="0" t="n">
        <f aca="false">IF(Z552="","",VLOOKUP(Z552,Assumptions!$B$6:$C$9,2,FALSE()))</f>
        <v>3</v>
      </c>
      <c r="AK552" s="7" t="n">
        <f aca="false">IFERROR(ROUND(AVERAGE(AF552:AJ552),3),"")</f>
        <v>2.4</v>
      </c>
      <c r="AL552" s="7" t="n">
        <f aca="false">IF(OR(AF552="",AJ552=""),"",AJ552-AF552)</f>
        <v>1</v>
      </c>
      <c r="AM552" s="7" t="n">
        <f aca="false">IF(COUNT(AF552:AJ552)&gt;=2,ROUND(_xlfn.STDEV.S(AF552:AJ552),3),"")</f>
        <v>0.548</v>
      </c>
      <c r="AN552" s="7" t="n">
        <f aca="false">ROUND((IF(AF552="",0,AF552)*Assumptions!$F$15)+(IF(AG552="",0,AG552)*Assumptions!$F$16)+(IF(AH552="",0,AH552)*Assumptions!$F$17)+(IF(AI552="",0,AI552)*Assumptions!$F$18)+(IF(AJ552="",0,AJ552)*Assumptions!$F$19),3)</f>
        <v>2.55</v>
      </c>
      <c r="AO552" s="0" t="str">
        <f aca="false">IF(AC552&lt;=20,"",IF(AC552&lt;=Assumptions!$F$6,"20-30",IF(AC552&lt;=Assumptions!$F$7,"30-40",IF(AC552&lt;=Assumptions!$F$8,"40-50",IF(AC552&lt;=Assumptions!$F$9,"50-60",IF(AC552&lt;=Assumptions!$F$10,"60+",""))))))</f>
        <v>20-30</v>
      </c>
      <c r="AP552" s="0" t="str">
        <f aca="false">IFERROR(VLOOKUP(O552,Assumptions!$B$14:$C$26,2,FALSE()),"Other")</f>
        <v>Manager</v>
      </c>
      <c r="AQ552" s="0" t="n">
        <f aca="false">IF(T552="",0,1)</f>
        <v>0</v>
      </c>
      <c r="AR552" s="0" t="n">
        <f aca="false">IF(U552="",0,1)</f>
        <v>0</v>
      </c>
      <c r="AS552" s="8" t="n">
        <f aca="false">IF(AK552="","",IF(MAX($AK$2:$AK$921)=MIN($AK$2:$AK$921),50,ROUND((AK552-MIN($AK$2:$AK$921))/(MAX($AK$2:$AK$921)-MIN($AK$2:$AK$921))*100,2)))</f>
        <v>31.42</v>
      </c>
      <c r="AT552" s="8" t="n">
        <f aca="false">IF(MAX($BC$2:$BC$921)=MIN($BC$2:$BC$921),50,ROUND((BC552-MIN($BC$2:$BC$921))/(MAX($BC$2:$BC$921)-MIN($BC$2:$BC$921))*100,2))</f>
        <v>75</v>
      </c>
      <c r="AU552" s="8" t="n">
        <f aca="false">IF(MAX($BE$2:$BE$921)=MIN($BE$2:$BE$921),50,ROUND((BE552-MIN($BE$2:$BE$921))/(MAX($BE$2:$BE$921)-MIN($BE$2:$BE$921))*100,2))</f>
        <v>68.36</v>
      </c>
      <c r="AV552" s="8" t="n">
        <f aca="false">IF(MAX($AD$2:$AD$921)=MIN($AD$2:$AD$921),50,ROUND((AD552-MIN($AD$2:$AD$921))/(MAX($AD$2:$AD$921)-MIN($AD$2:$AD$921))*100,2))</f>
        <v>12.48</v>
      </c>
      <c r="AW552" s="8" t="n">
        <f aca="false">IF(MAX($AN$2:$AN$921)=MIN($AN$2:$AN$921),50,ROUND((AN552-MIN($AN$2:$AN$921))/(MAX($AN$2:$AN$921)-MIN($AN$2:$AN$921))*100,2))</f>
        <v>63.75</v>
      </c>
      <c r="AX552" s="8" t="n">
        <f aca="false">AQ552*100</f>
        <v>0</v>
      </c>
      <c r="AY552" s="8" t="n">
        <f aca="false">AR552*100</f>
        <v>0</v>
      </c>
      <c r="AZ552" s="8" t="n">
        <f aca="false">IFERROR(ROUND(AS552*Assumptions!$I$6+AW552*Assumptions!$I$7+AT552*Assumptions!$I$8+AU552*Assumptions!$I$9+AV552*Assumptions!$I$10+AX552*Assumptions!$I$11+AY552*Assumptions!$I$12,2),"")</f>
        <v>44.93</v>
      </c>
      <c r="BA552" s="0" t="str">
        <f aca="false">IF(AZ552="","",IF(AZ552&lt;=Assumptions!$I$18,"Below Expectation",IF(AZ552&lt;=Assumptions!$I$19,"Developing",IF(AZ552&lt;=Assumptions!$I$20,"Meets Expectation",IF(AZ552&lt;=Assumptions!$I$21,"Exceeds","Star Performer")))))</f>
        <v>Developing</v>
      </c>
      <c r="BB552" s="0" t="n">
        <f aca="false">IF(AZ552="",0,IF(AZ552&gt;=Assumptions!$I$26,1,0))</f>
        <v>0</v>
      </c>
      <c r="BC552" s="9" t="n">
        <f aca="false">IF(AL552="",2,AL552+2)</f>
        <v>3</v>
      </c>
      <c r="BD552" s="10" t="n">
        <f aca="false">IF(AM552="",ROUND(AVERAGE($AM$2:$AM$921),3),AM552)</f>
        <v>0.548</v>
      </c>
      <c r="BE552" s="9" t="n">
        <f aca="false">1-BD552</f>
        <v>0.452</v>
      </c>
    </row>
    <row r="553" customFormat="false" ht="14.25" hidden="true" customHeight="false" outlineLevel="0" collapsed="false">
      <c r="A553" s="4" t="n">
        <v>623</v>
      </c>
      <c r="B553" s="5" t="n">
        <v>55054606</v>
      </c>
      <c r="C553" s="5" t="s">
        <v>85</v>
      </c>
      <c r="D553" s="5" t="s">
        <v>2100</v>
      </c>
      <c r="E553" s="5" t="s">
        <v>1289</v>
      </c>
      <c r="F553" s="5" t="s">
        <v>590</v>
      </c>
      <c r="G553" s="5" t="s">
        <v>589</v>
      </c>
      <c r="H553" s="5" t="s">
        <v>590</v>
      </c>
      <c r="I553" s="5" t="s">
        <v>63</v>
      </c>
      <c r="J553" s="5" t="s">
        <v>76</v>
      </c>
      <c r="K553" s="5" t="s">
        <v>309</v>
      </c>
      <c r="L553" s="6" t="n">
        <v>44768</v>
      </c>
      <c r="M553" s="5" t="s">
        <v>440</v>
      </c>
      <c r="N553" s="6" t="n">
        <v>36605</v>
      </c>
      <c r="O553" s="5" t="s">
        <v>1264</v>
      </c>
      <c r="P553" s="5" t="s">
        <v>1559</v>
      </c>
      <c r="Q553" s="5" t="s">
        <v>591</v>
      </c>
      <c r="R553" s="5" t="s">
        <v>115</v>
      </c>
      <c r="S553" s="5" t="s">
        <v>591</v>
      </c>
      <c r="T553" s="6"/>
      <c r="U553" s="6"/>
      <c r="V553" s="5"/>
      <c r="W553" s="5" t="s">
        <v>141</v>
      </c>
      <c r="X553" s="5" t="s">
        <v>141</v>
      </c>
      <c r="Y553" s="5" t="s">
        <v>141</v>
      </c>
      <c r="Z553" s="5" t="s">
        <v>631</v>
      </c>
      <c r="AA553" s="5" t="s">
        <v>2101</v>
      </c>
      <c r="AB553" s="0" t="n">
        <f aca="false">IFERROR(VALUE(R553),0)</f>
        <v>0</v>
      </c>
      <c r="AC553" s="0" t="n">
        <f aca="false">IFERROR(VALUE(M553),"")</f>
        <v>26.2</v>
      </c>
      <c r="AD553" s="0" t="n">
        <f aca="false">IFERROR(VALUE(Q553),"")</f>
        <v>3.1</v>
      </c>
      <c r="AE553" s="0" t="n">
        <f aca="false">IFERROR(VALUE(S553),"")</f>
        <v>3.1</v>
      </c>
      <c r="AF553" s="0" t="str">
        <f aca="false">IF(V553="","",VLOOKUP(V553,Assumptions!$B$6:$C$9,2,FALSE()))</f>
        <v/>
      </c>
      <c r="AG553" s="0" t="n">
        <f aca="false">IF(W553="","",VLOOKUP(W553,Assumptions!$B$6:$C$9,2,FALSE()))</f>
        <v>3</v>
      </c>
      <c r="AH553" s="0" t="n">
        <f aca="false">IF(X553="","",VLOOKUP(X553,Assumptions!$B$6:$C$9,2,FALSE()))</f>
        <v>3</v>
      </c>
      <c r="AI553" s="0" t="n">
        <f aca="false">IF(Y553="","",VLOOKUP(Y553,Assumptions!$B$6:$C$9,2,FALSE()))</f>
        <v>3</v>
      </c>
      <c r="AJ553" s="0" t="n">
        <f aca="false">IF(Z553="","",VLOOKUP(Z553,Assumptions!$B$6:$C$9,2,FALSE()))</f>
        <v>2</v>
      </c>
      <c r="AK553" s="7" t="n">
        <f aca="false">IFERROR(ROUND(AVERAGE(AF553:AJ553),3),"")</f>
        <v>2.75</v>
      </c>
      <c r="AL553" s="7" t="str">
        <f aca="false">IF(OR(AF553="",AJ553=""),"",AJ553-AF553)</f>
        <v/>
      </c>
      <c r="AM553" s="7" t="n">
        <f aca="false">IF(COUNT(AF553:AJ553)&gt;=2,ROUND(_xlfn.STDEV.S(AF553:AJ553),3),"")</f>
        <v>0.5</v>
      </c>
      <c r="AN553" s="7" t="n">
        <f aca="false">ROUND((IF(AF553="",0,AF553)*Assumptions!$F$15)+(IF(AG553="",0,AG553)*Assumptions!$F$16)+(IF(AH553="",0,AH553)*Assumptions!$F$17)+(IF(AI553="",0,AI553)*Assumptions!$F$18)+(IF(AJ553="",0,AJ553)*Assumptions!$F$19),3)</f>
        <v>2.4</v>
      </c>
      <c r="AO553" s="0" t="str">
        <f aca="false">IF(AC553&lt;=20,"",IF(AC553&lt;=Assumptions!$F$6,"20-30",IF(AC553&lt;=Assumptions!$F$7,"30-40",IF(AC553&lt;=Assumptions!$F$8,"40-50",IF(AC553&lt;=Assumptions!$F$9,"50-60",IF(AC553&lt;=Assumptions!$F$10,"60+",""))))))</f>
        <v>20-30</v>
      </c>
      <c r="AP553" s="0" t="str">
        <f aca="false">IFERROR(VLOOKUP(O553,Assumptions!$B$14:$C$26,2,FALSE()),"Other")</f>
        <v>Manager</v>
      </c>
      <c r="AQ553" s="0" t="n">
        <f aca="false">IF(T553="",0,1)</f>
        <v>0</v>
      </c>
      <c r="AR553" s="0" t="n">
        <f aca="false">IF(U553="",0,1)</f>
        <v>0</v>
      </c>
      <c r="AS553" s="8" t="n">
        <f aca="false">IF(AK553="","",IF(MAX($AK$2:$AK$921)=MIN($AK$2:$AK$921),50,ROUND((AK553-MIN($AK$2:$AK$921))/(MAX($AK$2:$AK$921)-MIN($AK$2:$AK$921))*100,2)))</f>
        <v>46.42</v>
      </c>
      <c r="AT553" s="8" t="n">
        <f aca="false">IF(MAX($BC$2:$BC$921)=MIN($BC$2:$BC$921),50,ROUND((BC553-MIN($BC$2:$BC$921))/(MAX($BC$2:$BC$921)-MIN($BC$2:$BC$921))*100,2))</f>
        <v>50</v>
      </c>
      <c r="AU553" s="8" t="n">
        <f aca="false">IF(MAX($BE$2:$BE$921)=MIN($BE$2:$BE$921),50,ROUND((BE553-MIN($BE$2:$BE$921))/(MAX($BE$2:$BE$921)-MIN($BE$2:$BE$921))*100,2))</f>
        <v>71.13</v>
      </c>
      <c r="AV553" s="8" t="n">
        <f aca="false">IF(MAX($AD$2:$AD$921)=MIN($AD$2:$AD$921),50,ROUND((AD553-MIN($AD$2:$AD$921))/(MAX($AD$2:$AD$921)-MIN($AD$2:$AD$921))*100,2))</f>
        <v>8.13</v>
      </c>
      <c r="AW553" s="8" t="n">
        <f aca="false">IF(MAX($AN$2:$AN$921)=MIN($AN$2:$AN$921),50,ROUND((AN553-MIN($AN$2:$AN$921))/(MAX($AN$2:$AN$921)-MIN($AN$2:$AN$921))*100,2))</f>
        <v>60</v>
      </c>
      <c r="AX553" s="8" t="n">
        <f aca="false">AQ553*100</f>
        <v>0</v>
      </c>
      <c r="AY553" s="8" t="n">
        <f aca="false">AR553*100</f>
        <v>0</v>
      </c>
      <c r="AZ553" s="8" t="n">
        <f aca="false">IFERROR(ROUND(AS553*Assumptions!$I$6+AW553*Assumptions!$I$7+AT553*Assumptions!$I$8+AU553*Assumptions!$I$9+AV553*Assumptions!$I$10+AX553*Assumptions!$I$11+AY553*Assumptions!$I$12,2),"")</f>
        <v>44.91</v>
      </c>
      <c r="BA553" s="0" t="str">
        <f aca="false">IF(AZ553="","",IF(AZ553&lt;=Assumptions!$I$18,"Below Expectation",IF(AZ553&lt;=Assumptions!$I$19,"Developing",IF(AZ553&lt;=Assumptions!$I$20,"Meets Expectation",IF(AZ553&lt;=Assumptions!$I$21,"Exceeds","Star Performer")))))</f>
        <v>Developing</v>
      </c>
      <c r="BB553" s="0" t="n">
        <f aca="false">IF(AZ553="",0,IF(AZ553&gt;=Assumptions!$I$26,1,0))</f>
        <v>0</v>
      </c>
      <c r="BC553" s="9" t="n">
        <f aca="false">IF(AL553="",2,AL553+2)</f>
        <v>2</v>
      </c>
      <c r="BD553" s="10" t="n">
        <f aca="false">IF(AM553="",ROUND(AVERAGE($AM$2:$AM$921),3),AM553)</f>
        <v>0.5</v>
      </c>
      <c r="BE553" s="9" t="n">
        <f aca="false">1-BD553</f>
        <v>0.5</v>
      </c>
    </row>
    <row r="554" customFormat="false" ht="14.25" hidden="true" customHeight="false" outlineLevel="0" collapsed="false">
      <c r="A554" s="4" t="n">
        <v>75</v>
      </c>
      <c r="B554" s="5" t="n">
        <v>10022733</v>
      </c>
      <c r="C554" s="5" t="s">
        <v>57</v>
      </c>
      <c r="D554" s="5" t="s">
        <v>2102</v>
      </c>
      <c r="E554" s="5" t="s">
        <v>299</v>
      </c>
      <c r="F554" s="5" t="s">
        <v>387</v>
      </c>
      <c r="G554" s="5" t="s">
        <v>388</v>
      </c>
      <c r="H554" s="5" t="s">
        <v>387</v>
      </c>
      <c r="I554" s="5" t="s">
        <v>63</v>
      </c>
      <c r="J554" s="5" t="s">
        <v>100</v>
      </c>
      <c r="K554" s="5" t="s">
        <v>65</v>
      </c>
      <c r="L554" s="6" t="n">
        <v>39276</v>
      </c>
      <c r="M554" s="5" t="s">
        <v>1528</v>
      </c>
      <c r="N554" s="6" t="n">
        <v>29451</v>
      </c>
      <c r="O554" s="5" t="s">
        <v>332</v>
      </c>
      <c r="P554" s="5" t="s">
        <v>333</v>
      </c>
      <c r="Q554" s="5" t="s">
        <v>655</v>
      </c>
      <c r="R554" s="5" t="s">
        <v>1714</v>
      </c>
      <c r="S554" s="5" t="s">
        <v>697</v>
      </c>
      <c r="T554" s="6"/>
      <c r="U554" s="6" t="n">
        <v>44652</v>
      </c>
      <c r="V554" s="5" t="s">
        <v>141</v>
      </c>
      <c r="W554" s="5" t="s">
        <v>631</v>
      </c>
      <c r="X554" s="5" t="s">
        <v>141</v>
      </c>
      <c r="Y554" s="5" t="s">
        <v>631</v>
      </c>
      <c r="Z554" s="5" t="s">
        <v>631</v>
      </c>
      <c r="AA554" s="5" t="s">
        <v>2103</v>
      </c>
      <c r="AB554" s="0" t="n">
        <f aca="false">IFERROR(VALUE(R554),0)</f>
        <v>2.5</v>
      </c>
      <c r="AC554" s="0" t="n">
        <f aca="false">IFERROR(VALUE(M554),"")</f>
        <v>45.9</v>
      </c>
      <c r="AD554" s="0" t="n">
        <f aca="false">IFERROR(VALUE(Q554),"")</f>
        <v>18.1</v>
      </c>
      <c r="AE554" s="0" t="n">
        <f aca="false">IFERROR(VALUE(S554),"")</f>
        <v>21.3</v>
      </c>
      <c r="AF554" s="0" t="n">
        <f aca="false">IF(V554="","",VLOOKUP(V554,Assumptions!$B$6:$C$9,2,FALSE()))</f>
        <v>3</v>
      </c>
      <c r="AG554" s="0" t="n">
        <f aca="false">IF(W554="","",VLOOKUP(W554,Assumptions!$B$6:$C$9,2,FALSE()))</f>
        <v>2</v>
      </c>
      <c r="AH554" s="0" t="n">
        <f aca="false">IF(X554="","",VLOOKUP(X554,Assumptions!$B$6:$C$9,2,FALSE()))</f>
        <v>3</v>
      </c>
      <c r="AI554" s="0" t="n">
        <f aca="false">IF(Y554="","",VLOOKUP(Y554,Assumptions!$B$6:$C$9,2,FALSE()))</f>
        <v>2</v>
      </c>
      <c r="AJ554" s="0" t="n">
        <f aca="false">IF(Z554="","",VLOOKUP(Z554,Assumptions!$B$6:$C$9,2,FALSE()))</f>
        <v>2</v>
      </c>
      <c r="AK554" s="7" t="n">
        <f aca="false">IFERROR(ROUND(AVERAGE(AF554:AJ554),3),"")</f>
        <v>2.4</v>
      </c>
      <c r="AL554" s="7" t="n">
        <f aca="false">IF(OR(AF554="",AJ554=""),"",AJ554-AF554)</f>
        <v>-1</v>
      </c>
      <c r="AM554" s="7" t="n">
        <f aca="false">IF(COUNT(AF554:AJ554)&gt;=2,ROUND(_xlfn.STDEV.S(AF554:AJ554),3),"")</f>
        <v>0.548</v>
      </c>
      <c r="AN554" s="7" t="n">
        <f aca="false">ROUND((IF(AF554="",0,AF554)*Assumptions!$F$15)+(IF(AG554="",0,AG554)*Assumptions!$F$16)+(IF(AH554="",0,AH554)*Assumptions!$F$17)+(IF(AI554="",0,AI554)*Assumptions!$F$18)+(IF(AJ554="",0,AJ554)*Assumptions!$F$19),3)</f>
        <v>2.3</v>
      </c>
      <c r="AO554" s="0" t="str">
        <f aca="false">IF(AC554&lt;=20,"",IF(AC554&lt;=Assumptions!$F$6,"20-30",IF(AC554&lt;=Assumptions!$F$7,"30-40",IF(AC554&lt;=Assumptions!$F$8,"40-50",IF(AC554&lt;=Assumptions!$F$9,"50-60",IF(AC554&lt;=Assumptions!$F$10,"60+",""))))))</f>
        <v>40-50</v>
      </c>
      <c r="AP554" s="0" t="str">
        <f aca="false">IFERROR(VLOOKUP(O554,Assumptions!$B$14:$C$26,2,FALSE()),"Other")</f>
        <v>Manager</v>
      </c>
      <c r="AQ554" s="0" t="n">
        <f aca="false">IF(T554="",0,1)</f>
        <v>0</v>
      </c>
      <c r="AR554" s="0" t="n">
        <f aca="false">IF(U554="",0,1)</f>
        <v>1</v>
      </c>
      <c r="AS554" s="8" t="n">
        <f aca="false">IF(AK554="","",IF(MAX($AK$2:$AK$921)=MIN($AK$2:$AK$921),50,ROUND((AK554-MIN($AK$2:$AK$921))/(MAX($AK$2:$AK$921)-MIN($AK$2:$AK$921))*100,2)))</f>
        <v>31.42</v>
      </c>
      <c r="AT554" s="8" t="n">
        <f aca="false">IF(MAX($BC$2:$BC$921)=MIN($BC$2:$BC$921),50,ROUND((BC554-MIN($BC$2:$BC$921))/(MAX($BC$2:$BC$921)-MIN($BC$2:$BC$921))*100,2))</f>
        <v>25</v>
      </c>
      <c r="AU554" s="8" t="n">
        <f aca="false">IF(MAX($BE$2:$BE$921)=MIN($BE$2:$BE$921),50,ROUND((BE554-MIN($BE$2:$BE$921))/(MAX($BE$2:$BE$921)-MIN($BE$2:$BE$921))*100,2))</f>
        <v>68.36</v>
      </c>
      <c r="AV554" s="8" t="n">
        <f aca="false">IF(MAX($AD$2:$AD$921)=MIN($AD$2:$AD$921),50,ROUND((AD554-MIN($AD$2:$AD$921))/(MAX($AD$2:$AD$921)-MIN($AD$2:$AD$921))*100,2))</f>
        <v>48.9</v>
      </c>
      <c r="AW554" s="8" t="n">
        <f aca="false">IF(MAX($AN$2:$AN$921)=MIN($AN$2:$AN$921),50,ROUND((AN554-MIN($AN$2:$AN$921))/(MAX($AN$2:$AN$921)-MIN($AN$2:$AN$921))*100,2))</f>
        <v>57.5</v>
      </c>
      <c r="AX554" s="8" t="n">
        <f aca="false">AQ554*100</f>
        <v>0</v>
      </c>
      <c r="AY554" s="8" t="n">
        <f aca="false">AR554*100</f>
        <v>100</v>
      </c>
      <c r="AZ554" s="8" t="n">
        <f aca="false">IFERROR(ROUND(AS554*Assumptions!$I$6+AW554*Assumptions!$I$7+AT554*Assumptions!$I$8+AU554*Assumptions!$I$9+AV554*Assumptions!$I$10+AX554*Assumptions!$I$11+AY554*Assumptions!$I$12,2),"")</f>
        <v>44.82</v>
      </c>
      <c r="BA554" s="0" t="str">
        <f aca="false">IF(AZ554="","",IF(AZ554&lt;=Assumptions!$I$18,"Below Expectation",IF(AZ554&lt;=Assumptions!$I$19,"Developing",IF(AZ554&lt;=Assumptions!$I$20,"Meets Expectation",IF(AZ554&lt;=Assumptions!$I$21,"Exceeds","Star Performer")))))</f>
        <v>Developing</v>
      </c>
      <c r="BB554" s="0" t="n">
        <f aca="false">IF(AZ554="",0,IF(AZ554&gt;=Assumptions!$I$26,1,0))</f>
        <v>0</v>
      </c>
      <c r="BC554" s="9" t="n">
        <f aca="false">IF(AL554="",2,AL554+2)</f>
        <v>1</v>
      </c>
      <c r="BD554" s="10" t="n">
        <f aca="false">IF(AM554="",ROUND(AVERAGE($AM$2:$AM$921),3),AM554)</f>
        <v>0.548</v>
      </c>
      <c r="BE554" s="9" t="n">
        <f aca="false">1-BD554</f>
        <v>0.452</v>
      </c>
    </row>
    <row r="555" customFormat="false" ht="14.25" hidden="true" customHeight="false" outlineLevel="0" collapsed="false">
      <c r="A555" s="4" t="n">
        <v>120</v>
      </c>
      <c r="B555" s="5" t="n">
        <v>10037253</v>
      </c>
      <c r="C555" s="5" t="s">
        <v>85</v>
      </c>
      <c r="D555" s="5" t="s">
        <v>2104</v>
      </c>
      <c r="E555" s="5" t="s">
        <v>1459</v>
      </c>
      <c r="F555" s="5" t="s">
        <v>267</v>
      </c>
      <c r="G555" s="5" t="s">
        <v>268</v>
      </c>
      <c r="H555" s="5" t="s">
        <v>267</v>
      </c>
      <c r="I555" s="5" t="s">
        <v>63</v>
      </c>
      <c r="J555" s="5" t="s">
        <v>76</v>
      </c>
      <c r="K555" s="5" t="s">
        <v>65</v>
      </c>
      <c r="L555" s="6" t="n">
        <v>41400</v>
      </c>
      <c r="M555" s="5" t="s">
        <v>1271</v>
      </c>
      <c r="N555" s="6" t="n">
        <v>26982</v>
      </c>
      <c r="O555" s="5" t="s">
        <v>262</v>
      </c>
      <c r="P555" s="5" t="s">
        <v>263</v>
      </c>
      <c r="Q555" s="5" t="s">
        <v>762</v>
      </c>
      <c r="R555" s="5" t="s">
        <v>203</v>
      </c>
      <c r="S555" s="5" t="s">
        <v>232</v>
      </c>
      <c r="T555" s="6"/>
      <c r="U555" s="6" t="n">
        <v>45292</v>
      </c>
      <c r="V555" s="5" t="s">
        <v>631</v>
      </c>
      <c r="W555" s="5" t="s">
        <v>141</v>
      </c>
      <c r="X555" s="5" t="s">
        <v>631</v>
      </c>
      <c r="Y555" s="5" t="s">
        <v>631</v>
      </c>
      <c r="Z555" s="5" t="s">
        <v>631</v>
      </c>
      <c r="AA555" s="5" t="s">
        <v>2105</v>
      </c>
      <c r="AB555" s="0" t="n">
        <f aca="false">IFERROR(VALUE(R555),0)</f>
        <v>16</v>
      </c>
      <c r="AC555" s="0" t="n">
        <f aca="false">IFERROR(VALUE(M555),"")</f>
        <v>52.6</v>
      </c>
      <c r="AD555" s="0" t="n">
        <f aca="false">IFERROR(VALUE(Q555),"")</f>
        <v>13.1</v>
      </c>
      <c r="AE555" s="0" t="n">
        <f aca="false">IFERROR(VALUE(S555),"")</f>
        <v>29.1</v>
      </c>
      <c r="AF555" s="0" t="n">
        <f aca="false">IF(V555="","",VLOOKUP(V555,Assumptions!$B$6:$C$9,2,FALSE()))</f>
        <v>2</v>
      </c>
      <c r="AG555" s="0" t="n">
        <f aca="false">IF(W555="","",VLOOKUP(W555,Assumptions!$B$6:$C$9,2,FALSE()))</f>
        <v>3</v>
      </c>
      <c r="AH555" s="0" t="n">
        <f aca="false">IF(X555="","",VLOOKUP(X555,Assumptions!$B$6:$C$9,2,FALSE()))</f>
        <v>2</v>
      </c>
      <c r="AI555" s="0" t="n">
        <f aca="false">IF(Y555="","",VLOOKUP(Y555,Assumptions!$B$6:$C$9,2,FALSE()))</f>
        <v>2</v>
      </c>
      <c r="AJ555" s="0" t="n">
        <f aca="false">IF(Z555="","",VLOOKUP(Z555,Assumptions!$B$6:$C$9,2,FALSE()))</f>
        <v>2</v>
      </c>
      <c r="AK555" s="7" t="n">
        <f aca="false">IFERROR(ROUND(AVERAGE(AF555:AJ555),3),"")</f>
        <v>2.2</v>
      </c>
      <c r="AL555" s="7" t="n">
        <f aca="false">IF(OR(AF555="",AJ555=""),"",AJ555-AF555)</f>
        <v>0</v>
      </c>
      <c r="AM555" s="7" t="n">
        <f aca="false">IF(COUNT(AF555:AJ555)&gt;=2,ROUND(_xlfn.STDEV.S(AF555:AJ555),3),"")</f>
        <v>0.447</v>
      </c>
      <c r="AN555" s="7" t="n">
        <f aca="false">ROUND((IF(AF555="",0,AF555)*Assumptions!$F$15)+(IF(AG555="",0,AG555)*Assumptions!$F$16)+(IF(AH555="",0,AH555)*Assumptions!$F$17)+(IF(AI555="",0,AI555)*Assumptions!$F$18)+(IF(AJ555="",0,AJ555)*Assumptions!$F$19),3)</f>
        <v>2.15</v>
      </c>
      <c r="AO555" s="0" t="str">
        <f aca="false">IF(AC555&lt;=20,"",IF(AC555&lt;=Assumptions!$F$6,"20-30",IF(AC555&lt;=Assumptions!$F$7,"30-40",IF(AC555&lt;=Assumptions!$F$8,"40-50",IF(AC555&lt;=Assumptions!$F$9,"50-60",IF(AC555&lt;=Assumptions!$F$10,"60+",""))))))</f>
        <v>50-60</v>
      </c>
      <c r="AP555" s="0" t="str">
        <f aca="false">IFERROR(VLOOKUP(O555,Assumptions!$B$14:$C$26,2,FALSE()),"Other")</f>
        <v>Manager</v>
      </c>
      <c r="AQ555" s="0" t="n">
        <f aca="false">IF(T555="",0,1)</f>
        <v>0</v>
      </c>
      <c r="AR555" s="0" t="n">
        <f aca="false">IF(U555="",0,1)</f>
        <v>1</v>
      </c>
      <c r="AS555" s="8" t="n">
        <f aca="false">IF(AK555="","",IF(MAX($AK$2:$AK$921)=MIN($AK$2:$AK$921),50,ROUND((AK555-MIN($AK$2:$AK$921))/(MAX($AK$2:$AK$921)-MIN($AK$2:$AK$921))*100,2)))</f>
        <v>22.85</v>
      </c>
      <c r="AT555" s="8" t="n">
        <f aca="false">IF(MAX($BC$2:$BC$921)=MIN($BC$2:$BC$921),50,ROUND((BC555-MIN($BC$2:$BC$921))/(MAX($BC$2:$BC$921)-MIN($BC$2:$BC$921))*100,2))</f>
        <v>50</v>
      </c>
      <c r="AU555" s="8" t="n">
        <f aca="false">IF(MAX($BE$2:$BE$921)=MIN($BE$2:$BE$921),50,ROUND((BE555-MIN($BE$2:$BE$921))/(MAX($BE$2:$BE$921)-MIN($BE$2:$BE$921))*100,2))</f>
        <v>74.19</v>
      </c>
      <c r="AV555" s="8" t="n">
        <f aca="false">IF(MAX($AD$2:$AD$921)=MIN($AD$2:$AD$921),50,ROUND((AD555-MIN($AD$2:$AD$921))/(MAX($AD$2:$AD$921)-MIN($AD$2:$AD$921))*100,2))</f>
        <v>35.31</v>
      </c>
      <c r="AW555" s="8" t="n">
        <f aca="false">IF(MAX($AN$2:$AN$921)=MIN($AN$2:$AN$921),50,ROUND((AN555-MIN($AN$2:$AN$921))/(MAX($AN$2:$AN$921)-MIN($AN$2:$AN$921))*100,2))</f>
        <v>53.75</v>
      </c>
      <c r="AX555" s="8" t="n">
        <f aca="false">AQ555*100</f>
        <v>0</v>
      </c>
      <c r="AY555" s="8" t="n">
        <f aca="false">AR555*100</f>
        <v>100</v>
      </c>
      <c r="AZ555" s="8" t="n">
        <f aca="false">IFERROR(ROUND(AS555*Assumptions!$I$6+AW555*Assumptions!$I$7+AT555*Assumptions!$I$8+AU555*Assumptions!$I$9+AV555*Assumptions!$I$10+AX555*Assumptions!$I$11+AY555*Assumptions!$I$12,2),"")</f>
        <v>44.76</v>
      </c>
      <c r="BA555" s="0" t="str">
        <f aca="false">IF(AZ555="","",IF(AZ555&lt;=Assumptions!$I$18,"Below Expectation",IF(AZ555&lt;=Assumptions!$I$19,"Developing",IF(AZ555&lt;=Assumptions!$I$20,"Meets Expectation",IF(AZ555&lt;=Assumptions!$I$21,"Exceeds","Star Performer")))))</f>
        <v>Developing</v>
      </c>
      <c r="BB555" s="0" t="n">
        <f aca="false">IF(AZ555="",0,IF(AZ555&gt;=Assumptions!$I$26,1,0))</f>
        <v>0</v>
      </c>
      <c r="BC555" s="9" t="n">
        <f aca="false">IF(AL555="",2,AL555+2)</f>
        <v>2</v>
      </c>
      <c r="BD555" s="10" t="n">
        <f aca="false">IF(AM555="",ROUND(AVERAGE($AM$2:$AM$921),3),AM555)</f>
        <v>0.447</v>
      </c>
      <c r="BE555" s="9" t="n">
        <f aca="false">1-BD555</f>
        <v>0.553</v>
      </c>
    </row>
    <row r="556" customFormat="false" ht="14.25" hidden="true" customHeight="false" outlineLevel="0" collapsed="false">
      <c r="A556" s="4" t="n">
        <v>264</v>
      </c>
      <c r="B556" s="5" t="n">
        <v>10067089</v>
      </c>
      <c r="C556" s="5" t="s">
        <v>85</v>
      </c>
      <c r="D556" s="5" t="s">
        <v>2106</v>
      </c>
      <c r="E556" s="5" t="s">
        <v>751</v>
      </c>
      <c r="F556" s="5" t="s">
        <v>431</v>
      </c>
      <c r="G556" s="5" t="s">
        <v>430</v>
      </c>
      <c r="H556" s="5" t="s">
        <v>431</v>
      </c>
      <c r="I556" s="5" t="s">
        <v>63</v>
      </c>
      <c r="J556" s="5" t="s">
        <v>76</v>
      </c>
      <c r="K556" s="5" t="s">
        <v>65</v>
      </c>
      <c r="L556" s="6" t="n">
        <v>43500</v>
      </c>
      <c r="M556" s="5" t="s">
        <v>2107</v>
      </c>
      <c r="N556" s="6" t="n">
        <v>29553</v>
      </c>
      <c r="O556" s="5" t="s">
        <v>365</v>
      </c>
      <c r="P556" s="5" t="s">
        <v>365</v>
      </c>
      <c r="Q556" s="5" t="s">
        <v>656</v>
      </c>
      <c r="R556" s="5" t="s">
        <v>1396</v>
      </c>
      <c r="S556" s="5" t="s">
        <v>196</v>
      </c>
      <c r="T556" s="6"/>
      <c r="U556" s="6"/>
      <c r="V556" s="5" t="s">
        <v>631</v>
      </c>
      <c r="W556" s="5" t="s">
        <v>141</v>
      </c>
      <c r="X556" s="5" t="s">
        <v>141</v>
      </c>
      <c r="Y556" s="5" t="s">
        <v>141</v>
      </c>
      <c r="Z556" s="5" t="s">
        <v>631</v>
      </c>
      <c r="AA556" s="5" t="s">
        <v>2108</v>
      </c>
      <c r="AB556" s="0" t="n">
        <f aca="false">IFERROR(VALUE(R556),0)</f>
        <v>11.5</v>
      </c>
      <c r="AC556" s="0" t="n">
        <f aca="false">IFERROR(VALUE(M556),"")</f>
        <v>45.6</v>
      </c>
      <c r="AD556" s="0" t="n">
        <f aca="false">IFERROR(VALUE(Q556),"")</f>
        <v>7.4</v>
      </c>
      <c r="AE556" s="0" t="n">
        <f aca="false">IFERROR(VALUE(S556),"")</f>
        <v>18.9</v>
      </c>
      <c r="AF556" s="0" t="n">
        <f aca="false">IF(V556="","",VLOOKUP(V556,Assumptions!$B$6:$C$9,2,FALSE()))</f>
        <v>2</v>
      </c>
      <c r="AG556" s="0" t="n">
        <f aca="false">IF(W556="","",VLOOKUP(W556,Assumptions!$B$6:$C$9,2,FALSE()))</f>
        <v>3</v>
      </c>
      <c r="AH556" s="0" t="n">
        <f aca="false">IF(X556="","",VLOOKUP(X556,Assumptions!$B$6:$C$9,2,FALSE()))</f>
        <v>3</v>
      </c>
      <c r="AI556" s="0" t="n">
        <f aca="false">IF(Y556="","",VLOOKUP(Y556,Assumptions!$B$6:$C$9,2,FALSE()))</f>
        <v>3</v>
      </c>
      <c r="AJ556" s="0" t="n">
        <f aca="false">IF(Z556="","",VLOOKUP(Z556,Assumptions!$B$6:$C$9,2,FALSE()))</f>
        <v>2</v>
      </c>
      <c r="AK556" s="7" t="n">
        <f aca="false">IFERROR(ROUND(AVERAGE(AF556:AJ556),3),"")</f>
        <v>2.6</v>
      </c>
      <c r="AL556" s="7" t="n">
        <f aca="false">IF(OR(AF556="",AJ556=""),"",AJ556-AF556)</f>
        <v>0</v>
      </c>
      <c r="AM556" s="7" t="n">
        <f aca="false">IF(COUNT(AF556:AJ556)&gt;=2,ROUND(_xlfn.STDEV.S(AF556:AJ556),3),"")</f>
        <v>0.548</v>
      </c>
      <c r="AN556" s="7" t="n">
        <f aca="false">ROUND((IF(AF556="",0,AF556)*Assumptions!$F$15)+(IF(AG556="",0,AG556)*Assumptions!$F$16)+(IF(AH556="",0,AH556)*Assumptions!$F$17)+(IF(AI556="",0,AI556)*Assumptions!$F$18)+(IF(AJ556="",0,AJ556)*Assumptions!$F$19),3)</f>
        <v>2.6</v>
      </c>
      <c r="AO556" s="0" t="str">
        <f aca="false">IF(AC556&lt;=20,"",IF(AC556&lt;=Assumptions!$F$6,"20-30",IF(AC556&lt;=Assumptions!$F$7,"30-40",IF(AC556&lt;=Assumptions!$F$8,"40-50",IF(AC556&lt;=Assumptions!$F$9,"50-60",IF(AC556&lt;=Assumptions!$F$10,"60+",""))))))</f>
        <v>40-50</v>
      </c>
      <c r="AP556" s="0" t="str">
        <f aca="false">IFERROR(VLOOKUP(O556,Assumptions!$B$14:$C$26,2,FALSE()),"Other")</f>
        <v>Manager</v>
      </c>
      <c r="AQ556" s="0" t="n">
        <f aca="false">IF(T556="",0,1)</f>
        <v>0</v>
      </c>
      <c r="AR556" s="0" t="n">
        <f aca="false">IF(U556="",0,1)</f>
        <v>0</v>
      </c>
      <c r="AS556" s="8" t="n">
        <f aca="false">IF(AK556="","",IF(MAX($AK$2:$AK$921)=MIN($AK$2:$AK$921),50,ROUND((AK556-MIN($AK$2:$AK$921))/(MAX($AK$2:$AK$921)-MIN($AK$2:$AK$921))*100,2)))</f>
        <v>39.99</v>
      </c>
      <c r="AT556" s="8" t="n">
        <f aca="false">IF(MAX($BC$2:$BC$921)=MIN($BC$2:$BC$921),50,ROUND((BC556-MIN($BC$2:$BC$921))/(MAX($BC$2:$BC$921)-MIN($BC$2:$BC$921))*100,2))</f>
        <v>50</v>
      </c>
      <c r="AU556" s="8" t="n">
        <f aca="false">IF(MAX($BE$2:$BE$921)=MIN($BE$2:$BE$921),50,ROUND((BE556-MIN($BE$2:$BE$921))/(MAX($BE$2:$BE$921)-MIN($BE$2:$BE$921))*100,2))</f>
        <v>68.36</v>
      </c>
      <c r="AV556" s="8" t="n">
        <f aca="false">IF(MAX($AD$2:$AD$921)=MIN($AD$2:$AD$921),50,ROUND((AD556-MIN($AD$2:$AD$921))/(MAX($AD$2:$AD$921)-MIN($AD$2:$AD$921))*100,2))</f>
        <v>19.82</v>
      </c>
      <c r="AW556" s="8" t="n">
        <f aca="false">IF(MAX($AN$2:$AN$921)=MIN($AN$2:$AN$921),50,ROUND((AN556-MIN($AN$2:$AN$921))/(MAX($AN$2:$AN$921)-MIN($AN$2:$AN$921))*100,2))</f>
        <v>65</v>
      </c>
      <c r="AX556" s="8" t="n">
        <f aca="false">AQ556*100</f>
        <v>0</v>
      </c>
      <c r="AY556" s="8" t="n">
        <f aca="false">AR556*100</f>
        <v>0</v>
      </c>
      <c r="AZ556" s="8" t="n">
        <f aca="false">IFERROR(ROUND(AS556*Assumptions!$I$6+AW556*Assumptions!$I$7+AT556*Assumptions!$I$8+AU556*Assumptions!$I$9+AV556*Assumptions!$I$10+AX556*Assumptions!$I$11+AY556*Assumptions!$I$12,2),"")</f>
        <v>44.73</v>
      </c>
      <c r="BA556" s="0" t="str">
        <f aca="false">IF(AZ556="","",IF(AZ556&lt;=Assumptions!$I$18,"Below Expectation",IF(AZ556&lt;=Assumptions!$I$19,"Developing",IF(AZ556&lt;=Assumptions!$I$20,"Meets Expectation",IF(AZ556&lt;=Assumptions!$I$21,"Exceeds","Star Performer")))))</f>
        <v>Developing</v>
      </c>
      <c r="BB556" s="0" t="n">
        <f aca="false">IF(AZ556="",0,IF(AZ556&gt;=Assumptions!$I$26,1,0))</f>
        <v>0</v>
      </c>
      <c r="BC556" s="9" t="n">
        <f aca="false">IF(AL556="",2,AL556+2)</f>
        <v>2</v>
      </c>
      <c r="BD556" s="10" t="n">
        <f aca="false">IF(AM556="",ROUND(AVERAGE($AM$2:$AM$921),3),AM556)</f>
        <v>0.548</v>
      </c>
      <c r="BE556" s="9" t="n">
        <f aca="false">1-BD556</f>
        <v>0.452</v>
      </c>
    </row>
    <row r="557" customFormat="false" ht="14.25" hidden="true" customHeight="false" outlineLevel="0" collapsed="false">
      <c r="A557" s="4" t="n">
        <v>475</v>
      </c>
      <c r="B557" s="5" t="n">
        <v>55042278</v>
      </c>
      <c r="C557" s="5" t="s">
        <v>85</v>
      </c>
      <c r="D557" s="5" t="s">
        <v>2109</v>
      </c>
      <c r="E557" s="5" t="s">
        <v>2110</v>
      </c>
      <c r="F557" s="5" t="s">
        <v>380</v>
      </c>
      <c r="G557" s="5" t="s">
        <v>379</v>
      </c>
      <c r="H557" s="5" t="s">
        <v>380</v>
      </c>
      <c r="I557" s="5" t="s">
        <v>63</v>
      </c>
      <c r="J557" s="5" t="s">
        <v>76</v>
      </c>
      <c r="K557" s="5" t="s">
        <v>65</v>
      </c>
      <c r="L557" s="6" t="n">
        <v>44417</v>
      </c>
      <c r="M557" s="5" t="s">
        <v>1466</v>
      </c>
      <c r="N557" s="6" t="n">
        <v>33456</v>
      </c>
      <c r="O557" s="5" t="s">
        <v>332</v>
      </c>
      <c r="P557" s="5" t="s">
        <v>333</v>
      </c>
      <c r="Q557" s="5" t="s">
        <v>1297</v>
      </c>
      <c r="R557" s="5" t="s">
        <v>843</v>
      </c>
      <c r="S557" s="5" t="s">
        <v>1359</v>
      </c>
      <c r="T557" s="6"/>
      <c r="U557" s="6"/>
      <c r="V557" s="5" t="s">
        <v>631</v>
      </c>
      <c r="W557" s="5" t="s">
        <v>631</v>
      </c>
      <c r="X557" s="5" t="s">
        <v>141</v>
      </c>
      <c r="Y557" s="5" t="s">
        <v>631</v>
      </c>
      <c r="Z557" s="5" t="s">
        <v>141</v>
      </c>
      <c r="AA557" s="5" t="s">
        <v>2111</v>
      </c>
      <c r="AB557" s="0" t="n">
        <f aca="false">IFERROR(VALUE(R557),0)</f>
        <v>8.7</v>
      </c>
      <c r="AC557" s="0" t="n">
        <f aca="false">IFERROR(VALUE(M557),"")</f>
        <v>34.1</v>
      </c>
      <c r="AD557" s="0" t="n">
        <f aca="false">IFERROR(VALUE(Q557),"")</f>
        <v>4.9</v>
      </c>
      <c r="AE557" s="0" t="n">
        <f aca="false">IFERROR(VALUE(S557),"")</f>
        <v>13.4</v>
      </c>
      <c r="AF557" s="0" t="n">
        <f aca="false">IF(V557="","",VLOOKUP(V557,Assumptions!$B$6:$C$9,2,FALSE()))</f>
        <v>2</v>
      </c>
      <c r="AG557" s="0" t="n">
        <f aca="false">IF(W557="","",VLOOKUP(W557,Assumptions!$B$6:$C$9,2,FALSE()))</f>
        <v>2</v>
      </c>
      <c r="AH557" s="0" t="n">
        <f aca="false">IF(X557="","",VLOOKUP(X557,Assumptions!$B$6:$C$9,2,FALSE()))</f>
        <v>3</v>
      </c>
      <c r="AI557" s="0" t="n">
        <f aca="false">IF(Y557="","",VLOOKUP(Y557,Assumptions!$B$6:$C$9,2,FALSE()))</f>
        <v>2</v>
      </c>
      <c r="AJ557" s="0" t="n">
        <f aca="false">IF(Z557="","",VLOOKUP(Z557,Assumptions!$B$6:$C$9,2,FALSE()))</f>
        <v>3</v>
      </c>
      <c r="AK557" s="7" t="n">
        <f aca="false">IFERROR(ROUND(AVERAGE(AF557:AJ557),3),"")</f>
        <v>2.4</v>
      </c>
      <c r="AL557" s="7" t="n">
        <f aca="false">IF(OR(AF557="",AJ557=""),"",AJ557-AF557)</f>
        <v>1</v>
      </c>
      <c r="AM557" s="7" t="n">
        <f aca="false">IF(COUNT(AF557:AJ557)&gt;=2,ROUND(_xlfn.STDEV.S(AF557:AJ557),3),"")</f>
        <v>0.548</v>
      </c>
      <c r="AN557" s="7" t="n">
        <f aca="false">ROUND((IF(AF557="",0,AF557)*Assumptions!$F$15)+(IF(AG557="",0,AG557)*Assumptions!$F$16)+(IF(AH557="",0,AH557)*Assumptions!$F$17)+(IF(AI557="",0,AI557)*Assumptions!$F$18)+(IF(AJ557="",0,AJ557)*Assumptions!$F$19),3)</f>
        <v>2.5</v>
      </c>
      <c r="AO557" s="0" t="str">
        <f aca="false">IF(AC557&lt;=20,"",IF(AC557&lt;=Assumptions!$F$6,"20-30",IF(AC557&lt;=Assumptions!$F$7,"30-40",IF(AC557&lt;=Assumptions!$F$8,"40-50",IF(AC557&lt;=Assumptions!$F$9,"50-60",IF(AC557&lt;=Assumptions!$F$10,"60+",""))))))</f>
        <v>30-40</v>
      </c>
      <c r="AP557" s="0" t="str">
        <f aca="false">IFERROR(VLOOKUP(O557,Assumptions!$B$14:$C$26,2,FALSE()),"Other")</f>
        <v>Manager</v>
      </c>
      <c r="AQ557" s="0" t="n">
        <f aca="false">IF(T557="",0,1)</f>
        <v>0</v>
      </c>
      <c r="AR557" s="0" t="n">
        <f aca="false">IF(U557="",0,1)</f>
        <v>0</v>
      </c>
      <c r="AS557" s="8" t="n">
        <f aca="false">IF(AK557="","",IF(MAX($AK$2:$AK$921)=MIN($AK$2:$AK$921),50,ROUND((AK557-MIN($AK$2:$AK$921))/(MAX($AK$2:$AK$921)-MIN($AK$2:$AK$921))*100,2)))</f>
        <v>31.42</v>
      </c>
      <c r="AT557" s="8" t="n">
        <f aca="false">IF(MAX($BC$2:$BC$921)=MIN($BC$2:$BC$921),50,ROUND((BC557-MIN($BC$2:$BC$921))/(MAX($BC$2:$BC$921)-MIN($BC$2:$BC$921))*100,2))</f>
        <v>75</v>
      </c>
      <c r="AU557" s="8" t="n">
        <f aca="false">IF(MAX($BE$2:$BE$921)=MIN($BE$2:$BE$921),50,ROUND((BE557-MIN($BE$2:$BE$921))/(MAX($BE$2:$BE$921)-MIN($BE$2:$BE$921))*100,2))</f>
        <v>68.36</v>
      </c>
      <c r="AV557" s="8" t="n">
        <f aca="false">IF(MAX($AD$2:$AD$921)=MIN($AD$2:$AD$921),50,ROUND((AD557-MIN($AD$2:$AD$921))/(MAX($AD$2:$AD$921)-MIN($AD$2:$AD$921))*100,2))</f>
        <v>13.02</v>
      </c>
      <c r="AW557" s="8" t="n">
        <f aca="false">IF(MAX($AN$2:$AN$921)=MIN($AN$2:$AN$921),50,ROUND((AN557-MIN($AN$2:$AN$921))/(MAX($AN$2:$AN$921)-MIN($AN$2:$AN$921))*100,2))</f>
        <v>62.5</v>
      </c>
      <c r="AX557" s="8" t="n">
        <f aca="false">AQ557*100</f>
        <v>0</v>
      </c>
      <c r="AY557" s="8" t="n">
        <f aca="false">AR557*100</f>
        <v>0</v>
      </c>
      <c r="AZ557" s="8" t="n">
        <f aca="false">IFERROR(ROUND(AS557*Assumptions!$I$6+AW557*Assumptions!$I$7+AT557*Assumptions!$I$8+AU557*Assumptions!$I$9+AV557*Assumptions!$I$10+AX557*Assumptions!$I$11+AY557*Assumptions!$I$12,2),"")</f>
        <v>44.73</v>
      </c>
      <c r="BA557" s="0" t="str">
        <f aca="false">IF(AZ557="","",IF(AZ557&lt;=Assumptions!$I$18,"Below Expectation",IF(AZ557&lt;=Assumptions!$I$19,"Developing",IF(AZ557&lt;=Assumptions!$I$20,"Meets Expectation",IF(AZ557&lt;=Assumptions!$I$21,"Exceeds","Star Performer")))))</f>
        <v>Developing</v>
      </c>
      <c r="BB557" s="0" t="n">
        <f aca="false">IF(AZ557="",0,IF(AZ557&gt;=Assumptions!$I$26,1,0))</f>
        <v>0</v>
      </c>
      <c r="BC557" s="9" t="n">
        <f aca="false">IF(AL557="",2,AL557+2)</f>
        <v>3</v>
      </c>
      <c r="BD557" s="10" t="n">
        <f aca="false">IF(AM557="",ROUND(AVERAGE($AM$2:$AM$921),3),AM557)</f>
        <v>0.548</v>
      </c>
      <c r="BE557" s="9" t="n">
        <f aca="false">1-BD557</f>
        <v>0.452</v>
      </c>
    </row>
    <row r="558" customFormat="false" ht="14.25" hidden="true" customHeight="false" outlineLevel="0" collapsed="false">
      <c r="A558" s="4" t="n">
        <v>310</v>
      </c>
      <c r="B558" s="5" t="n">
        <v>10072187</v>
      </c>
      <c r="C558" s="5" t="s">
        <v>57</v>
      </c>
      <c r="D558" s="5" t="s">
        <v>2112</v>
      </c>
      <c r="E558" s="5" t="s">
        <v>456</v>
      </c>
      <c r="F558" s="5" t="s">
        <v>608</v>
      </c>
      <c r="G558" s="5" t="s">
        <v>609</v>
      </c>
      <c r="H558" s="5" t="s">
        <v>608</v>
      </c>
      <c r="I558" s="5" t="s">
        <v>63</v>
      </c>
      <c r="J558" s="5" t="s">
        <v>100</v>
      </c>
      <c r="K558" s="5" t="s">
        <v>65</v>
      </c>
      <c r="L558" s="6" t="n">
        <v>43899</v>
      </c>
      <c r="M558" s="5" t="s">
        <v>780</v>
      </c>
      <c r="N558" s="6" t="n">
        <v>33931</v>
      </c>
      <c r="O558" s="5" t="s">
        <v>365</v>
      </c>
      <c r="P558" s="5" t="s">
        <v>365</v>
      </c>
      <c r="Q558" s="5" t="s">
        <v>1286</v>
      </c>
      <c r="R558" s="5" t="s">
        <v>352</v>
      </c>
      <c r="S558" s="5" t="s">
        <v>1188</v>
      </c>
      <c r="T558" s="6"/>
      <c r="U558" s="6"/>
      <c r="V558" s="5" t="s">
        <v>141</v>
      </c>
      <c r="W558" s="5" t="s">
        <v>141</v>
      </c>
      <c r="X558" s="5" t="s">
        <v>141</v>
      </c>
      <c r="Y558" s="5" t="s">
        <v>141</v>
      </c>
      <c r="Z558" s="5" t="s">
        <v>631</v>
      </c>
      <c r="AA558" s="5" t="s">
        <v>2113</v>
      </c>
      <c r="AB558" s="0" t="n">
        <f aca="false">IFERROR(VALUE(R558),0)</f>
        <v>4.6</v>
      </c>
      <c r="AC558" s="0" t="n">
        <f aca="false">IFERROR(VALUE(M558),"")</f>
        <v>33.6</v>
      </c>
      <c r="AD558" s="0" t="n">
        <f aca="false">IFERROR(VALUE(Q558),"")</f>
        <v>6.2</v>
      </c>
      <c r="AE558" s="0" t="n">
        <f aca="false">IFERROR(VALUE(S558),"")</f>
        <v>10.8</v>
      </c>
      <c r="AF558" s="0" t="n">
        <f aca="false">IF(V558="","",VLOOKUP(V558,Assumptions!$B$6:$C$9,2,FALSE()))</f>
        <v>3</v>
      </c>
      <c r="AG558" s="0" t="n">
        <f aca="false">IF(W558="","",VLOOKUP(W558,Assumptions!$B$6:$C$9,2,FALSE()))</f>
        <v>3</v>
      </c>
      <c r="AH558" s="0" t="n">
        <f aca="false">IF(X558="","",VLOOKUP(X558,Assumptions!$B$6:$C$9,2,FALSE()))</f>
        <v>3</v>
      </c>
      <c r="AI558" s="0" t="n">
        <f aca="false">IF(Y558="","",VLOOKUP(Y558,Assumptions!$B$6:$C$9,2,FALSE()))</f>
        <v>3</v>
      </c>
      <c r="AJ558" s="0" t="n">
        <f aca="false">IF(Z558="","",VLOOKUP(Z558,Assumptions!$B$6:$C$9,2,FALSE()))</f>
        <v>2</v>
      </c>
      <c r="AK558" s="7" t="n">
        <f aca="false">IFERROR(ROUND(AVERAGE(AF558:AJ558),3),"")</f>
        <v>2.8</v>
      </c>
      <c r="AL558" s="7" t="n">
        <f aca="false">IF(OR(AF558="",AJ558=""),"",AJ558-AF558)</f>
        <v>-1</v>
      </c>
      <c r="AM558" s="7" t="n">
        <f aca="false">IF(COUNT(AF558:AJ558)&gt;=2,ROUND(_xlfn.STDEV.S(AF558:AJ558),3),"")</f>
        <v>0.447</v>
      </c>
      <c r="AN558" s="7" t="n">
        <f aca="false">ROUND((IF(AF558="",0,AF558)*Assumptions!$F$15)+(IF(AG558="",0,AG558)*Assumptions!$F$16)+(IF(AH558="",0,AH558)*Assumptions!$F$17)+(IF(AI558="",0,AI558)*Assumptions!$F$18)+(IF(AJ558="",0,AJ558)*Assumptions!$F$19),3)</f>
        <v>2.7</v>
      </c>
      <c r="AO558" s="0" t="str">
        <f aca="false">IF(AC558&lt;=20,"",IF(AC558&lt;=Assumptions!$F$6,"20-30",IF(AC558&lt;=Assumptions!$F$7,"30-40",IF(AC558&lt;=Assumptions!$F$8,"40-50",IF(AC558&lt;=Assumptions!$F$9,"50-60",IF(AC558&lt;=Assumptions!$F$10,"60+",""))))))</f>
        <v>30-40</v>
      </c>
      <c r="AP558" s="0" t="str">
        <f aca="false">IFERROR(VLOOKUP(O558,Assumptions!$B$14:$C$26,2,FALSE()),"Other")</f>
        <v>Manager</v>
      </c>
      <c r="AQ558" s="0" t="n">
        <f aca="false">IF(T558="",0,1)</f>
        <v>0</v>
      </c>
      <c r="AR558" s="0" t="n">
        <f aca="false">IF(U558="",0,1)</f>
        <v>0</v>
      </c>
      <c r="AS558" s="8" t="n">
        <f aca="false">IF(AK558="","",IF(MAX($AK$2:$AK$921)=MIN($AK$2:$AK$921),50,ROUND((AK558-MIN($AK$2:$AK$921))/(MAX($AK$2:$AK$921)-MIN($AK$2:$AK$921))*100,2)))</f>
        <v>48.56</v>
      </c>
      <c r="AT558" s="8" t="n">
        <f aca="false">IF(MAX($BC$2:$BC$921)=MIN($BC$2:$BC$921),50,ROUND((BC558-MIN($BC$2:$BC$921))/(MAX($BC$2:$BC$921)-MIN($BC$2:$BC$921))*100,2))</f>
        <v>25</v>
      </c>
      <c r="AU558" s="8" t="n">
        <f aca="false">IF(MAX($BE$2:$BE$921)=MIN($BE$2:$BE$921),50,ROUND((BE558-MIN($BE$2:$BE$921))/(MAX($BE$2:$BE$921)-MIN($BE$2:$BE$921))*100,2))</f>
        <v>74.19</v>
      </c>
      <c r="AV558" s="8" t="n">
        <f aca="false">IF(MAX($AD$2:$AD$921)=MIN($AD$2:$AD$921),50,ROUND((AD558-MIN($AD$2:$AD$921))/(MAX($AD$2:$AD$921)-MIN($AD$2:$AD$921))*100,2))</f>
        <v>16.55</v>
      </c>
      <c r="AW558" s="8" t="n">
        <f aca="false">IF(MAX($AN$2:$AN$921)=MIN($AN$2:$AN$921),50,ROUND((AN558-MIN($AN$2:$AN$921))/(MAX($AN$2:$AN$921)-MIN($AN$2:$AN$921))*100,2))</f>
        <v>67.5</v>
      </c>
      <c r="AX558" s="8" t="n">
        <f aca="false">AQ558*100</f>
        <v>0</v>
      </c>
      <c r="AY558" s="8" t="n">
        <f aca="false">AR558*100</f>
        <v>0</v>
      </c>
      <c r="AZ558" s="8" t="n">
        <f aca="false">IFERROR(ROUND(AS558*Assumptions!$I$6+AW558*Assumptions!$I$7+AT558*Assumptions!$I$8+AU558*Assumptions!$I$9+AV558*Assumptions!$I$10+AX558*Assumptions!$I$11+AY558*Assumptions!$I$12,2),"")</f>
        <v>44.6</v>
      </c>
      <c r="BA558" s="0" t="str">
        <f aca="false">IF(AZ558="","",IF(AZ558&lt;=Assumptions!$I$18,"Below Expectation",IF(AZ558&lt;=Assumptions!$I$19,"Developing",IF(AZ558&lt;=Assumptions!$I$20,"Meets Expectation",IF(AZ558&lt;=Assumptions!$I$21,"Exceeds","Star Performer")))))</f>
        <v>Developing</v>
      </c>
      <c r="BB558" s="0" t="n">
        <f aca="false">IF(AZ558="",0,IF(AZ558&gt;=Assumptions!$I$26,1,0))</f>
        <v>0</v>
      </c>
      <c r="BC558" s="9" t="n">
        <f aca="false">IF(AL558="",2,AL558+2)</f>
        <v>1</v>
      </c>
      <c r="BD558" s="10" t="n">
        <f aca="false">IF(AM558="",ROUND(AVERAGE($AM$2:$AM$921),3),AM558)</f>
        <v>0.447</v>
      </c>
      <c r="BE558" s="9" t="n">
        <f aca="false">1-BD558</f>
        <v>0.553</v>
      </c>
    </row>
    <row r="559" customFormat="false" ht="14.25" hidden="true" customHeight="false" outlineLevel="0" collapsed="false">
      <c r="A559" s="4" t="n">
        <v>254</v>
      </c>
      <c r="B559" s="5" t="n">
        <v>10066250</v>
      </c>
      <c r="C559" s="5" t="s">
        <v>85</v>
      </c>
      <c r="D559" s="5" t="s">
        <v>2114</v>
      </c>
      <c r="E559" s="5" t="s">
        <v>775</v>
      </c>
      <c r="F559" s="5" t="s">
        <v>358</v>
      </c>
      <c r="G559" s="5" t="s">
        <v>357</v>
      </c>
      <c r="H559" s="5" t="s">
        <v>358</v>
      </c>
      <c r="I559" s="5" t="s">
        <v>63</v>
      </c>
      <c r="J559" s="5" t="s">
        <v>76</v>
      </c>
      <c r="K559" s="5" t="s">
        <v>65</v>
      </c>
      <c r="L559" s="6" t="n">
        <v>43423</v>
      </c>
      <c r="M559" s="5" t="s">
        <v>2115</v>
      </c>
      <c r="N559" s="6" t="n">
        <v>34222</v>
      </c>
      <c r="O559" s="5" t="s">
        <v>365</v>
      </c>
      <c r="P559" s="5" t="s">
        <v>365</v>
      </c>
      <c r="Q559" s="5" t="s">
        <v>807</v>
      </c>
      <c r="R559" s="5" t="s">
        <v>1042</v>
      </c>
      <c r="S559" s="5" t="s">
        <v>790</v>
      </c>
      <c r="T559" s="6"/>
      <c r="U559" s="6"/>
      <c r="V559" s="5" t="s">
        <v>141</v>
      </c>
      <c r="W559" s="5" t="s">
        <v>141</v>
      </c>
      <c r="X559" s="5" t="s">
        <v>631</v>
      </c>
      <c r="Y559" s="5" t="s">
        <v>631</v>
      </c>
      <c r="Z559" s="5" t="s">
        <v>141</v>
      </c>
      <c r="AA559" s="5" t="s">
        <v>2116</v>
      </c>
      <c r="AB559" s="0" t="n">
        <f aca="false">IFERROR(VALUE(R559),0)</f>
        <v>3.3</v>
      </c>
      <c r="AC559" s="0" t="n">
        <f aca="false">IFERROR(VALUE(M559),"")</f>
        <v>32.8</v>
      </c>
      <c r="AD559" s="0" t="n">
        <f aca="false">IFERROR(VALUE(Q559),"")</f>
        <v>7.6</v>
      </c>
      <c r="AE559" s="0" t="n">
        <f aca="false">IFERROR(VALUE(S559),"")</f>
        <v>10.9</v>
      </c>
      <c r="AF559" s="0" t="n">
        <f aca="false">IF(V559="","",VLOOKUP(V559,Assumptions!$B$6:$C$9,2,FALSE()))</f>
        <v>3</v>
      </c>
      <c r="AG559" s="0" t="n">
        <f aca="false">IF(W559="","",VLOOKUP(W559,Assumptions!$B$6:$C$9,2,FALSE()))</f>
        <v>3</v>
      </c>
      <c r="AH559" s="0" t="n">
        <f aca="false">IF(X559="","",VLOOKUP(X559,Assumptions!$B$6:$C$9,2,FALSE()))</f>
        <v>2</v>
      </c>
      <c r="AI559" s="0" t="n">
        <f aca="false">IF(Y559="","",VLOOKUP(Y559,Assumptions!$B$6:$C$9,2,FALSE()))</f>
        <v>2</v>
      </c>
      <c r="AJ559" s="0" t="n">
        <f aca="false">IF(Z559="","",VLOOKUP(Z559,Assumptions!$B$6:$C$9,2,FALSE()))</f>
        <v>3</v>
      </c>
      <c r="AK559" s="7" t="n">
        <f aca="false">IFERROR(ROUND(AVERAGE(AF559:AJ559),3),"")</f>
        <v>2.6</v>
      </c>
      <c r="AL559" s="7" t="n">
        <f aca="false">IF(OR(AF559="",AJ559=""),"",AJ559-AF559)</f>
        <v>0</v>
      </c>
      <c r="AM559" s="7" t="n">
        <f aca="false">IF(COUNT(AF559:AJ559)&gt;=2,ROUND(_xlfn.STDEV.S(AF559:AJ559),3),"")</f>
        <v>0.548</v>
      </c>
      <c r="AN559" s="7" t="n">
        <f aca="false">ROUND((IF(AF559="",0,AF559)*Assumptions!$F$15)+(IF(AG559="",0,AG559)*Assumptions!$F$16)+(IF(AH559="",0,AH559)*Assumptions!$F$17)+(IF(AI559="",0,AI559)*Assumptions!$F$18)+(IF(AJ559="",0,AJ559)*Assumptions!$F$19),3)</f>
        <v>2.55</v>
      </c>
      <c r="AO559" s="0" t="str">
        <f aca="false">IF(AC559&lt;=20,"",IF(AC559&lt;=Assumptions!$F$6,"20-30",IF(AC559&lt;=Assumptions!$F$7,"30-40",IF(AC559&lt;=Assumptions!$F$8,"40-50",IF(AC559&lt;=Assumptions!$F$9,"50-60",IF(AC559&lt;=Assumptions!$F$10,"60+",""))))))</f>
        <v>30-40</v>
      </c>
      <c r="AP559" s="0" t="str">
        <f aca="false">IFERROR(VLOOKUP(O559,Assumptions!$B$14:$C$26,2,FALSE()),"Other")</f>
        <v>Manager</v>
      </c>
      <c r="AQ559" s="0" t="n">
        <f aca="false">IF(T559="",0,1)</f>
        <v>0</v>
      </c>
      <c r="AR559" s="0" t="n">
        <f aca="false">IF(U559="",0,1)</f>
        <v>0</v>
      </c>
      <c r="AS559" s="8" t="n">
        <f aca="false">IF(AK559="","",IF(MAX($AK$2:$AK$921)=MIN($AK$2:$AK$921),50,ROUND((AK559-MIN($AK$2:$AK$921))/(MAX($AK$2:$AK$921)-MIN($AK$2:$AK$921))*100,2)))</f>
        <v>39.99</v>
      </c>
      <c r="AT559" s="8" t="n">
        <f aca="false">IF(MAX($BC$2:$BC$921)=MIN($BC$2:$BC$921),50,ROUND((BC559-MIN($BC$2:$BC$921))/(MAX($BC$2:$BC$921)-MIN($BC$2:$BC$921))*100,2))</f>
        <v>50</v>
      </c>
      <c r="AU559" s="8" t="n">
        <f aca="false">IF(MAX($BE$2:$BE$921)=MIN($BE$2:$BE$921),50,ROUND((BE559-MIN($BE$2:$BE$921))/(MAX($BE$2:$BE$921)-MIN($BE$2:$BE$921))*100,2))</f>
        <v>68.36</v>
      </c>
      <c r="AV559" s="8" t="n">
        <f aca="false">IF(MAX($AD$2:$AD$921)=MIN($AD$2:$AD$921),50,ROUND((AD559-MIN($AD$2:$AD$921))/(MAX($AD$2:$AD$921)-MIN($AD$2:$AD$921))*100,2))</f>
        <v>20.36</v>
      </c>
      <c r="AW559" s="8" t="n">
        <f aca="false">IF(MAX($AN$2:$AN$921)=MIN($AN$2:$AN$921),50,ROUND((AN559-MIN($AN$2:$AN$921))/(MAX($AN$2:$AN$921)-MIN($AN$2:$AN$921))*100,2))</f>
        <v>63.75</v>
      </c>
      <c r="AX559" s="8" t="n">
        <f aca="false">AQ559*100</f>
        <v>0</v>
      </c>
      <c r="AY559" s="8" t="n">
        <f aca="false">AR559*100</f>
        <v>0</v>
      </c>
      <c r="AZ559" s="8" t="n">
        <f aca="false">IFERROR(ROUND(AS559*Assumptions!$I$6+AW559*Assumptions!$I$7+AT559*Assumptions!$I$8+AU559*Assumptions!$I$9+AV559*Assumptions!$I$10+AX559*Assumptions!$I$11+AY559*Assumptions!$I$12,2),"")</f>
        <v>44.54</v>
      </c>
      <c r="BA559" s="0" t="str">
        <f aca="false">IF(AZ559="","",IF(AZ559&lt;=Assumptions!$I$18,"Below Expectation",IF(AZ559&lt;=Assumptions!$I$19,"Developing",IF(AZ559&lt;=Assumptions!$I$20,"Meets Expectation",IF(AZ559&lt;=Assumptions!$I$21,"Exceeds","Star Performer")))))</f>
        <v>Developing</v>
      </c>
      <c r="BB559" s="0" t="n">
        <f aca="false">IF(AZ559="",0,IF(AZ559&gt;=Assumptions!$I$26,1,0))</f>
        <v>0</v>
      </c>
      <c r="BC559" s="9" t="n">
        <f aca="false">IF(AL559="",2,AL559+2)</f>
        <v>2</v>
      </c>
      <c r="BD559" s="10" t="n">
        <f aca="false">IF(AM559="",ROUND(AVERAGE($AM$2:$AM$921),3),AM559)</f>
        <v>0.548</v>
      </c>
      <c r="BE559" s="9" t="n">
        <f aca="false">1-BD559</f>
        <v>0.452</v>
      </c>
    </row>
    <row r="560" customFormat="false" ht="14.25" hidden="true" customHeight="false" outlineLevel="0" collapsed="false">
      <c r="A560" s="4" t="n">
        <v>308</v>
      </c>
      <c r="B560" s="5" t="n">
        <v>10072110</v>
      </c>
      <c r="C560" s="5" t="s">
        <v>57</v>
      </c>
      <c r="D560" s="5" t="s">
        <v>2117</v>
      </c>
      <c r="E560" s="5" t="s">
        <v>208</v>
      </c>
      <c r="F560" s="5" t="s">
        <v>608</v>
      </c>
      <c r="G560" s="5" t="s">
        <v>609</v>
      </c>
      <c r="H560" s="5" t="s">
        <v>608</v>
      </c>
      <c r="I560" s="5" t="s">
        <v>63</v>
      </c>
      <c r="J560" s="5" t="s">
        <v>100</v>
      </c>
      <c r="K560" s="5" t="s">
        <v>65</v>
      </c>
      <c r="L560" s="6" t="n">
        <v>43892</v>
      </c>
      <c r="M560" s="5" t="s">
        <v>466</v>
      </c>
      <c r="N560" s="6" t="n">
        <v>33997</v>
      </c>
      <c r="O560" s="5" t="s">
        <v>365</v>
      </c>
      <c r="P560" s="5" t="s">
        <v>365</v>
      </c>
      <c r="Q560" s="5" t="s">
        <v>495</v>
      </c>
      <c r="R560" s="5" t="s">
        <v>491</v>
      </c>
      <c r="S560" s="5" t="s">
        <v>391</v>
      </c>
      <c r="T560" s="6"/>
      <c r="U560" s="6"/>
      <c r="V560" s="5" t="s">
        <v>141</v>
      </c>
      <c r="W560" s="5" t="s">
        <v>631</v>
      </c>
      <c r="X560" s="5" t="s">
        <v>141</v>
      </c>
      <c r="Y560" s="5" t="s">
        <v>631</v>
      </c>
      <c r="Z560" s="5" t="s">
        <v>141</v>
      </c>
      <c r="AA560" s="5" t="s">
        <v>2118</v>
      </c>
      <c r="AB560" s="0" t="n">
        <f aca="false">IFERROR(VALUE(R560),0)</f>
        <v>4.7</v>
      </c>
      <c r="AC560" s="0" t="n">
        <f aca="false">IFERROR(VALUE(M560),"")</f>
        <v>33.4</v>
      </c>
      <c r="AD560" s="0" t="n">
        <f aca="false">IFERROR(VALUE(Q560),"")</f>
        <v>6.3</v>
      </c>
      <c r="AE560" s="0" t="n">
        <f aca="false">IFERROR(VALUE(S560),"")</f>
        <v>10.1</v>
      </c>
      <c r="AF560" s="0" t="n">
        <f aca="false">IF(V560="","",VLOOKUP(V560,Assumptions!$B$6:$C$9,2,FALSE()))</f>
        <v>3</v>
      </c>
      <c r="AG560" s="0" t="n">
        <f aca="false">IF(W560="","",VLOOKUP(W560,Assumptions!$B$6:$C$9,2,FALSE()))</f>
        <v>2</v>
      </c>
      <c r="AH560" s="0" t="n">
        <f aca="false">IF(X560="","",VLOOKUP(X560,Assumptions!$B$6:$C$9,2,FALSE()))</f>
        <v>3</v>
      </c>
      <c r="AI560" s="0" t="n">
        <f aca="false">IF(Y560="","",VLOOKUP(Y560,Assumptions!$B$6:$C$9,2,FALSE()))</f>
        <v>2</v>
      </c>
      <c r="AJ560" s="0" t="n">
        <f aca="false">IF(Z560="","",VLOOKUP(Z560,Assumptions!$B$6:$C$9,2,FALSE()))</f>
        <v>3</v>
      </c>
      <c r="AK560" s="7" t="n">
        <f aca="false">IFERROR(ROUND(AVERAGE(AF560:AJ560),3),"")</f>
        <v>2.6</v>
      </c>
      <c r="AL560" s="7" t="n">
        <f aca="false">IF(OR(AF560="",AJ560=""),"",AJ560-AF560)</f>
        <v>0</v>
      </c>
      <c r="AM560" s="7" t="n">
        <f aca="false">IF(COUNT(AF560:AJ560)&gt;=2,ROUND(_xlfn.STDEV.S(AF560:AJ560),3),"")</f>
        <v>0.548</v>
      </c>
      <c r="AN560" s="7" t="n">
        <f aca="false">ROUND((IF(AF560="",0,AF560)*Assumptions!$F$15)+(IF(AG560="",0,AG560)*Assumptions!$F$16)+(IF(AH560="",0,AH560)*Assumptions!$F$17)+(IF(AI560="",0,AI560)*Assumptions!$F$18)+(IF(AJ560="",0,AJ560)*Assumptions!$F$19),3)</f>
        <v>2.6</v>
      </c>
      <c r="AO560" s="0" t="str">
        <f aca="false">IF(AC560&lt;=20,"",IF(AC560&lt;=Assumptions!$F$6,"20-30",IF(AC560&lt;=Assumptions!$F$7,"30-40",IF(AC560&lt;=Assumptions!$F$8,"40-50",IF(AC560&lt;=Assumptions!$F$9,"50-60",IF(AC560&lt;=Assumptions!$F$10,"60+",""))))))</f>
        <v>30-40</v>
      </c>
      <c r="AP560" s="0" t="str">
        <f aca="false">IFERROR(VLOOKUP(O560,Assumptions!$B$14:$C$26,2,FALSE()),"Other")</f>
        <v>Manager</v>
      </c>
      <c r="AQ560" s="0" t="n">
        <f aca="false">IF(T560="",0,1)</f>
        <v>0</v>
      </c>
      <c r="AR560" s="0" t="n">
        <f aca="false">IF(U560="",0,1)</f>
        <v>0</v>
      </c>
      <c r="AS560" s="8" t="n">
        <f aca="false">IF(AK560="","",IF(MAX($AK$2:$AK$921)=MIN($AK$2:$AK$921),50,ROUND((AK560-MIN($AK$2:$AK$921))/(MAX($AK$2:$AK$921)-MIN($AK$2:$AK$921))*100,2)))</f>
        <v>39.99</v>
      </c>
      <c r="AT560" s="8" t="n">
        <f aca="false">IF(MAX($BC$2:$BC$921)=MIN($BC$2:$BC$921),50,ROUND((BC560-MIN($BC$2:$BC$921))/(MAX($BC$2:$BC$921)-MIN($BC$2:$BC$921))*100,2))</f>
        <v>50</v>
      </c>
      <c r="AU560" s="8" t="n">
        <f aca="false">IF(MAX($BE$2:$BE$921)=MIN($BE$2:$BE$921),50,ROUND((BE560-MIN($BE$2:$BE$921))/(MAX($BE$2:$BE$921)-MIN($BE$2:$BE$921))*100,2))</f>
        <v>68.36</v>
      </c>
      <c r="AV560" s="8" t="n">
        <f aca="false">IF(MAX($AD$2:$AD$921)=MIN($AD$2:$AD$921),50,ROUND((AD560-MIN($AD$2:$AD$921))/(MAX($AD$2:$AD$921)-MIN($AD$2:$AD$921))*100,2))</f>
        <v>16.83</v>
      </c>
      <c r="AW560" s="8" t="n">
        <f aca="false">IF(MAX($AN$2:$AN$921)=MIN($AN$2:$AN$921),50,ROUND((AN560-MIN($AN$2:$AN$921))/(MAX($AN$2:$AN$921)-MIN($AN$2:$AN$921))*100,2))</f>
        <v>65</v>
      </c>
      <c r="AX560" s="8" t="n">
        <f aca="false">AQ560*100</f>
        <v>0</v>
      </c>
      <c r="AY560" s="8" t="n">
        <f aca="false">AR560*100</f>
        <v>0</v>
      </c>
      <c r="AZ560" s="8" t="n">
        <f aca="false">IFERROR(ROUND(AS560*Assumptions!$I$6+AW560*Assumptions!$I$7+AT560*Assumptions!$I$8+AU560*Assumptions!$I$9+AV560*Assumptions!$I$10+AX560*Assumptions!$I$11+AY560*Assumptions!$I$12,2),"")</f>
        <v>44.43</v>
      </c>
      <c r="BA560" s="0" t="str">
        <f aca="false">IF(AZ560="","",IF(AZ560&lt;=Assumptions!$I$18,"Below Expectation",IF(AZ560&lt;=Assumptions!$I$19,"Developing",IF(AZ560&lt;=Assumptions!$I$20,"Meets Expectation",IF(AZ560&lt;=Assumptions!$I$21,"Exceeds","Star Performer")))))</f>
        <v>Developing</v>
      </c>
      <c r="BB560" s="0" t="n">
        <f aca="false">IF(AZ560="",0,IF(AZ560&gt;=Assumptions!$I$26,1,0))</f>
        <v>0</v>
      </c>
      <c r="BC560" s="9" t="n">
        <f aca="false">IF(AL560="",2,AL560+2)</f>
        <v>2</v>
      </c>
      <c r="BD560" s="10" t="n">
        <f aca="false">IF(AM560="",ROUND(AVERAGE($AM$2:$AM$921),3),AM560)</f>
        <v>0.548</v>
      </c>
      <c r="BE560" s="9" t="n">
        <f aca="false">1-BD560</f>
        <v>0.452</v>
      </c>
    </row>
    <row r="561" customFormat="false" ht="14.25" hidden="true" customHeight="false" outlineLevel="0" collapsed="false">
      <c r="A561" s="4" t="n">
        <v>317</v>
      </c>
      <c r="B561" s="5" t="n">
        <v>10072444</v>
      </c>
      <c r="C561" s="5" t="s">
        <v>57</v>
      </c>
      <c r="D561" s="5" t="s">
        <v>2119</v>
      </c>
      <c r="E561" s="5" t="s">
        <v>1497</v>
      </c>
      <c r="F561" s="5" t="s">
        <v>608</v>
      </c>
      <c r="G561" s="5" t="s">
        <v>609</v>
      </c>
      <c r="H561" s="5" t="s">
        <v>608</v>
      </c>
      <c r="I561" s="5" t="s">
        <v>63</v>
      </c>
      <c r="J561" s="5" t="s">
        <v>100</v>
      </c>
      <c r="K561" s="5" t="s">
        <v>65</v>
      </c>
      <c r="L561" s="6" t="n">
        <v>43941</v>
      </c>
      <c r="M561" s="5" t="s">
        <v>2085</v>
      </c>
      <c r="N561" s="6" t="n">
        <v>33897</v>
      </c>
      <c r="O561" s="5" t="s">
        <v>365</v>
      </c>
      <c r="P561" s="5" t="s">
        <v>365</v>
      </c>
      <c r="Q561" s="5" t="s">
        <v>506</v>
      </c>
      <c r="R561" s="5" t="s">
        <v>426</v>
      </c>
      <c r="S561" s="5" t="s">
        <v>1013</v>
      </c>
      <c r="T561" s="6"/>
      <c r="U561" s="6"/>
      <c r="V561" s="5" t="s">
        <v>141</v>
      </c>
      <c r="W561" s="5" t="s">
        <v>631</v>
      </c>
      <c r="X561" s="5" t="s">
        <v>141</v>
      </c>
      <c r="Y561" s="5" t="s">
        <v>631</v>
      </c>
      <c r="Z561" s="5" t="s">
        <v>141</v>
      </c>
      <c r="AA561" s="5" t="s">
        <v>2120</v>
      </c>
      <c r="AB561" s="0" t="n">
        <f aca="false">IFERROR(VALUE(R561),0)</f>
        <v>6.9</v>
      </c>
      <c r="AC561" s="0" t="n">
        <f aca="false">IFERROR(VALUE(M561),"")</f>
        <v>33.7</v>
      </c>
      <c r="AD561" s="0" t="n">
        <f aca="false">IFERROR(VALUE(Q561),"")</f>
        <v>6.1</v>
      </c>
      <c r="AE561" s="0" t="n">
        <f aca="false">IFERROR(VALUE(S561),"")</f>
        <v>12.1</v>
      </c>
      <c r="AF561" s="0" t="n">
        <f aca="false">IF(V561="","",VLOOKUP(V561,Assumptions!$B$6:$C$9,2,FALSE()))</f>
        <v>3</v>
      </c>
      <c r="AG561" s="0" t="n">
        <f aca="false">IF(W561="","",VLOOKUP(W561,Assumptions!$B$6:$C$9,2,FALSE()))</f>
        <v>2</v>
      </c>
      <c r="AH561" s="0" t="n">
        <f aca="false">IF(X561="","",VLOOKUP(X561,Assumptions!$B$6:$C$9,2,FALSE()))</f>
        <v>3</v>
      </c>
      <c r="AI561" s="0" t="n">
        <f aca="false">IF(Y561="","",VLOOKUP(Y561,Assumptions!$B$6:$C$9,2,FALSE()))</f>
        <v>2</v>
      </c>
      <c r="AJ561" s="0" t="n">
        <f aca="false">IF(Z561="","",VLOOKUP(Z561,Assumptions!$B$6:$C$9,2,FALSE()))</f>
        <v>3</v>
      </c>
      <c r="AK561" s="7" t="n">
        <f aca="false">IFERROR(ROUND(AVERAGE(AF561:AJ561),3),"")</f>
        <v>2.6</v>
      </c>
      <c r="AL561" s="7" t="n">
        <f aca="false">IF(OR(AF561="",AJ561=""),"",AJ561-AF561)</f>
        <v>0</v>
      </c>
      <c r="AM561" s="7" t="n">
        <f aca="false">IF(COUNT(AF561:AJ561)&gt;=2,ROUND(_xlfn.STDEV.S(AF561:AJ561),3),"")</f>
        <v>0.548</v>
      </c>
      <c r="AN561" s="7" t="n">
        <f aca="false">ROUND((IF(AF561="",0,AF561)*Assumptions!$F$15)+(IF(AG561="",0,AG561)*Assumptions!$F$16)+(IF(AH561="",0,AH561)*Assumptions!$F$17)+(IF(AI561="",0,AI561)*Assumptions!$F$18)+(IF(AJ561="",0,AJ561)*Assumptions!$F$19),3)</f>
        <v>2.6</v>
      </c>
      <c r="AO561" s="0" t="str">
        <f aca="false">IF(AC561&lt;=20,"",IF(AC561&lt;=Assumptions!$F$6,"20-30",IF(AC561&lt;=Assumptions!$F$7,"30-40",IF(AC561&lt;=Assumptions!$F$8,"40-50",IF(AC561&lt;=Assumptions!$F$9,"50-60",IF(AC561&lt;=Assumptions!$F$10,"60+",""))))))</f>
        <v>30-40</v>
      </c>
      <c r="AP561" s="0" t="str">
        <f aca="false">IFERROR(VLOOKUP(O561,Assumptions!$B$14:$C$26,2,FALSE()),"Other")</f>
        <v>Manager</v>
      </c>
      <c r="AQ561" s="0" t="n">
        <f aca="false">IF(T561="",0,1)</f>
        <v>0</v>
      </c>
      <c r="AR561" s="0" t="n">
        <f aca="false">IF(U561="",0,1)</f>
        <v>0</v>
      </c>
      <c r="AS561" s="8" t="n">
        <f aca="false">IF(AK561="","",IF(MAX($AK$2:$AK$921)=MIN($AK$2:$AK$921),50,ROUND((AK561-MIN($AK$2:$AK$921))/(MAX($AK$2:$AK$921)-MIN($AK$2:$AK$921))*100,2)))</f>
        <v>39.99</v>
      </c>
      <c r="AT561" s="8" t="n">
        <f aca="false">IF(MAX($BC$2:$BC$921)=MIN($BC$2:$BC$921),50,ROUND((BC561-MIN($BC$2:$BC$921))/(MAX($BC$2:$BC$921)-MIN($BC$2:$BC$921))*100,2))</f>
        <v>50</v>
      </c>
      <c r="AU561" s="8" t="n">
        <f aca="false">IF(MAX($BE$2:$BE$921)=MIN($BE$2:$BE$921),50,ROUND((BE561-MIN($BE$2:$BE$921))/(MAX($BE$2:$BE$921)-MIN($BE$2:$BE$921))*100,2))</f>
        <v>68.36</v>
      </c>
      <c r="AV561" s="8" t="n">
        <f aca="false">IF(MAX($AD$2:$AD$921)=MIN($AD$2:$AD$921),50,ROUND((AD561-MIN($AD$2:$AD$921))/(MAX($AD$2:$AD$921)-MIN($AD$2:$AD$921))*100,2))</f>
        <v>16.28</v>
      </c>
      <c r="AW561" s="8" t="n">
        <f aca="false">IF(MAX($AN$2:$AN$921)=MIN($AN$2:$AN$921),50,ROUND((AN561-MIN($AN$2:$AN$921))/(MAX($AN$2:$AN$921)-MIN($AN$2:$AN$921))*100,2))</f>
        <v>65</v>
      </c>
      <c r="AX561" s="8" t="n">
        <f aca="false">AQ561*100</f>
        <v>0</v>
      </c>
      <c r="AY561" s="8" t="n">
        <f aca="false">AR561*100</f>
        <v>0</v>
      </c>
      <c r="AZ561" s="8" t="n">
        <f aca="false">IFERROR(ROUND(AS561*Assumptions!$I$6+AW561*Assumptions!$I$7+AT561*Assumptions!$I$8+AU561*Assumptions!$I$9+AV561*Assumptions!$I$10+AX561*Assumptions!$I$11+AY561*Assumptions!$I$12,2),"")</f>
        <v>44.38</v>
      </c>
      <c r="BA561" s="0" t="str">
        <f aca="false">IF(AZ561="","",IF(AZ561&lt;=Assumptions!$I$18,"Below Expectation",IF(AZ561&lt;=Assumptions!$I$19,"Developing",IF(AZ561&lt;=Assumptions!$I$20,"Meets Expectation",IF(AZ561&lt;=Assumptions!$I$21,"Exceeds","Star Performer")))))</f>
        <v>Developing</v>
      </c>
      <c r="BB561" s="0" t="n">
        <f aca="false">IF(AZ561="",0,IF(AZ561&gt;=Assumptions!$I$26,1,0))</f>
        <v>0</v>
      </c>
      <c r="BC561" s="9" t="n">
        <f aca="false">IF(AL561="",2,AL561+2)</f>
        <v>2</v>
      </c>
      <c r="BD561" s="10" t="n">
        <f aca="false">IF(AM561="",ROUND(AVERAGE($AM$2:$AM$921),3),AM561)</f>
        <v>0.548</v>
      </c>
      <c r="BE561" s="9" t="n">
        <f aca="false">1-BD561</f>
        <v>0.452</v>
      </c>
    </row>
    <row r="562" customFormat="false" ht="14.25" hidden="true" customHeight="false" outlineLevel="0" collapsed="false">
      <c r="A562" s="4" t="n">
        <v>389</v>
      </c>
      <c r="B562" s="5" t="n">
        <v>50007772</v>
      </c>
      <c r="C562" s="5" t="s">
        <v>57</v>
      </c>
      <c r="D562" s="5" t="s">
        <v>2121</v>
      </c>
      <c r="E562" s="5" t="s">
        <v>252</v>
      </c>
      <c r="F562" s="5" t="s">
        <v>387</v>
      </c>
      <c r="G562" s="5" t="s">
        <v>388</v>
      </c>
      <c r="H562" s="5" t="s">
        <v>387</v>
      </c>
      <c r="I562" s="5" t="s">
        <v>63</v>
      </c>
      <c r="J562" s="5" t="s">
        <v>100</v>
      </c>
      <c r="K562" s="5" t="s">
        <v>65</v>
      </c>
      <c r="L562" s="6" t="n">
        <v>40422</v>
      </c>
      <c r="M562" s="5" t="s">
        <v>2122</v>
      </c>
      <c r="N562" s="6" t="n">
        <v>29662</v>
      </c>
      <c r="O562" s="5" t="s">
        <v>332</v>
      </c>
      <c r="P562" s="5" t="s">
        <v>333</v>
      </c>
      <c r="Q562" s="5" t="s">
        <v>286</v>
      </c>
      <c r="R562" s="5" t="s">
        <v>496</v>
      </c>
      <c r="S562" s="5" t="s">
        <v>577</v>
      </c>
      <c r="T562" s="6"/>
      <c r="U562" s="6" t="n">
        <v>44470</v>
      </c>
      <c r="V562" s="5" t="s">
        <v>83</v>
      </c>
      <c r="W562" s="5" t="s">
        <v>141</v>
      </c>
      <c r="X562" s="5" t="s">
        <v>141</v>
      </c>
      <c r="Y562" s="5" t="s">
        <v>631</v>
      </c>
      <c r="Z562" s="5" t="s">
        <v>631</v>
      </c>
      <c r="AA562" s="5" t="s">
        <v>2123</v>
      </c>
      <c r="AB562" s="0" t="n">
        <f aca="false">IFERROR(VALUE(R562),0)</f>
        <v>4.8</v>
      </c>
      <c r="AC562" s="0" t="n">
        <f aca="false">IFERROR(VALUE(M562),"")</f>
        <v>45.2</v>
      </c>
      <c r="AD562" s="0" t="n">
        <f aca="false">IFERROR(VALUE(Q562),"")</f>
        <v>15.9</v>
      </c>
      <c r="AE562" s="0" t="n">
        <f aca="false">IFERROR(VALUE(S562),"")</f>
        <v>20.5</v>
      </c>
      <c r="AF562" s="0" t="n">
        <f aca="false">IF(V562="","",VLOOKUP(V562,Assumptions!$B$6:$C$9,2,FALSE()))</f>
        <v>4</v>
      </c>
      <c r="AG562" s="0" t="n">
        <f aca="false">IF(W562="","",VLOOKUP(W562,Assumptions!$B$6:$C$9,2,FALSE()))</f>
        <v>3</v>
      </c>
      <c r="AH562" s="0" t="n">
        <f aca="false">IF(X562="","",VLOOKUP(X562,Assumptions!$B$6:$C$9,2,FALSE()))</f>
        <v>3</v>
      </c>
      <c r="AI562" s="0" t="n">
        <f aca="false">IF(Y562="","",VLOOKUP(Y562,Assumptions!$B$6:$C$9,2,FALSE()))</f>
        <v>2</v>
      </c>
      <c r="AJ562" s="0" t="n">
        <f aca="false">IF(Z562="","",VLOOKUP(Z562,Assumptions!$B$6:$C$9,2,FALSE()))</f>
        <v>2</v>
      </c>
      <c r="AK562" s="7" t="n">
        <f aca="false">IFERROR(ROUND(AVERAGE(AF562:AJ562),3),"")</f>
        <v>2.8</v>
      </c>
      <c r="AL562" s="7" t="n">
        <f aca="false">IF(OR(AF562="",AJ562=""),"",AJ562-AF562)</f>
        <v>-2</v>
      </c>
      <c r="AM562" s="7" t="n">
        <f aca="false">IF(COUNT(AF562:AJ562)&gt;=2,ROUND(_xlfn.STDEV.S(AF562:AJ562),3),"")</f>
        <v>0.837</v>
      </c>
      <c r="AN562" s="7" t="n">
        <f aca="false">ROUND((IF(AF562="",0,AF562)*Assumptions!$F$15)+(IF(AG562="",0,AG562)*Assumptions!$F$16)+(IF(AH562="",0,AH562)*Assumptions!$F$17)+(IF(AI562="",0,AI562)*Assumptions!$F$18)+(IF(AJ562="",0,AJ562)*Assumptions!$F$19),3)</f>
        <v>2.55</v>
      </c>
      <c r="AO562" s="0" t="str">
        <f aca="false">IF(AC562&lt;=20,"",IF(AC562&lt;=Assumptions!$F$6,"20-30",IF(AC562&lt;=Assumptions!$F$7,"30-40",IF(AC562&lt;=Assumptions!$F$8,"40-50",IF(AC562&lt;=Assumptions!$F$9,"50-60",IF(AC562&lt;=Assumptions!$F$10,"60+",""))))))</f>
        <v>40-50</v>
      </c>
      <c r="AP562" s="0" t="str">
        <f aca="false">IFERROR(VLOOKUP(O562,Assumptions!$B$14:$C$26,2,FALSE()),"Other")</f>
        <v>Manager</v>
      </c>
      <c r="AQ562" s="0" t="n">
        <f aca="false">IF(T562="",0,1)</f>
        <v>0</v>
      </c>
      <c r="AR562" s="0" t="n">
        <f aca="false">IF(U562="",0,1)</f>
        <v>1</v>
      </c>
      <c r="AS562" s="8" t="n">
        <f aca="false">IF(AK562="","",IF(MAX($AK$2:$AK$921)=MIN($AK$2:$AK$921),50,ROUND((AK562-MIN($AK$2:$AK$921))/(MAX($AK$2:$AK$921)-MIN($AK$2:$AK$921))*100,2)))</f>
        <v>48.56</v>
      </c>
      <c r="AT562" s="8" t="n">
        <f aca="false">IF(MAX($BC$2:$BC$921)=MIN($BC$2:$BC$921),50,ROUND((BC562-MIN($BC$2:$BC$921))/(MAX($BC$2:$BC$921)-MIN($BC$2:$BC$921))*100,2))</f>
        <v>0</v>
      </c>
      <c r="AU562" s="8" t="n">
        <f aca="false">IF(MAX($BE$2:$BE$921)=MIN($BE$2:$BE$921),50,ROUND((BE562-MIN($BE$2:$BE$921))/(MAX($BE$2:$BE$921)-MIN($BE$2:$BE$921))*100,2))</f>
        <v>51.67</v>
      </c>
      <c r="AV562" s="8" t="n">
        <f aca="false">IF(MAX($AD$2:$AD$921)=MIN($AD$2:$AD$921),50,ROUND((AD562-MIN($AD$2:$AD$921))/(MAX($AD$2:$AD$921)-MIN($AD$2:$AD$921))*100,2))</f>
        <v>42.92</v>
      </c>
      <c r="AW562" s="8" t="n">
        <f aca="false">IF(MAX($AN$2:$AN$921)=MIN($AN$2:$AN$921),50,ROUND((AN562-MIN($AN$2:$AN$921))/(MAX($AN$2:$AN$921)-MIN($AN$2:$AN$921))*100,2))</f>
        <v>63.75</v>
      </c>
      <c r="AX562" s="8" t="n">
        <f aca="false">AQ562*100</f>
        <v>0</v>
      </c>
      <c r="AY562" s="8" t="n">
        <f aca="false">AR562*100</f>
        <v>100</v>
      </c>
      <c r="AZ562" s="8" t="n">
        <f aca="false">IFERROR(ROUND(AS562*Assumptions!$I$6+AW562*Assumptions!$I$7+AT562*Assumptions!$I$8+AU562*Assumptions!$I$9+AV562*Assumptions!$I$10+AX562*Assumptions!$I$11+AY562*Assumptions!$I$12,2),"")</f>
        <v>44.36</v>
      </c>
      <c r="BA562" s="0" t="str">
        <f aca="false">IF(AZ562="","",IF(AZ562&lt;=Assumptions!$I$18,"Below Expectation",IF(AZ562&lt;=Assumptions!$I$19,"Developing",IF(AZ562&lt;=Assumptions!$I$20,"Meets Expectation",IF(AZ562&lt;=Assumptions!$I$21,"Exceeds","Star Performer")))))</f>
        <v>Developing</v>
      </c>
      <c r="BB562" s="0" t="n">
        <f aca="false">IF(AZ562="",0,IF(AZ562&gt;=Assumptions!$I$26,1,0))</f>
        <v>0</v>
      </c>
      <c r="BC562" s="9" t="n">
        <f aca="false">IF(AL562="",2,AL562+2)</f>
        <v>0</v>
      </c>
      <c r="BD562" s="10" t="n">
        <f aca="false">IF(AM562="",ROUND(AVERAGE($AM$2:$AM$921),3),AM562)</f>
        <v>0.837</v>
      </c>
      <c r="BE562" s="9" t="n">
        <f aca="false">1-BD562</f>
        <v>0.163</v>
      </c>
    </row>
    <row r="563" customFormat="false" ht="14.25" hidden="true" customHeight="false" outlineLevel="0" collapsed="false">
      <c r="A563" s="4" t="n">
        <v>320</v>
      </c>
      <c r="B563" s="5" t="n">
        <v>10072615</v>
      </c>
      <c r="C563" s="5" t="s">
        <v>85</v>
      </c>
      <c r="D563" s="5" t="s">
        <v>2124</v>
      </c>
      <c r="E563" s="5" t="s">
        <v>137</v>
      </c>
      <c r="F563" s="5" t="s">
        <v>483</v>
      </c>
      <c r="G563" s="5" t="s">
        <v>484</v>
      </c>
      <c r="H563" s="5" t="s">
        <v>483</v>
      </c>
      <c r="I563" s="5" t="s">
        <v>63</v>
      </c>
      <c r="J563" s="5" t="s">
        <v>76</v>
      </c>
      <c r="K563" s="5" t="s">
        <v>65</v>
      </c>
      <c r="L563" s="6" t="n">
        <v>43983</v>
      </c>
      <c r="M563" s="5" t="s">
        <v>1466</v>
      </c>
      <c r="N563" s="6" t="n">
        <v>33430</v>
      </c>
      <c r="O563" s="5" t="s">
        <v>365</v>
      </c>
      <c r="P563" s="5" t="s">
        <v>365</v>
      </c>
      <c r="Q563" s="5" t="s">
        <v>611</v>
      </c>
      <c r="R563" s="5" t="s">
        <v>903</v>
      </c>
      <c r="S563" s="5" t="s">
        <v>1408</v>
      </c>
      <c r="T563" s="6"/>
      <c r="U563" s="6"/>
      <c r="V563" s="5" t="s">
        <v>631</v>
      </c>
      <c r="W563" s="5" t="s">
        <v>141</v>
      </c>
      <c r="X563" s="5" t="s">
        <v>141</v>
      </c>
      <c r="Y563" s="5" t="s">
        <v>141</v>
      </c>
      <c r="Z563" s="5" t="s">
        <v>631</v>
      </c>
      <c r="AA563" s="5" t="s">
        <v>2125</v>
      </c>
      <c r="AB563" s="0" t="n">
        <f aca="false">IFERROR(VALUE(R563),0)</f>
        <v>6.7</v>
      </c>
      <c r="AC563" s="0" t="n">
        <f aca="false">IFERROR(VALUE(M563),"")</f>
        <v>34.1</v>
      </c>
      <c r="AD563" s="0" t="n">
        <f aca="false">IFERROR(VALUE(Q563),"")</f>
        <v>6</v>
      </c>
      <c r="AE563" s="0" t="n">
        <f aca="false">IFERROR(VALUE(S563),"")</f>
        <v>12.7</v>
      </c>
      <c r="AF563" s="0" t="n">
        <f aca="false">IF(V563="","",VLOOKUP(V563,Assumptions!$B$6:$C$9,2,FALSE()))</f>
        <v>2</v>
      </c>
      <c r="AG563" s="0" t="n">
        <f aca="false">IF(W563="","",VLOOKUP(W563,Assumptions!$B$6:$C$9,2,FALSE()))</f>
        <v>3</v>
      </c>
      <c r="AH563" s="0" t="n">
        <f aca="false">IF(X563="","",VLOOKUP(X563,Assumptions!$B$6:$C$9,2,FALSE()))</f>
        <v>3</v>
      </c>
      <c r="AI563" s="0" t="n">
        <f aca="false">IF(Y563="","",VLOOKUP(Y563,Assumptions!$B$6:$C$9,2,FALSE()))</f>
        <v>3</v>
      </c>
      <c r="AJ563" s="0" t="n">
        <f aca="false">IF(Z563="","",VLOOKUP(Z563,Assumptions!$B$6:$C$9,2,FALSE()))</f>
        <v>2</v>
      </c>
      <c r="AK563" s="7" t="n">
        <f aca="false">IFERROR(ROUND(AVERAGE(AF563:AJ563),3),"")</f>
        <v>2.6</v>
      </c>
      <c r="AL563" s="7" t="n">
        <f aca="false">IF(OR(AF563="",AJ563=""),"",AJ563-AF563)</f>
        <v>0</v>
      </c>
      <c r="AM563" s="7" t="n">
        <f aca="false">IF(COUNT(AF563:AJ563)&gt;=2,ROUND(_xlfn.STDEV.S(AF563:AJ563),3),"")</f>
        <v>0.548</v>
      </c>
      <c r="AN563" s="7" t="n">
        <f aca="false">ROUND((IF(AF563="",0,AF563)*Assumptions!$F$15)+(IF(AG563="",0,AG563)*Assumptions!$F$16)+(IF(AH563="",0,AH563)*Assumptions!$F$17)+(IF(AI563="",0,AI563)*Assumptions!$F$18)+(IF(AJ563="",0,AJ563)*Assumptions!$F$19),3)</f>
        <v>2.6</v>
      </c>
      <c r="AO563" s="0" t="str">
        <f aca="false">IF(AC563&lt;=20,"",IF(AC563&lt;=Assumptions!$F$6,"20-30",IF(AC563&lt;=Assumptions!$F$7,"30-40",IF(AC563&lt;=Assumptions!$F$8,"40-50",IF(AC563&lt;=Assumptions!$F$9,"50-60",IF(AC563&lt;=Assumptions!$F$10,"60+",""))))))</f>
        <v>30-40</v>
      </c>
      <c r="AP563" s="0" t="str">
        <f aca="false">IFERROR(VLOOKUP(O563,Assumptions!$B$14:$C$26,2,FALSE()),"Other")</f>
        <v>Manager</v>
      </c>
      <c r="AQ563" s="0" t="n">
        <f aca="false">IF(T563="",0,1)</f>
        <v>0</v>
      </c>
      <c r="AR563" s="0" t="n">
        <f aca="false">IF(U563="",0,1)</f>
        <v>0</v>
      </c>
      <c r="AS563" s="8" t="n">
        <f aca="false">IF(AK563="","",IF(MAX($AK$2:$AK$921)=MIN($AK$2:$AK$921),50,ROUND((AK563-MIN($AK$2:$AK$921))/(MAX($AK$2:$AK$921)-MIN($AK$2:$AK$921))*100,2)))</f>
        <v>39.99</v>
      </c>
      <c r="AT563" s="8" t="n">
        <f aca="false">IF(MAX($BC$2:$BC$921)=MIN($BC$2:$BC$921),50,ROUND((BC563-MIN($BC$2:$BC$921))/(MAX($BC$2:$BC$921)-MIN($BC$2:$BC$921))*100,2))</f>
        <v>50</v>
      </c>
      <c r="AU563" s="8" t="n">
        <f aca="false">IF(MAX($BE$2:$BE$921)=MIN($BE$2:$BE$921),50,ROUND((BE563-MIN($BE$2:$BE$921))/(MAX($BE$2:$BE$921)-MIN($BE$2:$BE$921))*100,2))</f>
        <v>68.36</v>
      </c>
      <c r="AV563" s="8" t="n">
        <f aca="false">IF(MAX($AD$2:$AD$921)=MIN($AD$2:$AD$921),50,ROUND((AD563-MIN($AD$2:$AD$921))/(MAX($AD$2:$AD$921)-MIN($AD$2:$AD$921))*100,2))</f>
        <v>16.01</v>
      </c>
      <c r="AW563" s="8" t="n">
        <f aca="false">IF(MAX($AN$2:$AN$921)=MIN($AN$2:$AN$921),50,ROUND((AN563-MIN($AN$2:$AN$921))/(MAX($AN$2:$AN$921)-MIN($AN$2:$AN$921))*100,2))</f>
        <v>65</v>
      </c>
      <c r="AX563" s="8" t="n">
        <f aca="false">AQ563*100</f>
        <v>0</v>
      </c>
      <c r="AY563" s="8" t="n">
        <f aca="false">AR563*100</f>
        <v>0</v>
      </c>
      <c r="AZ563" s="8" t="n">
        <f aca="false">IFERROR(ROUND(AS563*Assumptions!$I$6+AW563*Assumptions!$I$7+AT563*Assumptions!$I$8+AU563*Assumptions!$I$9+AV563*Assumptions!$I$10+AX563*Assumptions!$I$11+AY563*Assumptions!$I$12,2),"")</f>
        <v>44.35</v>
      </c>
      <c r="BA563" s="0" t="str">
        <f aca="false">IF(AZ563="","",IF(AZ563&lt;=Assumptions!$I$18,"Below Expectation",IF(AZ563&lt;=Assumptions!$I$19,"Developing",IF(AZ563&lt;=Assumptions!$I$20,"Meets Expectation",IF(AZ563&lt;=Assumptions!$I$21,"Exceeds","Star Performer")))))</f>
        <v>Developing</v>
      </c>
      <c r="BB563" s="0" t="n">
        <f aca="false">IF(AZ563="",0,IF(AZ563&gt;=Assumptions!$I$26,1,0))</f>
        <v>0</v>
      </c>
      <c r="BC563" s="9" t="n">
        <f aca="false">IF(AL563="",2,AL563+2)</f>
        <v>2</v>
      </c>
      <c r="BD563" s="10" t="n">
        <f aca="false">IF(AM563="",ROUND(AVERAGE($AM$2:$AM$921),3),AM563)</f>
        <v>0.548</v>
      </c>
      <c r="BE563" s="9" t="n">
        <f aca="false">1-BD563</f>
        <v>0.452</v>
      </c>
    </row>
    <row r="564" customFormat="false" ht="14.25" hidden="true" customHeight="false" outlineLevel="0" collapsed="false">
      <c r="A564" s="4" t="n">
        <v>430</v>
      </c>
      <c r="B564" s="5" t="n">
        <v>50011026</v>
      </c>
      <c r="C564" s="5" t="s">
        <v>57</v>
      </c>
      <c r="D564" s="5" t="s">
        <v>2126</v>
      </c>
      <c r="E564" s="5" t="s">
        <v>1150</v>
      </c>
      <c r="F564" s="5" t="s">
        <v>387</v>
      </c>
      <c r="G564" s="5" t="s">
        <v>388</v>
      </c>
      <c r="H564" s="5" t="s">
        <v>387</v>
      </c>
      <c r="I564" s="5" t="s">
        <v>63</v>
      </c>
      <c r="J564" s="5" t="s">
        <v>100</v>
      </c>
      <c r="K564" s="5" t="s">
        <v>65</v>
      </c>
      <c r="L564" s="6" t="n">
        <v>41190</v>
      </c>
      <c r="M564" s="5" t="s">
        <v>1054</v>
      </c>
      <c r="N564" s="6" t="n">
        <v>32312</v>
      </c>
      <c r="O564" s="5" t="s">
        <v>332</v>
      </c>
      <c r="P564" s="5" t="s">
        <v>333</v>
      </c>
      <c r="Q564" s="5" t="s">
        <v>2072</v>
      </c>
      <c r="R564" s="5" t="s">
        <v>366</v>
      </c>
      <c r="S564" s="5" t="s">
        <v>1545</v>
      </c>
      <c r="T564" s="6"/>
      <c r="U564" s="6" t="n">
        <v>44652</v>
      </c>
      <c r="V564" s="5" t="s">
        <v>83</v>
      </c>
      <c r="W564" s="5" t="s">
        <v>631</v>
      </c>
      <c r="X564" s="5" t="s">
        <v>141</v>
      </c>
      <c r="Y564" s="5" t="s">
        <v>141</v>
      </c>
      <c r="Z564" s="5" t="s">
        <v>631</v>
      </c>
      <c r="AA564" s="5" t="s">
        <v>2127</v>
      </c>
      <c r="AB564" s="0" t="n">
        <f aca="false">IFERROR(VALUE(R564),0)</f>
        <v>1.1</v>
      </c>
      <c r="AC564" s="0" t="n">
        <f aca="false">IFERROR(VALUE(M564),"")</f>
        <v>37.11</v>
      </c>
      <c r="AD564" s="0" t="n">
        <f aca="false">IFERROR(VALUE(Q564),"")</f>
        <v>13.8</v>
      </c>
      <c r="AE564" s="0" t="n">
        <f aca="false">IFERROR(VALUE(S564),"")</f>
        <v>14.9</v>
      </c>
      <c r="AF564" s="0" t="n">
        <f aca="false">IF(V564="","",VLOOKUP(V564,Assumptions!$B$6:$C$9,2,FALSE()))</f>
        <v>4</v>
      </c>
      <c r="AG564" s="0" t="n">
        <f aca="false">IF(W564="","",VLOOKUP(W564,Assumptions!$B$6:$C$9,2,FALSE()))</f>
        <v>2</v>
      </c>
      <c r="AH564" s="0" t="n">
        <f aca="false">IF(X564="","",VLOOKUP(X564,Assumptions!$B$6:$C$9,2,FALSE()))</f>
        <v>3</v>
      </c>
      <c r="AI564" s="0" t="n">
        <f aca="false">IF(Y564="","",VLOOKUP(Y564,Assumptions!$B$6:$C$9,2,FALSE()))</f>
        <v>3</v>
      </c>
      <c r="AJ564" s="0" t="n">
        <f aca="false">IF(Z564="","",VLOOKUP(Z564,Assumptions!$B$6:$C$9,2,FALSE()))</f>
        <v>2</v>
      </c>
      <c r="AK564" s="7" t="n">
        <f aca="false">IFERROR(ROUND(AVERAGE(AF564:AJ564),3),"")</f>
        <v>2.8</v>
      </c>
      <c r="AL564" s="7" t="n">
        <f aca="false">IF(OR(AF564="",AJ564=""),"",AJ564-AF564)</f>
        <v>-2</v>
      </c>
      <c r="AM564" s="7" t="n">
        <f aca="false">IF(COUNT(AF564:AJ564)&gt;=2,ROUND(_xlfn.STDEV.S(AF564:AJ564),3),"")</f>
        <v>0.837</v>
      </c>
      <c r="AN564" s="7" t="n">
        <f aca="false">ROUND((IF(AF564="",0,AF564)*Assumptions!$F$15)+(IF(AG564="",0,AG564)*Assumptions!$F$16)+(IF(AH564="",0,AH564)*Assumptions!$F$17)+(IF(AI564="",0,AI564)*Assumptions!$F$18)+(IF(AJ564="",0,AJ564)*Assumptions!$F$19),3)</f>
        <v>2.65</v>
      </c>
      <c r="AO564" s="0" t="str">
        <f aca="false">IF(AC564&lt;=20,"",IF(AC564&lt;=Assumptions!$F$6,"20-30",IF(AC564&lt;=Assumptions!$F$7,"30-40",IF(AC564&lt;=Assumptions!$F$8,"40-50",IF(AC564&lt;=Assumptions!$F$9,"50-60",IF(AC564&lt;=Assumptions!$F$10,"60+",""))))))</f>
        <v>30-40</v>
      </c>
      <c r="AP564" s="0" t="str">
        <f aca="false">IFERROR(VLOOKUP(O564,Assumptions!$B$14:$C$26,2,FALSE()),"Other")</f>
        <v>Manager</v>
      </c>
      <c r="AQ564" s="0" t="n">
        <f aca="false">IF(T564="",0,1)</f>
        <v>0</v>
      </c>
      <c r="AR564" s="0" t="n">
        <f aca="false">IF(U564="",0,1)</f>
        <v>1</v>
      </c>
      <c r="AS564" s="8" t="n">
        <f aca="false">IF(AK564="","",IF(MAX($AK$2:$AK$921)=MIN($AK$2:$AK$921),50,ROUND((AK564-MIN($AK$2:$AK$921))/(MAX($AK$2:$AK$921)-MIN($AK$2:$AK$921))*100,2)))</f>
        <v>48.56</v>
      </c>
      <c r="AT564" s="8" t="n">
        <f aca="false">IF(MAX($BC$2:$BC$921)=MIN($BC$2:$BC$921),50,ROUND((BC564-MIN($BC$2:$BC$921))/(MAX($BC$2:$BC$921)-MIN($BC$2:$BC$921))*100,2))</f>
        <v>0</v>
      </c>
      <c r="AU564" s="8" t="n">
        <f aca="false">IF(MAX($BE$2:$BE$921)=MIN($BE$2:$BE$921),50,ROUND((BE564-MIN($BE$2:$BE$921))/(MAX($BE$2:$BE$921)-MIN($BE$2:$BE$921))*100,2))</f>
        <v>51.67</v>
      </c>
      <c r="AV564" s="8" t="n">
        <f aca="false">IF(MAX($AD$2:$AD$921)=MIN($AD$2:$AD$921),50,ROUND((AD564-MIN($AD$2:$AD$921))/(MAX($AD$2:$AD$921)-MIN($AD$2:$AD$921))*100,2))</f>
        <v>37.21</v>
      </c>
      <c r="AW564" s="8" t="n">
        <f aca="false">IF(MAX($AN$2:$AN$921)=MIN($AN$2:$AN$921),50,ROUND((AN564-MIN($AN$2:$AN$921))/(MAX($AN$2:$AN$921)-MIN($AN$2:$AN$921))*100,2))</f>
        <v>66.25</v>
      </c>
      <c r="AX564" s="8" t="n">
        <f aca="false">AQ564*100</f>
        <v>0</v>
      </c>
      <c r="AY564" s="8" t="n">
        <f aca="false">AR564*100</f>
        <v>100</v>
      </c>
      <c r="AZ564" s="8" t="n">
        <f aca="false">IFERROR(ROUND(AS564*Assumptions!$I$6+AW564*Assumptions!$I$7+AT564*Assumptions!$I$8+AU564*Assumptions!$I$9+AV564*Assumptions!$I$10+AX564*Assumptions!$I$11+AY564*Assumptions!$I$12,2),"")</f>
        <v>44.29</v>
      </c>
      <c r="BA564" s="0" t="str">
        <f aca="false">IF(AZ564="","",IF(AZ564&lt;=Assumptions!$I$18,"Below Expectation",IF(AZ564&lt;=Assumptions!$I$19,"Developing",IF(AZ564&lt;=Assumptions!$I$20,"Meets Expectation",IF(AZ564&lt;=Assumptions!$I$21,"Exceeds","Star Performer")))))</f>
        <v>Developing</v>
      </c>
      <c r="BB564" s="0" t="n">
        <f aca="false">IF(AZ564="",0,IF(AZ564&gt;=Assumptions!$I$26,1,0))</f>
        <v>0</v>
      </c>
      <c r="BC564" s="9" t="n">
        <f aca="false">IF(AL564="",2,AL564+2)</f>
        <v>0</v>
      </c>
      <c r="BD564" s="10" t="n">
        <f aca="false">IF(AM564="",ROUND(AVERAGE($AM$2:$AM$921),3),AM564)</f>
        <v>0.837</v>
      </c>
      <c r="BE564" s="9" t="n">
        <f aca="false">1-BD564</f>
        <v>0.163</v>
      </c>
    </row>
    <row r="565" customFormat="false" ht="14.25" hidden="true" customHeight="false" outlineLevel="0" collapsed="false">
      <c r="A565" s="4" t="n">
        <v>400</v>
      </c>
      <c r="B565" s="5" t="n">
        <v>50008270</v>
      </c>
      <c r="C565" s="5" t="s">
        <v>57</v>
      </c>
      <c r="D565" s="5" t="s">
        <v>2128</v>
      </c>
      <c r="E565" s="5" t="s">
        <v>208</v>
      </c>
      <c r="F565" s="5" t="s">
        <v>608</v>
      </c>
      <c r="G565" s="5" t="s">
        <v>609</v>
      </c>
      <c r="H565" s="5" t="s">
        <v>608</v>
      </c>
      <c r="I565" s="5" t="s">
        <v>63</v>
      </c>
      <c r="J565" s="5" t="s">
        <v>100</v>
      </c>
      <c r="K565" s="5" t="s">
        <v>65</v>
      </c>
      <c r="L565" s="6" t="n">
        <v>40553</v>
      </c>
      <c r="M565" s="5" t="s">
        <v>1054</v>
      </c>
      <c r="N565" s="6" t="n">
        <v>32322</v>
      </c>
      <c r="O565" s="5" t="s">
        <v>365</v>
      </c>
      <c r="P565" s="5" t="s">
        <v>365</v>
      </c>
      <c r="Q565" s="5" t="s">
        <v>936</v>
      </c>
      <c r="R565" s="5" t="s">
        <v>115</v>
      </c>
      <c r="S565" s="5" t="s">
        <v>936</v>
      </c>
      <c r="T565" s="6" t="n">
        <v>41518</v>
      </c>
      <c r="U565" s="6"/>
      <c r="V565" s="5" t="s">
        <v>141</v>
      </c>
      <c r="W565" s="5" t="s">
        <v>631</v>
      </c>
      <c r="X565" s="5" t="s">
        <v>141</v>
      </c>
      <c r="Y565" s="5" t="s">
        <v>631</v>
      </c>
      <c r="Z565" s="5" t="s">
        <v>631</v>
      </c>
      <c r="AA565" s="5" t="s">
        <v>2129</v>
      </c>
      <c r="AB565" s="0" t="n">
        <f aca="false">IFERROR(VALUE(R565),0)</f>
        <v>0</v>
      </c>
      <c r="AC565" s="0" t="n">
        <f aca="false">IFERROR(VALUE(M565),"")</f>
        <v>37.11</v>
      </c>
      <c r="AD565" s="0" t="n">
        <f aca="false">IFERROR(VALUE(Q565),"")</f>
        <v>15.4</v>
      </c>
      <c r="AE565" s="0" t="n">
        <f aca="false">IFERROR(VALUE(S565),"")</f>
        <v>15.4</v>
      </c>
      <c r="AF565" s="0" t="n">
        <f aca="false">IF(V565="","",VLOOKUP(V565,Assumptions!$B$6:$C$9,2,FALSE()))</f>
        <v>3</v>
      </c>
      <c r="AG565" s="0" t="n">
        <f aca="false">IF(W565="","",VLOOKUP(W565,Assumptions!$B$6:$C$9,2,FALSE()))</f>
        <v>2</v>
      </c>
      <c r="AH565" s="0" t="n">
        <f aca="false">IF(X565="","",VLOOKUP(X565,Assumptions!$B$6:$C$9,2,FALSE()))</f>
        <v>3</v>
      </c>
      <c r="AI565" s="0" t="n">
        <f aca="false">IF(Y565="","",VLOOKUP(Y565,Assumptions!$B$6:$C$9,2,FALSE()))</f>
        <v>2</v>
      </c>
      <c r="AJ565" s="0" t="n">
        <f aca="false">IF(Z565="","",VLOOKUP(Z565,Assumptions!$B$6:$C$9,2,FALSE()))</f>
        <v>2</v>
      </c>
      <c r="AK565" s="7" t="n">
        <f aca="false">IFERROR(ROUND(AVERAGE(AF565:AJ565),3),"")</f>
        <v>2.4</v>
      </c>
      <c r="AL565" s="7" t="n">
        <f aca="false">IF(OR(AF565="",AJ565=""),"",AJ565-AF565)</f>
        <v>-1</v>
      </c>
      <c r="AM565" s="7" t="n">
        <f aca="false">IF(COUNT(AF565:AJ565)&gt;=2,ROUND(_xlfn.STDEV.S(AF565:AJ565),3),"")</f>
        <v>0.548</v>
      </c>
      <c r="AN565" s="7" t="n">
        <f aca="false">ROUND((IF(AF565="",0,AF565)*Assumptions!$F$15)+(IF(AG565="",0,AG565)*Assumptions!$F$16)+(IF(AH565="",0,AH565)*Assumptions!$F$17)+(IF(AI565="",0,AI565)*Assumptions!$F$18)+(IF(AJ565="",0,AJ565)*Assumptions!$F$19),3)</f>
        <v>2.3</v>
      </c>
      <c r="AO565" s="0" t="str">
        <f aca="false">IF(AC565&lt;=20,"",IF(AC565&lt;=Assumptions!$F$6,"20-30",IF(AC565&lt;=Assumptions!$F$7,"30-40",IF(AC565&lt;=Assumptions!$F$8,"40-50",IF(AC565&lt;=Assumptions!$F$9,"50-60",IF(AC565&lt;=Assumptions!$F$10,"60+",""))))))</f>
        <v>30-40</v>
      </c>
      <c r="AP565" s="0" t="str">
        <f aca="false">IFERROR(VLOOKUP(O565,Assumptions!$B$14:$C$26,2,FALSE()),"Other")</f>
        <v>Manager</v>
      </c>
      <c r="AQ565" s="0" t="n">
        <f aca="false">IF(T565="",0,1)</f>
        <v>1</v>
      </c>
      <c r="AR565" s="0" t="n">
        <f aca="false">IF(U565="",0,1)</f>
        <v>0</v>
      </c>
      <c r="AS565" s="8" t="n">
        <f aca="false">IF(AK565="","",IF(MAX($AK$2:$AK$921)=MIN($AK$2:$AK$921),50,ROUND((AK565-MIN($AK$2:$AK$921))/(MAX($AK$2:$AK$921)-MIN($AK$2:$AK$921))*100,2)))</f>
        <v>31.42</v>
      </c>
      <c r="AT565" s="8" t="n">
        <f aca="false">IF(MAX($BC$2:$BC$921)=MIN($BC$2:$BC$921),50,ROUND((BC565-MIN($BC$2:$BC$921))/(MAX($BC$2:$BC$921)-MIN($BC$2:$BC$921))*100,2))</f>
        <v>25</v>
      </c>
      <c r="AU565" s="8" t="n">
        <f aca="false">IF(MAX($BE$2:$BE$921)=MIN($BE$2:$BE$921),50,ROUND((BE565-MIN($BE$2:$BE$921))/(MAX($BE$2:$BE$921)-MIN($BE$2:$BE$921))*100,2))</f>
        <v>68.36</v>
      </c>
      <c r="AV565" s="8" t="n">
        <f aca="false">IF(MAX($AD$2:$AD$921)=MIN($AD$2:$AD$921),50,ROUND((AD565-MIN($AD$2:$AD$921))/(MAX($AD$2:$AD$921)-MIN($AD$2:$AD$921))*100,2))</f>
        <v>41.56</v>
      </c>
      <c r="AW565" s="8" t="n">
        <f aca="false">IF(MAX($AN$2:$AN$921)=MIN($AN$2:$AN$921),50,ROUND((AN565-MIN($AN$2:$AN$921))/(MAX($AN$2:$AN$921)-MIN($AN$2:$AN$921))*100,2))</f>
        <v>57.5</v>
      </c>
      <c r="AX565" s="8" t="n">
        <f aca="false">AQ565*100</f>
        <v>100</v>
      </c>
      <c r="AY565" s="8" t="n">
        <f aca="false">AR565*100</f>
        <v>0</v>
      </c>
      <c r="AZ565" s="8" t="n">
        <f aca="false">IFERROR(ROUND(AS565*Assumptions!$I$6+AW565*Assumptions!$I$7+AT565*Assumptions!$I$8+AU565*Assumptions!$I$9+AV565*Assumptions!$I$10+AX565*Assumptions!$I$11+AY565*Assumptions!$I$12,2),"")</f>
        <v>44.09</v>
      </c>
      <c r="BA565" s="0" t="str">
        <f aca="false">IF(AZ565="","",IF(AZ565&lt;=Assumptions!$I$18,"Below Expectation",IF(AZ565&lt;=Assumptions!$I$19,"Developing",IF(AZ565&lt;=Assumptions!$I$20,"Meets Expectation",IF(AZ565&lt;=Assumptions!$I$21,"Exceeds","Star Performer")))))</f>
        <v>Developing</v>
      </c>
      <c r="BB565" s="0" t="n">
        <f aca="false">IF(AZ565="",0,IF(AZ565&gt;=Assumptions!$I$26,1,0))</f>
        <v>0</v>
      </c>
      <c r="BC565" s="9" t="n">
        <f aca="false">IF(AL565="",2,AL565+2)</f>
        <v>1</v>
      </c>
      <c r="BD565" s="10" t="n">
        <f aca="false">IF(AM565="",ROUND(AVERAGE($AM$2:$AM$921),3),AM565)</f>
        <v>0.548</v>
      </c>
      <c r="BE565" s="9" t="n">
        <f aca="false">1-BD565</f>
        <v>0.452</v>
      </c>
    </row>
    <row r="566" customFormat="false" ht="14.25" hidden="true" customHeight="false" outlineLevel="0" collapsed="false">
      <c r="A566" s="4" t="n">
        <v>507</v>
      </c>
      <c r="B566" s="5" t="n">
        <v>55045166</v>
      </c>
      <c r="C566" s="5" t="s">
        <v>85</v>
      </c>
      <c r="D566" s="5" t="s">
        <v>2130</v>
      </c>
      <c r="E566" s="5" t="s">
        <v>185</v>
      </c>
      <c r="F566" s="5" t="s">
        <v>431</v>
      </c>
      <c r="G566" s="5" t="s">
        <v>430</v>
      </c>
      <c r="H566" s="5" t="s">
        <v>431</v>
      </c>
      <c r="I566" s="5" t="s">
        <v>63</v>
      </c>
      <c r="J566" s="5" t="s">
        <v>76</v>
      </c>
      <c r="K566" s="5" t="s">
        <v>309</v>
      </c>
      <c r="L566" s="6" t="n">
        <v>44537</v>
      </c>
      <c r="M566" s="5" t="s">
        <v>1867</v>
      </c>
      <c r="N566" s="6" t="n">
        <v>35819</v>
      </c>
      <c r="O566" s="5" t="s">
        <v>365</v>
      </c>
      <c r="P566" s="5" t="s">
        <v>365</v>
      </c>
      <c r="Q566" s="5" t="s">
        <v>352</v>
      </c>
      <c r="R566" s="5" t="s">
        <v>1860</v>
      </c>
      <c r="S566" s="5" t="s">
        <v>487</v>
      </c>
      <c r="T566" s="6"/>
      <c r="U566" s="6"/>
      <c r="V566" s="5" t="s">
        <v>631</v>
      </c>
      <c r="W566" s="5" t="s">
        <v>141</v>
      </c>
      <c r="X566" s="5" t="s">
        <v>141</v>
      </c>
      <c r="Y566" s="5" t="s">
        <v>141</v>
      </c>
      <c r="Z566" s="5" t="s">
        <v>631</v>
      </c>
      <c r="AA566" s="5" t="s">
        <v>2131</v>
      </c>
      <c r="AB566" s="0" t="n">
        <f aca="false">IFERROR(VALUE(R566),0)</f>
        <v>1.1</v>
      </c>
      <c r="AC566" s="0" t="n">
        <f aca="false">IFERROR(VALUE(M566),"")</f>
        <v>28.4</v>
      </c>
      <c r="AD566" s="0" t="n">
        <f aca="false">IFERROR(VALUE(Q566),"")</f>
        <v>4.6</v>
      </c>
      <c r="AE566" s="0" t="n">
        <f aca="false">IFERROR(VALUE(S566),"")</f>
        <v>6.4</v>
      </c>
      <c r="AF566" s="0" t="n">
        <f aca="false">IF(V566="","",VLOOKUP(V566,Assumptions!$B$6:$C$9,2,FALSE()))</f>
        <v>2</v>
      </c>
      <c r="AG566" s="0" t="n">
        <f aca="false">IF(W566="","",VLOOKUP(W566,Assumptions!$B$6:$C$9,2,FALSE()))</f>
        <v>3</v>
      </c>
      <c r="AH566" s="0" t="n">
        <f aca="false">IF(X566="","",VLOOKUP(X566,Assumptions!$B$6:$C$9,2,FALSE()))</f>
        <v>3</v>
      </c>
      <c r="AI566" s="0" t="n">
        <f aca="false">IF(Y566="","",VLOOKUP(Y566,Assumptions!$B$6:$C$9,2,FALSE()))</f>
        <v>3</v>
      </c>
      <c r="AJ566" s="0" t="n">
        <f aca="false">IF(Z566="","",VLOOKUP(Z566,Assumptions!$B$6:$C$9,2,FALSE()))</f>
        <v>2</v>
      </c>
      <c r="AK566" s="7" t="n">
        <f aca="false">IFERROR(ROUND(AVERAGE(AF566:AJ566),3),"")</f>
        <v>2.6</v>
      </c>
      <c r="AL566" s="7" t="n">
        <f aca="false">IF(OR(AF566="",AJ566=""),"",AJ566-AF566)</f>
        <v>0</v>
      </c>
      <c r="AM566" s="7" t="n">
        <f aca="false">IF(COUNT(AF566:AJ566)&gt;=2,ROUND(_xlfn.STDEV.S(AF566:AJ566),3),"")</f>
        <v>0.548</v>
      </c>
      <c r="AN566" s="7" t="n">
        <f aca="false">ROUND((IF(AF566="",0,AF566)*Assumptions!$F$15)+(IF(AG566="",0,AG566)*Assumptions!$F$16)+(IF(AH566="",0,AH566)*Assumptions!$F$17)+(IF(AI566="",0,AI566)*Assumptions!$F$18)+(IF(AJ566="",0,AJ566)*Assumptions!$F$19),3)</f>
        <v>2.6</v>
      </c>
      <c r="AO566" s="0" t="str">
        <f aca="false">IF(AC566&lt;=20,"",IF(AC566&lt;=Assumptions!$F$6,"20-30",IF(AC566&lt;=Assumptions!$F$7,"30-40",IF(AC566&lt;=Assumptions!$F$8,"40-50",IF(AC566&lt;=Assumptions!$F$9,"50-60",IF(AC566&lt;=Assumptions!$F$10,"60+",""))))))</f>
        <v>20-30</v>
      </c>
      <c r="AP566" s="0" t="str">
        <f aca="false">IFERROR(VLOOKUP(O566,Assumptions!$B$14:$C$26,2,FALSE()),"Other")</f>
        <v>Manager</v>
      </c>
      <c r="AQ566" s="0" t="n">
        <f aca="false">IF(T566="",0,1)</f>
        <v>0</v>
      </c>
      <c r="AR566" s="0" t="n">
        <f aca="false">IF(U566="",0,1)</f>
        <v>0</v>
      </c>
      <c r="AS566" s="8" t="n">
        <f aca="false">IF(AK566="","",IF(MAX($AK$2:$AK$921)=MIN($AK$2:$AK$921),50,ROUND((AK566-MIN($AK$2:$AK$921))/(MAX($AK$2:$AK$921)-MIN($AK$2:$AK$921))*100,2)))</f>
        <v>39.99</v>
      </c>
      <c r="AT566" s="8" t="n">
        <f aca="false">IF(MAX($BC$2:$BC$921)=MIN($BC$2:$BC$921),50,ROUND((BC566-MIN($BC$2:$BC$921))/(MAX($BC$2:$BC$921)-MIN($BC$2:$BC$921))*100,2))</f>
        <v>50</v>
      </c>
      <c r="AU566" s="8" t="n">
        <f aca="false">IF(MAX($BE$2:$BE$921)=MIN($BE$2:$BE$921),50,ROUND((BE566-MIN($BE$2:$BE$921))/(MAX($BE$2:$BE$921)-MIN($BE$2:$BE$921))*100,2))</f>
        <v>68.36</v>
      </c>
      <c r="AV566" s="8" t="n">
        <f aca="false">IF(MAX($AD$2:$AD$921)=MIN($AD$2:$AD$921),50,ROUND((AD566-MIN($AD$2:$AD$921))/(MAX($AD$2:$AD$921)-MIN($AD$2:$AD$921))*100,2))</f>
        <v>12.2</v>
      </c>
      <c r="AW566" s="8" t="n">
        <f aca="false">IF(MAX($AN$2:$AN$921)=MIN($AN$2:$AN$921),50,ROUND((AN566-MIN($AN$2:$AN$921))/(MAX($AN$2:$AN$921)-MIN($AN$2:$AN$921))*100,2))</f>
        <v>65</v>
      </c>
      <c r="AX566" s="8" t="n">
        <f aca="false">AQ566*100</f>
        <v>0</v>
      </c>
      <c r="AY566" s="8" t="n">
        <f aca="false">AR566*100</f>
        <v>0</v>
      </c>
      <c r="AZ566" s="8" t="n">
        <f aca="false">IFERROR(ROUND(AS566*Assumptions!$I$6+AW566*Assumptions!$I$7+AT566*Assumptions!$I$8+AU566*Assumptions!$I$9+AV566*Assumptions!$I$10+AX566*Assumptions!$I$11+AY566*Assumptions!$I$12,2),"")</f>
        <v>43.97</v>
      </c>
      <c r="BA566" s="0" t="str">
        <f aca="false">IF(AZ566="","",IF(AZ566&lt;=Assumptions!$I$18,"Below Expectation",IF(AZ566&lt;=Assumptions!$I$19,"Developing",IF(AZ566&lt;=Assumptions!$I$20,"Meets Expectation",IF(AZ566&lt;=Assumptions!$I$21,"Exceeds","Star Performer")))))</f>
        <v>Developing</v>
      </c>
      <c r="BB566" s="0" t="n">
        <f aca="false">IF(AZ566="",0,IF(AZ566&gt;=Assumptions!$I$26,1,0))</f>
        <v>0</v>
      </c>
      <c r="BC566" s="9" t="n">
        <f aca="false">IF(AL566="",2,AL566+2)</f>
        <v>2</v>
      </c>
      <c r="BD566" s="10" t="n">
        <f aca="false">IF(AM566="",ROUND(AVERAGE($AM$2:$AM$921),3),AM566)</f>
        <v>0.548</v>
      </c>
      <c r="BE566" s="9" t="n">
        <f aca="false">1-BD566</f>
        <v>0.452</v>
      </c>
    </row>
    <row r="567" customFormat="false" ht="14.25" hidden="true" customHeight="false" outlineLevel="0" collapsed="false">
      <c r="A567" s="4" t="n">
        <v>698</v>
      </c>
      <c r="B567" s="5" t="n">
        <v>55064080</v>
      </c>
      <c r="C567" s="5" t="s">
        <v>57</v>
      </c>
      <c r="D567" s="5" t="s">
        <v>2132</v>
      </c>
      <c r="E567" s="5" t="s">
        <v>208</v>
      </c>
      <c r="F567" s="5" t="s">
        <v>387</v>
      </c>
      <c r="G567" s="5" t="s">
        <v>388</v>
      </c>
      <c r="H567" s="5" t="s">
        <v>387</v>
      </c>
      <c r="I567" s="5" t="s">
        <v>63</v>
      </c>
      <c r="J567" s="5" t="s">
        <v>100</v>
      </c>
      <c r="K567" s="5" t="s">
        <v>309</v>
      </c>
      <c r="L567" s="6" t="n">
        <v>44931</v>
      </c>
      <c r="M567" s="5" t="s">
        <v>2133</v>
      </c>
      <c r="N567" s="6" t="n">
        <v>31646</v>
      </c>
      <c r="O567" s="5" t="s">
        <v>332</v>
      </c>
      <c r="P567" s="5" t="s">
        <v>333</v>
      </c>
      <c r="Q567" s="5" t="s">
        <v>164</v>
      </c>
      <c r="R567" s="5" t="s">
        <v>425</v>
      </c>
      <c r="S567" s="5" t="s">
        <v>1013</v>
      </c>
      <c r="T567" s="6"/>
      <c r="U567" s="6"/>
      <c r="V567" s="5"/>
      <c r="W567" s="5"/>
      <c r="X567" s="5" t="s">
        <v>631</v>
      </c>
      <c r="Y567" s="5" t="s">
        <v>141</v>
      </c>
      <c r="Z567" s="5" t="s">
        <v>83</v>
      </c>
      <c r="AA567" s="5" t="s">
        <v>2134</v>
      </c>
      <c r="AB567" s="0" t="n">
        <f aca="false">IFERROR(VALUE(R567),0)</f>
        <v>9.5</v>
      </c>
      <c r="AC567" s="0" t="n">
        <f aca="false">IFERROR(VALUE(M567),"")</f>
        <v>39.9</v>
      </c>
      <c r="AD567" s="0" t="n">
        <f aca="false">IFERROR(VALUE(Q567),"")</f>
        <v>3.5</v>
      </c>
      <c r="AE567" s="0" t="n">
        <f aca="false">IFERROR(VALUE(S567),"")</f>
        <v>12.1</v>
      </c>
      <c r="AF567" s="0" t="str">
        <f aca="false">IF(V567="","",VLOOKUP(V567,Assumptions!$B$6:$C$9,2,FALSE()))</f>
        <v/>
      </c>
      <c r="AG567" s="0" t="str">
        <f aca="false">IF(W567="","",VLOOKUP(W567,Assumptions!$B$6:$C$9,2,FALSE()))</f>
        <v/>
      </c>
      <c r="AH567" s="0" t="n">
        <f aca="false">IF(X567="","",VLOOKUP(X567,Assumptions!$B$6:$C$9,2,FALSE()))</f>
        <v>2</v>
      </c>
      <c r="AI567" s="0" t="n">
        <f aca="false">IF(Y567="","",VLOOKUP(Y567,Assumptions!$B$6:$C$9,2,FALSE()))</f>
        <v>3</v>
      </c>
      <c r="AJ567" s="0" t="n">
        <f aca="false">IF(Z567="","",VLOOKUP(Z567,Assumptions!$B$6:$C$9,2,FALSE()))</f>
        <v>4</v>
      </c>
      <c r="AK567" s="7" t="n">
        <f aca="false">IFERROR(ROUND(AVERAGE(AF567:AJ567),3),"")</f>
        <v>3</v>
      </c>
      <c r="AL567" s="7" t="str">
        <f aca="false">IF(OR(AF567="",AJ567=""),"",AJ567-AF567)</f>
        <v/>
      </c>
      <c r="AM567" s="7" t="n">
        <f aca="false">IF(COUNT(AF567:AJ567)&gt;=2,ROUND(_xlfn.STDEV.S(AF567:AJ567),3),"")</f>
        <v>1</v>
      </c>
      <c r="AN567" s="7" t="n">
        <f aca="false">ROUND((IF(AF567="",0,AF567)*Assumptions!$F$15)+(IF(AG567="",0,AG567)*Assumptions!$F$16)+(IF(AH567="",0,AH567)*Assumptions!$F$17)+(IF(AI567="",0,AI567)*Assumptions!$F$18)+(IF(AJ567="",0,AJ567)*Assumptions!$F$19),3)</f>
        <v>2.35</v>
      </c>
      <c r="AO567" s="0" t="str">
        <f aca="false">IF(AC567&lt;=20,"",IF(AC567&lt;=Assumptions!$F$6,"20-30",IF(AC567&lt;=Assumptions!$F$7,"30-40",IF(AC567&lt;=Assumptions!$F$8,"40-50",IF(AC567&lt;=Assumptions!$F$9,"50-60",IF(AC567&lt;=Assumptions!$F$10,"60+",""))))))</f>
        <v>30-40</v>
      </c>
      <c r="AP567" s="0" t="str">
        <f aca="false">IFERROR(VLOOKUP(O567,Assumptions!$B$14:$C$26,2,FALSE()),"Other")</f>
        <v>Manager</v>
      </c>
      <c r="AQ567" s="0" t="n">
        <f aca="false">IF(T567="",0,1)</f>
        <v>0</v>
      </c>
      <c r="AR567" s="0" t="n">
        <f aca="false">IF(U567="",0,1)</f>
        <v>0</v>
      </c>
      <c r="AS567" s="8" t="n">
        <f aca="false">IF(AK567="","",IF(MAX($AK$2:$AK$921)=MIN($AK$2:$AK$921),50,ROUND((AK567-MIN($AK$2:$AK$921))/(MAX($AK$2:$AK$921)-MIN($AK$2:$AK$921))*100,2)))</f>
        <v>57.14</v>
      </c>
      <c r="AT567" s="8" t="n">
        <f aca="false">IF(MAX($BC$2:$BC$921)=MIN($BC$2:$BC$921),50,ROUND((BC567-MIN($BC$2:$BC$921))/(MAX($BC$2:$BC$921)-MIN($BC$2:$BC$921))*100,2))</f>
        <v>50</v>
      </c>
      <c r="AU567" s="8" t="n">
        <f aca="false">IF(MAX($BE$2:$BE$921)=MIN($BE$2:$BE$921),50,ROUND((BE567-MIN($BE$2:$BE$921))/(MAX($BE$2:$BE$921)-MIN($BE$2:$BE$921))*100,2))</f>
        <v>42.26</v>
      </c>
      <c r="AV567" s="8" t="n">
        <f aca="false">IF(MAX($AD$2:$AD$921)=MIN($AD$2:$AD$921),50,ROUND((AD567-MIN($AD$2:$AD$921))/(MAX($AD$2:$AD$921)-MIN($AD$2:$AD$921))*100,2))</f>
        <v>9.21</v>
      </c>
      <c r="AW567" s="8" t="n">
        <f aca="false">IF(MAX($AN$2:$AN$921)=MIN($AN$2:$AN$921),50,ROUND((AN567-MIN($AN$2:$AN$921))/(MAX($AN$2:$AN$921)-MIN($AN$2:$AN$921))*100,2))</f>
        <v>58.75</v>
      </c>
      <c r="AX567" s="8" t="n">
        <f aca="false">AQ567*100</f>
        <v>0</v>
      </c>
      <c r="AY567" s="8" t="n">
        <f aca="false">AR567*100</f>
        <v>0</v>
      </c>
      <c r="AZ567" s="8" t="n">
        <f aca="false">IFERROR(ROUND(AS567*Assumptions!$I$6+AW567*Assumptions!$I$7+AT567*Assumptions!$I$8+AU567*Assumptions!$I$9+AV567*Assumptions!$I$10+AX567*Assumptions!$I$11+AY567*Assumptions!$I$12,2),"")</f>
        <v>43.65</v>
      </c>
      <c r="BA567" s="0" t="str">
        <f aca="false">IF(AZ567="","",IF(AZ567&lt;=Assumptions!$I$18,"Below Expectation",IF(AZ567&lt;=Assumptions!$I$19,"Developing",IF(AZ567&lt;=Assumptions!$I$20,"Meets Expectation",IF(AZ567&lt;=Assumptions!$I$21,"Exceeds","Star Performer")))))</f>
        <v>Developing</v>
      </c>
      <c r="BB567" s="0" t="n">
        <f aca="false">IF(AZ567="",0,IF(AZ567&gt;=Assumptions!$I$26,1,0))</f>
        <v>0</v>
      </c>
      <c r="BC567" s="9" t="n">
        <f aca="false">IF(AL567="",2,AL567+2)</f>
        <v>2</v>
      </c>
      <c r="BD567" s="10" t="n">
        <f aca="false">IF(AM567="",ROUND(AVERAGE($AM$2:$AM$921),3),AM567)</f>
        <v>1</v>
      </c>
      <c r="BE567" s="9" t="n">
        <f aca="false">1-BD567</f>
        <v>0</v>
      </c>
    </row>
    <row r="568" customFormat="false" ht="14.25" hidden="true" customHeight="false" outlineLevel="0" collapsed="false">
      <c r="A568" s="4" t="n">
        <v>699</v>
      </c>
      <c r="B568" s="5" t="n">
        <v>55064414</v>
      </c>
      <c r="C568" s="5" t="s">
        <v>85</v>
      </c>
      <c r="D568" s="5" t="s">
        <v>2135</v>
      </c>
      <c r="E568" s="5" t="s">
        <v>185</v>
      </c>
      <c r="F568" s="5" t="s">
        <v>2136</v>
      </c>
      <c r="G568" s="5" t="s">
        <v>2137</v>
      </c>
      <c r="H568" s="5" t="s">
        <v>2136</v>
      </c>
      <c r="I568" s="5" t="s">
        <v>63</v>
      </c>
      <c r="J568" s="5" t="s">
        <v>76</v>
      </c>
      <c r="K568" s="5" t="s">
        <v>309</v>
      </c>
      <c r="L568" s="6" t="n">
        <v>44938</v>
      </c>
      <c r="M568" s="5" t="s">
        <v>574</v>
      </c>
      <c r="N568" s="6" t="n">
        <v>36755</v>
      </c>
      <c r="O568" s="5" t="s">
        <v>1264</v>
      </c>
      <c r="P568" s="5" t="s">
        <v>1559</v>
      </c>
      <c r="Q568" s="5" t="s">
        <v>768</v>
      </c>
      <c r="R568" s="5" t="s">
        <v>115</v>
      </c>
      <c r="S568" s="5" t="s">
        <v>768</v>
      </c>
      <c r="T568" s="6"/>
      <c r="U568" s="6"/>
      <c r="V568" s="5"/>
      <c r="W568" s="5"/>
      <c r="X568" s="5" t="s">
        <v>631</v>
      </c>
      <c r="Y568" s="5" t="s">
        <v>141</v>
      </c>
      <c r="Z568" s="5" t="s">
        <v>83</v>
      </c>
      <c r="AA568" s="5" t="s">
        <v>2138</v>
      </c>
      <c r="AB568" s="0" t="n">
        <f aca="false">IFERROR(VALUE(R568),0)</f>
        <v>0</v>
      </c>
      <c r="AC568" s="0" t="n">
        <f aca="false">IFERROR(VALUE(M568),"")</f>
        <v>25.9</v>
      </c>
      <c r="AD568" s="0" t="n">
        <f aca="false">IFERROR(VALUE(Q568),"")</f>
        <v>3.4</v>
      </c>
      <c r="AE568" s="0" t="n">
        <f aca="false">IFERROR(VALUE(S568),"")</f>
        <v>3.4</v>
      </c>
      <c r="AF568" s="0" t="str">
        <f aca="false">IF(V568="","",VLOOKUP(V568,Assumptions!$B$6:$C$9,2,FALSE()))</f>
        <v/>
      </c>
      <c r="AG568" s="0" t="str">
        <f aca="false">IF(W568="","",VLOOKUP(W568,Assumptions!$B$6:$C$9,2,FALSE()))</f>
        <v/>
      </c>
      <c r="AH568" s="0" t="n">
        <f aca="false">IF(X568="","",VLOOKUP(X568,Assumptions!$B$6:$C$9,2,FALSE()))</f>
        <v>2</v>
      </c>
      <c r="AI568" s="0" t="n">
        <f aca="false">IF(Y568="","",VLOOKUP(Y568,Assumptions!$B$6:$C$9,2,FALSE()))</f>
        <v>3</v>
      </c>
      <c r="AJ568" s="0" t="n">
        <f aca="false">IF(Z568="","",VLOOKUP(Z568,Assumptions!$B$6:$C$9,2,FALSE()))</f>
        <v>4</v>
      </c>
      <c r="AK568" s="7" t="n">
        <f aca="false">IFERROR(ROUND(AVERAGE(AF568:AJ568),3),"")</f>
        <v>3</v>
      </c>
      <c r="AL568" s="7" t="str">
        <f aca="false">IF(OR(AF568="",AJ568=""),"",AJ568-AF568)</f>
        <v/>
      </c>
      <c r="AM568" s="7" t="n">
        <f aca="false">IF(COUNT(AF568:AJ568)&gt;=2,ROUND(_xlfn.STDEV.S(AF568:AJ568),3),"")</f>
        <v>1</v>
      </c>
      <c r="AN568" s="7" t="n">
        <f aca="false">ROUND((IF(AF568="",0,AF568)*Assumptions!$F$15)+(IF(AG568="",0,AG568)*Assumptions!$F$16)+(IF(AH568="",0,AH568)*Assumptions!$F$17)+(IF(AI568="",0,AI568)*Assumptions!$F$18)+(IF(AJ568="",0,AJ568)*Assumptions!$F$19),3)</f>
        <v>2.35</v>
      </c>
      <c r="AO568" s="0" t="str">
        <f aca="false">IF(AC568&lt;=20,"",IF(AC568&lt;=Assumptions!$F$6,"20-30",IF(AC568&lt;=Assumptions!$F$7,"30-40",IF(AC568&lt;=Assumptions!$F$8,"40-50",IF(AC568&lt;=Assumptions!$F$9,"50-60",IF(AC568&lt;=Assumptions!$F$10,"60+",""))))))</f>
        <v>20-30</v>
      </c>
      <c r="AP568" s="0" t="str">
        <f aca="false">IFERROR(VLOOKUP(O568,Assumptions!$B$14:$C$26,2,FALSE()),"Other")</f>
        <v>Manager</v>
      </c>
      <c r="AQ568" s="0" t="n">
        <f aca="false">IF(T568="",0,1)</f>
        <v>0</v>
      </c>
      <c r="AR568" s="0" t="n">
        <f aca="false">IF(U568="",0,1)</f>
        <v>0</v>
      </c>
      <c r="AS568" s="8" t="n">
        <f aca="false">IF(AK568="","",IF(MAX($AK$2:$AK$921)=MIN($AK$2:$AK$921),50,ROUND((AK568-MIN($AK$2:$AK$921))/(MAX($AK$2:$AK$921)-MIN($AK$2:$AK$921))*100,2)))</f>
        <v>57.14</v>
      </c>
      <c r="AT568" s="8" t="n">
        <f aca="false">IF(MAX($BC$2:$BC$921)=MIN($BC$2:$BC$921),50,ROUND((BC568-MIN($BC$2:$BC$921))/(MAX($BC$2:$BC$921)-MIN($BC$2:$BC$921))*100,2))</f>
        <v>50</v>
      </c>
      <c r="AU568" s="8" t="n">
        <f aca="false">IF(MAX($BE$2:$BE$921)=MIN($BE$2:$BE$921),50,ROUND((BE568-MIN($BE$2:$BE$921))/(MAX($BE$2:$BE$921)-MIN($BE$2:$BE$921))*100,2))</f>
        <v>42.26</v>
      </c>
      <c r="AV568" s="8" t="n">
        <f aca="false">IF(MAX($AD$2:$AD$921)=MIN($AD$2:$AD$921),50,ROUND((AD568-MIN($AD$2:$AD$921))/(MAX($AD$2:$AD$921)-MIN($AD$2:$AD$921))*100,2))</f>
        <v>8.94</v>
      </c>
      <c r="AW568" s="8" t="n">
        <f aca="false">IF(MAX($AN$2:$AN$921)=MIN($AN$2:$AN$921),50,ROUND((AN568-MIN($AN$2:$AN$921))/(MAX($AN$2:$AN$921)-MIN($AN$2:$AN$921))*100,2))</f>
        <v>58.75</v>
      </c>
      <c r="AX568" s="8" t="n">
        <f aca="false">AQ568*100</f>
        <v>0</v>
      </c>
      <c r="AY568" s="8" t="n">
        <f aca="false">AR568*100</f>
        <v>0</v>
      </c>
      <c r="AZ568" s="8" t="n">
        <f aca="false">IFERROR(ROUND(AS568*Assumptions!$I$6+AW568*Assumptions!$I$7+AT568*Assumptions!$I$8+AU568*Assumptions!$I$9+AV568*Assumptions!$I$10+AX568*Assumptions!$I$11+AY568*Assumptions!$I$12,2),"")</f>
        <v>43.63</v>
      </c>
      <c r="BA568" s="0" t="str">
        <f aca="false">IF(AZ568="","",IF(AZ568&lt;=Assumptions!$I$18,"Below Expectation",IF(AZ568&lt;=Assumptions!$I$19,"Developing",IF(AZ568&lt;=Assumptions!$I$20,"Meets Expectation",IF(AZ568&lt;=Assumptions!$I$21,"Exceeds","Star Performer")))))</f>
        <v>Developing</v>
      </c>
      <c r="BB568" s="0" t="n">
        <f aca="false">IF(AZ568="",0,IF(AZ568&gt;=Assumptions!$I$26,1,0))</f>
        <v>0</v>
      </c>
      <c r="BC568" s="9" t="n">
        <f aca="false">IF(AL568="",2,AL568+2)</f>
        <v>2</v>
      </c>
      <c r="BD568" s="10" t="n">
        <f aca="false">IF(AM568="",ROUND(AVERAGE($AM$2:$AM$921),3),AM568)</f>
        <v>1</v>
      </c>
      <c r="BE568" s="9" t="n">
        <f aca="false">1-BD568</f>
        <v>0</v>
      </c>
    </row>
    <row r="569" customFormat="false" ht="14.25" hidden="true" customHeight="false" outlineLevel="0" collapsed="false">
      <c r="A569" s="4" t="n">
        <v>702</v>
      </c>
      <c r="B569" s="5" t="n">
        <v>55065025</v>
      </c>
      <c r="C569" s="5" t="s">
        <v>57</v>
      </c>
      <c r="D569" s="5" t="s">
        <v>2139</v>
      </c>
      <c r="E569" s="5" t="s">
        <v>208</v>
      </c>
      <c r="F569" s="5" t="s">
        <v>608</v>
      </c>
      <c r="G569" s="5" t="s">
        <v>609</v>
      </c>
      <c r="H569" s="5" t="s">
        <v>608</v>
      </c>
      <c r="I569" s="5" t="s">
        <v>63</v>
      </c>
      <c r="J569" s="5" t="s">
        <v>100</v>
      </c>
      <c r="K569" s="5" t="s">
        <v>309</v>
      </c>
      <c r="L569" s="6" t="n">
        <v>44953</v>
      </c>
      <c r="M569" s="5" t="s">
        <v>1370</v>
      </c>
      <c r="N569" s="6" t="n">
        <v>35793</v>
      </c>
      <c r="O569" s="5" t="s">
        <v>365</v>
      </c>
      <c r="P569" s="5" t="s">
        <v>365</v>
      </c>
      <c r="Q569" s="5" t="s">
        <v>768</v>
      </c>
      <c r="R569" s="5" t="s">
        <v>156</v>
      </c>
      <c r="S569" s="5" t="s">
        <v>495</v>
      </c>
      <c r="T569" s="6"/>
      <c r="U569" s="6"/>
      <c r="V569" s="5"/>
      <c r="W569" s="5"/>
      <c r="X569" s="5" t="s">
        <v>631</v>
      </c>
      <c r="Y569" s="5" t="s">
        <v>141</v>
      </c>
      <c r="Z569" s="5" t="s">
        <v>83</v>
      </c>
      <c r="AA569" s="5" t="s">
        <v>2140</v>
      </c>
      <c r="AB569" s="0" t="n">
        <f aca="false">IFERROR(VALUE(R569),0)</f>
        <v>2.11</v>
      </c>
      <c r="AC569" s="0" t="n">
        <f aca="false">IFERROR(VALUE(M569),"")</f>
        <v>28.5</v>
      </c>
      <c r="AD569" s="0" t="n">
        <f aca="false">IFERROR(VALUE(Q569),"")</f>
        <v>3.4</v>
      </c>
      <c r="AE569" s="0" t="n">
        <f aca="false">IFERROR(VALUE(S569),"")</f>
        <v>6.3</v>
      </c>
      <c r="AF569" s="0" t="str">
        <f aca="false">IF(V569="","",VLOOKUP(V569,Assumptions!$B$6:$C$9,2,FALSE()))</f>
        <v/>
      </c>
      <c r="AG569" s="0" t="str">
        <f aca="false">IF(W569="","",VLOOKUP(W569,Assumptions!$B$6:$C$9,2,FALSE()))</f>
        <v/>
      </c>
      <c r="AH569" s="0" t="n">
        <f aca="false">IF(X569="","",VLOOKUP(X569,Assumptions!$B$6:$C$9,2,FALSE()))</f>
        <v>2</v>
      </c>
      <c r="AI569" s="0" t="n">
        <f aca="false">IF(Y569="","",VLOOKUP(Y569,Assumptions!$B$6:$C$9,2,FALSE()))</f>
        <v>3</v>
      </c>
      <c r="AJ569" s="0" t="n">
        <f aca="false">IF(Z569="","",VLOOKUP(Z569,Assumptions!$B$6:$C$9,2,FALSE()))</f>
        <v>4</v>
      </c>
      <c r="AK569" s="7" t="n">
        <f aca="false">IFERROR(ROUND(AVERAGE(AF569:AJ569),3),"")</f>
        <v>3</v>
      </c>
      <c r="AL569" s="7" t="str">
        <f aca="false">IF(OR(AF569="",AJ569=""),"",AJ569-AF569)</f>
        <v/>
      </c>
      <c r="AM569" s="7" t="n">
        <f aca="false">IF(COUNT(AF569:AJ569)&gt;=2,ROUND(_xlfn.STDEV.S(AF569:AJ569),3),"")</f>
        <v>1</v>
      </c>
      <c r="AN569" s="7" t="n">
        <f aca="false">ROUND((IF(AF569="",0,AF569)*Assumptions!$F$15)+(IF(AG569="",0,AG569)*Assumptions!$F$16)+(IF(AH569="",0,AH569)*Assumptions!$F$17)+(IF(AI569="",0,AI569)*Assumptions!$F$18)+(IF(AJ569="",0,AJ569)*Assumptions!$F$19),3)</f>
        <v>2.35</v>
      </c>
      <c r="AO569" s="0" t="str">
        <f aca="false">IF(AC569&lt;=20,"",IF(AC569&lt;=Assumptions!$F$6,"20-30",IF(AC569&lt;=Assumptions!$F$7,"30-40",IF(AC569&lt;=Assumptions!$F$8,"40-50",IF(AC569&lt;=Assumptions!$F$9,"50-60",IF(AC569&lt;=Assumptions!$F$10,"60+",""))))))</f>
        <v>20-30</v>
      </c>
      <c r="AP569" s="0" t="str">
        <f aca="false">IFERROR(VLOOKUP(O569,Assumptions!$B$14:$C$26,2,FALSE()),"Other")</f>
        <v>Manager</v>
      </c>
      <c r="AQ569" s="0" t="n">
        <f aca="false">IF(T569="",0,1)</f>
        <v>0</v>
      </c>
      <c r="AR569" s="0" t="n">
        <f aca="false">IF(U569="",0,1)</f>
        <v>0</v>
      </c>
      <c r="AS569" s="8" t="n">
        <f aca="false">IF(AK569="","",IF(MAX($AK$2:$AK$921)=MIN($AK$2:$AK$921),50,ROUND((AK569-MIN($AK$2:$AK$921))/(MAX($AK$2:$AK$921)-MIN($AK$2:$AK$921))*100,2)))</f>
        <v>57.14</v>
      </c>
      <c r="AT569" s="8" t="n">
        <f aca="false">IF(MAX($BC$2:$BC$921)=MIN($BC$2:$BC$921),50,ROUND((BC569-MIN($BC$2:$BC$921))/(MAX($BC$2:$BC$921)-MIN($BC$2:$BC$921))*100,2))</f>
        <v>50</v>
      </c>
      <c r="AU569" s="8" t="n">
        <f aca="false">IF(MAX($BE$2:$BE$921)=MIN($BE$2:$BE$921),50,ROUND((BE569-MIN($BE$2:$BE$921))/(MAX($BE$2:$BE$921)-MIN($BE$2:$BE$921))*100,2))</f>
        <v>42.26</v>
      </c>
      <c r="AV569" s="8" t="n">
        <f aca="false">IF(MAX($AD$2:$AD$921)=MIN($AD$2:$AD$921),50,ROUND((AD569-MIN($AD$2:$AD$921))/(MAX($AD$2:$AD$921)-MIN($AD$2:$AD$921))*100,2))</f>
        <v>8.94</v>
      </c>
      <c r="AW569" s="8" t="n">
        <f aca="false">IF(MAX($AN$2:$AN$921)=MIN($AN$2:$AN$921),50,ROUND((AN569-MIN($AN$2:$AN$921))/(MAX($AN$2:$AN$921)-MIN($AN$2:$AN$921))*100,2))</f>
        <v>58.75</v>
      </c>
      <c r="AX569" s="8" t="n">
        <f aca="false">AQ569*100</f>
        <v>0</v>
      </c>
      <c r="AY569" s="8" t="n">
        <f aca="false">AR569*100</f>
        <v>0</v>
      </c>
      <c r="AZ569" s="8" t="n">
        <f aca="false">IFERROR(ROUND(AS569*Assumptions!$I$6+AW569*Assumptions!$I$7+AT569*Assumptions!$I$8+AU569*Assumptions!$I$9+AV569*Assumptions!$I$10+AX569*Assumptions!$I$11+AY569*Assumptions!$I$12,2),"")</f>
        <v>43.63</v>
      </c>
      <c r="BA569" s="0" t="str">
        <f aca="false">IF(AZ569="","",IF(AZ569&lt;=Assumptions!$I$18,"Below Expectation",IF(AZ569&lt;=Assumptions!$I$19,"Developing",IF(AZ569&lt;=Assumptions!$I$20,"Meets Expectation",IF(AZ569&lt;=Assumptions!$I$21,"Exceeds","Star Performer")))))</f>
        <v>Developing</v>
      </c>
      <c r="BB569" s="0" t="n">
        <f aca="false">IF(AZ569="",0,IF(AZ569&gt;=Assumptions!$I$26,1,0))</f>
        <v>0</v>
      </c>
      <c r="BC569" s="9" t="n">
        <f aca="false">IF(AL569="",2,AL569+2)</f>
        <v>2</v>
      </c>
      <c r="BD569" s="10" t="n">
        <f aca="false">IF(AM569="",ROUND(AVERAGE($AM$2:$AM$921),3),AM569)</f>
        <v>1</v>
      </c>
      <c r="BE569" s="9" t="n">
        <f aca="false">1-BD569</f>
        <v>0</v>
      </c>
    </row>
    <row r="570" customFormat="false" ht="14.25" hidden="true" customHeight="false" outlineLevel="0" collapsed="false">
      <c r="A570" s="4" t="n">
        <v>255</v>
      </c>
      <c r="B570" s="5" t="n">
        <v>10066472</v>
      </c>
      <c r="C570" s="5" t="s">
        <v>85</v>
      </c>
      <c r="D570" s="5" t="s">
        <v>2141</v>
      </c>
      <c r="E570" s="5" t="s">
        <v>137</v>
      </c>
      <c r="F570" s="5" t="s">
        <v>431</v>
      </c>
      <c r="G570" s="5" t="s">
        <v>430</v>
      </c>
      <c r="H570" s="5" t="s">
        <v>431</v>
      </c>
      <c r="I570" s="5" t="s">
        <v>63</v>
      </c>
      <c r="J570" s="5" t="s">
        <v>76</v>
      </c>
      <c r="K570" s="5" t="s">
        <v>65</v>
      </c>
      <c r="L570" s="6" t="n">
        <v>43444</v>
      </c>
      <c r="M570" s="5" t="s">
        <v>202</v>
      </c>
      <c r="N570" s="6" t="n">
        <v>31753</v>
      </c>
      <c r="O570" s="5" t="s">
        <v>365</v>
      </c>
      <c r="P570" s="5" t="s">
        <v>365</v>
      </c>
      <c r="Q570" s="5" t="s">
        <v>847</v>
      </c>
      <c r="R570" s="5" t="s">
        <v>81</v>
      </c>
      <c r="S570" s="5" t="s">
        <v>341</v>
      </c>
      <c r="T570" s="6"/>
      <c r="U570" s="6"/>
      <c r="V570" s="5" t="s">
        <v>2030</v>
      </c>
      <c r="W570" s="5" t="s">
        <v>631</v>
      </c>
      <c r="X570" s="5" t="s">
        <v>141</v>
      </c>
      <c r="Y570" s="5" t="s">
        <v>631</v>
      </c>
      <c r="Z570" s="5" t="s">
        <v>141</v>
      </c>
      <c r="AA570" s="5" t="s">
        <v>2142</v>
      </c>
      <c r="AB570" s="0" t="n">
        <f aca="false">IFERROR(VALUE(R570),0)</f>
        <v>4.5</v>
      </c>
      <c r="AC570" s="0" t="n">
        <f aca="false">IFERROR(VALUE(M570),"")</f>
        <v>39.6</v>
      </c>
      <c r="AD570" s="0" t="n">
        <f aca="false">IFERROR(VALUE(Q570),"")</f>
        <v>7.5</v>
      </c>
      <c r="AE570" s="0" t="n">
        <f aca="false">IFERROR(VALUE(S570),"")</f>
        <v>11.1</v>
      </c>
      <c r="AF570" s="0" t="n">
        <f aca="false">IF(V570="","",VLOOKUP(V570,Assumptions!$B$6:$C$9,2,FALSE()))</f>
        <v>1</v>
      </c>
      <c r="AG570" s="0" t="n">
        <f aca="false">IF(W570="","",VLOOKUP(W570,Assumptions!$B$6:$C$9,2,FALSE()))</f>
        <v>2</v>
      </c>
      <c r="AH570" s="0" t="n">
        <f aca="false">IF(X570="","",VLOOKUP(X570,Assumptions!$B$6:$C$9,2,FALSE()))</f>
        <v>3</v>
      </c>
      <c r="AI570" s="0" t="n">
        <f aca="false">IF(Y570="","",VLOOKUP(Y570,Assumptions!$B$6:$C$9,2,FALSE()))</f>
        <v>2</v>
      </c>
      <c r="AJ570" s="0" t="n">
        <f aca="false">IF(Z570="","",VLOOKUP(Z570,Assumptions!$B$6:$C$9,2,FALSE()))</f>
        <v>3</v>
      </c>
      <c r="AK570" s="7" t="n">
        <f aca="false">IFERROR(ROUND(AVERAGE(AF570:AJ570),3),"")</f>
        <v>2.2</v>
      </c>
      <c r="AL570" s="7" t="n">
        <f aca="false">IF(OR(AF570="",AJ570=""),"",AJ570-AF570)</f>
        <v>2</v>
      </c>
      <c r="AM570" s="7" t="n">
        <f aca="false">IF(COUNT(AF570:AJ570)&gt;=2,ROUND(_xlfn.STDEV.S(AF570:AJ570),3),"")</f>
        <v>0.837</v>
      </c>
      <c r="AN570" s="7" t="n">
        <f aca="false">ROUND((IF(AF570="",0,AF570)*Assumptions!$F$15)+(IF(AG570="",0,AG570)*Assumptions!$F$16)+(IF(AH570="",0,AH570)*Assumptions!$F$17)+(IF(AI570="",0,AI570)*Assumptions!$F$18)+(IF(AJ570="",0,AJ570)*Assumptions!$F$19),3)</f>
        <v>2.4</v>
      </c>
      <c r="AO570" s="0" t="str">
        <f aca="false">IF(AC570&lt;=20,"",IF(AC570&lt;=Assumptions!$F$6,"20-30",IF(AC570&lt;=Assumptions!$F$7,"30-40",IF(AC570&lt;=Assumptions!$F$8,"40-50",IF(AC570&lt;=Assumptions!$F$9,"50-60",IF(AC570&lt;=Assumptions!$F$10,"60+",""))))))</f>
        <v>30-40</v>
      </c>
      <c r="AP570" s="0" t="str">
        <f aca="false">IFERROR(VLOOKUP(O570,Assumptions!$B$14:$C$26,2,FALSE()),"Other")</f>
        <v>Manager</v>
      </c>
      <c r="AQ570" s="0" t="n">
        <f aca="false">IF(T570="",0,1)</f>
        <v>0</v>
      </c>
      <c r="AR570" s="0" t="n">
        <f aca="false">IF(U570="",0,1)</f>
        <v>0</v>
      </c>
      <c r="AS570" s="8" t="n">
        <f aca="false">IF(AK570="","",IF(MAX($AK$2:$AK$921)=MIN($AK$2:$AK$921),50,ROUND((AK570-MIN($AK$2:$AK$921))/(MAX($AK$2:$AK$921)-MIN($AK$2:$AK$921))*100,2)))</f>
        <v>22.85</v>
      </c>
      <c r="AT570" s="8" t="n">
        <f aca="false">IF(MAX($BC$2:$BC$921)=MIN($BC$2:$BC$921),50,ROUND((BC570-MIN($BC$2:$BC$921))/(MAX($BC$2:$BC$921)-MIN($BC$2:$BC$921))*100,2))</f>
        <v>100</v>
      </c>
      <c r="AU570" s="8" t="n">
        <f aca="false">IF(MAX($BE$2:$BE$921)=MIN($BE$2:$BE$921),50,ROUND((BE570-MIN($BE$2:$BE$921))/(MAX($BE$2:$BE$921)-MIN($BE$2:$BE$921))*100,2))</f>
        <v>51.67</v>
      </c>
      <c r="AV570" s="8" t="n">
        <f aca="false">IF(MAX($AD$2:$AD$921)=MIN($AD$2:$AD$921),50,ROUND((AD570-MIN($AD$2:$AD$921))/(MAX($AD$2:$AD$921)-MIN($AD$2:$AD$921))*100,2))</f>
        <v>20.09</v>
      </c>
      <c r="AW570" s="8" t="n">
        <f aca="false">IF(MAX($AN$2:$AN$921)=MIN($AN$2:$AN$921),50,ROUND((AN570-MIN($AN$2:$AN$921))/(MAX($AN$2:$AN$921)-MIN($AN$2:$AN$921))*100,2))</f>
        <v>60</v>
      </c>
      <c r="AX570" s="8" t="n">
        <f aca="false">AQ570*100</f>
        <v>0</v>
      </c>
      <c r="AY570" s="8" t="n">
        <f aca="false">AR570*100</f>
        <v>0</v>
      </c>
      <c r="AZ570" s="8" t="n">
        <f aca="false">IFERROR(ROUND(AS570*Assumptions!$I$6+AW570*Assumptions!$I$7+AT570*Assumptions!$I$8+AU570*Assumptions!$I$9+AV570*Assumptions!$I$10+AX570*Assumptions!$I$11+AY570*Assumptions!$I$12,2),"")</f>
        <v>43.61</v>
      </c>
      <c r="BA570" s="0" t="str">
        <f aca="false">IF(AZ570="","",IF(AZ570&lt;=Assumptions!$I$18,"Below Expectation",IF(AZ570&lt;=Assumptions!$I$19,"Developing",IF(AZ570&lt;=Assumptions!$I$20,"Meets Expectation",IF(AZ570&lt;=Assumptions!$I$21,"Exceeds","Star Performer")))))</f>
        <v>Developing</v>
      </c>
      <c r="BB570" s="0" t="n">
        <f aca="false">IF(AZ570="",0,IF(AZ570&gt;=Assumptions!$I$26,1,0))</f>
        <v>0</v>
      </c>
      <c r="BC570" s="9" t="n">
        <f aca="false">IF(AL570="",2,AL570+2)</f>
        <v>4</v>
      </c>
      <c r="BD570" s="10" t="n">
        <f aca="false">IF(AM570="",ROUND(AVERAGE($AM$2:$AM$921),3),AM570)</f>
        <v>0.837</v>
      </c>
      <c r="BE570" s="9" t="n">
        <f aca="false">1-BD570</f>
        <v>0.163</v>
      </c>
    </row>
    <row r="571" customFormat="false" ht="14.25" hidden="true" customHeight="false" outlineLevel="0" collapsed="false">
      <c r="A571" s="4" t="n">
        <v>119</v>
      </c>
      <c r="B571" s="5" t="n">
        <v>10037095</v>
      </c>
      <c r="C571" s="5" t="s">
        <v>526</v>
      </c>
      <c r="D571" s="5" t="s">
        <v>2143</v>
      </c>
      <c r="E571" s="5" t="s">
        <v>1008</v>
      </c>
      <c r="F571" s="5" t="s">
        <v>258</v>
      </c>
      <c r="G571" s="5" t="s">
        <v>259</v>
      </c>
      <c r="H571" s="5" t="s">
        <v>260</v>
      </c>
      <c r="I571" s="5" t="s">
        <v>63</v>
      </c>
      <c r="J571" s="5" t="s">
        <v>100</v>
      </c>
      <c r="K571" s="5" t="s">
        <v>65</v>
      </c>
      <c r="L571" s="6" t="n">
        <v>41393</v>
      </c>
      <c r="M571" s="5" t="s">
        <v>2144</v>
      </c>
      <c r="N571" s="6" t="n">
        <v>29821</v>
      </c>
      <c r="O571" s="5" t="s">
        <v>262</v>
      </c>
      <c r="P571" s="5" t="s">
        <v>263</v>
      </c>
      <c r="Q571" s="5" t="s">
        <v>762</v>
      </c>
      <c r="R571" s="5" t="s">
        <v>403</v>
      </c>
      <c r="S571" s="5" t="s">
        <v>1173</v>
      </c>
      <c r="T571" s="6"/>
      <c r="U571" s="6"/>
      <c r="V571" s="5" t="s">
        <v>83</v>
      </c>
      <c r="W571" s="5" t="s">
        <v>141</v>
      </c>
      <c r="X571" s="5" t="s">
        <v>141</v>
      </c>
      <c r="Y571" s="5" t="s">
        <v>141</v>
      </c>
      <c r="Z571" s="5" t="s">
        <v>631</v>
      </c>
      <c r="AA571" s="5" t="s">
        <v>2145</v>
      </c>
      <c r="AB571" s="0" t="n">
        <f aca="false">IFERROR(VALUE(R571),0)</f>
        <v>10</v>
      </c>
      <c r="AC571" s="0" t="n">
        <f aca="false">IFERROR(VALUE(M571),"")</f>
        <v>44.9</v>
      </c>
      <c r="AD571" s="0" t="n">
        <f aca="false">IFERROR(VALUE(Q571),"")</f>
        <v>13.1</v>
      </c>
      <c r="AE571" s="0" t="n">
        <f aca="false">IFERROR(VALUE(S571),"")</f>
        <v>23.1</v>
      </c>
      <c r="AF571" s="0" t="n">
        <f aca="false">IF(V571="","",VLOOKUP(V571,Assumptions!$B$6:$C$9,2,FALSE()))</f>
        <v>4</v>
      </c>
      <c r="AG571" s="0" t="n">
        <f aca="false">IF(W571="","",VLOOKUP(W571,Assumptions!$B$6:$C$9,2,FALSE()))</f>
        <v>3</v>
      </c>
      <c r="AH571" s="0" t="n">
        <f aca="false">IF(X571="","",VLOOKUP(X571,Assumptions!$B$6:$C$9,2,FALSE()))</f>
        <v>3</v>
      </c>
      <c r="AI571" s="0" t="n">
        <f aca="false">IF(Y571="","",VLOOKUP(Y571,Assumptions!$B$6:$C$9,2,FALSE()))</f>
        <v>3</v>
      </c>
      <c r="AJ571" s="0" t="n">
        <f aca="false">IF(Z571="","",VLOOKUP(Z571,Assumptions!$B$6:$C$9,2,FALSE()))</f>
        <v>2</v>
      </c>
      <c r="AK571" s="7" t="n">
        <f aca="false">IFERROR(ROUND(AVERAGE(AF571:AJ571),3),"")</f>
        <v>3</v>
      </c>
      <c r="AL571" s="7" t="n">
        <f aca="false">IF(OR(AF571="",AJ571=""),"",AJ571-AF571)</f>
        <v>-2</v>
      </c>
      <c r="AM571" s="7" t="n">
        <f aca="false">IF(COUNT(AF571:AJ571)&gt;=2,ROUND(_xlfn.STDEV.S(AF571:AJ571),3),"")</f>
        <v>0.707</v>
      </c>
      <c r="AN571" s="7" t="n">
        <f aca="false">ROUND((IF(AF571="",0,AF571)*Assumptions!$F$15)+(IF(AG571="",0,AG571)*Assumptions!$F$16)+(IF(AH571="",0,AH571)*Assumptions!$F$17)+(IF(AI571="",0,AI571)*Assumptions!$F$18)+(IF(AJ571="",0,AJ571)*Assumptions!$F$19),3)</f>
        <v>2.8</v>
      </c>
      <c r="AO571" s="0" t="str">
        <f aca="false">IF(AC571&lt;=20,"",IF(AC571&lt;=Assumptions!$F$6,"20-30",IF(AC571&lt;=Assumptions!$F$7,"30-40",IF(AC571&lt;=Assumptions!$F$8,"40-50",IF(AC571&lt;=Assumptions!$F$9,"50-60",IF(AC571&lt;=Assumptions!$F$10,"60+",""))))))</f>
        <v>40-50</v>
      </c>
      <c r="AP571" s="0" t="str">
        <f aca="false">IFERROR(VLOOKUP(O571,Assumptions!$B$14:$C$26,2,FALSE()),"Other")</f>
        <v>Manager</v>
      </c>
      <c r="AQ571" s="0" t="n">
        <f aca="false">IF(T571="",0,1)</f>
        <v>0</v>
      </c>
      <c r="AR571" s="0" t="n">
        <f aca="false">IF(U571="",0,1)</f>
        <v>0</v>
      </c>
      <c r="AS571" s="8" t="n">
        <f aca="false">IF(AK571="","",IF(MAX($AK$2:$AK$921)=MIN($AK$2:$AK$921),50,ROUND((AK571-MIN($AK$2:$AK$921))/(MAX($AK$2:$AK$921)-MIN($AK$2:$AK$921))*100,2)))</f>
        <v>57.14</v>
      </c>
      <c r="AT571" s="8" t="n">
        <f aca="false">IF(MAX($BC$2:$BC$921)=MIN($BC$2:$BC$921),50,ROUND((BC571-MIN($BC$2:$BC$921))/(MAX($BC$2:$BC$921)-MIN($BC$2:$BC$921))*100,2))</f>
        <v>0</v>
      </c>
      <c r="AU571" s="8" t="n">
        <f aca="false">IF(MAX($BE$2:$BE$921)=MIN($BE$2:$BE$921),50,ROUND((BE571-MIN($BE$2:$BE$921))/(MAX($BE$2:$BE$921)-MIN($BE$2:$BE$921))*100,2))</f>
        <v>59.18</v>
      </c>
      <c r="AV571" s="8" t="n">
        <f aca="false">IF(MAX($AD$2:$AD$921)=MIN($AD$2:$AD$921),50,ROUND((AD571-MIN($AD$2:$AD$921))/(MAX($AD$2:$AD$921)-MIN($AD$2:$AD$921))*100,2))</f>
        <v>35.31</v>
      </c>
      <c r="AW571" s="8" t="n">
        <f aca="false">IF(MAX($AN$2:$AN$921)=MIN($AN$2:$AN$921),50,ROUND((AN571-MIN($AN$2:$AN$921))/(MAX($AN$2:$AN$921)-MIN($AN$2:$AN$921))*100,2))</f>
        <v>70</v>
      </c>
      <c r="AX571" s="8" t="n">
        <f aca="false">AQ571*100</f>
        <v>0</v>
      </c>
      <c r="AY571" s="8" t="n">
        <f aca="false">AR571*100</f>
        <v>0</v>
      </c>
      <c r="AZ571" s="8" t="n">
        <f aca="false">IFERROR(ROUND(AS571*Assumptions!$I$6+AW571*Assumptions!$I$7+AT571*Assumptions!$I$8+AU571*Assumptions!$I$9+AV571*Assumptions!$I$10+AX571*Assumptions!$I$11+AY571*Assumptions!$I$12,2),"")</f>
        <v>43.55</v>
      </c>
      <c r="BA571" s="0" t="str">
        <f aca="false">IF(AZ571="","",IF(AZ571&lt;=Assumptions!$I$18,"Below Expectation",IF(AZ571&lt;=Assumptions!$I$19,"Developing",IF(AZ571&lt;=Assumptions!$I$20,"Meets Expectation",IF(AZ571&lt;=Assumptions!$I$21,"Exceeds","Star Performer")))))</f>
        <v>Developing</v>
      </c>
      <c r="BB571" s="0" t="n">
        <f aca="false">IF(AZ571="",0,IF(AZ571&gt;=Assumptions!$I$26,1,0))</f>
        <v>0</v>
      </c>
      <c r="BC571" s="9" t="n">
        <f aca="false">IF(AL571="",2,AL571+2)</f>
        <v>0</v>
      </c>
      <c r="BD571" s="10" t="n">
        <f aca="false">IF(AM571="",ROUND(AVERAGE($AM$2:$AM$921),3),AM571)</f>
        <v>0.707</v>
      </c>
      <c r="BE571" s="9" t="n">
        <f aca="false">1-BD571</f>
        <v>0.293</v>
      </c>
    </row>
    <row r="572" customFormat="false" ht="14.25" hidden="false" customHeight="false" outlineLevel="0" collapsed="false">
      <c r="A572" s="4" t="n">
        <v>753</v>
      </c>
      <c r="B572" s="5" t="n">
        <v>55077232</v>
      </c>
      <c r="C572" s="5" t="s">
        <v>106</v>
      </c>
      <c r="D572" s="5" t="s">
        <v>2146</v>
      </c>
      <c r="E572" s="5" t="s">
        <v>1494</v>
      </c>
      <c r="F572" s="5" t="s">
        <v>1977</v>
      </c>
      <c r="G572" s="5" t="s">
        <v>2147</v>
      </c>
      <c r="H572" s="5" t="s">
        <v>2148</v>
      </c>
      <c r="I572" s="5" t="s">
        <v>63</v>
      </c>
      <c r="J572" s="5" t="s">
        <v>112</v>
      </c>
      <c r="K572" s="5" t="s">
        <v>309</v>
      </c>
      <c r="L572" s="6" t="n">
        <v>45160</v>
      </c>
      <c r="M572" s="5" t="s">
        <v>1414</v>
      </c>
      <c r="N572" s="6" t="n">
        <v>35886</v>
      </c>
      <c r="O572" s="5" t="s">
        <v>365</v>
      </c>
      <c r="P572" s="5" t="s">
        <v>365</v>
      </c>
      <c r="Q572" s="5" t="s">
        <v>219</v>
      </c>
      <c r="R572" s="5" t="s">
        <v>115</v>
      </c>
      <c r="S572" s="5" t="s">
        <v>219</v>
      </c>
      <c r="T572" s="6"/>
      <c r="U572" s="6"/>
      <c r="V572" s="5"/>
      <c r="W572" s="5"/>
      <c r="X572" s="5" t="s">
        <v>631</v>
      </c>
      <c r="Y572" s="5" t="s">
        <v>141</v>
      </c>
      <c r="Z572" s="5" t="s">
        <v>83</v>
      </c>
      <c r="AA572" s="5" t="s">
        <v>2149</v>
      </c>
      <c r="AB572" s="0" t="n">
        <f aca="false">IFERROR(VALUE(R572),0)</f>
        <v>0</v>
      </c>
      <c r="AC572" s="0" t="n">
        <f aca="false">IFERROR(VALUE(M572),"")</f>
        <v>28.2</v>
      </c>
      <c r="AD572" s="0" t="n">
        <f aca="false">IFERROR(VALUE(Q572),"")</f>
        <v>2.9</v>
      </c>
      <c r="AE572" s="0" t="n">
        <f aca="false">IFERROR(VALUE(S572),"")</f>
        <v>2.9</v>
      </c>
      <c r="AF572" s="0" t="str">
        <f aca="false">IF(V572="","",VLOOKUP(V572,Assumptions!$B$6:$C$9,2,FALSE()))</f>
        <v/>
      </c>
      <c r="AG572" s="0" t="str">
        <f aca="false">IF(W572="","",VLOOKUP(W572,Assumptions!$B$6:$C$9,2,FALSE()))</f>
        <v/>
      </c>
      <c r="AH572" s="0" t="n">
        <f aca="false">IF(X572="","",VLOOKUP(X572,Assumptions!$B$6:$C$9,2,FALSE()))</f>
        <v>2</v>
      </c>
      <c r="AI572" s="0" t="n">
        <f aca="false">IF(Y572="","",VLOOKUP(Y572,Assumptions!$B$6:$C$9,2,FALSE()))</f>
        <v>3</v>
      </c>
      <c r="AJ572" s="0" t="n">
        <f aca="false">IF(Z572="","",VLOOKUP(Z572,Assumptions!$B$6:$C$9,2,FALSE()))</f>
        <v>4</v>
      </c>
      <c r="AK572" s="7" t="n">
        <f aca="false">IFERROR(ROUND(AVERAGE(AF572:AJ572),3),"")</f>
        <v>3</v>
      </c>
      <c r="AL572" s="7" t="str">
        <f aca="false">IF(OR(AF572="",AJ572=""),"",AJ572-AF572)</f>
        <v/>
      </c>
      <c r="AM572" s="7" t="n">
        <f aca="false">IF(COUNT(AF572:AJ572)&gt;=2,ROUND(_xlfn.STDEV.S(AF572:AJ572),3),"")</f>
        <v>1</v>
      </c>
      <c r="AN572" s="7" t="n">
        <f aca="false">ROUND((IF(AF572="",0,AF572)*Assumptions!$F$15)+(IF(AG572="",0,AG572)*Assumptions!$F$16)+(IF(AH572="",0,AH572)*Assumptions!$F$17)+(IF(AI572="",0,AI572)*Assumptions!$F$18)+(IF(AJ572="",0,AJ572)*Assumptions!$F$19),3)</f>
        <v>2.35</v>
      </c>
      <c r="AO572" s="0" t="str">
        <f aca="false">IF(AC572&lt;=20,"",IF(AC572&lt;=Assumptions!$F$6,"20-30",IF(AC572&lt;=Assumptions!$F$7,"30-40",IF(AC572&lt;=Assumptions!$F$8,"40-50",IF(AC572&lt;=Assumptions!$F$9,"50-60",IF(AC572&lt;=Assumptions!$F$10,"60+",""))))))</f>
        <v>20-30</v>
      </c>
      <c r="AP572" s="0" t="str">
        <f aca="false">IFERROR(VLOOKUP(O572,Assumptions!$B$14:$C$26,2,FALSE()),"Other")</f>
        <v>Manager</v>
      </c>
      <c r="AQ572" s="0" t="n">
        <f aca="false">IF(T572="",0,1)</f>
        <v>0</v>
      </c>
      <c r="AR572" s="0" t="n">
        <f aca="false">IF(U572="",0,1)</f>
        <v>0</v>
      </c>
      <c r="AS572" s="8" t="n">
        <f aca="false">IF(AK572="","",IF(MAX($AK$2:$AK$921)=MIN($AK$2:$AK$921),50,ROUND((AK572-MIN($AK$2:$AK$921))/(MAX($AK$2:$AK$921)-MIN($AK$2:$AK$921))*100,2)))</f>
        <v>57.14</v>
      </c>
      <c r="AT572" s="8" t="n">
        <f aca="false">IF(MAX($BC$2:$BC$921)=MIN($BC$2:$BC$921),50,ROUND((BC572-MIN($BC$2:$BC$921))/(MAX($BC$2:$BC$921)-MIN($BC$2:$BC$921))*100,2))</f>
        <v>50</v>
      </c>
      <c r="AU572" s="8" t="n">
        <f aca="false">IF(MAX($BE$2:$BE$921)=MIN($BE$2:$BE$921),50,ROUND((BE572-MIN($BE$2:$BE$921))/(MAX($BE$2:$BE$921)-MIN($BE$2:$BE$921))*100,2))</f>
        <v>42.26</v>
      </c>
      <c r="AV572" s="8" t="n">
        <f aca="false">IF(MAX($AD$2:$AD$921)=MIN($AD$2:$AD$921),50,ROUND((AD572-MIN($AD$2:$AD$921))/(MAX($AD$2:$AD$921)-MIN($AD$2:$AD$921))*100,2))</f>
        <v>7.58</v>
      </c>
      <c r="AW572" s="8" t="n">
        <f aca="false">IF(MAX($AN$2:$AN$921)=MIN($AN$2:$AN$921),50,ROUND((AN572-MIN($AN$2:$AN$921))/(MAX($AN$2:$AN$921)-MIN($AN$2:$AN$921))*100,2))</f>
        <v>58.75</v>
      </c>
      <c r="AX572" s="8" t="n">
        <f aca="false">AQ572*100</f>
        <v>0</v>
      </c>
      <c r="AY572" s="8" t="n">
        <f aca="false">AR572*100</f>
        <v>0</v>
      </c>
      <c r="AZ572" s="8" t="n">
        <f aca="false">IFERROR(ROUND(AS572*Assumptions!$I$6+AW572*Assumptions!$I$7+AT572*Assumptions!$I$8+AU572*Assumptions!$I$9+AV572*Assumptions!$I$10+AX572*Assumptions!$I$11+AY572*Assumptions!$I$12,2),"")</f>
        <v>43.49</v>
      </c>
      <c r="BA572" s="0" t="str">
        <f aca="false">IF(AZ572="","",IF(AZ572&lt;=Assumptions!$I$18,"Below Expectation",IF(AZ572&lt;=Assumptions!$I$19,"Developing",IF(AZ572&lt;=Assumptions!$I$20,"Meets Expectation",IF(AZ572&lt;=Assumptions!$I$21,"Exceeds","Star Performer")))))</f>
        <v>Developing</v>
      </c>
      <c r="BB572" s="0" t="n">
        <f aca="false">IF(AZ572="",0,IF(AZ572&gt;=Assumptions!$I$26,1,0))</f>
        <v>0</v>
      </c>
      <c r="BC572" s="9" t="n">
        <f aca="false">IF(AL572="",2,AL572+2)</f>
        <v>2</v>
      </c>
      <c r="BD572" s="10" t="n">
        <f aca="false">IF(AM572="",ROUND(AVERAGE($AM$2:$AM$921),3),AM572)</f>
        <v>1</v>
      </c>
      <c r="BE572" s="9" t="n">
        <f aca="false">1-BD572</f>
        <v>0</v>
      </c>
    </row>
    <row r="573" customFormat="false" ht="14.25" hidden="false" customHeight="false" outlineLevel="0" collapsed="false">
      <c r="A573" s="4" t="n">
        <v>757</v>
      </c>
      <c r="B573" s="5" t="n">
        <v>55085958</v>
      </c>
      <c r="C573" s="5" t="s">
        <v>106</v>
      </c>
      <c r="D573" s="5" t="s">
        <v>2150</v>
      </c>
      <c r="E573" s="5" t="s">
        <v>108</v>
      </c>
      <c r="F573" s="5" t="s">
        <v>590</v>
      </c>
      <c r="G573" s="5" t="s">
        <v>589</v>
      </c>
      <c r="H573" s="5" t="s">
        <v>590</v>
      </c>
      <c r="I573" s="5" t="s">
        <v>63</v>
      </c>
      <c r="J573" s="5" t="s">
        <v>112</v>
      </c>
      <c r="K573" s="5" t="s">
        <v>309</v>
      </c>
      <c r="L573" s="6" t="n">
        <v>45224</v>
      </c>
      <c r="M573" s="5" t="s">
        <v>916</v>
      </c>
      <c r="N573" s="6" t="n">
        <v>36940</v>
      </c>
      <c r="O573" s="5" t="s">
        <v>1264</v>
      </c>
      <c r="P573" s="5" t="s">
        <v>1559</v>
      </c>
      <c r="Q573" s="5" t="s">
        <v>195</v>
      </c>
      <c r="R573" s="5" t="s">
        <v>115</v>
      </c>
      <c r="S573" s="5" t="s">
        <v>195</v>
      </c>
      <c r="T573" s="6"/>
      <c r="U573" s="6"/>
      <c r="V573" s="5"/>
      <c r="W573" s="5"/>
      <c r="X573" s="5" t="s">
        <v>631</v>
      </c>
      <c r="Y573" s="5" t="s">
        <v>141</v>
      </c>
      <c r="Z573" s="5" t="s">
        <v>83</v>
      </c>
      <c r="AA573" s="5" t="s">
        <v>2151</v>
      </c>
      <c r="AB573" s="0" t="n">
        <f aca="false">IFERROR(VALUE(R573),0)</f>
        <v>0</v>
      </c>
      <c r="AC573" s="0" t="n">
        <f aca="false">IFERROR(VALUE(M573),"")</f>
        <v>25.3</v>
      </c>
      <c r="AD573" s="0" t="n">
        <f aca="false">IFERROR(VALUE(Q573),"")</f>
        <v>2.7</v>
      </c>
      <c r="AE573" s="0" t="n">
        <f aca="false">IFERROR(VALUE(S573),"")</f>
        <v>2.7</v>
      </c>
      <c r="AF573" s="0" t="str">
        <f aca="false">IF(V573="","",VLOOKUP(V573,Assumptions!$B$6:$C$9,2,FALSE()))</f>
        <v/>
      </c>
      <c r="AG573" s="0" t="str">
        <f aca="false">IF(W573="","",VLOOKUP(W573,Assumptions!$B$6:$C$9,2,FALSE()))</f>
        <v/>
      </c>
      <c r="AH573" s="0" t="n">
        <f aca="false">IF(X573="","",VLOOKUP(X573,Assumptions!$B$6:$C$9,2,FALSE()))</f>
        <v>2</v>
      </c>
      <c r="AI573" s="0" t="n">
        <f aca="false">IF(Y573="","",VLOOKUP(Y573,Assumptions!$B$6:$C$9,2,FALSE()))</f>
        <v>3</v>
      </c>
      <c r="AJ573" s="0" t="n">
        <f aca="false">IF(Z573="","",VLOOKUP(Z573,Assumptions!$B$6:$C$9,2,FALSE()))</f>
        <v>4</v>
      </c>
      <c r="AK573" s="7" t="n">
        <f aca="false">IFERROR(ROUND(AVERAGE(AF573:AJ573),3),"")</f>
        <v>3</v>
      </c>
      <c r="AL573" s="7" t="str">
        <f aca="false">IF(OR(AF573="",AJ573=""),"",AJ573-AF573)</f>
        <v/>
      </c>
      <c r="AM573" s="7" t="n">
        <f aca="false">IF(COUNT(AF573:AJ573)&gt;=2,ROUND(_xlfn.STDEV.S(AF573:AJ573),3),"")</f>
        <v>1</v>
      </c>
      <c r="AN573" s="7" t="n">
        <f aca="false">ROUND((IF(AF573="",0,AF573)*Assumptions!$F$15)+(IF(AG573="",0,AG573)*Assumptions!$F$16)+(IF(AH573="",0,AH573)*Assumptions!$F$17)+(IF(AI573="",0,AI573)*Assumptions!$F$18)+(IF(AJ573="",0,AJ573)*Assumptions!$F$19),3)</f>
        <v>2.35</v>
      </c>
      <c r="AO573" s="0" t="str">
        <f aca="false">IF(AC573&lt;=20,"",IF(AC573&lt;=Assumptions!$F$6,"20-30",IF(AC573&lt;=Assumptions!$F$7,"30-40",IF(AC573&lt;=Assumptions!$F$8,"40-50",IF(AC573&lt;=Assumptions!$F$9,"50-60",IF(AC573&lt;=Assumptions!$F$10,"60+",""))))))</f>
        <v>20-30</v>
      </c>
      <c r="AP573" s="0" t="str">
        <f aca="false">IFERROR(VLOOKUP(O573,Assumptions!$B$14:$C$26,2,FALSE()),"Other")</f>
        <v>Manager</v>
      </c>
      <c r="AQ573" s="0" t="n">
        <f aca="false">IF(T573="",0,1)</f>
        <v>0</v>
      </c>
      <c r="AR573" s="0" t="n">
        <f aca="false">IF(U573="",0,1)</f>
        <v>0</v>
      </c>
      <c r="AS573" s="8" t="n">
        <f aca="false">IF(AK573="","",IF(MAX($AK$2:$AK$921)=MIN($AK$2:$AK$921),50,ROUND((AK573-MIN($AK$2:$AK$921))/(MAX($AK$2:$AK$921)-MIN($AK$2:$AK$921))*100,2)))</f>
        <v>57.14</v>
      </c>
      <c r="AT573" s="8" t="n">
        <f aca="false">IF(MAX($BC$2:$BC$921)=MIN($BC$2:$BC$921),50,ROUND((BC573-MIN($BC$2:$BC$921))/(MAX($BC$2:$BC$921)-MIN($BC$2:$BC$921))*100,2))</f>
        <v>50</v>
      </c>
      <c r="AU573" s="8" t="n">
        <f aca="false">IF(MAX($BE$2:$BE$921)=MIN($BE$2:$BE$921),50,ROUND((BE573-MIN($BE$2:$BE$921))/(MAX($BE$2:$BE$921)-MIN($BE$2:$BE$921))*100,2))</f>
        <v>42.26</v>
      </c>
      <c r="AV573" s="8" t="n">
        <f aca="false">IF(MAX($AD$2:$AD$921)=MIN($AD$2:$AD$921),50,ROUND((AD573-MIN($AD$2:$AD$921))/(MAX($AD$2:$AD$921)-MIN($AD$2:$AD$921))*100,2))</f>
        <v>7.04</v>
      </c>
      <c r="AW573" s="8" t="n">
        <f aca="false">IF(MAX($AN$2:$AN$921)=MIN($AN$2:$AN$921),50,ROUND((AN573-MIN($AN$2:$AN$921))/(MAX($AN$2:$AN$921)-MIN($AN$2:$AN$921))*100,2))</f>
        <v>58.75</v>
      </c>
      <c r="AX573" s="8" t="n">
        <f aca="false">AQ573*100</f>
        <v>0</v>
      </c>
      <c r="AY573" s="8" t="n">
        <f aca="false">AR573*100</f>
        <v>0</v>
      </c>
      <c r="AZ573" s="8" t="n">
        <f aca="false">IFERROR(ROUND(AS573*Assumptions!$I$6+AW573*Assumptions!$I$7+AT573*Assumptions!$I$8+AU573*Assumptions!$I$9+AV573*Assumptions!$I$10+AX573*Assumptions!$I$11+AY573*Assumptions!$I$12,2),"")</f>
        <v>43.44</v>
      </c>
      <c r="BA573" s="0" t="str">
        <f aca="false">IF(AZ573="","",IF(AZ573&lt;=Assumptions!$I$18,"Below Expectation",IF(AZ573&lt;=Assumptions!$I$19,"Developing",IF(AZ573&lt;=Assumptions!$I$20,"Meets Expectation",IF(AZ573&lt;=Assumptions!$I$21,"Exceeds","Star Performer")))))</f>
        <v>Developing</v>
      </c>
      <c r="BB573" s="0" t="n">
        <f aca="false">IF(AZ573="",0,IF(AZ573&gt;=Assumptions!$I$26,1,0))</f>
        <v>0</v>
      </c>
      <c r="BC573" s="9" t="n">
        <f aca="false">IF(AL573="",2,AL573+2)</f>
        <v>2</v>
      </c>
      <c r="BD573" s="10" t="n">
        <f aca="false">IF(AM573="",ROUND(AVERAGE($AM$2:$AM$921),3),AM573)</f>
        <v>1</v>
      </c>
      <c r="BE573" s="9" t="n">
        <f aca="false">1-BD573</f>
        <v>0</v>
      </c>
    </row>
    <row r="574" customFormat="false" ht="14.25" hidden="false" customHeight="false" outlineLevel="0" collapsed="false">
      <c r="A574" s="4" t="n">
        <v>762</v>
      </c>
      <c r="B574" s="5" t="n">
        <v>55085970</v>
      </c>
      <c r="C574" s="5" t="s">
        <v>106</v>
      </c>
      <c r="D574" s="5" t="s">
        <v>2152</v>
      </c>
      <c r="E574" s="5" t="s">
        <v>108</v>
      </c>
      <c r="F574" s="5" t="s">
        <v>590</v>
      </c>
      <c r="G574" s="5" t="s">
        <v>589</v>
      </c>
      <c r="H574" s="5" t="s">
        <v>590</v>
      </c>
      <c r="I574" s="5" t="s">
        <v>63</v>
      </c>
      <c r="J574" s="5" t="s">
        <v>112</v>
      </c>
      <c r="K574" s="5" t="s">
        <v>309</v>
      </c>
      <c r="L574" s="6" t="n">
        <v>45224</v>
      </c>
      <c r="M574" s="5" t="s">
        <v>2098</v>
      </c>
      <c r="N574" s="6" t="n">
        <v>36840</v>
      </c>
      <c r="O574" s="5" t="s">
        <v>1264</v>
      </c>
      <c r="P574" s="5" t="s">
        <v>1559</v>
      </c>
      <c r="Q574" s="5" t="s">
        <v>195</v>
      </c>
      <c r="R574" s="5" t="s">
        <v>115</v>
      </c>
      <c r="S574" s="5" t="s">
        <v>195</v>
      </c>
      <c r="T574" s="6"/>
      <c r="U574" s="6"/>
      <c r="V574" s="5"/>
      <c r="W574" s="5"/>
      <c r="X574" s="5" t="s">
        <v>631</v>
      </c>
      <c r="Y574" s="5" t="s">
        <v>141</v>
      </c>
      <c r="Z574" s="5" t="s">
        <v>83</v>
      </c>
      <c r="AA574" s="5" t="s">
        <v>2153</v>
      </c>
      <c r="AB574" s="0" t="n">
        <f aca="false">IFERROR(VALUE(R574),0)</f>
        <v>0</v>
      </c>
      <c r="AC574" s="0" t="n">
        <f aca="false">IFERROR(VALUE(M574),"")</f>
        <v>25.6</v>
      </c>
      <c r="AD574" s="0" t="n">
        <f aca="false">IFERROR(VALUE(Q574),"")</f>
        <v>2.7</v>
      </c>
      <c r="AE574" s="0" t="n">
        <f aca="false">IFERROR(VALUE(S574),"")</f>
        <v>2.7</v>
      </c>
      <c r="AF574" s="0" t="str">
        <f aca="false">IF(V574="","",VLOOKUP(V574,Assumptions!$B$6:$C$9,2,FALSE()))</f>
        <v/>
      </c>
      <c r="AG574" s="0" t="str">
        <f aca="false">IF(W574="","",VLOOKUP(W574,Assumptions!$B$6:$C$9,2,FALSE()))</f>
        <v/>
      </c>
      <c r="AH574" s="0" t="n">
        <f aca="false">IF(X574="","",VLOOKUP(X574,Assumptions!$B$6:$C$9,2,FALSE()))</f>
        <v>2</v>
      </c>
      <c r="AI574" s="0" t="n">
        <f aca="false">IF(Y574="","",VLOOKUP(Y574,Assumptions!$B$6:$C$9,2,FALSE()))</f>
        <v>3</v>
      </c>
      <c r="AJ574" s="0" t="n">
        <f aca="false">IF(Z574="","",VLOOKUP(Z574,Assumptions!$B$6:$C$9,2,FALSE()))</f>
        <v>4</v>
      </c>
      <c r="AK574" s="7" t="n">
        <f aca="false">IFERROR(ROUND(AVERAGE(AF574:AJ574),3),"")</f>
        <v>3</v>
      </c>
      <c r="AL574" s="7" t="str">
        <f aca="false">IF(OR(AF574="",AJ574=""),"",AJ574-AF574)</f>
        <v/>
      </c>
      <c r="AM574" s="7" t="n">
        <f aca="false">IF(COUNT(AF574:AJ574)&gt;=2,ROUND(_xlfn.STDEV.S(AF574:AJ574),3),"")</f>
        <v>1</v>
      </c>
      <c r="AN574" s="7" t="n">
        <f aca="false">ROUND((IF(AF574="",0,AF574)*Assumptions!$F$15)+(IF(AG574="",0,AG574)*Assumptions!$F$16)+(IF(AH574="",0,AH574)*Assumptions!$F$17)+(IF(AI574="",0,AI574)*Assumptions!$F$18)+(IF(AJ574="",0,AJ574)*Assumptions!$F$19),3)</f>
        <v>2.35</v>
      </c>
      <c r="AO574" s="0" t="str">
        <f aca="false">IF(AC574&lt;=20,"",IF(AC574&lt;=Assumptions!$F$6,"20-30",IF(AC574&lt;=Assumptions!$F$7,"30-40",IF(AC574&lt;=Assumptions!$F$8,"40-50",IF(AC574&lt;=Assumptions!$F$9,"50-60",IF(AC574&lt;=Assumptions!$F$10,"60+",""))))))</f>
        <v>20-30</v>
      </c>
      <c r="AP574" s="0" t="str">
        <f aca="false">IFERROR(VLOOKUP(O574,Assumptions!$B$14:$C$26,2,FALSE()),"Other")</f>
        <v>Manager</v>
      </c>
      <c r="AQ574" s="0" t="n">
        <f aca="false">IF(T574="",0,1)</f>
        <v>0</v>
      </c>
      <c r="AR574" s="0" t="n">
        <f aca="false">IF(U574="",0,1)</f>
        <v>0</v>
      </c>
      <c r="AS574" s="8" t="n">
        <f aca="false">IF(AK574="","",IF(MAX($AK$2:$AK$921)=MIN($AK$2:$AK$921),50,ROUND((AK574-MIN($AK$2:$AK$921))/(MAX($AK$2:$AK$921)-MIN($AK$2:$AK$921))*100,2)))</f>
        <v>57.14</v>
      </c>
      <c r="AT574" s="8" t="n">
        <f aca="false">IF(MAX($BC$2:$BC$921)=MIN($BC$2:$BC$921),50,ROUND((BC574-MIN($BC$2:$BC$921))/(MAX($BC$2:$BC$921)-MIN($BC$2:$BC$921))*100,2))</f>
        <v>50</v>
      </c>
      <c r="AU574" s="8" t="n">
        <f aca="false">IF(MAX($BE$2:$BE$921)=MIN($BE$2:$BE$921),50,ROUND((BE574-MIN($BE$2:$BE$921))/(MAX($BE$2:$BE$921)-MIN($BE$2:$BE$921))*100,2))</f>
        <v>42.26</v>
      </c>
      <c r="AV574" s="8" t="n">
        <f aca="false">IF(MAX($AD$2:$AD$921)=MIN($AD$2:$AD$921),50,ROUND((AD574-MIN($AD$2:$AD$921))/(MAX($AD$2:$AD$921)-MIN($AD$2:$AD$921))*100,2))</f>
        <v>7.04</v>
      </c>
      <c r="AW574" s="8" t="n">
        <f aca="false">IF(MAX($AN$2:$AN$921)=MIN($AN$2:$AN$921),50,ROUND((AN574-MIN($AN$2:$AN$921))/(MAX($AN$2:$AN$921)-MIN($AN$2:$AN$921))*100,2))</f>
        <v>58.75</v>
      </c>
      <c r="AX574" s="8" t="n">
        <f aca="false">AQ574*100</f>
        <v>0</v>
      </c>
      <c r="AY574" s="8" t="n">
        <f aca="false">AR574*100</f>
        <v>0</v>
      </c>
      <c r="AZ574" s="8" t="n">
        <f aca="false">IFERROR(ROUND(AS574*Assumptions!$I$6+AW574*Assumptions!$I$7+AT574*Assumptions!$I$8+AU574*Assumptions!$I$9+AV574*Assumptions!$I$10+AX574*Assumptions!$I$11+AY574*Assumptions!$I$12,2),"")</f>
        <v>43.44</v>
      </c>
      <c r="BA574" s="0" t="str">
        <f aca="false">IF(AZ574="","",IF(AZ574&lt;=Assumptions!$I$18,"Below Expectation",IF(AZ574&lt;=Assumptions!$I$19,"Developing",IF(AZ574&lt;=Assumptions!$I$20,"Meets Expectation",IF(AZ574&lt;=Assumptions!$I$21,"Exceeds","Star Performer")))))</f>
        <v>Developing</v>
      </c>
      <c r="BB574" s="0" t="n">
        <f aca="false">IF(AZ574="",0,IF(AZ574&gt;=Assumptions!$I$26,1,0))</f>
        <v>0</v>
      </c>
      <c r="BC574" s="9" t="n">
        <f aca="false">IF(AL574="",2,AL574+2)</f>
        <v>2</v>
      </c>
      <c r="BD574" s="10" t="n">
        <f aca="false">IF(AM574="",ROUND(AVERAGE($AM$2:$AM$921),3),AM574)</f>
        <v>1</v>
      </c>
      <c r="BE574" s="9" t="n">
        <f aca="false">1-BD574</f>
        <v>0</v>
      </c>
    </row>
    <row r="575" customFormat="false" ht="14.25" hidden="true" customHeight="false" outlineLevel="0" collapsed="false">
      <c r="A575" s="4" t="n">
        <v>795</v>
      </c>
      <c r="B575" s="5" t="n">
        <v>55086241</v>
      </c>
      <c r="C575" s="5" t="s">
        <v>85</v>
      </c>
      <c r="D575" s="5" t="s">
        <v>2154</v>
      </c>
      <c r="E575" s="5" t="s">
        <v>137</v>
      </c>
      <c r="F575" s="5" t="s">
        <v>590</v>
      </c>
      <c r="G575" s="5" t="s">
        <v>589</v>
      </c>
      <c r="H575" s="5" t="s">
        <v>590</v>
      </c>
      <c r="I575" s="5" t="s">
        <v>63</v>
      </c>
      <c r="J575" s="5" t="s">
        <v>76</v>
      </c>
      <c r="K575" s="5" t="s">
        <v>309</v>
      </c>
      <c r="L575" s="6" t="n">
        <v>45224</v>
      </c>
      <c r="M575" s="5" t="s">
        <v>1425</v>
      </c>
      <c r="N575" s="6" t="n">
        <v>36320</v>
      </c>
      <c r="O575" s="5" t="s">
        <v>1264</v>
      </c>
      <c r="P575" s="5" t="s">
        <v>1559</v>
      </c>
      <c r="Q575" s="5" t="s">
        <v>195</v>
      </c>
      <c r="R575" s="5" t="s">
        <v>115</v>
      </c>
      <c r="S575" s="5" t="s">
        <v>195</v>
      </c>
      <c r="T575" s="6"/>
      <c r="U575" s="6"/>
      <c r="V575" s="5"/>
      <c r="W575" s="5"/>
      <c r="X575" s="5" t="s">
        <v>631</v>
      </c>
      <c r="Y575" s="5" t="s">
        <v>141</v>
      </c>
      <c r="Z575" s="5" t="s">
        <v>83</v>
      </c>
      <c r="AA575" s="5" t="s">
        <v>2155</v>
      </c>
      <c r="AB575" s="0" t="n">
        <f aca="false">IFERROR(VALUE(R575),0)</f>
        <v>0</v>
      </c>
      <c r="AC575" s="0" t="n">
        <f aca="false">IFERROR(VALUE(M575),"")</f>
        <v>26.11</v>
      </c>
      <c r="AD575" s="0" t="n">
        <f aca="false">IFERROR(VALUE(Q575),"")</f>
        <v>2.7</v>
      </c>
      <c r="AE575" s="0" t="n">
        <f aca="false">IFERROR(VALUE(S575),"")</f>
        <v>2.7</v>
      </c>
      <c r="AF575" s="0" t="str">
        <f aca="false">IF(V575="","",VLOOKUP(V575,Assumptions!$B$6:$C$9,2,FALSE()))</f>
        <v/>
      </c>
      <c r="AG575" s="0" t="str">
        <f aca="false">IF(W575="","",VLOOKUP(W575,Assumptions!$B$6:$C$9,2,FALSE()))</f>
        <v/>
      </c>
      <c r="AH575" s="0" t="n">
        <f aca="false">IF(X575="","",VLOOKUP(X575,Assumptions!$B$6:$C$9,2,FALSE()))</f>
        <v>2</v>
      </c>
      <c r="AI575" s="0" t="n">
        <f aca="false">IF(Y575="","",VLOOKUP(Y575,Assumptions!$B$6:$C$9,2,FALSE()))</f>
        <v>3</v>
      </c>
      <c r="AJ575" s="0" t="n">
        <f aca="false">IF(Z575="","",VLOOKUP(Z575,Assumptions!$B$6:$C$9,2,FALSE()))</f>
        <v>4</v>
      </c>
      <c r="AK575" s="7" t="n">
        <f aca="false">IFERROR(ROUND(AVERAGE(AF575:AJ575),3),"")</f>
        <v>3</v>
      </c>
      <c r="AL575" s="7" t="str">
        <f aca="false">IF(OR(AF575="",AJ575=""),"",AJ575-AF575)</f>
        <v/>
      </c>
      <c r="AM575" s="7" t="n">
        <f aca="false">IF(COUNT(AF575:AJ575)&gt;=2,ROUND(_xlfn.STDEV.S(AF575:AJ575),3),"")</f>
        <v>1</v>
      </c>
      <c r="AN575" s="7" t="n">
        <f aca="false">ROUND((IF(AF575="",0,AF575)*Assumptions!$F$15)+(IF(AG575="",0,AG575)*Assumptions!$F$16)+(IF(AH575="",0,AH575)*Assumptions!$F$17)+(IF(AI575="",0,AI575)*Assumptions!$F$18)+(IF(AJ575="",0,AJ575)*Assumptions!$F$19),3)</f>
        <v>2.35</v>
      </c>
      <c r="AO575" s="0" t="str">
        <f aca="false">IF(AC575&lt;=20,"",IF(AC575&lt;=Assumptions!$F$6,"20-30",IF(AC575&lt;=Assumptions!$F$7,"30-40",IF(AC575&lt;=Assumptions!$F$8,"40-50",IF(AC575&lt;=Assumptions!$F$9,"50-60",IF(AC575&lt;=Assumptions!$F$10,"60+",""))))))</f>
        <v>20-30</v>
      </c>
      <c r="AP575" s="0" t="str">
        <f aca="false">IFERROR(VLOOKUP(O575,Assumptions!$B$14:$C$26,2,FALSE()),"Other")</f>
        <v>Manager</v>
      </c>
      <c r="AQ575" s="0" t="n">
        <f aca="false">IF(T575="",0,1)</f>
        <v>0</v>
      </c>
      <c r="AR575" s="0" t="n">
        <f aca="false">IF(U575="",0,1)</f>
        <v>0</v>
      </c>
      <c r="AS575" s="8" t="n">
        <f aca="false">IF(AK575="","",IF(MAX($AK$2:$AK$921)=MIN($AK$2:$AK$921),50,ROUND((AK575-MIN($AK$2:$AK$921))/(MAX($AK$2:$AK$921)-MIN($AK$2:$AK$921))*100,2)))</f>
        <v>57.14</v>
      </c>
      <c r="AT575" s="8" t="n">
        <f aca="false">IF(MAX($BC$2:$BC$921)=MIN($BC$2:$BC$921),50,ROUND((BC575-MIN($BC$2:$BC$921))/(MAX($BC$2:$BC$921)-MIN($BC$2:$BC$921))*100,2))</f>
        <v>50</v>
      </c>
      <c r="AU575" s="8" t="n">
        <f aca="false">IF(MAX($BE$2:$BE$921)=MIN($BE$2:$BE$921),50,ROUND((BE575-MIN($BE$2:$BE$921))/(MAX($BE$2:$BE$921)-MIN($BE$2:$BE$921))*100,2))</f>
        <v>42.26</v>
      </c>
      <c r="AV575" s="8" t="n">
        <f aca="false">IF(MAX($AD$2:$AD$921)=MIN($AD$2:$AD$921),50,ROUND((AD575-MIN($AD$2:$AD$921))/(MAX($AD$2:$AD$921)-MIN($AD$2:$AD$921))*100,2))</f>
        <v>7.04</v>
      </c>
      <c r="AW575" s="8" t="n">
        <f aca="false">IF(MAX($AN$2:$AN$921)=MIN($AN$2:$AN$921),50,ROUND((AN575-MIN($AN$2:$AN$921))/(MAX($AN$2:$AN$921)-MIN($AN$2:$AN$921))*100,2))</f>
        <v>58.75</v>
      </c>
      <c r="AX575" s="8" t="n">
        <f aca="false">AQ575*100</f>
        <v>0</v>
      </c>
      <c r="AY575" s="8" t="n">
        <f aca="false">AR575*100</f>
        <v>0</v>
      </c>
      <c r="AZ575" s="8" t="n">
        <f aca="false">IFERROR(ROUND(AS575*Assumptions!$I$6+AW575*Assumptions!$I$7+AT575*Assumptions!$I$8+AU575*Assumptions!$I$9+AV575*Assumptions!$I$10+AX575*Assumptions!$I$11+AY575*Assumptions!$I$12,2),"")</f>
        <v>43.44</v>
      </c>
      <c r="BA575" s="0" t="str">
        <f aca="false">IF(AZ575="","",IF(AZ575&lt;=Assumptions!$I$18,"Below Expectation",IF(AZ575&lt;=Assumptions!$I$19,"Developing",IF(AZ575&lt;=Assumptions!$I$20,"Meets Expectation",IF(AZ575&lt;=Assumptions!$I$21,"Exceeds","Star Performer")))))</f>
        <v>Developing</v>
      </c>
      <c r="BB575" s="0" t="n">
        <f aca="false">IF(AZ575="",0,IF(AZ575&gt;=Assumptions!$I$26,1,0))</f>
        <v>0</v>
      </c>
      <c r="BC575" s="9" t="n">
        <f aca="false">IF(AL575="",2,AL575+2)</f>
        <v>2</v>
      </c>
      <c r="BD575" s="10" t="n">
        <f aca="false">IF(AM575="",ROUND(AVERAGE($AM$2:$AM$921),3),AM575)</f>
        <v>1</v>
      </c>
      <c r="BE575" s="9" t="n">
        <f aca="false">1-BD575</f>
        <v>0</v>
      </c>
    </row>
    <row r="576" customFormat="false" ht="14.25" hidden="false" customHeight="false" outlineLevel="0" collapsed="false">
      <c r="A576" s="4" t="n">
        <v>797</v>
      </c>
      <c r="B576" s="5" t="n">
        <v>55086251</v>
      </c>
      <c r="C576" s="5" t="s">
        <v>106</v>
      </c>
      <c r="D576" s="5" t="s">
        <v>2156</v>
      </c>
      <c r="E576" s="5" t="s">
        <v>108</v>
      </c>
      <c r="F576" s="5" t="s">
        <v>590</v>
      </c>
      <c r="G576" s="5" t="s">
        <v>589</v>
      </c>
      <c r="H576" s="5" t="s">
        <v>590</v>
      </c>
      <c r="I576" s="5" t="s">
        <v>63</v>
      </c>
      <c r="J576" s="5" t="s">
        <v>112</v>
      </c>
      <c r="K576" s="5" t="s">
        <v>309</v>
      </c>
      <c r="L576" s="6" t="n">
        <v>45224</v>
      </c>
      <c r="M576" s="5" t="s">
        <v>124</v>
      </c>
      <c r="N576" s="6" t="n">
        <v>36824</v>
      </c>
      <c r="O576" s="5" t="s">
        <v>1264</v>
      </c>
      <c r="P576" s="5" t="s">
        <v>1559</v>
      </c>
      <c r="Q576" s="5" t="s">
        <v>195</v>
      </c>
      <c r="R576" s="5" t="s">
        <v>115</v>
      </c>
      <c r="S576" s="5" t="s">
        <v>195</v>
      </c>
      <c r="T576" s="6"/>
      <c r="U576" s="6"/>
      <c r="V576" s="5"/>
      <c r="W576" s="5"/>
      <c r="X576" s="5" t="s">
        <v>631</v>
      </c>
      <c r="Y576" s="5" t="s">
        <v>141</v>
      </c>
      <c r="Z576" s="5" t="s">
        <v>83</v>
      </c>
      <c r="AA576" s="5" t="s">
        <v>2157</v>
      </c>
      <c r="AB576" s="0" t="n">
        <f aca="false">IFERROR(VALUE(R576),0)</f>
        <v>0</v>
      </c>
      <c r="AC576" s="0" t="n">
        <f aca="false">IFERROR(VALUE(M576),"")</f>
        <v>25.7</v>
      </c>
      <c r="AD576" s="0" t="n">
        <f aca="false">IFERROR(VALUE(Q576),"")</f>
        <v>2.7</v>
      </c>
      <c r="AE576" s="0" t="n">
        <f aca="false">IFERROR(VALUE(S576),"")</f>
        <v>2.7</v>
      </c>
      <c r="AF576" s="0" t="str">
        <f aca="false">IF(V576="","",VLOOKUP(V576,Assumptions!$B$6:$C$9,2,FALSE()))</f>
        <v/>
      </c>
      <c r="AG576" s="0" t="str">
        <f aca="false">IF(W576="","",VLOOKUP(W576,Assumptions!$B$6:$C$9,2,FALSE()))</f>
        <v/>
      </c>
      <c r="AH576" s="0" t="n">
        <f aca="false">IF(X576="","",VLOOKUP(X576,Assumptions!$B$6:$C$9,2,FALSE()))</f>
        <v>2</v>
      </c>
      <c r="AI576" s="0" t="n">
        <f aca="false">IF(Y576="","",VLOOKUP(Y576,Assumptions!$B$6:$C$9,2,FALSE()))</f>
        <v>3</v>
      </c>
      <c r="AJ576" s="0" t="n">
        <f aca="false">IF(Z576="","",VLOOKUP(Z576,Assumptions!$B$6:$C$9,2,FALSE()))</f>
        <v>4</v>
      </c>
      <c r="AK576" s="7" t="n">
        <f aca="false">IFERROR(ROUND(AVERAGE(AF576:AJ576),3),"")</f>
        <v>3</v>
      </c>
      <c r="AL576" s="7" t="str">
        <f aca="false">IF(OR(AF576="",AJ576=""),"",AJ576-AF576)</f>
        <v/>
      </c>
      <c r="AM576" s="7" t="n">
        <f aca="false">IF(COUNT(AF576:AJ576)&gt;=2,ROUND(_xlfn.STDEV.S(AF576:AJ576),3),"")</f>
        <v>1</v>
      </c>
      <c r="AN576" s="7" t="n">
        <f aca="false">ROUND((IF(AF576="",0,AF576)*Assumptions!$F$15)+(IF(AG576="",0,AG576)*Assumptions!$F$16)+(IF(AH576="",0,AH576)*Assumptions!$F$17)+(IF(AI576="",0,AI576)*Assumptions!$F$18)+(IF(AJ576="",0,AJ576)*Assumptions!$F$19),3)</f>
        <v>2.35</v>
      </c>
      <c r="AO576" s="0" t="str">
        <f aca="false">IF(AC576&lt;=20,"",IF(AC576&lt;=Assumptions!$F$6,"20-30",IF(AC576&lt;=Assumptions!$F$7,"30-40",IF(AC576&lt;=Assumptions!$F$8,"40-50",IF(AC576&lt;=Assumptions!$F$9,"50-60",IF(AC576&lt;=Assumptions!$F$10,"60+",""))))))</f>
        <v>20-30</v>
      </c>
      <c r="AP576" s="0" t="str">
        <f aca="false">IFERROR(VLOOKUP(O576,Assumptions!$B$14:$C$26,2,FALSE()),"Other")</f>
        <v>Manager</v>
      </c>
      <c r="AQ576" s="0" t="n">
        <f aca="false">IF(T576="",0,1)</f>
        <v>0</v>
      </c>
      <c r="AR576" s="0" t="n">
        <f aca="false">IF(U576="",0,1)</f>
        <v>0</v>
      </c>
      <c r="AS576" s="8" t="n">
        <f aca="false">IF(AK576="","",IF(MAX($AK$2:$AK$921)=MIN($AK$2:$AK$921),50,ROUND((AK576-MIN($AK$2:$AK$921))/(MAX($AK$2:$AK$921)-MIN($AK$2:$AK$921))*100,2)))</f>
        <v>57.14</v>
      </c>
      <c r="AT576" s="8" t="n">
        <f aca="false">IF(MAX($BC$2:$BC$921)=MIN($BC$2:$BC$921),50,ROUND((BC576-MIN($BC$2:$BC$921))/(MAX($BC$2:$BC$921)-MIN($BC$2:$BC$921))*100,2))</f>
        <v>50</v>
      </c>
      <c r="AU576" s="8" t="n">
        <f aca="false">IF(MAX($BE$2:$BE$921)=MIN($BE$2:$BE$921),50,ROUND((BE576-MIN($BE$2:$BE$921))/(MAX($BE$2:$BE$921)-MIN($BE$2:$BE$921))*100,2))</f>
        <v>42.26</v>
      </c>
      <c r="AV576" s="8" t="n">
        <f aca="false">IF(MAX($AD$2:$AD$921)=MIN($AD$2:$AD$921),50,ROUND((AD576-MIN($AD$2:$AD$921))/(MAX($AD$2:$AD$921)-MIN($AD$2:$AD$921))*100,2))</f>
        <v>7.04</v>
      </c>
      <c r="AW576" s="8" t="n">
        <f aca="false">IF(MAX($AN$2:$AN$921)=MIN($AN$2:$AN$921),50,ROUND((AN576-MIN($AN$2:$AN$921))/(MAX($AN$2:$AN$921)-MIN($AN$2:$AN$921))*100,2))</f>
        <v>58.75</v>
      </c>
      <c r="AX576" s="8" t="n">
        <f aca="false">AQ576*100</f>
        <v>0</v>
      </c>
      <c r="AY576" s="8" t="n">
        <f aca="false">AR576*100</f>
        <v>0</v>
      </c>
      <c r="AZ576" s="8" t="n">
        <f aca="false">IFERROR(ROUND(AS576*Assumptions!$I$6+AW576*Assumptions!$I$7+AT576*Assumptions!$I$8+AU576*Assumptions!$I$9+AV576*Assumptions!$I$10+AX576*Assumptions!$I$11+AY576*Assumptions!$I$12,2),"")</f>
        <v>43.44</v>
      </c>
      <c r="BA576" s="0" t="str">
        <f aca="false">IF(AZ576="","",IF(AZ576&lt;=Assumptions!$I$18,"Below Expectation",IF(AZ576&lt;=Assumptions!$I$19,"Developing",IF(AZ576&lt;=Assumptions!$I$20,"Meets Expectation",IF(AZ576&lt;=Assumptions!$I$21,"Exceeds","Star Performer")))))</f>
        <v>Developing</v>
      </c>
      <c r="BB576" s="0" t="n">
        <f aca="false">IF(AZ576="",0,IF(AZ576&gt;=Assumptions!$I$26,1,0))</f>
        <v>0</v>
      </c>
      <c r="BC576" s="9" t="n">
        <f aca="false">IF(AL576="",2,AL576+2)</f>
        <v>2</v>
      </c>
      <c r="BD576" s="10" t="n">
        <f aca="false">IF(AM576="",ROUND(AVERAGE($AM$2:$AM$921),3),AM576)</f>
        <v>1</v>
      </c>
      <c r="BE576" s="9" t="n">
        <f aca="false">1-BD576</f>
        <v>0</v>
      </c>
    </row>
    <row r="577" customFormat="false" ht="14.25" hidden="false" customHeight="false" outlineLevel="0" collapsed="false">
      <c r="A577" s="4" t="n">
        <v>811</v>
      </c>
      <c r="B577" s="5" t="n">
        <v>55086376</v>
      </c>
      <c r="C577" s="5" t="s">
        <v>106</v>
      </c>
      <c r="D577" s="5" t="s">
        <v>2158</v>
      </c>
      <c r="E577" s="5" t="s">
        <v>108</v>
      </c>
      <c r="F577" s="5" t="s">
        <v>590</v>
      </c>
      <c r="G577" s="5" t="s">
        <v>589</v>
      </c>
      <c r="H577" s="5" t="s">
        <v>590</v>
      </c>
      <c r="I577" s="5" t="s">
        <v>63</v>
      </c>
      <c r="J577" s="5" t="s">
        <v>112</v>
      </c>
      <c r="K577" s="5" t="s">
        <v>309</v>
      </c>
      <c r="L577" s="6" t="n">
        <v>45224</v>
      </c>
      <c r="M577" s="5" t="s">
        <v>532</v>
      </c>
      <c r="N577" s="6" t="n">
        <v>37094</v>
      </c>
      <c r="O577" s="5" t="s">
        <v>1264</v>
      </c>
      <c r="P577" s="5" t="s">
        <v>1559</v>
      </c>
      <c r="Q577" s="5" t="s">
        <v>195</v>
      </c>
      <c r="R577" s="5" t="s">
        <v>115</v>
      </c>
      <c r="S577" s="5" t="s">
        <v>195</v>
      </c>
      <c r="T577" s="6"/>
      <c r="U577" s="6"/>
      <c r="V577" s="5"/>
      <c r="W577" s="5"/>
      <c r="X577" s="5" t="s">
        <v>631</v>
      </c>
      <c r="Y577" s="5" t="s">
        <v>141</v>
      </c>
      <c r="Z577" s="5" t="s">
        <v>83</v>
      </c>
      <c r="AA577" s="5" t="s">
        <v>2159</v>
      </c>
      <c r="AB577" s="0" t="n">
        <f aca="false">IFERROR(VALUE(R577),0)</f>
        <v>0</v>
      </c>
      <c r="AC577" s="0" t="n">
        <f aca="false">IFERROR(VALUE(M577),"")</f>
        <v>24.1</v>
      </c>
      <c r="AD577" s="0" t="n">
        <f aca="false">IFERROR(VALUE(Q577),"")</f>
        <v>2.7</v>
      </c>
      <c r="AE577" s="0" t="n">
        <f aca="false">IFERROR(VALUE(S577),"")</f>
        <v>2.7</v>
      </c>
      <c r="AF577" s="0" t="str">
        <f aca="false">IF(V577="","",VLOOKUP(V577,Assumptions!$B$6:$C$9,2,FALSE()))</f>
        <v/>
      </c>
      <c r="AG577" s="0" t="str">
        <f aca="false">IF(W577="","",VLOOKUP(W577,Assumptions!$B$6:$C$9,2,FALSE()))</f>
        <v/>
      </c>
      <c r="AH577" s="0" t="n">
        <f aca="false">IF(X577="","",VLOOKUP(X577,Assumptions!$B$6:$C$9,2,FALSE()))</f>
        <v>2</v>
      </c>
      <c r="AI577" s="0" t="n">
        <f aca="false">IF(Y577="","",VLOOKUP(Y577,Assumptions!$B$6:$C$9,2,FALSE()))</f>
        <v>3</v>
      </c>
      <c r="AJ577" s="0" t="n">
        <f aca="false">IF(Z577="","",VLOOKUP(Z577,Assumptions!$B$6:$C$9,2,FALSE()))</f>
        <v>4</v>
      </c>
      <c r="AK577" s="7" t="n">
        <f aca="false">IFERROR(ROUND(AVERAGE(AF577:AJ577),3),"")</f>
        <v>3</v>
      </c>
      <c r="AL577" s="7" t="str">
        <f aca="false">IF(OR(AF577="",AJ577=""),"",AJ577-AF577)</f>
        <v/>
      </c>
      <c r="AM577" s="7" t="n">
        <f aca="false">IF(COUNT(AF577:AJ577)&gt;=2,ROUND(_xlfn.STDEV.S(AF577:AJ577),3),"")</f>
        <v>1</v>
      </c>
      <c r="AN577" s="7" t="n">
        <f aca="false">ROUND((IF(AF577="",0,AF577)*Assumptions!$F$15)+(IF(AG577="",0,AG577)*Assumptions!$F$16)+(IF(AH577="",0,AH577)*Assumptions!$F$17)+(IF(AI577="",0,AI577)*Assumptions!$F$18)+(IF(AJ577="",0,AJ577)*Assumptions!$F$19),3)</f>
        <v>2.35</v>
      </c>
      <c r="AO577" s="0" t="str">
        <f aca="false">IF(AC577&lt;=20,"",IF(AC577&lt;=Assumptions!$F$6,"20-30",IF(AC577&lt;=Assumptions!$F$7,"30-40",IF(AC577&lt;=Assumptions!$F$8,"40-50",IF(AC577&lt;=Assumptions!$F$9,"50-60",IF(AC577&lt;=Assumptions!$F$10,"60+",""))))))</f>
        <v>20-30</v>
      </c>
      <c r="AP577" s="0" t="str">
        <f aca="false">IFERROR(VLOOKUP(O577,Assumptions!$B$14:$C$26,2,FALSE()),"Other")</f>
        <v>Manager</v>
      </c>
      <c r="AQ577" s="0" t="n">
        <f aca="false">IF(T577="",0,1)</f>
        <v>0</v>
      </c>
      <c r="AR577" s="0" t="n">
        <f aca="false">IF(U577="",0,1)</f>
        <v>0</v>
      </c>
      <c r="AS577" s="8" t="n">
        <f aca="false">IF(AK577="","",IF(MAX($AK$2:$AK$921)=MIN($AK$2:$AK$921),50,ROUND((AK577-MIN($AK$2:$AK$921))/(MAX($AK$2:$AK$921)-MIN($AK$2:$AK$921))*100,2)))</f>
        <v>57.14</v>
      </c>
      <c r="AT577" s="8" t="n">
        <f aca="false">IF(MAX($BC$2:$BC$921)=MIN($BC$2:$BC$921),50,ROUND((BC577-MIN($BC$2:$BC$921))/(MAX($BC$2:$BC$921)-MIN($BC$2:$BC$921))*100,2))</f>
        <v>50</v>
      </c>
      <c r="AU577" s="8" t="n">
        <f aca="false">IF(MAX($BE$2:$BE$921)=MIN($BE$2:$BE$921),50,ROUND((BE577-MIN($BE$2:$BE$921))/(MAX($BE$2:$BE$921)-MIN($BE$2:$BE$921))*100,2))</f>
        <v>42.26</v>
      </c>
      <c r="AV577" s="8" t="n">
        <f aca="false">IF(MAX($AD$2:$AD$921)=MIN($AD$2:$AD$921),50,ROUND((AD577-MIN($AD$2:$AD$921))/(MAX($AD$2:$AD$921)-MIN($AD$2:$AD$921))*100,2))</f>
        <v>7.04</v>
      </c>
      <c r="AW577" s="8" t="n">
        <f aca="false">IF(MAX($AN$2:$AN$921)=MIN($AN$2:$AN$921),50,ROUND((AN577-MIN($AN$2:$AN$921))/(MAX($AN$2:$AN$921)-MIN($AN$2:$AN$921))*100,2))</f>
        <v>58.75</v>
      </c>
      <c r="AX577" s="8" t="n">
        <f aca="false">AQ577*100</f>
        <v>0</v>
      </c>
      <c r="AY577" s="8" t="n">
        <f aca="false">AR577*100</f>
        <v>0</v>
      </c>
      <c r="AZ577" s="8" t="n">
        <f aca="false">IFERROR(ROUND(AS577*Assumptions!$I$6+AW577*Assumptions!$I$7+AT577*Assumptions!$I$8+AU577*Assumptions!$I$9+AV577*Assumptions!$I$10+AX577*Assumptions!$I$11+AY577*Assumptions!$I$12,2),"")</f>
        <v>43.44</v>
      </c>
      <c r="BA577" s="0" t="str">
        <f aca="false">IF(AZ577="","",IF(AZ577&lt;=Assumptions!$I$18,"Below Expectation",IF(AZ577&lt;=Assumptions!$I$19,"Developing",IF(AZ577&lt;=Assumptions!$I$20,"Meets Expectation",IF(AZ577&lt;=Assumptions!$I$21,"Exceeds","Star Performer")))))</f>
        <v>Developing</v>
      </c>
      <c r="BB577" s="0" t="n">
        <f aca="false">IF(AZ577="",0,IF(AZ577&gt;=Assumptions!$I$26,1,0))</f>
        <v>0</v>
      </c>
      <c r="BC577" s="9" t="n">
        <f aca="false">IF(AL577="",2,AL577+2)</f>
        <v>2</v>
      </c>
      <c r="BD577" s="10" t="n">
        <f aca="false">IF(AM577="",ROUND(AVERAGE($AM$2:$AM$921),3),AM577)</f>
        <v>1</v>
      </c>
      <c r="BE577" s="9" t="n">
        <f aca="false">1-BD577</f>
        <v>0</v>
      </c>
    </row>
    <row r="578" customFormat="false" ht="14.25" hidden="true" customHeight="false" outlineLevel="0" collapsed="false">
      <c r="A578" s="4" t="n">
        <v>814</v>
      </c>
      <c r="B578" s="5" t="n">
        <v>55086646</v>
      </c>
      <c r="C578" s="5" t="s">
        <v>85</v>
      </c>
      <c r="D578" s="5" t="s">
        <v>2160</v>
      </c>
      <c r="E578" s="5" t="s">
        <v>137</v>
      </c>
      <c r="F578" s="5" t="s">
        <v>590</v>
      </c>
      <c r="G578" s="5" t="s">
        <v>589</v>
      </c>
      <c r="H578" s="5" t="s">
        <v>590</v>
      </c>
      <c r="I578" s="5" t="s">
        <v>63</v>
      </c>
      <c r="J578" s="5" t="s">
        <v>76</v>
      </c>
      <c r="K578" s="5" t="s">
        <v>309</v>
      </c>
      <c r="L578" s="6" t="n">
        <v>45226</v>
      </c>
      <c r="M578" s="5" t="s">
        <v>532</v>
      </c>
      <c r="N578" s="6" t="n">
        <v>37111</v>
      </c>
      <c r="O578" s="5" t="s">
        <v>1264</v>
      </c>
      <c r="P578" s="5" t="s">
        <v>1559</v>
      </c>
      <c r="Q578" s="5" t="s">
        <v>195</v>
      </c>
      <c r="R578" s="5" t="s">
        <v>115</v>
      </c>
      <c r="S578" s="5" t="s">
        <v>195</v>
      </c>
      <c r="T578" s="6"/>
      <c r="U578" s="6"/>
      <c r="V578" s="5"/>
      <c r="W578" s="5"/>
      <c r="X578" s="5" t="s">
        <v>631</v>
      </c>
      <c r="Y578" s="5" t="s">
        <v>141</v>
      </c>
      <c r="Z578" s="5" t="s">
        <v>83</v>
      </c>
      <c r="AA578" s="5" t="s">
        <v>2161</v>
      </c>
      <c r="AB578" s="0" t="n">
        <f aca="false">IFERROR(VALUE(R578),0)</f>
        <v>0</v>
      </c>
      <c r="AC578" s="0" t="n">
        <f aca="false">IFERROR(VALUE(M578),"")</f>
        <v>24.1</v>
      </c>
      <c r="AD578" s="0" t="n">
        <f aca="false">IFERROR(VALUE(Q578),"")</f>
        <v>2.7</v>
      </c>
      <c r="AE578" s="0" t="n">
        <f aca="false">IFERROR(VALUE(S578),"")</f>
        <v>2.7</v>
      </c>
      <c r="AF578" s="0" t="str">
        <f aca="false">IF(V578="","",VLOOKUP(V578,Assumptions!$B$6:$C$9,2,FALSE()))</f>
        <v/>
      </c>
      <c r="AG578" s="0" t="str">
        <f aca="false">IF(W578="","",VLOOKUP(W578,Assumptions!$B$6:$C$9,2,FALSE()))</f>
        <v/>
      </c>
      <c r="AH578" s="0" t="n">
        <f aca="false">IF(X578="","",VLOOKUP(X578,Assumptions!$B$6:$C$9,2,FALSE()))</f>
        <v>2</v>
      </c>
      <c r="AI578" s="0" t="n">
        <f aca="false">IF(Y578="","",VLOOKUP(Y578,Assumptions!$B$6:$C$9,2,FALSE()))</f>
        <v>3</v>
      </c>
      <c r="AJ578" s="0" t="n">
        <f aca="false">IF(Z578="","",VLOOKUP(Z578,Assumptions!$B$6:$C$9,2,FALSE()))</f>
        <v>4</v>
      </c>
      <c r="AK578" s="7" t="n">
        <f aca="false">IFERROR(ROUND(AVERAGE(AF578:AJ578),3),"")</f>
        <v>3</v>
      </c>
      <c r="AL578" s="7" t="str">
        <f aca="false">IF(OR(AF578="",AJ578=""),"",AJ578-AF578)</f>
        <v/>
      </c>
      <c r="AM578" s="7" t="n">
        <f aca="false">IF(COUNT(AF578:AJ578)&gt;=2,ROUND(_xlfn.STDEV.S(AF578:AJ578),3),"")</f>
        <v>1</v>
      </c>
      <c r="AN578" s="7" t="n">
        <f aca="false">ROUND((IF(AF578="",0,AF578)*Assumptions!$F$15)+(IF(AG578="",0,AG578)*Assumptions!$F$16)+(IF(AH578="",0,AH578)*Assumptions!$F$17)+(IF(AI578="",0,AI578)*Assumptions!$F$18)+(IF(AJ578="",0,AJ578)*Assumptions!$F$19),3)</f>
        <v>2.35</v>
      </c>
      <c r="AO578" s="0" t="str">
        <f aca="false">IF(AC578&lt;=20,"",IF(AC578&lt;=Assumptions!$F$6,"20-30",IF(AC578&lt;=Assumptions!$F$7,"30-40",IF(AC578&lt;=Assumptions!$F$8,"40-50",IF(AC578&lt;=Assumptions!$F$9,"50-60",IF(AC578&lt;=Assumptions!$F$10,"60+",""))))))</f>
        <v>20-30</v>
      </c>
      <c r="AP578" s="0" t="str">
        <f aca="false">IFERROR(VLOOKUP(O578,Assumptions!$B$14:$C$26,2,FALSE()),"Other")</f>
        <v>Manager</v>
      </c>
      <c r="AQ578" s="0" t="n">
        <f aca="false">IF(T578="",0,1)</f>
        <v>0</v>
      </c>
      <c r="AR578" s="0" t="n">
        <f aca="false">IF(U578="",0,1)</f>
        <v>0</v>
      </c>
      <c r="AS578" s="8" t="n">
        <f aca="false">IF(AK578="","",IF(MAX($AK$2:$AK$921)=MIN($AK$2:$AK$921),50,ROUND((AK578-MIN($AK$2:$AK$921))/(MAX($AK$2:$AK$921)-MIN($AK$2:$AK$921))*100,2)))</f>
        <v>57.14</v>
      </c>
      <c r="AT578" s="8" t="n">
        <f aca="false">IF(MAX($BC$2:$BC$921)=MIN($BC$2:$BC$921),50,ROUND((BC578-MIN($BC$2:$BC$921))/(MAX($BC$2:$BC$921)-MIN($BC$2:$BC$921))*100,2))</f>
        <v>50</v>
      </c>
      <c r="AU578" s="8" t="n">
        <f aca="false">IF(MAX($BE$2:$BE$921)=MIN($BE$2:$BE$921),50,ROUND((BE578-MIN($BE$2:$BE$921))/(MAX($BE$2:$BE$921)-MIN($BE$2:$BE$921))*100,2))</f>
        <v>42.26</v>
      </c>
      <c r="AV578" s="8" t="n">
        <f aca="false">IF(MAX($AD$2:$AD$921)=MIN($AD$2:$AD$921),50,ROUND((AD578-MIN($AD$2:$AD$921))/(MAX($AD$2:$AD$921)-MIN($AD$2:$AD$921))*100,2))</f>
        <v>7.04</v>
      </c>
      <c r="AW578" s="8" t="n">
        <f aca="false">IF(MAX($AN$2:$AN$921)=MIN($AN$2:$AN$921),50,ROUND((AN578-MIN($AN$2:$AN$921))/(MAX($AN$2:$AN$921)-MIN($AN$2:$AN$921))*100,2))</f>
        <v>58.75</v>
      </c>
      <c r="AX578" s="8" t="n">
        <f aca="false">AQ578*100</f>
        <v>0</v>
      </c>
      <c r="AY578" s="8" t="n">
        <f aca="false">AR578*100</f>
        <v>0</v>
      </c>
      <c r="AZ578" s="8" t="n">
        <f aca="false">IFERROR(ROUND(AS578*Assumptions!$I$6+AW578*Assumptions!$I$7+AT578*Assumptions!$I$8+AU578*Assumptions!$I$9+AV578*Assumptions!$I$10+AX578*Assumptions!$I$11+AY578*Assumptions!$I$12,2),"")</f>
        <v>43.44</v>
      </c>
      <c r="BA578" s="0" t="str">
        <f aca="false">IF(AZ578="","",IF(AZ578&lt;=Assumptions!$I$18,"Below Expectation",IF(AZ578&lt;=Assumptions!$I$19,"Developing",IF(AZ578&lt;=Assumptions!$I$20,"Meets Expectation",IF(AZ578&lt;=Assumptions!$I$21,"Exceeds","Star Performer")))))</f>
        <v>Developing</v>
      </c>
      <c r="BB578" s="0" t="n">
        <f aca="false">IF(AZ578="",0,IF(AZ578&gt;=Assumptions!$I$26,1,0))</f>
        <v>0</v>
      </c>
      <c r="BC578" s="9" t="n">
        <f aca="false">IF(AL578="",2,AL578+2)</f>
        <v>2</v>
      </c>
      <c r="BD578" s="10" t="n">
        <f aca="false">IF(AM578="",ROUND(AVERAGE($AM$2:$AM$921),3),AM578)</f>
        <v>1</v>
      </c>
      <c r="BE578" s="9" t="n">
        <f aca="false">1-BD578</f>
        <v>0</v>
      </c>
    </row>
    <row r="579" customFormat="false" ht="14.25" hidden="true" customHeight="false" outlineLevel="0" collapsed="false">
      <c r="A579" s="4" t="n">
        <v>129</v>
      </c>
      <c r="B579" s="5" t="n">
        <v>10042188</v>
      </c>
      <c r="C579" s="5" t="s">
        <v>57</v>
      </c>
      <c r="D579" s="5" t="s">
        <v>2162</v>
      </c>
      <c r="E579" s="5" t="s">
        <v>500</v>
      </c>
      <c r="F579" s="5" t="s">
        <v>387</v>
      </c>
      <c r="G579" s="5" t="s">
        <v>388</v>
      </c>
      <c r="H579" s="5" t="s">
        <v>387</v>
      </c>
      <c r="I579" s="5" t="s">
        <v>63</v>
      </c>
      <c r="J579" s="5" t="s">
        <v>100</v>
      </c>
      <c r="K579" s="5" t="s">
        <v>65</v>
      </c>
      <c r="L579" s="6" t="n">
        <v>41708</v>
      </c>
      <c r="M579" s="5" t="s">
        <v>2163</v>
      </c>
      <c r="N579" s="6" t="n">
        <v>32709</v>
      </c>
      <c r="O579" s="5" t="s">
        <v>332</v>
      </c>
      <c r="P579" s="5" t="s">
        <v>333</v>
      </c>
      <c r="Q579" s="5" t="s">
        <v>317</v>
      </c>
      <c r="R579" s="5" t="s">
        <v>287</v>
      </c>
      <c r="S579" s="5" t="s">
        <v>194</v>
      </c>
      <c r="T579" s="6"/>
      <c r="U579" s="6" t="n">
        <v>44652</v>
      </c>
      <c r="V579" s="5" t="s">
        <v>83</v>
      </c>
      <c r="W579" s="5" t="s">
        <v>141</v>
      </c>
      <c r="X579" s="5" t="s">
        <v>141</v>
      </c>
      <c r="Y579" s="5" t="s">
        <v>631</v>
      </c>
      <c r="Z579" s="5" t="s">
        <v>631</v>
      </c>
      <c r="AA579" s="5" t="s">
        <v>2164</v>
      </c>
      <c r="AB579" s="0" t="n">
        <f aca="false">IFERROR(VALUE(R579),0)</f>
        <v>4</v>
      </c>
      <c r="AC579" s="0" t="n">
        <f aca="false">IFERROR(VALUE(M579),"")</f>
        <v>36.1</v>
      </c>
      <c r="AD579" s="0" t="n">
        <f aca="false">IFERROR(VALUE(Q579),"")</f>
        <v>12.2</v>
      </c>
      <c r="AE579" s="0" t="n">
        <f aca="false">IFERROR(VALUE(S579),"")</f>
        <v>16.2</v>
      </c>
      <c r="AF579" s="0" t="n">
        <f aca="false">IF(V579="","",VLOOKUP(V579,Assumptions!$B$6:$C$9,2,FALSE()))</f>
        <v>4</v>
      </c>
      <c r="AG579" s="0" t="n">
        <f aca="false">IF(W579="","",VLOOKUP(W579,Assumptions!$B$6:$C$9,2,FALSE()))</f>
        <v>3</v>
      </c>
      <c r="AH579" s="0" t="n">
        <f aca="false">IF(X579="","",VLOOKUP(X579,Assumptions!$B$6:$C$9,2,FALSE()))</f>
        <v>3</v>
      </c>
      <c r="AI579" s="0" t="n">
        <f aca="false">IF(Y579="","",VLOOKUP(Y579,Assumptions!$B$6:$C$9,2,FALSE()))</f>
        <v>2</v>
      </c>
      <c r="AJ579" s="0" t="n">
        <f aca="false">IF(Z579="","",VLOOKUP(Z579,Assumptions!$B$6:$C$9,2,FALSE()))</f>
        <v>2</v>
      </c>
      <c r="AK579" s="7" t="n">
        <f aca="false">IFERROR(ROUND(AVERAGE(AF579:AJ579),3),"")</f>
        <v>2.8</v>
      </c>
      <c r="AL579" s="7" t="n">
        <f aca="false">IF(OR(AF579="",AJ579=""),"",AJ579-AF579)</f>
        <v>-2</v>
      </c>
      <c r="AM579" s="7" t="n">
        <f aca="false">IF(COUNT(AF579:AJ579)&gt;=2,ROUND(_xlfn.STDEV.S(AF579:AJ579),3),"")</f>
        <v>0.837</v>
      </c>
      <c r="AN579" s="7" t="n">
        <f aca="false">ROUND((IF(AF579="",0,AF579)*Assumptions!$F$15)+(IF(AG579="",0,AG579)*Assumptions!$F$16)+(IF(AH579="",0,AH579)*Assumptions!$F$17)+(IF(AI579="",0,AI579)*Assumptions!$F$18)+(IF(AJ579="",0,AJ579)*Assumptions!$F$19),3)</f>
        <v>2.55</v>
      </c>
      <c r="AO579" s="0" t="str">
        <f aca="false">IF(AC579&lt;=20,"",IF(AC579&lt;=Assumptions!$F$6,"20-30",IF(AC579&lt;=Assumptions!$F$7,"30-40",IF(AC579&lt;=Assumptions!$F$8,"40-50",IF(AC579&lt;=Assumptions!$F$9,"50-60",IF(AC579&lt;=Assumptions!$F$10,"60+",""))))))</f>
        <v>30-40</v>
      </c>
      <c r="AP579" s="0" t="str">
        <f aca="false">IFERROR(VLOOKUP(O579,Assumptions!$B$14:$C$26,2,FALSE()),"Other")</f>
        <v>Manager</v>
      </c>
      <c r="AQ579" s="0" t="n">
        <f aca="false">IF(T579="",0,1)</f>
        <v>0</v>
      </c>
      <c r="AR579" s="0" t="n">
        <f aca="false">IF(U579="",0,1)</f>
        <v>1</v>
      </c>
      <c r="AS579" s="8" t="n">
        <f aca="false">IF(AK579="","",IF(MAX($AK$2:$AK$921)=MIN($AK$2:$AK$921),50,ROUND((AK579-MIN($AK$2:$AK$921))/(MAX($AK$2:$AK$921)-MIN($AK$2:$AK$921))*100,2)))</f>
        <v>48.56</v>
      </c>
      <c r="AT579" s="8" t="n">
        <f aca="false">IF(MAX($BC$2:$BC$921)=MIN($BC$2:$BC$921),50,ROUND((BC579-MIN($BC$2:$BC$921))/(MAX($BC$2:$BC$921)-MIN($BC$2:$BC$921))*100,2))</f>
        <v>0</v>
      </c>
      <c r="AU579" s="8" t="n">
        <f aca="false">IF(MAX($BE$2:$BE$921)=MIN($BE$2:$BE$921),50,ROUND((BE579-MIN($BE$2:$BE$921))/(MAX($BE$2:$BE$921)-MIN($BE$2:$BE$921))*100,2))</f>
        <v>51.67</v>
      </c>
      <c r="AV579" s="8" t="n">
        <f aca="false">IF(MAX($AD$2:$AD$921)=MIN($AD$2:$AD$921),50,ROUND((AD579-MIN($AD$2:$AD$921))/(MAX($AD$2:$AD$921)-MIN($AD$2:$AD$921))*100,2))</f>
        <v>32.86</v>
      </c>
      <c r="AW579" s="8" t="n">
        <f aca="false">IF(MAX($AN$2:$AN$921)=MIN($AN$2:$AN$921),50,ROUND((AN579-MIN($AN$2:$AN$921))/(MAX($AN$2:$AN$921)-MIN($AN$2:$AN$921))*100,2))</f>
        <v>63.75</v>
      </c>
      <c r="AX579" s="8" t="n">
        <f aca="false">AQ579*100</f>
        <v>0</v>
      </c>
      <c r="AY579" s="8" t="n">
        <f aca="false">AR579*100</f>
        <v>100</v>
      </c>
      <c r="AZ579" s="8" t="n">
        <f aca="false">IFERROR(ROUND(AS579*Assumptions!$I$6+AW579*Assumptions!$I$7+AT579*Assumptions!$I$8+AU579*Assumptions!$I$9+AV579*Assumptions!$I$10+AX579*Assumptions!$I$11+AY579*Assumptions!$I$12,2),"")</f>
        <v>43.35</v>
      </c>
      <c r="BA579" s="0" t="str">
        <f aca="false">IF(AZ579="","",IF(AZ579&lt;=Assumptions!$I$18,"Below Expectation",IF(AZ579&lt;=Assumptions!$I$19,"Developing",IF(AZ579&lt;=Assumptions!$I$20,"Meets Expectation",IF(AZ579&lt;=Assumptions!$I$21,"Exceeds","Star Performer")))))</f>
        <v>Developing</v>
      </c>
      <c r="BB579" s="0" t="n">
        <f aca="false">IF(AZ579="",0,IF(AZ579&gt;=Assumptions!$I$26,1,0))</f>
        <v>0</v>
      </c>
      <c r="BC579" s="9" t="n">
        <f aca="false">IF(AL579="",2,AL579+2)</f>
        <v>0</v>
      </c>
      <c r="BD579" s="10" t="n">
        <f aca="false">IF(AM579="",ROUND(AVERAGE($AM$2:$AM$921),3),AM579)</f>
        <v>0.837</v>
      </c>
      <c r="BE579" s="9" t="n">
        <f aca="false">1-BD579</f>
        <v>0.163</v>
      </c>
    </row>
    <row r="580" customFormat="false" ht="14.25" hidden="true" customHeight="false" outlineLevel="0" collapsed="false">
      <c r="A580" s="4" t="n">
        <v>309</v>
      </c>
      <c r="B580" s="5" t="n">
        <v>10072149</v>
      </c>
      <c r="C580" s="5" t="s">
        <v>85</v>
      </c>
      <c r="D580" s="5" t="s">
        <v>2165</v>
      </c>
      <c r="E580" s="5" t="s">
        <v>775</v>
      </c>
      <c r="F580" s="5" t="s">
        <v>358</v>
      </c>
      <c r="G580" s="5" t="s">
        <v>357</v>
      </c>
      <c r="H580" s="5" t="s">
        <v>358</v>
      </c>
      <c r="I580" s="5" t="s">
        <v>63</v>
      </c>
      <c r="J580" s="5" t="s">
        <v>76</v>
      </c>
      <c r="K580" s="5" t="s">
        <v>65</v>
      </c>
      <c r="L580" s="6" t="n">
        <v>43894</v>
      </c>
      <c r="M580" s="5" t="s">
        <v>1709</v>
      </c>
      <c r="N580" s="6" t="n">
        <v>33957</v>
      </c>
      <c r="O580" s="5" t="s">
        <v>365</v>
      </c>
      <c r="P580" s="5" t="s">
        <v>365</v>
      </c>
      <c r="Q580" s="5" t="s">
        <v>495</v>
      </c>
      <c r="R580" s="5" t="s">
        <v>1645</v>
      </c>
      <c r="S580" s="5" t="s">
        <v>1140</v>
      </c>
      <c r="T580" s="6"/>
      <c r="U580" s="6"/>
      <c r="V580" s="5" t="s">
        <v>2030</v>
      </c>
      <c r="W580" s="5" t="s">
        <v>631</v>
      </c>
      <c r="X580" s="5" t="s">
        <v>141</v>
      </c>
      <c r="Y580" s="5" t="s">
        <v>631</v>
      </c>
      <c r="Z580" s="5" t="s">
        <v>141</v>
      </c>
      <c r="AA580" s="5" t="s">
        <v>2166</v>
      </c>
      <c r="AB580" s="0" t="n">
        <f aca="false">IFERROR(VALUE(R580),0)</f>
        <v>2</v>
      </c>
      <c r="AC580" s="0" t="n">
        <f aca="false">IFERROR(VALUE(M580),"")</f>
        <v>33.5</v>
      </c>
      <c r="AD580" s="0" t="n">
        <f aca="false">IFERROR(VALUE(Q580),"")</f>
        <v>6.3</v>
      </c>
      <c r="AE580" s="0" t="n">
        <f aca="false">IFERROR(VALUE(S580),"")</f>
        <v>8.3</v>
      </c>
      <c r="AF580" s="0" t="n">
        <f aca="false">IF(V580="","",VLOOKUP(V580,Assumptions!$B$6:$C$9,2,FALSE()))</f>
        <v>1</v>
      </c>
      <c r="AG580" s="0" t="n">
        <f aca="false">IF(W580="","",VLOOKUP(W580,Assumptions!$B$6:$C$9,2,FALSE()))</f>
        <v>2</v>
      </c>
      <c r="AH580" s="0" t="n">
        <f aca="false">IF(X580="","",VLOOKUP(X580,Assumptions!$B$6:$C$9,2,FALSE()))</f>
        <v>3</v>
      </c>
      <c r="AI580" s="0" t="n">
        <f aca="false">IF(Y580="","",VLOOKUP(Y580,Assumptions!$B$6:$C$9,2,FALSE()))</f>
        <v>2</v>
      </c>
      <c r="AJ580" s="0" t="n">
        <f aca="false">IF(Z580="","",VLOOKUP(Z580,Assumptions!$B$6:$C$9,2,FALSE()))</f>
        <v>3</v>
      </c>
      <c r="AK580" s="7" t="n">
        <f aca="false">IFERROR(ROUND(AVERAGE(AF580:AJ580),3),"")</f>
        <v>2.2</v>
      </c>
      <c r="AL580" s="7" t="n">
        <f aca="false">IF(OR(AF580="",AJ580=""),"",AJ580-AF580)</f>
        <v>2</v>
      </c>
      <c r="AM580" s="7" t="n">
        <f aca="false">IF(COUNT(AF580:AJ580)&gt;=2,ROUND(_xlfn.STDEV.S(AF580:AJ580),3),"")</f>
        <v>0.837</v>
      </c>
      <c r="AN580" s="7" t="n">
        <f aca="false">ROUND((IF(AF580="",0,AF580)*Assumptions!$F$15)+(IF(AG580="",0,AG580)*Assumptions!$F$16)+(IF(AH580="",0,AH580)*Assumptions!$F$17)+(IF(AI580="",0,AI580)*Assumptions!$F$18)+(IF(AJ580="",0,AJ580)*Assumptions!$F$19),3)</f>
        <v>2.4</v>
      </c>
      <c r="AO580" s="0" t="str">
        <f aca="false">IF(AC580&lt;=20,"",IF(AC580&lt;=Assumptions!$F$6,"20-30",IF(AC580&lt;=Assumptions!$F$7,"30-40",IF(AC580&lt;=Assumptions!$F$8,"40-50",IF(AC580&lt;=Assumptions!$F$9,"50-60",IF(AC580&lt;=Assumptions!$F$10,"60+",""))))))</f>
        <v>30-40</v>
      </c>
      <c r="AP580" s="0" t="str">
        <f aca="false">IFERROR(VLOOKUP(O580,Assumptions!$B$14:$C$26,2,FALSE()),"Other")</f>
        <v>Manager</v>
      </c>
      <c r="AQ580" s="0" t="n">
        <f aca="false">IF(T580="",0,1)</f>
        <v>0</v>
      </c>
      <c r="AR580" s="0" t="n">
        <f aca="false">IF(U580="",0,1)</f>
        <v>0</v>
      </c>
      <c r="AS580" s="8" t="n">
        <f aca="false">IF(AK580="","",IF(MAX($AK$2:$AK$921)=MIN($AK$2:$AK$921),50,ROUND((AK580-MIN($AK$2:$AK$921))/(MAX($AK$2:$AK$921)-MIN($AK$2:$AK$921))*100,2)))</f>
        <v>22.85</v>
      </c>
      <c r="AT580" s="8" t="n">
        <f aca="false">IF(MAX($BC$2:$BC$921)=MIN($BC$2:$BC$921),50,ROUND((BC580-MIN($BC$2:$BC$921))/(MAX($BC$2:$BC$921)-MIN($BC$2:$BC$921))*100,2))</f>
        <v>100</v>
      </c>
      <c r="AU580" s="8" t="n">
        <f aca="false">IF(MAX($BE$2:$BE$921)=MIN($BE$2:$BE$921),50,ROUND((BE580-MIN($BE$2:$BE$921))/(MAX($BE$2:$BE$921)-MIN($BE$2:$BE$921))*100,2))</f>
        <v>51.67</v>
      </c>
      <c r="AV580" s="8" t="n">
        <f aca="false">IF(MAX($AD$2:$AD$921)=MIN($AD$2:$AD$921),50,ROUND((AD580-MIN($AD$2:$AD$921))/(MAX($AD$2:$AD$921)-MIN($AD$2:$AD$921))*100,2))</f>
        <v>16.83</v>
      </c>
      <c r="AW580" s="8" t="n">
        <f aca="false">IF(MAX($AN$2:$AN$921)=MIN($AN$2:$AN$921),50,ROUND((AN580-MIN($AN$2:$AN$921))/(MAX($AN$2:$AN$921)-MIN($AN$2:$AN$921))*100,2))</f>
        <v>60</v>
      </c>
      <c r="AX580" s="8" t="n">
        <f aca="false">AQ580*100</f>
        <v>0</v>
      </c>
      <c r="AY580" s="8" t="n">
        <f aca="false">AR580*100</f>
        <v>0</v>
      </c>
      <c r="AZ580" s="8" t="n">
        <f aca="false">IFERROR(ROUND(AS580*Assumptions!$I$6+AW580*Assumptions!$I$7+AT580*Assumptions!$I$8+AU580*Assumptions!$I$9+AV580*Assumptions!$I$10+AX580*Assumptions!$I$11+AY580*Assumptions!$I$12,2),"")</f>
        <v>43.29</v>
      </c>
      <c r="BA580" s="0" t="str">
        <f aca="false">IF(AZ580="","",IF(AZ580&lt;=Assumptions!$I$18,"Below Expectation",IF(AZ580&lt;=Assumptions!$I$19,"Developing",IF(AZ580&lt;=Assumptions!$I$20,"Meets Expectation",IF(AZ580&lt;=Assumptions!$I$21,"Exceeds","Star Performer")))))</f>
        <v>Developing</v>
      </c>
      <c r="BB580" s="0" t="n">
        <f aca="false">IF(AZ580="",0,IF(AZ580&gt;=Assumptions!$I$26,1,0))</f>
        <v>0</v>
      </c>
      <c r="BC580" s="9" t="n">
        <f aca="false">IF(AL580="",2,AL580+2)</f>
        <v>4</v>
      </c>
      <c r="BD580" s="10" t="n">
        <f aca="false">IF(AM580="",ROUND(AVERAGE($AM$2:$AM$921),3),AM580)</f>
        <v>0.837</v>
      </c>
      <c r="BE580" s="9" t="n">
        <f aca="false">1-BD580</f>
        <v>0.163</v>
      </c>
    </row>
    <row r="581" customFormat="false" ht="14.25" hidden="true" customHeight="false" outlineLevel="0" collapsed="false">
      <c r="A581" s="4" t="n">
        <v>736</v>
      </c>
      <c r="B581" s="5" t="n">
        <v>55070186</v>
      </c>
      <c r="C581" s="5" t="s">
        <v>57</v>
      </c>
      <c r="D581" s="5" t="s">
        <v>2167</v>
      </c>
      <c r="E581" s="5" t="s">
        <v>500</v>
      </c>
      <c r="F581" s="5" t="s">
        <v>387</v>
      </c>
      <c r="G581" s="5" t="s">
        <v>388</v>
      </c>
      <c r="H581" s="5" t="s">
        <v>387</v>
      </c>
      <c r="I581" s="5" t="s">
        <v>63</v>
      </c>
      <c r="J581" s="5" t="s">
        <v>100</v>
      </c>
      <c r="K581" s="5" t="s">
        <v>65</v>
      </c>
      <c r="L581" s="6" t="n">
        <v>45092</v>
      </c>
      <c r="M581" s="5" t="s">
        <v>2039</v>
      </c>
      <c r="N581" s="6" t="n">
        <v>31882</v>
      </c>
      <c r="O581" s="5" t="s">
        <v>332</v>
      </c>
      <c r="P581" s="5" t="s">
        <v>333</v>
      </c>
      <c r="Q581" s="5" t="s">
        <v>156</v>
      </c>
      <c r="R581" s="5" t="s">
        <v>296</v>
      </c>
      <c r="S581" s="5" t="s">
        <v>194</v>
      </c>
      <c r="T581" s="6"/>
      <c r="U581" s="6"/>
      <c r="V581" s="5"/>
      <c r="W581" s="5"/>
      <c r="X581" s="5" t="s">
        <v>631</v>
      </c>
      <c r="Y581" s="5" t="s">
        <v>141</v>
      </c>
      <c r="Z581" s="5" t="s">
        <v>83</v>
      </c>
      <c r="AA581" s="5" t="s">
        <v>2168</v>
      </c>
      <c r="AB581" s="0" t="n">
        <f aca="false">IFERROR(VALUE(R581),0)</f>
        <v>13.3</v>
      </c>
      <c r="AC581" s="0" t="n">
        <f aca="false">IFERROR(VALUE(M581),"")</f>
        <v>39.1</v>
      </c>
      <c r="AD581" s="0" t="n">
        <f aca="false">IFERROR(VALUE(Q581),"")</f>
        <v>2.11</v>
      </c>
      <c r="AE581" s="0" t="n">
        <f aca="false">IFERROR(VALUE(S581),"")</f>
        <v>16.2</v>
      </c>
      <c r="AF581" s="0" t="str">
        <f aca="false">IF(V581="","",VLOOKUP(V581,Assumptions!$B$6:$C$9,2,FALSE()))</f>
        <v/>
      </c>
      <c r="AG581" s="0" t="str">
        <f aca="false">IF(W581="","",VLOOKUP(W581,Assumptions!$B$6:$C$9,2,FALSE()))</f>
        <v/>
      </c>
      <c r="AH581" s="0" t="n">
        <f aca="false">IF(X581="","",VLOOKUP(X581,Assumptions!$B$6:$C$9,2,FALSE()))</f>
        <v>2</v>
      </c>
      <c r="AI581" s="0" t="n">
        <f aca="false">IF(Y581="","",VLOOKUP(Y581,Assumptions!$B$6:$C$9,2,FALSE()))</f>
        <v>3</v>
      </c>
      <c r="AJ581" s="0" t="n">
        <f aca="false">IF(Z581="","",VLOOKUP(Z581,Assumptions!$B$6:$C$9,2,FALSE()))</f>
        <v>4</v>
      </c>
      <c r="AK581" s="7" t="n">
        <f aca="false">IFERROR(ROUND(AVERAGE(AF581:AJ581),3),"")</f>
        <v>3</v>
      </c>
      <c r="AL581" s="7" t="str">
        <f aca="false">IF(OR(AF581="",AJ581=""),"",AJ581-AF581)</f>
        <v/>
      </c>
      <c r="AM581" s="7" t="n">
        <f aca="false">IF(COUNT(AF581:AJ581)&gt;=2,ROUND(_xlfn.STDEV.S(AF581:AJ581),3),"")</f>
        <v>1</v>
      </c>
      <c r="AN581" s="7" t="n">
        <f aca="false">ROUND((IF(AF581="",0,AF581)*Assumptions!$F$15)+(IF(AG581="",0,AG581)*Assumptions!$F$16)+(IF(AH581="",0,AH581)*Assumptions!$F$17)+(IF(AI581="",0,AI581)*Assumptions!$F$18)+(IF(AJ581="",0,AJ581)*Assumptions!$F$19),3)</f>
        <v>2.35</v>
      </c>
      <c r="AO581" s="0" t="str">
        <f aca="false">IF(AC581&lt;=20,"",IF(AC581&lt;=Assumptions!$F$6,"20-30",IF(AC581&lt;=Assumptions!$F$7,"30-40",IF(AC581&lt;=Assumptions!$F$8,"40-50",IF(AC581&lt;=Assumptions!$F$9,"50-60",IF(AC581&lt;=Assumptions!$F$10,"60+",""))))))</f>
        <v>30-40</v>
      </c>
      <c r="AP581" s="0" t="str">
        <f aca="false">IFERROR(VLOOKUP(O581,Assumptions!$B$14:$C$26,2,FALSE()),"Other")</f>
        <v>Manager</v>
      </c>
      <c r="AQ581" s="0" t="n">
        <f aca="false">IF(T581="",0,1)</f>
        <v>0</v>
      </c>
      <c r="AR581" s="0" t="n">
        <f aca="false">IF(U581="",0,1)</f>
        <v>0</v>
      </c>
      <c r="AS581" s="8" t="n">
        <f aca="false">IF(AK581="","",IF(MAX($AK$2:$AK$921)=MIN($AK$2:$AK$921),50,ROUND((AK581-MIN($AK$2:$AK$921))/(MAX($AK$2:$AK$921)-MIN($AK$2:$AK$921))*100,2)))</f>
        <v>57.14</v>
      </c>
      <c r="AT581" s="8" t="n">
        <f aca="false">IF(MAX($BC$2:$BC$921)=MIN($BC$2:$BC$921),50,ROUND((BC581-MIN($BC$2:$BC$921))/(MAX($BC$2:$BC$921)-MIN($BC$2:$BC$921))*100,2))</f>
        <v>50</v>
      </c>
      <c r="AU581" s="8" t="n">
        <f aca="false">IF(MAX($BE$2:$BE$921)=MIN($BE$2:$BE$921),50,ROUND((BE581-MIN($BE$2:$BE$921))/(MAX($BE$2:$BE$921)-MIN($BE$2:$BE$921))*100,2))</f>
        <v>42.26</v>
      </c>
      <c r="AV581" s="8" t="n">
        <f aca="false">IF(MAX($AD$2:$AD$921)=MIN($AD$2:$AD$921),50,ROUND((AD581-MIN($AD$2:$AD$921))/(MAX($AD$2:$AD$921)-MIN($AD$2:$AD$921))*100,2))</f>
        <v>5.44</v>
      </c>
      <c r="AW581" s="8" t="n">
        <f aca="false">IF(MAX($AN$2:$AN$921)=MIN($AN$2:$AN$921),50,ROUND((AN581-MIN($AN$2:$AN$921))/(MAX($AN$2:$AN$921)-MIN($AN$2:$AN$921))*100,2))</f>
        <v>58.75</v>
      </c>
      <c r="AX581" s="8" t="n">
        <f aca="false">AQ581*100</f>
        <v>0</v>
      </c>
      <c r="AY581" s="8" t="n">
        <f aca="false">AR581*100</f>
        <v>0</v>
      </c>
      <c r="AZ581" s="8" t="n">
        <f aca="false">IFERROR(ROUND(AS581*Assumptions!$I$6+AW581*Assumptions!$I$7+AT581*Assumptions!$I$8+AU581*Assumptions!$I$9+AV581*Assumptions!$I$10+AX581*Assumptions!$I$11+AY581*Assumptions!$I$12,2),"")</f>
        <v>43.28</v>
      </c>
      <c r="BA581" s="0" t="str">
        <f aca="false">IF(AZ581="","",IF(AZ581&lt;=Assumptions!$I$18,"Below Expectation",IF(AZ581&lt;=Assumptions!$I$19,"Developing",IF(AZ581&lt;=Assumptions!$I$20,"Meets Expectation",IF(AZ581&lt;=Assumptions!$I$21,"Exceeds","Star Performer")))))</f>
        <v>Developing</v>
      </c>
      <c r="BB581" s="0" t="n">
        <f aca="false">IF(AZ581="",0,IF(AZ581&gt;=Assumptions!$I$26,1,0))</f>
        <v>0</v>
      </c>
      <c r="BC581" s="9" t="n">
        <f aca="false">IF(AL581="",2,AL581+2)</f>
        <v>2</v>
      </c>
      <c r="BD581" s="10" t="n">
        <f aca="false">IF(AM581="",ROUND(AVERAGE($AM$2:$AM$921),3),AM581)</f>
        <v>1</v>
      </c>
      <c r="BE581" s="9" t="n">
        <f aca="false">1-BD581</f>
        <v>0</v>
      </c>
    </row>
    <row r="582" customFormat="false" ht="14.25" hidden="false" customHeight="false" outlineLevel="0" collapsed="false">
      <c r="A582" s="4" t="n">
        <v>748</v>
      </c>
      <c r="B582" s="5" t="n">
        <v>55074193</v>
      </c>
      <c r="C582" s="5" t="s">
        <v>106</v>
      </c>
      <c r="D582" s="5" t="s">
        <v>2169</v>
      </c>
      <c r="E582" s="5" t="s">
        <v>108</v>
      </c>
      <c r="F582" s="5" t="s">
        <v>463</v>
      </c>
      <c r="G582" s="5" t="s">
        <v>464</v>
      </c>
      <c r="H582" s="5" t="s">
        <v>465</v>
      </c>
      <c r="I582" s="5" t="s">
        <v>63</v>
      </c>
      <c r="J582" s="5" t="s">
        <v>112</v>
      </c>
      <c r="K582" s="5" t="s">
        <v>309</v>
      </c>
      <c r="L582" s="6" t="n">
        <v>45132</v>
      </c>
      <c r="M582" s="5" t="s">
        <v>1789</v>
      </c>
      <c r="N582" s="6" t="n">
        <v>37117</v>
      </c>
      <c r="O582" s="5" t="s">
        <v>1264</v>
      </c>
      <c r="P582" s="5" t="s">
        <v>1559</v>
      </c>
      <c r="Q582" s="5" t="s">
        <v>271</v>
      </c>
      <c r="R582" s="5" t="s">
        <v>115</v>
      </c>
      <c r="S582" s="5" t="s">
        <v>271</v>
      </c>
      <c r="T582" s="6"/>
      <c r="U582" s="6"/>
      <c r="V582" s="5"/>
      <c r="W582" s="5"/>
      <c r="X582" s="5" t="s">
        <v>631</v>
      </c>
      <c r="Y582" s="5" t="s">
        <v>141</v>
      </c>
      <c r="Z582" s="5" t="s">
        <v>83</v>
      </c>
      <c r="AA582" s="5" t="s">
        <v>2157</v>
      </c>
      <c r="AB582" s="0" t="n">
        <f aca="false">IFERROR(VALUE(R582),0)</f>
        <v>0</v>
      </c>
      <c r="AC582" s="0" t="n">
        <f aca="false">IFERROR(VALUE(M582),"")</f>
        <v>24.9</v>
      </c>
      <c r="AD582" s="0" t="n">
        <f aca="false">IFERROR(VALUE(Q582),"")</f>
        <v>2.1</v>
      </c>
      <c r="AE582" s="0" t="n">
        <f aca="false">IFERROR(VALUE(S582),"")</f>
        <v>2.1</v>
      </c>
      <c r="AF582" s="0" t="str">
        <f aca="false">IF(V582="","",VLOOKUP(V582,Assumptions!$B$6:$C$9,2,FALSE()))</f>
        <v/>
      </c>
      <c r="AG582" s="0" t="str">
        <f aca="false">IF(W582="","",VLOOKUP(W582,Assumptions!$B$6:$C$9,2,FALSE()))</f>
        <v/>
      </c>
      <c r="AH582" s="0" t="n">
        <f aca="false">IF(X582="","",VLOOKUP(X582,Assumptions!$B$6:$C$9,2,FALSE()))</f>
        <v>2</v>
      </c>
      <c r="AI582" s="0" t="n">
        <f aca="false">IF(Y582="","",VLOOKUP(Y582,Assumptions!$B$6:$C$9,2,FALSE()))</f>
        <v>3</v>
      </c>
      <c r="AJ582" s="0" t="n">
        <f aca="false">IF(Z582="","",VLOOKUP(Z582,Assumptions!$B$6:$C$9,2,FALSE()))</f>
        <v>4</v>
      </c>
      <c r="AK582" s="7" t="n">
        <f aca="false">IFERROR(ROUND(AVERAGE(AF582:AJ582),3),"")</f>
        <v>3</v>
      </c>
      <c r="AL582" s="7" t="str">
        <f aca="false">IF(OR(AF582="",AJ582=""),"",AJ582-AF582)</f>
        <v/>
      </c>
      <c r="AM582" s="7" t="n">
        <f aca="false">IF(COUNT(AF582:AJ582)&gt;=2,ROUND(_xlfn.STDEV.S(AF582:AJ582),3),"")</f>
        <v>1</v>
      </c>
      <c r="AN582" s="7" t="n">
        <f aca="false">ROUND((IF(AF582="",0,AF582)*Assumptions!$F$15)+(IF(AG582="",0,AG582)*Assumptions!$F$16)+(IF(AH582="",0,AH582)*Assumptions!$F$17)+(IF(AI582="",0,AI582)*Assumptions!$F$18)+(IF(AJ582="",0,AJ582)*Assumptions!$F$19),3)</f>
        <v>2.35</v>
      </c>
      <c r="AO582" s="0" t="str">
        <f aca="false">IF(AC582&lt;=20,"",IF(AC582&lt;=Assumptions!$F$6,"20-30",IF(AC582&lt;=Assumptions!$F$7,"30-40",IF(AC582&lt;=Assumptions!$F$8,"40-50",IF(AC582&lt;=Assumptions!$F$9,"50-60",IF(AC582&lt;=Assumptions!$F$10,"60+",""))))))</f>
        <v>20-30</v>
      </c>
      <c r="AP582" s="0" t="str">
        <f aca="false">IFERROR(VLOOKUP(O582,Assumptions!$B$14:$C$26,2,FALSE()),"Other")</f>
        <v>Manager</v>
      </c>
      <c r="AQ582" s="0" t="n">
        <f aca="false">IF(T582="",0,1)</f>
        <v>0</v>
      </c>
      <c r="AR582" s="0" t="n">
        <f aca="false">IF(U582="",0,1)</f>
        <v>0</v>
      </c>
      <c r="AS582" s="8" t="n">
        <f aca="false">IF(AK582="","",IF(MAX($AK$2:$AK$921)=MIN($AK$2:$AK$921),50,ROUND((AK582-MIN($AK$2:$AK$921))/(MAX($AK$2:$AK$921)-MIN($AK$2:$AK$921))*100,2)))</f>
        <v>57.14</v>
      </c>
      <c r="AT582" s="8" t="n">
        <f aca="false">IF(MAX($BC$2:$BC$921)=MIN($BC$2:$BC$921),50,ROUND((BC582-MIN($BC$2:$BC$921))/(MAX($BC$2:$BC$921)-MIN($BC$2:$BC$921))*100,2))</f>
        <v>50</v>
      </c>
      <c r="AU582" s="8" t="n">
        <f aca="false">IF(MAX($BE$2:$BE$921)=MIN($BE$2:$BE$921),50,ROUND((BE582-MIN($BE$2:$BE$921))/(MAX($BE$2:$BE$921)-MIN($BE$2:$BE$921))*100,2))</f>
        <v>42.26</v>
      </c>
      <c r="AV582" s="8" t="n">
        <f aca="false">IF(MAX($AD$2:$AD$921)=MIN($AD$2:$AD$921),50,ROUND((AD582-MIN($AD$2:$AD$921))/(MAX($AD$2:$AD$921)-MIN($AD$2:$AD$921))*100,2))</f>
        <v>5.41</v>
      </c>
      <c r="AW582" s="8" t="n">
        <f aca="false">IF(MAX($AN$2:$AN$921)=MIN($AN$2:$AN$921),50,ROUND((AN582-MIN($AN$2:$AN$921))/(MAX($AN$2:$AN$921)-MIN($AN$2:$AN$921))*100,2))</f>
        <v>58.75</v>
      </c>
      <c r="AX582" s="8" t="n">
        <f aca="false">AQ582*100</f>
        <v>0</v>
      </c>
      <c r="AY582" s="8" t="n">
        <f aca="false">AR582*100</f>
        <v>0</v>
      </c>
      <c r="AZ582" s="8" t="n">
        <f aca="false">IFERROR(ROUND(AS582*Assumptions!$I$6+AW582*Assumptions!$I$7+AT582*Assumptions!$I$8+AU582*Assumptions!$I$9+AV582*Assumptions!$I$10+AX582*Assumptions!$I$11+AY582*Assumptions!$I$12,2),"")</f>
        <v>43.27</v>
      </c>
      <c r="BA582" s="0" t="str">
        <f aca="false">IF(AZ582="","",IF(AZ582&lt;=Assumptions!$I$18,"Below Expectation",IF(AZ582&lt;=Assumptions!$I$19,"Developing",IF(AZ582&lt;=Assumptions!$I$20,"Meets Expectation",IF(AZ582&lt;=Assumptions!$I$21,"Exceeds","Star Performer")))))</f>
        <v>Developing</v>
      </c>
      <c r="BB582" s="0" t="n">
        <f aca="false">IF(AZ582="",0,IF(AZ582&gt;=Assumptions!$I$26,1,0))</f>
        <v>0</v>
      </c>
      <c r="BC582" s="9" t="n">
        <f aca="false">IF(AL582="",2,AL582+2)</f>
        <v>2</v>
      </c>
      <c r="BD582" s="10" t="n">
        <f aca="false">IF(AM582="",ROUND(AVERAGE($AM$2:$AM$921),3),AM582)</f>
        <v>1</v>
      </c>
      <c r="BE582" s="9" t="n">
        <f aca="false">1-BD582</f>
        <v>0</v>
      </c>
    </row>
    <row r="583" customFormat="false" ht="14.25" hidden="true" customHeight="false" outlineLevel="0" collapsed="false">
      <c r="A583" s="4" t="n">
        <v>749</v>
      </c>
      <c r="B583" s="5" t="n">
        <v>55074196</v>
      </c>
      <c r="C583" s="5" t="s">
        <v>85</v>
      </c>
      <c r="D583" s="5" t="s">
        <v>2170</v>
      </c>
      <c r="E583" s="5" t="s">
        <v>339</v>
      </c>
      <c r="F583" s="5" t="s">
        <v>1848</v>
      </c>
      <c r="G583" s="5" t="s">
        <v>1849</v>
      </c>
      <c r="H583" s="5" t="s">
        <v>1848</v>
      </c>
      <c r="I583" s="5" t="s">
        <v>63</v>
      </c>
      <c r="J583" s="5" t="s">
        <v>76</v>
      </c>
      <c r="K583" s="5" t="s">
        <v>65</v>
      </c>
      <c r="L583" s="6" t="n">
        <v>45132</v>
      </c>
      <c r="M583" s="5" t="s">
        <v>2098</v>
      </c>
      <c r="N583" s="6" t="n">
        <v>36862</v>
      </c>
      <c r="O583" s="5" t="s">
        <v>1264</v>
      </c>
      <c r="P583" s="5" t="s">
        <v>1559</v>
      </c>
      <c r="Q583" s="5" t="s">
        <v>271</v>
      </c>
      <c r="R583" s="5" t="s">
        <v>115</v>
      </c>
      <c r="S583" s="5" t="s">
        <v>271</v>
      </c>
      <c r="T583" s="6"/>
      <c r="U583" s="6"/>
      <c r="V583" s="5"/>
      <c r="W583" s="5"/>
      <c r="X583" s="5" t="s">
        <v>631</v>
      </c>
      <c r="Y583" s="5" t="s">
        <v>141</v>
      </c>
      <c r="Z583" s="5" t="s">
        <v>83</v>
      </c>
      <c r="AA583" s="5" t="s">
        <v>2161</v>
      </c>
      <c r="AB583" s="0" t="n">
        <f aca="false">IFERROR(VALUE(R583),0)</f>
        <v>0</v>
      </c>
      <c r="AC583" s="0" t="n">
        <f aca="false">IFERROR(VALUE(M583),"")</f>
        <v>25.6</v>
      </c>
      <c r="AD583" s="0" t="n">
        <f aca="false">IFERROR(VALUE(Q583),"")</f>
        <v>2.1</v>
      </c>
      <c r="AE583" s="0" t="n">
        <f aca="false">IFERROR(VALUE(S583),"")</f>
        <v>2.1</v>
      </c>
      <c r="AF583" s="0" t="str">
        <f aca="false">IF(V583="","",VLOOKUP(V583,Assumptions!$B$6:$C$9,2,FALSE()))</f>
        <v/>
      </c>
      <c r="AG583" s="0" t="str">
        <f aca="false">IF(W583="","",VLOOKUP(W583,Assumptions!$B$6:$C$9,2,FALSE()))</f>
        <v/>
      </c>
      <c r="AH583" s="0" t="n">
        <f aca="false">IF(X583="","",VLOOKUP(X583,Assumptions!$B$6:$C$9,2,FALSE()))</f>
        <v>2</v>
      </c>
      <c r="AI583" s="0" t="n">
        <f aca="false">IF(Y583="","",VLOOKUP(Y583,Assumptions!$B$6:$C$9,2,FALSE()))</f>
        <v>3</v>
      </c>
      <c r="AJ583" s="0" t="n">
        <f aca="false">IF(Z583="","",VLOOKUP(Z583,Assumptions!$B$6:$C$9,2,FALSE()))</f>
        <v>4</v>
      </c>
      <c r="AK583" s="7" t="n">
        <f aca="false">IFERROR(ROUND(AVERAGE(AF583:AJ583),3),"")</f>
        <v>3</v>
      </c>
      <c r="AL583" s="7" t="str">
        <f aca="false">IF(OR(AF583="",AJ583=""),"",AJ583-AF583)</f>
        <v/>
      </c>
      <c r="AM583" s="7" t="n">
        <f aca="false">IF(COUNT(AF583:AJ583)&gt;=2,ROUND(_xlfn.STDEV.S(AF583:AJ583),3),"")</f>
        <v>1</v>
      </c>
      <c r="AN583" s="7" t="n">
        <f aca="false">ROUND((IF(AF583="",0,AF583)*Assumptions!$F$15)+(IF(AG583="",0,AG583)*Assumptions!$F$16)+(IF(AH583="",0,AH583)*Assumptions!$F$17)+(IF(AI583="",0,AI583)*Assumptions!$F$18)+(IF(AJ583="",0,AJ583)*Assumptions!$F$19),3)</f>
        <v>2.35</v>
      </c>
      <c r="AO583" s="0" t="str">
        <f aca="false">IF(AC583&lt;=20,"",IF(AC583&lt;=Assumptions!$F$6,"20-30",IF(AC583&lt;=Assumptions!$F$7,"30-40",IF(AC583&lt;=Assumptions!$F$8,"40-50",IF(AC583&lt;=Assumptions!$F$9,"50-60",IF(AC583&lt;=Assumptions!$F$10,"60+",""))))))</f>
        <v>20-30</v>
      </c>
      <c r="AP583" s="0" t="str">
        <f aca="false">IFERROR(VLOOKUP(O583,Assumptions!$B$14:$C$26,2,FALSE()),"Other")</f>
        <v>Manager</v>
      </c>
      <c r="AQ583" s="0" t="n">
        <f aca="false">IF(T583="",0,1)</f>
        <v>0</v>
      </c>
      <c r="AR583" s="0" t="n">
        <f aca="false">IF(U583="",0,1)</f>
        <v>0</v>
      </c>
      <c r="AS583" s="8" t="n">
        <f aca="false">IF(AK583="","",IF(MAX($AK$2:$AK$921)=MIN($AK$2:$AK$921),50,ROUND((AK583-MIN($AK$2:$AK$921))/(MAX($AK$2:$AK$921)-MIN($AK$2:$AK$921))*100,2)))</f>
        <v>57.14</v>
      </c>
      <c r="AT583" s="8" t="n">
        <f aca="false">IF(MAX($BC$2:$BC$921)=MIN($BC$2:$BC$921),50,ROUND((BC583-MIN($BC$2:$BC$921))/(MAX($BC$2:$BC$921)-MIN($BC$2:$BC$921))*100,2))</f>
        <v>50</v>
      </c>
      <c r="AU583" s="8" t="n">
        <f aca="false">IF(MAX($BE$2:$BE$921)=MIN($BE$2:$BE$921),50,ROUND((BE583-MIN($BE$2:$BE$921))/(MAX($BE$2:$BE$921)-MIN($BE$2:$BE$921))*100,2))</f>
        <v>42.26</v>
      </c>
      <c r="AV583" s="8" t="n">
        <f aca="false">IF(MAX($AD$2:$AD$921)=MIN($AD$2:$AD$921),50,ROUND((AD583-MIN($AD$2:$AD$921))/(MAX($AD$2:$AD$921)-MIN($AD$2:$AD$921))*100,2))</f>
        <v>5.41</v>
      </c>
      <c r="AW583" s="8" t="n">
        <f aca="false">IF(MAX($AN$2:$AN$921)=MIN($AN$2:$AN$921),50,ROUND((AN583-MIN($AN$2:$AN$921))/(MAX($AN$2:$AN$921)-MIN($AN$2:$AN$921))*100,2))</f>
        <v>58.75</v>
      </c>
      <c r="AX583" s="8" t="n">
        <f aca="false">AQ583*100</f>
        <v>0</v>
      </c>
      <c r="AY583" s="8" t="n">
        <f aca="false">AR583*100</f>
        <v>0</v>
      </c>
      <c r="AZ583" s="8" t="n">
        <f aca="false">IFERROR(ROUND(AS583*Assumptions!$I$6+AW583*Assumptions!$I$7+AT583*Assumptions!$I$8+AU583*Assumptions!$I$9+AV583*Assumptions!$I$10+AX583*Assumptions!$I$11+AY583*Assumptions!$I$12,2),"")</f>
        <v>43.27</v>
      </c>
      <c r="BA583" s="0" t="str">
        <f aca="false">IF(AZ583="","",IF(AZ583&lt;=Assumptions!$I$18,"Below Expectation",IF(AZ583&lt;=Assumptions!$I$19,"Developing",IF(AZ583&lt;=Assumptions!$I$20,"Meets Expectation",IF(AZ583&lt;=Assumptions!$I$21,"Exceeds","Star Performer")))))</f>
        <v>Developing</v>
      </c>
      <c r="BB583" s="0" t="n">
        <f aca="false">IF(AZ583="",0,IF(AZ583&gt;=Assumptions!$I$26,1,0))</f>
        <v>0</v>
      </c>
      <c r="BC583" s="9" t="n">
        <f aca="false">IF(AL583="",2,AL583+2)</f>
        <v>2</v>
      </c>
      <c r="BD583" s="10" t="n">
        <f aca="false">IF(AM583="",ROUND(AVERAGE($AM$2:$AM$921),3),AM583)</f>
        <v>1</v>
      </c>
      <c r="BE583" s="9" t="n">
        <f aca="false">1-BD583</f>
        <v>0</v>
      </c>
    </row>
    <row r="584" customFormat="false" ht="14.25" hidden="true" customHeight="false" outlineLevel="0" collapsed="false">
      <c r="A584" s="4" t="n">
        <v>153</v>
      </c>
      <c r="B584" s="5" t="n">
        <v>10047285</v>
      </c>
      <c r="C584" s="5" t="s">
        <v>57</v>
      </c>
      <c r="D584" s="5" t="s">
        <v>2171</v>
      </c>
      <c r="E584" s="5" t="s">
        <v>1497</v>
      </c>
      <c r="F584" s="5" t="s">
        <v>387</v>
      </c>
      <c r="G584" s="5" t="s">
        <v>388</v>
      </c>
      <c r="H584" s="5" t="s">
        <v>387</v>
      </c>
      <c r="I584" s="5" t="s">
        <v>63</v>
      </c>
      <c r="J584" s="5" t="s">
        <v>100</v>
      </c>
      <c r="K584" s="5" t="s">
        <v>65</v>
      </c>
      <c r="L584" s="6" t="n">
        <v>41974</v>
      </c>
      <c r="M584" s="5" t="s">
        <v>1709</v>
      </c>
      <c r="N584" s="6" t="n">
        <v>33948</v>
      </c>
      <c r="O584" s="5" t="s">
        <v>332</v>
      </c>
      <c r="P584" s="5" t="s">
        <v>333</v>
      </c>
      <c r="Q584" s="5" t="s">
        <v>367</v>
      </c>
      <c r="R584" s="5" t="s">
        <v>115</v>
      </c>
      <c r="S584" s="5" t="s">
        <v>367</v>
      </c>
      <c r="T584" s="6"/>
      <c r="U584" s="6" t="n">
        <v>44652</v>
      </c>
      <c r="V584" s="5" t="s">
        <v>83</v>
      </c>
      <c r="W584" s="5" t="s">
        <v>141</v>
      </c>
      <c r="X584" s="5" t="s">
        <v>141</v>
      </c>
      <c r="Y584" s="5" t="s">
        <v>631</v>
      </c>
      <c r="Z584" s="5" t="s">
        <v>631</v>
      </c>
      <c r="AA584" s="5" t="s">
        <v>1710</v>
      </c>
      <c r="AB584" s="0" t="n">
        <f aca="false">IFERROR(VALUE(R584),0)</f>
        <v>0</v>
      </c>
      <c r="AC584" s="0" t="n">
        <f aca="false">IFERROR(VALUE(M584),"")</f>
        <v>33.5</v>
      </c>
      <c r="AD584" s="0" t="n">
        <f aca="false">IFERROR(VALUE(Q584),"")</f>
        <v>11.6</v>
      </c>
      <c r="AE584" s="0" t="n">
        <f aca="false">IFERROR(VALUE(S584),"")</f>
        <v>11.6</v>
      </c>
      <c r="AF584" s="0" t="n">
        <f aca="false">IF(V584="","",VLOOKUP(V584,Assumptions!$B$6:$C$9,2,FALSE()))</f>
        <v>4</v>
      </c>
      <c r="AG584" s="0" t="n">
        <f aca="false">IF(W584="","",VLOOKUP(W584,Assumptions!$B$6:$C$9,2,FALSE()))</f>
        <v>3</v>
      </c>
      <c r="AH584" s="0" t="n">
        <f aca="false">IF(X584="","",VLOOKUP(X584,Assumptions!$B$6:$C$9,2,FALSE()))</f>
        <v>3</v>
      </c>
      <c r="AI584" s="0" t="n">
        <f aca="false">IF(Y584="","",VLOOKUP(Y584,Assumptions!$B$6:$C$9,2,FALSE()))</f>
        <v>2</v>
      </c>
      <c r="AJ584" s="0" t="n">
        <f aca="false">IF(Z584="","",VLOOKUP(Z584,Assumptions!$B$6:$C$9,2,FALSE()))</f>
        <v>2</v>
      </c>
      <c r="AK584" s="7" t="n">
        <f aca="false">IFERROR(ROUND(AVERAGE(AF584:AJ584),3),"")</f>
        <v>2.8</v>
      </c>
      <c r="AL584" s="7" t="n">
        <f aca="false">IF(OR(AF584="",AJ584=""),"",AJ584-AF584)</f>
        <v>-2</v>
      </c>
      <c r="AM584" s="7" t="n">
        <f aca="false">IF(COUNT(AF584:AJ584)&gt;=2,ROUND(_xlfn.STDEV.S(AF584:AJ584),3),"")</f>
        <v>0.837</v>
      </c>
      <c r="AN584" s="7" t="n">
        <f aca="false">ROUND((IF(AF584="",0,AF584)*Assumptions!$F$15)+(IF(AG584="",0,AG584)*Assumptions!$F$16)+(IF(AH584="",0,AH584)*Assumptions!$F$17)+(IF(AI584="",0,AI584)*Assumptions!$F$18)+(IF(AJ584="",0,AJ584)*Assumptions!$F$19),3)</f>
        <v>2.55</v>
      </c>
      <c r="AO584" s="0" t="str">
        <f aca="false">IF(AC584&lt;=20,"",IF(AC584&lt;=Assumptions!$F$6,"20-30",IF(AC584&lt;=Assumptions!$F$7,"30-40",IF(AC584&lt;=Assumptions!$F$8,"40-50",IF(AC584&lt;=Assumptions!$F$9,"50-60",IF(AC584&lt;=Assumptions!$F$10,"60+",""))))))</f>
        <v>30-40</v>
      </c>
      <c r="AP584" s="0" t="str">
        <f aca="false">IFERROR(VLOOKUP(O584,Assumptions!$B$14:$C$26,2,FALSE()),"Other")</f>
        <v>Manager</v>
      </c>
      <c r="AQ584" s="0" t="n">
        <f aca="false">IF(T584="",0,1)</f>
        <v>0</v>
      </c>
      <c r="AR584" s="0" t="n">
        <f aca="false">IF(U584="",0,1)</f>
        <v>1</v>
      </c>
      <c r="AS584" s="8" t="n">
        <f aca="false">IF(AK584="","",IF(MAX($AK$2:$AK$921)=MIN($AK$2:$AK$921),50,ROUND((AK584-MIN($AK$2:$AK$921))/(MAX($AK$2:$AK$921)-MIN($AK$2:$AK$921))*100,2)))</f>
        <v>48.56</v>
      </c>
      <c r="AT584" s="8" t="n">
        <f aca="false">IF(MAX($BC$2:$BC$921)=MIN($BC$2:$BC$921),50,ROUND((BC584-MIN($BC$2:$BC$921))/(MAX($BC$2:$BC$921)-MIN($BC$2:$BC$921))*100,2))</f>
        <v>0</v>
      </c>
      <c r="AU584" s="8" t="n">
        <f aca="false">IF(MAX($BE$2:$BE$921)=MIN($BE$2:$BE$921),50,ROUND((BE584-MIN($BE$2:$BE$921))/(MAX($BE$2:$BE$921)-MIN($BE$2:$BE$921))*100,2))</f>
        <v>51.67</v>
      </c>
      <c r="AV584" s="8" t="n">
        <f aca="false">IF(MAX($AD$2:$AD$921)=MIN($AD$2:$AD$921),50,ROUND((AD584-MIN($AD$2:$AD$921))/(MAX($AD$2:$AD$921)-MIN($AD$2:$AD$921))*100,2))</f>
        <v>31.23</v>
      </c>
      <c r="AW584" s="8" t="n">
        <f aca="false">IF(MAX($AN$2:$AN$921)=MIN($AN$2:$AN$921),50,ROUND((AN584-MIN($AN$2:$AN$921))/(MAX($AN$2:$AN$921)-MIN($AN$2:$AN$921))*100,2))</f>
        <v>63.75</v>
      </c>
      <c r="AX584" s="8" t="n">
        <f aca="false">AQ584*100</f>
        <v>0</v>
      </c>
      <c r="AY584" s="8" t="n">
        <f aca="false">AR584*100</f>
        <v>100</v>
      </c>
      <c r="AZ584" s="8" t="n">
        <f aca="false">IFERROR(ROUND(AS584*Assumptions!$I$6+AW584*Assumptions!$I$7+AT584*Assumptions!$I$8+AU584*Assumptions!$I$9+AV584*Assumptions!$I$10+AX584*Assumptions!$I$11+AY584*Assumptions!$I$12,2),"")</f>
        <v>43.19</v>
      </c>
      <c r="BA584" s="0" t="str">
        <f aca="false">IF(AZ584="","",IF(AZ584&lt;=Assumptions!$I$18,"Below Expectation",IF(AZ584&lt;=Assumptions!$I$19,"Developing",IF(AZ584&lt;=Assumptions!$I$20,"Meets Expectation",IF(AZ584&lt;=Assumptions!$I$21,"Exceeds","Star Performer")))))</f>
        <v>Developing</v>
      </c>
      <c r="BB584" s="0" t="n">
        <f aca="false">IF(AZ584="",0,IF(AZ584&gt;=Assumptions!$I$26,1,0))</f>
        <v>0</v>
      </c>
      <c r="BC584" s="9" t="n">
        <f aca="false">IF(AL584="",2,AL584+2)</f>
        <v>0</v>
      </c>
      <c r="BD584" s="10" t="n">
        <f aca="false">IF(AM584="",ROUND(AVERAGE($AM$2:$AM$921),3),AM584)</f>
        <v>0.837</v>
      </c>
      <c r="BE584" s="9" t="n">
        <f aca="false">1-BD584</f>
        <v>0.163</v>
      </c>
    </row>
    <row r="585" customFormat="false" ht="14.25" hidden="false" customHeight="false" outlineLevel="0" collapsed="false">
      <c r="A585" s="4" t="n">
        <v>758</v>
      </c>
      <c r="B585" s="5" t="n">
        <v>55085959</v>
      </c>
      <c r="C585" s="5" t="s">
        <v>106</v>
      </c>
      <c r="D585" s="5" t="s">
        <v>2172</v>
      </c>
      <c r="E585" s="5" t="s">
        <v>108</v>
      </c>
      <c r="F585" s="5" t="s">
        <v>590</v>
      </c>
      <c r="G585" s="5" t="s">
        <v>589</v>
      </c>
      <c r="H585" s="5" t="s">
        <v>590</v>
      </c>
      <c r="I585" s="5" t="s">
        <v>63</v>
      </c>
      <c r="J585" s="5" t="s">
        <v>112</v>
      </c>
      <c r="K585" s="5" t="s">
        <v>309</v>
      </c>
      <c r="L585" s="6" t="n">
        <v>45224</v>
      </c>
      <c r="M585" s="5" t="s">
        <v>165</v>
      </c>
      <c r="N585" s="6" t="n">
        <v>37030</v>
      </c>
      <c r="O585" s="5" t="s">
        <v>1264</v>
      </c>
      <c r="P585" s="5" t="s">
        <v>1559</v>
      </c>
      <c r="Q585" s="5" t="s">
        <v>195</v>
      </c>
      <c r="R585" s="5" t="s">
        <v>115</v>
      </c>
      <c r="S585" s="5" t="s">
        <v>195</v>
      </c>
      <c r="T585" s="6"/>
      <c r="U585" s="6"/>
      <c r="V585" s="5"/>
      <c r="W585" s="5"/>
      <c r="X585" s="5" t="s">
        <v>631</v>
      </c>
      <c r="Y585" s="5" t="s">
        <v>83</v>
      </c>
      <c r="Z585" s="5" t="s">
        <v>141</v>
      </c>
      <c r="AA585" s="5" t="s">
        <v>1956</v>
      </c>
      <c r="AB585" s="0" t="n">
        <f aca="false">IFERROR(VALUE(R585),0)</f>
        <v>0</v>
      </c>
      <c r="AC585" s="0" t="n">
        <f aca="false">IFERROR(VALUE(M585),"")</f>
        <v>25</v>
      </c>
      <c r="AD585" s="0" t="n">
        <f aca="false">IFERROR(VALUE(Q585),"")</f>
        <v>2.7</v>
      </c>
      <c r="AE585" s="0" t="n">
        <f aca="false">IFERROR(VALUE(S585),"")</f>
        <v>2.7</v>
      </c>
      <c r="AF585" s="0" t="str">
        <f aca="false">IF(V585="","",VLOOKUP(V585,Assumptions!$B$6:$C$9,2,FALSE()))</f>
        <v/>
      </c>
      <c r="AG585" s="0" t="str">
        <f aca="false">IF(W585="","",VLOOKUP(W585,Assumptions!$B$6:$C$9,2,FALSE()))</f>
        <v/>
      </c>
      <c r="AH585" s="0" t="n">
        <f aca="false">IF(X585="","",VLOOKUP(X585,Assumptions!$B$6:$C$9,2,FALSE()))</f>
        <v>2</v>
      </c>
      <c r="AI585" s="0" t="n">
        <f aca="false">IF(Y585="","",VLOOKUP(Y585,Assumptions!$B$6:$C$9,2,FALSE()))</f>
        <v>4</v>
      </c>
      <c r="AJ585" s="0" t="n">
        <f aca="false">IF(Z585="","",VLOOKUP(Z585,Assumptions!$B$6:$C$9,2,FALSE()))</f>
        <v>3</v>
      </c>
      <c r="AK585" s="7" t="n">
        <f aca="false">IFERROR(ROUND(AVERAGE(AF585:AJ585),3),"")</f>
        <v>3</v>
      </c>
      <c r="AL585" s="7" t="str">
        <f aca="false">IF(OR(AF585="",AJ585=""),"",AJ585-AF585)</f>
        <v/>
      </c>
      <c r="AM585" s="7" t="n">
        <f aca="false">IF(COUNT(AF585:AJ585)&gt;=2,ROUND(_xlfn.STDEV.S(AF585:AJ585),3),"")</f>
        <v>1</v>
      </c>
      <c r="AN585" s="7" t="n">
        <f aca="false">ROUND((IF(AF585="",0,AF585)*Assumptions!$F$15)+(IF(AG585="",0,AG585)*Assumptions!$F$16)+(IF(AH585="",0,AH585)*Assumptions!$F$17)+(IF(AI585="",0,AI585)*Assumptions!$F$18)+(IF(AJ585="",0,AJ585)*Assumptions!$F$19),3)</f>
        <v>2.3</v>
      </c>
      <c r="AO585" s="0" t="str">
        <f aca="false">IF(AC585&lt;=20,"",IF(AC585&lt;=Assumptions!$F$6,"20-30",IF(AC585&lt;=Assumptions!$F$7,"30-40",IF(AC585&lt;=Assumptions!$F$8,"40-50",IF(AC585&lt;=Assumptions!$F$9,"50-60",IF(AC585&lt;=Assumptions!$F$10,"60+",""))))))</f>
        <v>20-30</v>
      </c>
      <c r="AP585" s="0" t="str">
        <f aca="false">IFERROR(VLOOKUP(O585,Assumptions!$B$14:$C$26,2,FALSE()),"Other")</f>
        <v>Manager</v>
      </c>
      <c r="AQ585" s="0" t="n">
        <f aca="false">IF(T585="",0,1)</f>
        <v>0</v>
      </c>
      <c r="AR585" s="0" t="n">
        <f aca="false">IF(U585="",0,1)</f>
        <v>0</v>
      </c>
      <c r="AS585" s="8" t="n">
        <f aca="false">IF(AK585="","",IF(MAX($AK$2:$AK$921)=MIN($AK$2:$AK$921),50,ROUND((AK585-MIN($AK$2:$AK$921))/(MAX($AK$2:$AK$921)-MIN($AK$2:$AK$921))*100,2)))</f>
        <v>57.14</v>
      </c>
      <c r="AT585" s="8" t="n">
        <f aca="false">IF(MAX($BC$2:$BC$921)=MIN($BC$2:$BC$921),50,ROUND((BC585-MIN($BC$2:$BC$921))/(MAX($BC$2:$BC$921)-MIN($BC$2:$BC$921))*100,2))</f>
        <v>50</v>
      </c>
      <c r="AU585" s="8" t="n">
        <f aca="false">IF(MAX($BE$2:$BE$921)=MIN($BE$2:$BE$921),50,ROUND((BE585-MIN($BE$2:$BE$921))/(MAX($BE$2:$BE$921)-MIN($BE$2:$BE$921))*100,2))</f>
        <v>42.26</v>
      </c>
      <c r="AV585" s="8" t="n">
        <f aca="false">IF(MAX($AD$2:$AD$921)=MIN($AD$2:$AD$921),50,ROUND((AD585-MIN($AD$2:$AD$921))/(MAX($AD$2:$AD$921)-MIN($AD$2:$AD$921))*100,2))</f>
        <v>7.04</v>
      </c>
      <c r="AW585" s="8" t="n">
        <f aca="false">IF(MAX($AN$2:$AN$921)=MIN($AN$2:$AN$921),50,ROUND((AN585-MIN($AN$2:$AN$921))/(MAX($AN$2:$AN$921)-MIN($AN$2:$AN$921))*100,2))</f>
        <v>57.5</v>
      </c>
      <c r="AX585" s="8" t="n">
        <f aca="false">AQ585*100</f>
        <v>0</v>
      </c>
      <c r="AY585" s="8" t="n">
        <f aca="false">AR585*100</f>
        <v>0</v>
      </c>
      <c r="AZ585" s="8" t="n">
        <f aca="false">IFERROR(ROUND(AS585*Assumptions!$I$6+AW585*Assumptions!$I$7+AT585*Assumptions!$I$8+AU585*Assumptions!$I$9+AV585*Assumptions!$I$10+AX585*Assumptions!$I$11+AY585*Assumptions!$I$12,2),"")</f>
        <v>43.19</v>
      </c>
      <c r="BA585" s="0" t="str">
        <f aca="false">IF(AZ585="","",IF(AZ585&lt;=Assumptions!$I$18,"Below Expectation",IF(AZ585&lt;=Assumptions!$I$19,"Developing",IF(AZ585&lt;=Assumptions!$I$20,"Meets Expectation",IF(AZ585&lt;=Assumptions!$I$21,"Exceeds","Star Performer")))))</f>
        <v>Developing</v>
      </c>
      <c r="BB585" s="0" t="n">
        <f aca="false">IF(AZ585="",0,IF(AZ585&gt;=Assumptions!$I$26,1,0))</f>
        <v>0</v>
      </c>
      <c r="BC585" s="9" t="n">
        <f aca="false">IF(AL585="",2,AL585+2)</f>
        <v>2</v>
      </c>
      <c r="BD585" s="10" t="n">
        <f aca="false">IF(AM585="",ROUND(AVERAGE($AM$2:$AM$921),3),AM585)</f>
        <v>1</v>
      </c>
      <c r="BE585" s="9" t="n">
        <f aca="false">1-BD585</f>
        <v>0</v>
      </c>
    </row>
    <row r="586" customFormat="false" ht="14.25" hidden="false" customHeight="false" outlineLevel="0" collapsed="false">
      <c r="A586" s="4" t="n">
        <v>759</v>
      </c>
      <c r="B586" s="5" t="n">
        <v>55085963</v>
      </c>
      <c r="C586" s="5" t="s">
        <v>106</v>
      </c>
      <c r="D586" s="5" t="s">
        <v>2173</v>
      </c>
      <c r="E586" s="5" t="s">
        <v>108</v>
      </c>
      <c r="F586" s="5" t="s">
        <v>590</v>
      </c>
      <c r="G586" s="5" t="s">
        <v>589</v>
      </c>
      <c r="H586" s="5" t="s">
        <v>590</v>
      </c>
      <c r="I586" s="5" t="s">
        <v>63</v>
      </c>
      <c r="J586" s="5" t="s">
        <v>112</v>
      </c>
      <c r="K586" s="5" t="s">
        <v>309</v>
      </c>
      <c r="L586" s="6" t="n">
        <v>45224</v>
      </c>
      <c r="M586" s="5" t="s">
        <v>916</v>
      </c>
      <c r="N586" s="6" t="n">
        <v>36941</v>
      </c>
      <c r="O586" s="5" t="s">
        <v>1264</v>
      </c>
      <c r="P586" s="5" t="s">
        <v>1559</v>
      </c>
      <c r="Q586" s="5" t="s">
        <v>195</v>
      </c>
      <c r="R586" s="5" t="s">
        <v>115</v>
      </c>
      <c r="S586" s="5" t="s">
        <v>195</v>
      </c>
      <c r="T586" s="6"/>
      <c r="U586" s="6"/>
      <c r="V586" s="5"/>
      <c r="W586" s="5"/>
      <c r="X586" s="5" t="s">
        <v>631</v>
      </c>
      <c r="Y586" s="5" t="s">
        <v>83</v>
      </c>
      <c r="Z586" s="5" t="s">
        <v>141</v>
      </c>
      <c r="AA586" s="5" t="s">
        <v>2151</v>
      </c>
      <c r="AB586" s="0" t="n">
        <f aca="false">IFERROR(VALUE(R586),0)</f>
        <v>0</v>
      </c>
      <c r="AC586" s="0" t="n">
        <f aca="false">IFERROR(VALUE(M586),"")</f>
        <v>25.3</v>
      </c>
      <c r="AD586" s="0" t="n">
        <f aca="false">IFERROR(VALUE(Q586),"")</f>
        <v>2.7</v>
      </c>
      <c r="AE586" s="0" t="n">
        <f aca="false">IFERROR(VALUE(S586),"")</f>
        <v>2.7</v>
      </c>
      <c r="AF586" s="0" t="str">
        <f aca="false">IF(V586="","",VLOOKUP(V586,Assumptions!$B$6:$C$9,2,FALSE()))</f>
        <v/>
      </c>
      <c r="AG586" s="0" t="str">
        <f aca="false">IF(W586="","",VLOOKUP(W586,Assumptions!$B$6:$C$9,2,FALSE()))</f>
        <v/>
      </c>
      <c r="AH586" s="0" t="n">
        <f aca="false">IF(X586="","",VLOOKUP(X586,Assumptions!$B$6:$C$9,2,FALSE()))</f>
        <v>2</v>
      </c>
      <c r="AI586" s="0" t="n">
        <f aca="false">IF(Y586="","",VLOOKUP(Y586,Assumptions!$B$6:$C$9,2,FALSE()))</f>
        <v>4</v>
      </c>
      <c r="AJ586" s="0" t="n">
        <f aca="false">IF(Z586="","",VLOOKUP(Z586,Assumptions!$B$6:$C$9,2,FALSE()))</f>
        <v>3</v>
      </c>
      <c r="AK586" s="7" t="n">
        <f aca="false">IFERROR(ROUND(AVERAGE(AF586:AJ586),3),"")</f>
        <v>3</v>
      </c>
      <c r="AL586" s="7" t="str">
        <f aca="false">IF(OR(AF586="",AJ586=""),"",AJ586-AF586)</f>
        <v/>
      </c>
      <c r="AM586" s="7" t="n">
        <f aca="false">IF(COUNT(AF586:AJ586)&gt;=2,ROUND(_xlfn.STDEV.S(AF586:AJ586),3),"")</f>
        <v>1</v>
      </c>
      <c r="AN586" s="7" t="n">
        <f aca="false">ROUND((IF(AF586="",0,AF586)*Assumptions!$F$15)+(IF(AG586="",0,AG586)*Assumptions!$F$16)+(IF(AH586="",0,AH586)*Assumptions!$F$17)+(IF(AI586="",0,AI586)*Assumptions!$F$18)+(IF(AJ586="",0,AJ586)*Assumptions!$F$19),3)</f>
        <v>2.3</v>
      </c>
      <c r="AO586" s="0" t="str">
        <f aca="false">IF(AC586&lt;=20,"",IF(AC586&lt;=Assumptions!$F$6,"20-30",IF(AC586&lt;=Assumptions!$F$7,"30-40",IF(AC586&lt;=Assumptions!$F$8,"40-50",IF(AC586&lt;=Assumptions!$F$9,"50-60",IF(AC586&lt;=Assumptions!$F$10,"60+",""))))))</f>
        <v>20-30</v>
      </c>
      <c r="AP586" s="0" t="str">
        <f aca="false">IFERROR(VLOOKUP(O586,Assumptions!$B$14:$C$26,2,FALSE()),"Other")</f>
        <v>Manager</v>
      </c>
      <c r="AQ586" s="0" t="n">
        <f aca="false">IF(T586="",0,1)</f>
        <v>0</v>
      </c>
      <c r="AR586" s="0" t="n">
        <f aca="false">IF(U586="",0,1)</f>
        <v>0</v>
      </c>
      <c r="AS586" s="8" t="n">
        <f aca="false">IF(AK586="","",IF(MAX($AK$2:$AK$921)=MIN($AK$2:$AK$921),50,ROUND((AK586-MIN($AK$2:$AK$921))/(MAX($AK$2:$AK$921)-MIN($AK$2:$AK$921))*100,2)))</f>
        <v>57.14</v>
      </c>
      <c r="AT586" s="8" t="n">
        <f aca="false">IF(MAX($BC$2:$BC$921)=MIN($BC$2:$BC$921),50,ROUND((BC586-MIN($BC$2:$BC$921))/(MAX($BC$2:$BC$921)-MIN($BC$2:$BC$921))*100,2))</f>
        <v>50</v>
      </c>
      <c r="AU586" s="8" t="n">
        <f aca="false">IF(MAX($BE$2:$BE$921)=MIN($BE$2:$BE$921),50,ROUND((BE586-MIN($BE$2:$BE$921))/(MAX($BE$2:$BE$921)-MIN($BE$2:$BE$921))*100,2))</f>
        <v>42.26</v>
      </c>
      <c r="AV586" s="8" t="n">
        <f aca="false">IF(MAX($AD$2:$AD$921)=MIN($AD$2:$AD$921),50,ROUND((AD586-MIN($AD$2:$AD$921))/(MAX($AD$2:$AD$921)-MIN($AD$2:$AD$921))*100,2))</f>
        <v>7.04</v>
      </c>
      <c r="AW586" s="8" t="n">
        <f aca="false">IF(MAX($AN$2:$AN$921)=MIN($AN$2:$AN$921),50,ROUND((AN586-MIN($AN$2:$AN$921))/(MAX($AN$2:$AN$921)-MIN($AN$2:$AN$921))*100,2))</f>
        <v>57.5</v>
      </c>
      <c r="AX586" s="8" t="n">
        <f aca="false">AQ586*100</f>
        <v>0</v>
      </c>
      <c r="AY586" s="8" t="n">
        <f aca="false">AR586*100</f>
        <v>0</v>
      </c>
      <c r="AZ586" s="8" t="n">
        <f aca="false">IFERROR(ROUND(AS586*Assumptions!$I$6+AW586*Assumptions!$I$7+AT586*Assumptions!$I$8+AU586*Assumptions!$I$9+AV586*Assumptions!$I$10+AX586*Assumptions!$I$11+AY586*Assumptions!$I$12,2),"")</f>
        <v>43.19</v>
      </c>
      <c r="BA586" s="0" t="str">
        <f aca="false">IF(AZ586="","",IF(AZ586&lt;=Assumptions!$I$18,"Below Expectation",IF(AZ586&lt;=Assumptions!$I$19,"Developing",IF(AZ586&lt;=Assumptions!$I$20,"Meets Expectation",IF(AZ586&lt;=Assumptions!$I$21,"Exceeds","Star Performer")))))</f>
        <v>Developing</v>
      </c>
      <c r="BB586" s="0" t="n">
        <f aca="false">IF(AZ586="",0,IF(AZ586&gt;=Assumptions!$I$26,1,0))</f>
        <v>0</v>
      </c>
      <c r="BC586" s="9" t="n">
        <f aca="false">IF(AL586="",2,AL586+2)</f>
        <v>2</v>
      </c>
      <c r="BD586" s="10" t="n">
        <f aca="false">IF(AM586="",ROUND(AVERAGE($AM$2:$AM$921),3),AM586)</f>
        <v>1</v>
      </c>
      <c r="BE586" s="9" t="n">
        <f aca="false">1-BD586</f>
        <v>0</v>
      </c>
    </row>
    <row r="587" customFormat="false" ht="14.25" hidden="false" customHeight="false" outlineLevel="0" collapsed="false">
      <c r="A587" s="4" t="n">
        <v>805</v>
      </c>
      <c r="B587" s="5" t="n">
        <v>55086356</v>
      </c>
      <c r="C587" s="5" t="s">
        <v>106</v>
      </c>
      <c r="D587" s="5" t="s">
        <v>2174</v>
      </c>
      <c r="E587" s="5" t="s">
        <v>108</v>
      </c>
      <c r="F587" s="5" t="s">
        <v>590</v>
      </c>
      <c r="G587" s="5" t="s">
        <v>589</v>
      </c>
      <c r="H587" s="5" t="s">
        <v>590</v>
      </c>
      <c r="I587" s="5" t="s">
        <v>63</v>
      </c>
      <c r="J587" s="5" t="s">
        <v>112</v>
      </c>
      <c r="K587" s="5" t="s">
        <v>309</v>
      </c>
      <c r="L587" s="6" t="n">
        <v>45224</v>
      </c>
      <c r="M587" s="5" t="s">
        <v>910</v>
      </c>
      <c r="N587" s="6" t="n">
        <v>37076</v>
      </c>
      <c r="O587" s="5" t="s">
        <v>1264</v>
      </c>
      <c r="P587" s="5" t="s">
        <v>1559</v>
      </c>
      <c r="Q587" s="5" t="s">
        <v>195</v>
      </c>
      <c r="R587" s="5" t="s">
        <v>115</v>
      </c>
      <c r="S587" s="5" t="s">
        <v>195</v>
      </c>
      <c r="T587" s="6"/>
      <c r="U587" s="6"/>
      <c r="V587" s="5"/>
      <c r="W587" s="5"/>
      <c r="X587" s="5" t="s">
        <v>631</v>
      </c>
      <c r="Y587" s="5" t="s">
        <v>83</v>
      </c>
      <c r="Z587" s="5" t="s">
        <v>141</v>
      </c>
      <c r="AA587" s="5" t="s">
        <v>2175</v>
      </c>
      <c r="AB587" s="0" t="n">
        <f aca="false">IFERROR(VALUE(R587),0)</f>
        <v>0</v>
      </c>
      <c r="AC587" s="0" t="n">
        <f aca="false">IFERROR(VALUE(M587),"")</f>
        <v>24.11</v>
      </c>
      <c r="AD587" s="0" t="n">
        <f aca="false">IFERROR(VALUE(Q587),"")</f>
        <v>2.7</v>
      </c>
      <c r="AE587" s="0" t="n">
        <f aca="false">IFERROR(VALUE(S587),"")</f>
        <v>2.7</v>
      </c>
      <c r="AF587" s="0" t="str">
        <f aca="false">IF(V587="","",VLOOKUP(V587,Assumptions!$B$6:$C$9,2,FALSE()))</f>
        <v/>
      </c>
      <c r="AG587" s="0" t="str">
        <f aca="false">IF(W587="","",VLOOKUP(W587,Assumptions!$B$6:$C$9,2,FALSE()))</f>
        <v/>
      </c>
      <c r="AH587" s="0" t="n">
        <f aca="false">IF(X587="","",VLOOKUP(X587,Assumptions!$B$6:$C$9,2,FALSE()))</f>
        <v>2</v>
      </c>
      <c r="AI587" s="0" t="n">
        <f aca="false">IF(Y587="","",VLOOKUP(Y587,Assumptions!$B$6:$C$9,2,FALSE()))</f>
        <v>4</v>
      </c>
      <c r="AJ587" s="0" t="n">
        <f aca="false">IF(Z587="","",VLOOKUP(Z587,Assumptions!$B$6:$C$9,2,FALSE()))</f>
        <v>3</v>
      </c>
      <c r="AK587" s="7" t="n">
        <f aca="false">IFERROR(ROUND(AVERAGE(AF587:AJ587),3),"")</f>
        <v>3</v>
      </c>
      <c r="AL587" s="7" t="str">
        <f aca="false">IF(OR(AF587="",AJ587=""),"",AJ587-AF587)</f>
        <v/>
      </c>
      <c r="AM587" s="7" t="n">
        <f aca="false">IF(COUNT(AF587:AJ587)&gt;=2,ROUND(_xlfn.STDEV.S(AF587:AJ587),3),"")</f>
        <v>1</v>
      </c>
      <c r="AN587" s="7" t="n">
        <f aca="false">ROUND((IF(AF587="",0,AF587)*Assumptions!$F$15)+(IF(AG587="",0,AG587)*Assumptions!$F$16)+(IF(AH587="",0,AH587)*Assumptions!$F$17)+(IF(AI587="",0,AI587)*Assumptions!$F$18)+(IF(AJ587="",0,AJ587)*Assumptions!$F$19),3)</f>
        <v>2.3</v>
      </c>
      <c r="AO587" s="0" t="str">
        <f aca="false">IF(AC587&lt;=20,"",IF(AC587&lt;=Assumptions!$F$6,"20-30",IF(AC587&lt;=Assumptions!$F$7,"30-40",IF(AC587&lt;=Assumptions!$F$8,"40-50",IF(AC587&lt;=Assumptions!$F$9,"50-60",IF(AC587&lt;=Assumptions!$F$10,"60+",""))))))</f>
        <v>20-30</v>
      </c>
      <c r="AP587" s="0" t="str">
        <f aca="false">IFERROR(VLOOKUP(O587,Assumptions!$B$14:$C$26,2,FALSE()),"Other")</f>
        <v>Manager</v>
      </c>
      <c r="AQ587" s="0" t="n">
        <f aca="false">IF(T587="",0,1)</f>
        <v>0</v>
      </c>
      <c r="AR587" s="0" t="n">
        <f aca="false">IF(U587="",0,1)</f>
        <v>0</v>
      </c>
      <c r="AS587" s="8" t="n">
        <f aca="false">IF(AK587="","",IF(MAX($AK$2:$AK$921)=MIN($AK$2:$AK$921),50,ROUND((AK587-MIN($AK$2:$AK$921))/(MAX($AK$2:$AK$921)-MIN($AK$2:$AK$921))*100,2)))</f>
        <v>57.14</v>
      </c>
      <c r="AT587" s="8" t="n">
        <f aca="false">IF(MAX($BC$2:$BC$921)=MIN($BC$2:$BC$921),50,ROUND((BC587-MIN($BC$2:$BC$921))/(MAX($BC$2:$BC$921)-MIN($BC$2:$BC$921))*100,2))</f>
        <v>50</v>
      </c>
      <c r="AU587" s="8" t="n">
        <f aca="false">IF(MAX($BE$2:$BE$921)=MIN($BE$2:$BE$921),50,ROUND((BE587-MIN($BE$2:$BE$921))/(MAX($BE$2:$BE$921)-MIN($BE$2:$BE$921))*100,2))</f>
        <v>42.26</v>
      </c>
      <c r="AV587" s="8" t="n">
        <f aca="false">IF(MAX($AD$2:$AD$921)=MIN($AD$2:$AD$921),50,ROUND((AD587-MIN($AD$2:$AD$921))/(MAX($AD$2:$AD$921)-MIN($AD$2:$AD$921))*100,2))</f>
        <v>7.04</v>
      </c>
      <c r="AW587" s="8" t="n">
        <f aca="false">IF(MAX($AN$2:$AN$921)=MIN($AN$2:$AN$921),50,ROUND((AN587-MIN($AN$2:$AN$921))/(MAX($AN$2:$AN$921)-MIN($AN$2:$AN$921))*100,2))</f>
        <v>57.5</v>
      </c>
      <c r="AX587" s="8" t="n">
        <f aca="false">AQ587*100</f>
        <v>0</v>
      </c>
      <c r="AY587" s="8" t="n">
        <f aca="false">AR587*100</f>
        <v>0</v>
      </c>
      <c r="AZ587" s="8" t="n">
        <f aca="false">IFERROR(ROUND(AS587*Assumptions!$I$6+AW587*Assumptions!$I$7+AT587*Assumptions!$I$8+AU587*Assumptions!$I$9+AV587*Assumptions!$I$10+AX587*Assumptions!$I$11+AY587*Assumptions!$I$12,2),"")</f>
        <v>43.19</v>
      </c>
      <c r="BA587" s="0" t="str">
        <f aca="false">IF(AZ587="","",IF(AZ587&lt;=Assumptions!$I$18,"Below Expectation",IF(AZ587&lt;=Assumptions!$I$19,"Developing",IF(AZ587&lt;=Assumptions!$I$20,"Meets Expectation",IF(AZ587&lt;=Assumptions!$I$21,"Exceeds","Star Performer")))))</f>
        <v>Developing</v>
      </c>
      <c r="BB587" s="0" t="n">
        <f aca="false">IF(AZ587="",0,IF(AZ587&gt;=Assumptions!$I$26,1,0))</f>
        <v>0</v>
      </c>
      <c r="BC587" s="9" t="n">
        <f aca="false">IF(AL587="",2,AL587+2)</f>
        <v>2</v>
      </c>
      <c r="BD587" s="10" t="n">
        <f aca="false">IF(AM587="",ROUND(AVERAGE($AM$2:$AM$921),3),AM587)</f>
        <v>1</v>
      </c>
      <c r="BE587" s="9" t="n">
        <f aca="false">1-BD587</f>
        <v>0</v>
      </c>
    </row>
    <row r="588" customFormat="false" ht="14.25" hidden="false" customHeight="false" outlineLevel="0" collapsed="false">
      <c r="A588" s="4" t="n">
        <v>813</v>
      </c>
      <c r="B588" s="5" t="n">
        <v>55086630</v>
      </c>
      <c r="C588" s="5" t="s">
        <v>106</v>
      </c>
      <c r="D588" s="5" t="s">
        <v>2176</v>
      </c>
      <c r="E588" s="5" t="s">
        <v>108</v>
      </c>
      <c r="F588" s="5" t="s">
        <v>590</v>
      </c>
      <c r="G588" s="5" t="s">
        <v>589</v>
      </c>
      <c r="H588" s="5" t="s">
        <v>590</v>
      </c>
      <c r="I588" s="5" t="s">
        <v>63</v>
      </c>
      <c r="J588" s="5" t="s">
        <v>112</v>
      </c>
      <c r="K588" s="5" t="s">
        <v>309</v>
      </c>
      <c r="L588" s="6" t="n">
        <v>45225</v>
      </c>
      <c r="M588" s="5" t="s">
        <v>1664</v>
      </c>
      <c r="N588" s="6" t="n">
        <v>37261</v>
      </c>
      <c r="O588" s="5" t="s">
        <v>1264</v>
      </c>
      <c r="P588" s="5" t="s">
        <v>1559</v>
      </c>
      <c r="Q588" s="5" t="s">
        <v>195</v>
      </c>
      <c r="R588" s="5" t="s">
        <v>115</v>
      </c>
      <c r="S588" s="5" t="s">
        <v>195</v>
      </c>
      <c r="T588" s="6"/>
      <c r="U588" s="6"/>
      <c r="V588" s="5"/>
      <c r="W588" s="5"/>
      <c r="X588" s="5" t="s">
        <v>631</v>
      </c>
      <c r="Y588" s="5" t="s">
        <v>83</v>
      </c>
      <c r="Z588" s="5" t="s">
        <v>141</v>
      </c>
      <c r="AA588" s="5" t="s">
        <v>2177</v>
      </c>
      <c r="AB588" s="0" t="n">
        <f aca="false">IFERROR(VALUE(R588),0)</f>
        <v>0</v>
      </c>
      <c r="AC588" s="0" t="n">
        <f aca="false">IFERROR(VALUE(M588),"")</f>
        <v>24.5</v>
      </c>
      <c r="AD588" s="0" t="n">
        <f aca="false">IFERROR(VALUE(Q588),"")</f>
        <v>2.7</v>
      </c>
      <c r="AE588" s="0" t="n">
        <f aca="false">IFERROR(VALUE(S588),"")</f>
        <v>2.7</v>
      </c>
      <c r="AF588" s="0" t="str">
        <f aca="false">IF(V588="","",VLOOKUP(V588,Assumptions!$B$6:$C$9,2,FALSE()))</f>
        <v/>
      </c>
      <c r="AG588" s="0" t="str">
        <f aca="false">IF(W588="","",VLOOKUP(W588,Assumptions!$B$6:$C$9,2,FALSE()))</f>
        <v/>
      </c>
      <c r="AH588" s="0" t="n">
        <f aca="false">IF(X588="","",VLOOKUP(X588,Assumptions!$B$6:$C$9,2,FALSE()))</f>
        <v>2</v>
      </c>
      <c r="AI588" s="0" t="n">
        <f aca="false">IF(Y588="","",VLOOKUP(Y588,Assumptions!$B$6:$C$9,2,FALSE()))</f>
        <v>4</v>
      </c>
      <c r="AJ588" s="0" t="n">
        <f aca="false">IF(Z588="","",VLOOKUP(Z588,Assumptions!$B$6:$C$9,2,FALSE()))</f>
        <v>3</v>
      </c>
      <c r="AK588" s="7" t="n">
        <f aca="false">IFERROR(ROUND(AVERAGE(AF588:AJ588),3),"")</f>
        <v>3</v>
      </c>
      <c r="AL588" s="7" t="str">
        <f aca="false">IF(OR(AF588="",AJ588=""),"",AJ588-AF588)</f>
        <v/>
      </c>
      <c r="AM588" s="7" t="n">
        <f aca="false">IF(COUNT(AF588:AJ588)&gt;=2,ROUND(_xlfn.STDEV.S(AF588:AJ588),3),"")</f>
        <v>1</v>
      </c>
      <c r="AN588" s="7" t="n">
        <f aca="false">ROUND((IF(AF588="",0,AF588)*Assumptions!$F$15)+(IF(AG588="",0,AG588)*Assumptions!$F$16)+(IF(AH588="",0,AH588)*Assumptions!$F$17)+(IF(AI588="",0,AI588)*Assumptions!$F$18)+(IF(AJ588="",0,AJ588)*Assumptions!$F$19),3)</f>
        <v>2.3</v>
      </c>
      <c r="AO588" s="0" t="str">
        <f aca="false">IF(AC588&lt;=20,"",IF(AC588&lt;=Assumptions!$F$6,"20-30",IF(AC588&lt;=Assumptions!$F$7,"30-40",IF(AC588&lt;=Assumptions!$F$8,"40-50",IF(AC588&lt;=Assumptions!$F$9,"50-60",IF(AC588&lt;=Assumptions!$F$10,"60+",""))))))</f>
        <v>20-30</v>
      </c>
      <c r="AP588" s="0" t="str">
        <f aca="false">IFERROR(VLOOKUP(O588,Assumptions!$B$14:$C$26,2,FALSE()),"Other")</f>
        <v>Manager</v>
      </c>
      <c r="AQ588" s="0" t="n">
        <f aca="false">IF(T588="",0,1)</f>
        <v>0</v>
      </c>
      <c r="AR588" s="0" t="n">
        <f aca="false">IF(U588="",0,1)</f>
        <v>0</v>
      </c>
      <c r="AS588" s="8" t="n">
        <f aca="false">IF(AK588="","",IF(MAX($AK$2:$AK$921)=MIN($AK$2:$AK$921),50,ROUND((AK588-MIN($AK$2:$AK$921))/(MAX($AK$2:$AK$921)-MIN($AK$2:$AK$921))*100,2)))</f>
        <v>57.14</v>
      </c>
      <c r="AT588" s="8" t="n">
        <f aca="false">IF(MAX($BC$2:$BC$921)=MIN($BC$2:$BC$921),50,ROUND((BC588-MIN($BC$2:$BC$921))/(MAX($BC$2:$BC$921)-MIN($BC$2:$BC$921))*100,2))</f>
        <v>50</v>
      </c>
      <c r="AU588" s="8" t="n">
        <f aca="false">IF(MAX($BE$2:$BE$921)=MIN($BE$2:$BE$921),50,ROUND((BE588-MIN($BE$2:$BE$921))/(MAX($BE$2:$BE$921)-MIN($BE$2:$BE$921))*100,2))</f>
        <v>42.26</v>
      </c>
      <c r="AV588" s="8" t="n">
        <f aca="false">IF(MAX($AD$2:$AD$921)=MIN($AD$2:$AD$921),50,ROUND((AD588-MIN($AD$2:$AD$921))/(MAX($AD$2:$AD$921)-MIN($AD$2:$AD$921))*100,2))</f>
        <v>7.04</v>
      </c>
      <c r="AW588" s="8" t="n">
        <f aca="false">IF(MAX($AN$2:$AN$921)=MIN($AN$2:$AN$921),50,ROUND((AN588-MIN($AN$2:$AN$921))/(MAX($AN$2:$AN$921)-MIN($AN$2:$AN$921))*100,2))</f>
        <v>57.5</v>
      </c>
      <c r="AX588" s="8" t="n">
        <f aca="false">AQ588*100</f>
        <v>0</v>
      </c>
      <c r="AY588" s="8" t="n">
        <f aca="false">AR588*100</f>
        <v>0</v>
      </c>
      <c r="AZ588" s="8" t="n">
        <f aca="false">IFERROR(ROUND(AS588*Assumptions!$I$6+AW588*Assumptions!$I$7+AT588*Assumptions!$I$8+AU588*Assumptions!$I$9+AV588*Assumptions!$I$10+AX588*Assumptions!$I$11+AY588*Assumptions!$I$12,2),"")</f>
        <v>43.19</v>
      </c>
      <c r="BA588" s="0" t="str">
        <f aca="false">IF(AZ588="","",IF(AZ588&lt;=Assumptions!$I$18,"Below Expectation",IF(AZ588&lt;=Assumptions!$I$19,"Developing",IF(AZ588&lt;=Assumptions!$I$20,"Meets Expectation",IF(AZ588&lt;=Assumptions!$I$21,"Exceeds","Star Performer")))))</f>
        <v>Developing</v>
      </c>
      <c r="BB588" s="0" t="n">
        <f aca="false">IF(AZ588="",0,IF(AZ588&gt;=Assumptions!$I$26,1,0))</f>
        <v>0</v>
      </c>
      <c r="BC588" s="9" t="n">
        <f aca="false">IF(AL588="",2,AL588+2)</f>
        <v>2</v>
      </c>
      <c r="BD588" s="10" t="n">
        <f aca="false">IF(AM588="",ROUND(AVERAGE($AM$2:$AM$921),3),AM588)</f>
        <v>1</v>
      </c>
      <c r="BE588" s="9" t="n">
        <f aca="false">1-BD588</f>
        <v>0</v>
      </c>
    </row>
    <row r="589" customFormat="false" ht="14.25" hidden="true" customHeight="false" outlineLevel="0" collapsed="false">
      <c r="A589" s="4" t="n">
        <v>531</v>
      </c>
      <c r="B589" s="5" t="n">
        <v>55046545</v>
      </c>
      <c r="C589" s="5" t="s">
        <v>85</v>
      </c>
      <c r="D589" s="5" t="s">
        <v>2178</v>
      </c>
      <c r="E589" s="5" t="s">
        <v>235</v>
      </c>
      <c r="F589" s="5" t="s">
        <v>1382</v>
      </c>
      <c r="G589" s="5" t="s">
        <v>1383</v>
      </c>
      <c r="H589" s="5" t="s">
        <v>1382</v>
      </c>
      <c r="I589" s="5" t="s">
        <v>63</v>
      </c>
      <c r="J589" s="5" t="s">
        <v>76</v>
      </c>
      <c r="K589" s="5" t="s">
        <v>309</v>
      </c>
      <c r="L589" s="6" t="n">
        <v>44593</v>
      </c>
      <c r="M589" s="5" t="s">
        <v>242</v>
      </c>
      <c r="N589" s="6" t="n">
        <v>36408</v>
      </c>
      <c r="O589" s="5" t="s">
        <v>1264</v>
      </c>
      <c r="P589" s="5" t="s">
        <v>1559</v>
      </c>
      <c r="Q589" s="5" t="s">
        <v>545</v>
      </c>
      <c r="R589" s="5" t="s">
        <v>115</v>
      </c>
      <c r="S589" s="5" t="s">
        <v>545</v>
      </c>
      <c r="T589" s="6"/>
      <c r="U589" s="6"/>
      <c r="V589" s="5"/>
      <c r="W589" s="5" t="s">
        <v>631</v>
      </c>
      <c r="X589" s="5" t="s">
        <v>631</v>
      </c>
      <c r="Y589" s="5" t="s">
        <v>141</v>
      </c>
      <c r="Z589" s="5" t="s">
        <v>83</v>
      </c>
      <c r="AA589" s="5" t="s">
        <v>1734</v>
      </c>
      <c r="AB589" s="0" t="n">
        <f aca="false">IFERROR(VALUE(R589),0)</f>
        <v>0</v>
      </c>
      <c r="AC589" s="0" t="n">
        <f aca="false">IFERROR(VALUE(M589),"")</f>
        <v>26.9</v>
      </c>
      <c r="AD589" s="0" t="n">
        <f aca="false">IFERROR(VALUE(Q589),"")</f>
        <v>4.4</v>
      </c>
      <c r="AE589" s="0" t="n">
        <f aca="false">IFERROR(VALUE(S589),"")</f>
        <v>4.4</v>
      </c>
      <c r="AF589" s="0" t="str">
        <f aca="false">IF(V589="","",VLOOKUP(V589,Assumptions!$B$6:$C$9,2,FALSE()))</f>
        <v/>
      </c>
      <c r="AG589" s="0" t="n">
        <f aca="false">IF(W589="","",VLOOKUP(W589,Assumptions!$B$6:$C$9,2,FALSE()))</f>
        <v>2</v>
      </c>
      <c r="AH589" s="0" t="n">
        <f aca="false">IF(X589="","",VLOOKUP(X589,Assumptions!$B$6:$C$9,2,FALSE()))</f>
        <v>2</v>
      </c>
      <c r="AI589" s="0" t="n">
        <f aca="false">IF(Y589="","",VLOOKUP(Y589,Assumptions!$B$6:$C$9,2,FALSE()))</f>
        <v>3</v>
      </c>
      <c r="AJ589" s="0" t="n">
        <f aca="false">IF(Z589="","",VLOOKUP(Z589,Assumptions!$B$6:$C$9,2,FALSE()))</f>
        <v>4</v>
      </c>
      <c r="AK589" s="7" t="n">
        <f aca="false">IFERROR(ROUND(AVERAGE(AF589:AJ589),3),"")</f>
        <v>2.75</v>
      </c>
      <c r="AL589" s="7" t="str">
        <f aca="false">IF(OR(AF589="",AJ589=""),"",AJ589-AF589)</f>
        <v/>
      </c>
      <c r="AM589" s="7" t="n">
        <f aca="false">IF(COUNT(AF589:AJ589)&gt;=2,ROUND(_xlfn.STDEV.S(AF589:AJ589),3),"")</f>
        <v>0.957</v>
      </c>
      <c r="AN589" s="7" t="n">
        <f aca="false">ROUND((IF(AF589="",0,AF589)*Assumptions!$F$15)+(IF(AG589="",0,AG589)*Assumptions!$F$16)+(IF(AH589="",0,AH589)*Assumptions!$F$17)+(IF(AI589="",0,AI589)*Assumptions!$F$18)+(IF(AJ589="",0,AJ589)*Assumptions!$F$19),3)</f>
        <v>2.65</v>
      </c>
      <c r="AO589" s="0" t="str">
        <f aca="false">IF(AC589&lt;=20,"",IF(AC589&lt;=Assumptions!$F$6,"20-30",IF(AC589&lt;=Assumptions!$F$7,"30-40",IF(AC589&lt;=Assumptions!$F$8,"40-50",IF(AC589&lt;=Assumptions!$F$9,"50-60",IF(AC589&lt;=Assumptions!$F$10,"60+",""))))))</f>
        <v>20-30</v>
      </c>
      <c r="AP589" s="0" t="str">
        <f aca="false">IFERROR(VLOOKUP(O589,Assumptions!$B$14:$C$26,2,FALSE()),"Other")</f>
        <v>Manager</v>
      </c>
      <c r="AQ589" s="0" t="n">
        <f aca="false">IF(T589="",0,1)</f>
        <v>0</v>
      </c>
      <c r="AR589" s="0" t="n">
        <f aca="false">IF(U589="",0,1)</f>
        <v>0</v>
      </c>
      <c r="AS589" s="8" t="n">
        <f aca="false">IF(AK589="","",IF(MAX($AK$2:$AK$921)=MIN($AK$2:$AK$921),50,ROUND((AK589-MIN($AK$2:$AK$921))/(MAX($AK$2:$AK$921)-MIN($AK$2:$AK$921))*100,2)))</f>
        <v>46.42</v>
      </c>
      <c r="AT589" s="8" t="n">
        <f aca="false">IF(MAX($BC$2:$BC$921)=MIN($BC$2:$BC$921),50,ROUND((BC589-MIN($BC$2:$BC$921))/(MAX($BC$2:$BC$921)-MIN($BC$2:$BC$921))*100,2))</f>
        <v>50</v>
      </c>
      <c r="AU589" s="8" t="n">
        <f aca="false">IF(MAX($BE$2:$BE$921)=MIN($BE$2:$BE$921),50,ROUND((BE589-MIN($BE$2:$BE$921))/(MAX($BE$2:$BE$921)-MIN($BE$2:$BE$921))*100,2))</f>
        <v>44.75</v>
      </c>
      <c r="AV589" s="8" t="n">
        <f aca="false">IF(MAX($AD$2:$AD$921)=MIN($AD$2:$AD$921),50,ROUND((AD589-MIN($AD$2:$AD$921))/(MAX($AD$2:$AD$921)-MIN($AD$2:$AD$921))*100,2))</f>
        <v>11.66</v>
      </c>
      <c r="AW589" s="8" t="n">
        <f aca="false">IF(MAX($AN$2:$AN$921)=MIN($AN$2:$AN$921),50,ROUND((AN589-MIN($AN$2:$AN$921))/(MAX($AN$2:$AN$921)-MIN($AN$2:$AN$921))*100,2))</f>
        <v>66.25</v>
      </c>
      <c r="AX589" s="8" t="n">
        <f aca="false">AQ589*100</f>
        <v>0</v>
      </c>
      <c r="AY589" s="8" t="n">
        <f aca="false">AR589*100</f>
        <v>0</v>
      </c>
      <c r="AZ589" s="8" t="n">
        <f aca="false">IFERROR(ROUND(AS589*Assumptions!$I$6+AW589*Assumptions!$I$7+AT589*Assumptions!$I$8+AU589*Assumptions!$I$9+AV589*Assumptions!$I$10+AX589*Assumptions!$I$11+AY589*Assumptions!$I$12,2),"")</f>
        <v>42.55</v>
      </c>
      <c r="BA589" s="0" t="str">
        <f aca="false">IF(AZ589="","",IF(AZ589&lt;=Assumptions!$I$18,"Below Expectation",IF(AZ589&lt;=Assumptions!$I$19,"Developing",IF(AZ589&lt;=Assumptions!$I$20,"Meets Expectation",IF(AZ589&lt;=Assumptions!$I$21,"Exceeds","Star Performer")))))</f>
        <v>Developing</v>
      </c>
      <c r="BB589" s="0" t="n">
        <f aca="false">IF(AZ589="",0,IF(AZ589&gt;=Assumptions!$I$26,1,0))</f>
        <v>0</v>
      </c>
      <c r="BC589" s="9" t="n">
        <f aca="false">IF(AL589="",2,AL589+2)</f>
        <v>2</v>
      </c>
      <c r="BD589" s="10" t="n">
        <f aca="false">IF(AM589="",ROUND(AVERAGE($AM$2:$AM$921),3),AM589)</f>
        <v>0.957</v>
      </c>
      <c r="BE589" s="9" t="n">
        <f aca="false">1-BD589</f>
        <v>0.043</v>
      </c>
    </row>
    <row r="590" customFormat="false" ht="14.25" hidden="true" customHeight="false" outlineLevel="0" collapsed="false">
      <c r="A590" s="4" t="n">
        <v>689</v>
      </c>
      <c r="B590" s="5" t="n">
        <v>55060565</v>
      </c>
      <c r="C590" s="5" t="s">
        <v>85</v>
      </c>
      <c r="D590" s="5" t="s">
        <v>2179</v>
      </c>
      <c r="E590" s="5" t="s">
        <v>137</v>
      </c>
      <c r="F590" s="5" t="s">
        <v>2180</v>
      </c>
      <c r="G590" s="5" t="s">
        <v>2181</v>
      </c>
      <c r="H590" s="5" t="s">
        <v>2182</v>
      </c>
      <c r="I590" s="5" t="s">
        <v>63</v>
      </c>
      <c r="J590" s="5" t="s">
        <v>76</v>
      </c>
      <c r="K590" s="5" t="s">
        <v>309</v>
      </c>
      <c r="L590" s="6" t="n">
        <v>44872</v>
      </c>
      <c r="M590" s="5" t="s">
        <v>988</v>
      </c>
      <c r="N590" s="6" t="n">
        <v>36145</v>
      </c>
      <c r="O590" s="5" t="s">
        <v>585</v>
      </c>
      <c r="P590" s="5" t="s">
        <v>586</v>
      </c>
      <c r="Q590" s="5" t="s">
        <v>335</v>
      </c>
      <c r="R590" s="5" t="s">
        <v>1677</v>
      </c>
      <c r="S590" s="5" t="s">
        <v>404</v>
      </c>
      <c r="T590" s="6"/>
      <c r="U590" s="6"/>
      <c r="V590" s="5"/>
      <c r="W590" s="5" t="s">
        <v>631</v>
      </c>
      <c r="X590" s="5" t="s">
        <v>631</v>
      </c>
      <c r="Y590" s="5" t="s">
        <v>141</v>
      </c>
      <c r="Z590" s="5" t="s">
        <v>83</v>
      </c>
      <c r="AA590" s="5" t="s">
        <v>2183</v>
      </c>
      <c r="AB590" s="0" t="n">
        <f aca="false">IFERROR(VALUE(R590),0)</f>
        <v>2.2</v>
      </c>
      <c r="AC590" s="0" t="n">
        <f aca="false">IFERROR(VALUE(M590),"")</f>
        <v>27.5</v>
      </c>
      <c r="AD590" s="0" t="n">
        <f aca="false">IFERROR(VALUE(Q590),"")</f>
        <v>3.7</v>
      </c>
      <c r="AE590" s="0" t="n">
        <f aca="false">IFERROR(VALUE(S590),"")</f>
        <v>5.9</v>
      </c>
      <c r="AF590" s="0" t="str">
        <f aca="false">IF(V590="","",VLOOKUP(V590,Assumptions!$B$6:$C$9,2,FALSE()))</f>
        <v/>
      </c>
      <c r="AG590" s="0" t="n">
        <f aca="false">IF(W590="","",VLOOKUP(W590,Assumptions!$B$6:$C$9,2,FALSE()))</f>
        <v>2</v>
      </c>
      <c r="AH590" s="0" t="n">
        <f aca="false">IF(X590="","",VLOOKUP(X590,Assumptions!$B$6:$C$9,2,FALSE()))</f>
        <v>2</v>
      </c>
      <c r="AI590" s="0" t="n">
        <f aca="false">IF(Y590="","",VLOOKUP(Y590,Assumptions!$B$6:$C$9,2,FALSE()))</f>
        <v>3</v>
      </c>
      <c r="AJ590" s="0" t="n">
        <f aca="false">IF(Z590="","",VLOOKUP(Z590,Assumptions!$B$6:$C$9,2,FALSE()))</f>
        <v>4</v>
      </c>
      <c r="AK590" s="7" t="n">
        <f aca="false">IFERROR(ROUND(AVERAGE(AF590:AJ590),3),"")</f>
        <v>2.75</v>
      </c>
      <c r="AL590" s="7" t="str">
        <f aca="false">IF(OR(AF590="",AJ590=""),"",AJ590-AF590)</f>
        <v/>
      </c>
      <c r="AM590" s="7" t="n">
        <f aca="false">IF(COUNT(AF590:AJ590)&gt;=2,ROUND(_xlfn.STDEV.S(AF590:AJ590),3),"")</f>
        <v>0.957</v>
      </c>
      <c r="AN590" s="7" t="n">
        <f aca="false">ROUND((IF(AF590="",0,AF590)*Assumptions!$F$15)+(IF(AG590="",0,AG590)*Assumptions!$F$16)+(IF(AH590="",0,AH590)*Assumptions!$F$17)+(IF(AI590="",0,AI590)*Assumptions!$F$18)+(IF(AJ590="",0,AJ590)*Assumptions!$F$19),3)</f>
        <v>2.65</v>
      </c>
      <c r="AO590" s="0" t="str">
        <f aca="false">IF(AC590&lt;=20,"",IF(AC590&lt;=Assumptions!$F$6,"20-30",IF(AC590&lt;=Assumptions!$F$7,"30-40",IF(AC590&lt;=Assumptions!$F$8,"40-50",IF(AC590&lt;=Assumptions!$F$9,"50-60",IF(AC590&lt;=Assumptions!$F$10,"60+",""))))))</f>
        <v>20-30</v>
      </c>
      <c r="AP590" s="0" t="str">
        <f aca="false">IFERROR(VLOOKUP(O590,Assumptions!$B$14:$C$26,2,FALSE()),"Other")</f>
        <v>Manager</v>
      </c>
      <c r="AQ590" s="0" t="n">
        <f aca="false">IF(T590="",0,1)</f>
        <v>0</v>
      </c>
      <c r="AR590" s="0" t="n">
        <f aca="false">IF(U590="",0,1)</f>
        <v>0</v>
      </c>
      <c r="AS590" s="8" t="n">
        <f aca="false">IF(AK590="","",IF(MAX($AK$2:$AK$921)=MIN($AK$2:$AK$921),50,ROUND((AK590-MIN($AK$2:$AK$921))/(MAX($AK$2:$AK$921)-MIN($AK$2:$AK$921))*100,2)))</f>
        <v>46.42</v>
      </c>
      <c r="AT590" s="8" t="n">
        <f aca="false">IF(MAX($BC$2:$BC$921)=MIN($BC$2:$BC$921),50,ROUND((BC590-MIN($BC$2:$BC$921))/(MAX($BC$2:$BC$921)-MIN($BC$2:$BC$921))*100,2))</f>
        <v>50</v>
      </c>
      <c r="AU590" s="8" t="n">
        <f aca="false">IF(MAX($BE$2:$BE$921)=MIN($BE$2:$BE$921),50,ROUND((BE590-MIN($BE$2:$BE$921))/(MAX($BE$2:$BE$921)-MIN($BE$2:$BE$921))*100,2))</f>
        <v>44.75</v>
      </c>
      <c r="AV590" s="8" t="n">
        <f aca="false">IF(MAX($AD$2:$AD$921)=MIN($AD$2:$AD$921),50,ROUND((AD590-MIN($AD$2:$AD$921))/(MAX($AD$2:$AD$921)-MIN($AD$2:$AD$921))*100,2))</f>
        <v>9.76</v>
      </c>
      <c r="AW590" s="8" t="n">
        <f aca="false">IF(MAX($AN$2:$AN$921)=MIN($AN$2:$AN$921),50,ROUND((AN590-MIN($AN$2:$AN$921))/(MAX($AN$2:$AN$921)-MIN($AN$2:$AN$921))*100,2))</f>
        <v>66.25</v>
      </c>
      <c r="AX590" s="8" t="n">
        <f aca="false">AQ590*100</f>
        <v>0</v>
      </c>
      <c r="AY590" s="8" t="n">
        <f aca="false">AR590*100</f>
        <v>0</v>
      </c>
      <c r="AZ590" s="8" t="n">
        <f aca="false">IFERROR(ROUND(AS590*Assumptions!$I$6+AW590*Assumptions!$I$7+AT590*Assumptions!$I$8+AU590*Assumptions!$I$9+AV590*Assumptions!$I$10+AX590*Assumptions!$I$11+AY590*Assumptions!$I$12,2),"")</f>
        <v>42.36</v>
      </c>
      <c r="BA590" s="0" t="str">
        <f aca="false">IF(AZ590="","",IF(AZ590&lt;=Assumptions!$I$18,"Below Expectation",IF(AZ590&lt;=Assumptions!$I$19,"Developing",IF(AZ590&lt;=Assumptions!$I$20,"Meets Expectation",IF(AZ590&lt;=Assumptions!$I$21,"Exceeds","Star Performer")))))</f>
        <v>Developing</v>
      </c>
      <c r="BB590" s="0" t="n">
        <f aca="false">IF(AZ590="",0,IF(AZ590&gt;=Assumptions!$I$26,1,0))</f>
        <v>0</v>
      </c>
      <c r="BC590" s="9" t="n">
        <f aca="false">IF(AL590="",2,AL590+2)</f>
        <v>2</v>
      </c>
      <c r="BD590" s="10" t="n">
        <f aca="false">IF(AM590="",ROUND(AVERAGE($AM$2:$AM$921),3),AM590)</f>
        <v>0.957</v>
      </c>
      <c r="BE590" s="9" t="n">
        <f aca="false">1-BD590</f>
        <v>0.043</v>
      </c>
    </row>
    <row r="591" customFormat="false" ht="14.25" hidden="true" customHeight="false" outlineLevel="0" collapsed="false">
      <c r="A591" s="4" t="n">
        <v>692</v>
      </c>
      <c r="B591" s="5" t="n">
        <v>55061625</v>
      </c>
      <c r="C591" s="5" t="s">
        <v>57</v>
      </c>
      <c r="D591" s="5" t="s">
        <v>2184</v>
      </c>
      <c r="E591" s="5" t="s">
        <v>1595</v>
      </c>
      <c r="F591" s="5" t="s">
        <v>608</v>
      </c>
      <c r="G591" s="5" t="s">
        <v>609</v>
      </c>
      <c r="H591" s="5" t="s">
        <v>608</v>
      </c>
      <c r="I591" s="5" t="s">
        <v>63</v>
      </c>
      <c r="J591" s="5" t="s">
        <v>100</v>
      </c>
      <c r="K591" s="5" t="s">
        <v>65</v>
      </c>
      <c r="L591" s="6" t="n">
        <v>44890</v>
      </c>
      <c r="M591" s="5" t="s">
        <v>1252</v>
      </c>
      <c r="N591" s="6" t="n">
        <v>31797</v>
      </c>
      <c r="O591" s="5" t="s">
        <v>365</v>
      </c>
      <c r="P591" s="5" t="s">
        <v>365</v>
      </c>
      <c r="Q591" s="5" t="s">
        <v>468</v>
      </c>
      <c r="R591" s="5" t="s">
        <v>656</v>
      </c>
      <c r="S591" s="5" t="s">
        <v>391</v>
      </c>
      <c r="T591" s="6"/>
      <c r="U591" s="6"/>
      <c r="V591" s="5"/>
      <c r="W591" s="5" t="s">
        <v>631</v>
      </c>
      <c r="X591" s="5" t="s">
        <v>631</v>
      </c>
      <c r="Y591" s="5" t="s">
        <v>141</v>
      </c>
      <c r="Z591" s="5" t="s">
        <v>83</v>
      </c>
      <c r="AA591" s="5" t="s">
        <v>2185</v>
      </c>
      <c r="AB591" s="0" t="n">
        <f aca="false">IFERROR(VALUE(R591),0)</f>
        <v>7.4</v>
      </c>
      <c r="AC591" s="0" t="n">
        <f aca="false">IFERROR(VALUE(M591),"")</f>
        <v>39.4</v>
      </c>
      <c r="AD591" s="0" t="n">
        <f aca="false">IFERROR(VALUE(Q591),"")</f>
        <v>3.6</v>
      </c>
      <c r="AE591" s="0" t="n">
        <f aca="false">IFERROR(VALUE(S591),"")</f>
        <v>10.1</v>
      </c>
      <c r="AF591" s="0" t="str">
        <f aca="false">IF(V591="","",VLOOKUP(V591,Assumptions!$B$6:$C$9,2,FALSE()))</f>
        <v/>
      </c>
      <c r="AG591" s="0" t="n">
        <f aca="false">IF(W591="","",VLOOKUP(W591,Assumptions!$B$6:$C$9,2,FALSE()))</f>
        <v>2</v>
      </c>
      <c r="AH591" s="0" t="n">
        <f aca="false">IF(X591="","",VLOOKUP(X591,Assumptions!$B$6:$C$9,2,FALSE()))</f>
        <v>2</v>
      </c>
      <c r="AI591" s="0" t="n">
        <f aca="false">IF(Y591="","",VLOOKUP(Y591,Assumptions!$B$6:$C$9,2,FALSE()))</f>
        <v>3</v>
      </c>
      <c r="AJ591" s="0" t="n">
        <f aca="false">IF(Z591="","",VLOOKUP(Z591,Assumptions!$B$6:$C$9,2,FALSE()))</f>
        <v>4</v>
      </c>
      <c r="AK591" s="7" t="n">
        <f aca="false">IFERROR(ROUND(AVERAGE(AF591:AJ591),3),"")</f>
        <v>2.75</v>
      </c>
      <c r="AL591" s="7" t="str">
        <f aca="false">IF(OR(AF591="",AJ591=""),"",AJ591-AF591)</f>
        <v/>
      </c>
      <c r="AM591" s="7" t="n">
        <f aca="false">IF(COUNT(AF591:AJ591)&gt;=2,ROUND(_xlfn.STDEV.S(AF591:AJ591),3),"")</f>
        <v>0.957</v>
      </c>
      <c r="AN591" s="7" t="n">
        <f aca="false">ROUND((IF(AF591="",0,AF591)*Assumptions!$F$15)+(IF(AG591="",0,AG591)*Assumptions!$F$16)+(IF(AH591="",0,AH591)*Assumptions!$F$17)+(IF(AI591="",0,AI591)*Assumptions!$F$18)+(IF(AJ591="",0,AJ591)*Assumptions!$F$19),3)</f>
        <v>2.65</v>
      </c>
      <c r="AO591" s="0" t="str">
        <f aca="false">IF(AC591&lt;=20,"",IF(AC591&lt;=Assumptions!$F$6,"20-30",IF(AC591&lt;=Assumptions!$F$7,"30-40",IF(AC591&lt;=Assumptions!$F$8,"40-50",IF(AC591&lt;=Assumptions!$F$9,"50-60",IF(AC591&lt;=Assumptions!$F$10,"60+",""))))))</f>
        <v>30-40</v>
      </c>
      <c r="AP591" s="0" t="str">
        <f aca="false">IFERROR(VLOOKUP(O591,Assumptions!$B$14:$C$26,2,FALSE()),"Other")</f>
        <v>Manager</v>
      </c>
      <c r="AQ591" s="0" t="n">
        <f aca="false">IF(T591="",0,1)</f>
        <v>0</v>
      </c>
      <c r="AR591" s="0" t="n">
        <f aca="false">IF(U591="",0,1)</f>
        <v>0</v>
      </c>
      <c r="AS591" s="8" t="n">
        <f aca="false">IF(AK591="","",IF(MAX($AK$2:$AK$921)=MIN($AK$2:$AK$921),50,ROUND((AK591-MIN($AK$2:$AK$921))/(MAX($AK$2:$AK$921)-MIN($AK$2:$AK$921))*100,2)))</f>
        <v>46.42</v>
      </c>
      <c r="AT591" s="8" t="n">
        <f aca="false">IF(MAX($BC$2:$BC$921)=MIN($BC$2:$BC$921),50,ROUND((BC591-MIN($BC$2:$BC$921))/(MAX($BC$2:$BC$921)-MIN($BC$2:$BC$921))*100,2))</f>
        <v>50</v>
      </c>
      <c r="AU591" s="8" t="n">
        <f aca="false">IF(MAX($BE$2:$BE$921)=MIN($BE$2:$BE$921),50,ROUND((BE591-MIN($BE$2:$BE$921))/(MAX($BE$2:$BE$921)-MIN($BE$2:$BE$921))*100,2))</f>
        <v>44.75</v>
      </c>
      <c r="AV591" s="8" t="n">
        <f aca="false">IF(MAX($AD$2:$AD$921)=MIN($AD$2:$AD$921),50,ROUND((AD591-MIN($AD$2:$AD$921))/(MAX($AD$2:$AD$921)-MIN($AD$2:$AD$921))*100,2))</f>
        <v>9.49</v>
      </c>
      <c r="AW591" s="8" t="n">
        <f aca="false">IF(MAX($AN$2:$AN$921)=MIN($AN$2:$AN$921),50,ROUND((AN591-MIN($AN$2:$AN$921))/(MAX($AN$2:$AN$921)-MIN($AN$2:$AN$921))*100,2))</f>
        <v>66.25</v>
      </c>
      <c r="AX591" s="8" t="n">
        <f aca="false">AQ591*100</f>
        <v>0</v>
      </c>
      <c r="AY591" s="8" t="n">
        <f aca="false">AR591*100</f>
        <v>0</v>
      </c>
      <c r="AZ591" s="8" t="n">
        <f aca="false">IFERROR(ROUND(AS591*Assumptions!$I$6+AW591*Assumptions!$I$7+AT591*Assumptions!$I$8+AU591*Assumptions!$I$9+AV591*Assumptions!$I$10+AX591*Assumptions!$I$11+AY591*Assumptions!$I$12,2),"")</f>
        <v>42.34</v>
      </c>
      <c r="BA591" s="0" t="str">
        <f aca="false">IF(AZ591="","",IF(AZ591&lt;=Assumptions!$I$18,"Below Expectation",IF(AZ591&lt;=Assumptions!$I$19,"Developing",IF(AZ591&lt;=Assumptions!$I$20,"Meets Expectation",IF(AZ591&lt;=Assumptions!$I$21,"Exceeds","Star Performer")))))</f>
        <v>Developing</v>
      </c>
      <c r="BB591" s="0" t="n">
        <f aca="false">IF(AZ591="",0,IF(AZ591&gt;=Assumptions!$I$26,1,0))</f>
        <v>0</v>
      </c>
      <c r="BC591" s="9" t="n">
        <f aca="false">IF(AL591="",2,AL591+2)</f>
        <v>2</v>
      </c>
      <c r="BD591" s="10" t="n">
        <f aca="false">IF(AM591="",ROUND(AVERAGE($AM$2:$AM$921),3),AM591)</f>
        <v>0.957</v>
      </c>
      <c r="BE591" s="9" t="n">
        <f aca="false">1-BD591</f>
        <v>0.043</v>
      </c>
    </row>
    <row r="592" customFormat="false" ht="14.25" hidden="true" customHeight="false" outlineLevel="0" collapsed="false">
      <c r="A592" s="4" t="n">
        <v>416</v>
      </c>
      <c r="B592" s="5" t="n">
        <v>50009658</v>
      </c>
      <c r="C592" s="5" t="s">
        <v>57</v>
      </c>
      <c r="D592" s="5" t="s">
        <v>2186</v>
      </c>
      <c r="E592" s="5" t="s">
        <v>229</v>
      </c>
      <c r="F592" s="5" t="s">
        <v>608</v>
      </c>
      <c r="G592" s="5" t="s">
        <v>609</v>
      </c>
      <c r="H592" s="5" t="s">
        <v>608</v>
      </c>
      <c r="I592" s="5" t="s">
        <v>63</v>
      </c>
      <c r="J592" s="5" t="s">
        <v>100</v>
      </c>
      <c r="K592" s="5" t="s">
        <v>65</v>
      </c>
      <c r="L592" s="6" t="n">
        <v>40848</v>
      </c>
      <c r="M592" s="5" t="s">
        <v>1252</v>
      </c>
      <c r="N592" s="6" t="n">
        <v>31801</v>
      </c>
      <c r="O592" s="5" t="s">
        <v>365</v>
      </c>
      <c r="P592" s="5" t="s">
        <v>365</v>
      </c>
      <c r="Q592" s="5" t="s">
        <v>1525</v>
      </c>
      <c r="R592" s="5" t="s">
        <v>164</v>
      </c>
      <c r="S592" s="5" t="s">
        <v>1083</v>
      </c>
      <c r="T592" s="6"/>
      <c r="U592" s="6"/>
      <c r="V592" s="5" t="s">
        <v>141</v>
      </c>
      <c r="W592" s="5" t="s">
        <v>141</v>
      </c>
      <c r="X592" s="5" t="s">
        <v>141</v>
      </c>
      <c r="Y592" s="5" t="s">
        <v>631</v>
      </c>
      <c r="Z592" s="5" t="s">
        <v>631</v>
      </c>
      <c r="AA592" s="5" t="s">
        <v>2187</v>
      </c>
      <c r="AB592" s="0" t="n">
        <f aca="false">IFERROR(VALUE(R592),0)</f>
        <v>3.5</v>
      </c>
      <c r="AC592" s="0" t="n">
        <f aca="false">IFERROR(VALUE(M592),"")</f>
        <v>39.4</v>
      </c>
      <c r="AD592" s="0" t="n">
        <f aca="false">IFERROR(VALUE(Q592),"")</f>
        <v>14.7</v>
      </c>
      <c r="AE592" s="0" t="n">
        <f aca="false">IFERROR(VALUE(S592),"")</f>
        <v>18</v>
      </c>
      <c r="AF592" s="0" t="n">
        <f aca="false">IF(V592="","",VLOOKUP(V592,Assumptions!$B$6:$C$9,2,FALSE()))</f>
        <v>3</v>
      </c>
      <c r="AG592" s="0" t="n">
        <f aca="false">IF(W592="","",VLOOKUP(W592,Assumptions!$B$6:$C$9,2,FALSE()))</f>
        <v>3</v>
      </c>
      <c r="AH592" s="0" t="n">
        <f aca="false">IF(X592="","",VLOOKUP(X592,Assumptions!$B$6:$C$9,2,FALSE()))</f>
        <v>3</v>
      </c>
      <c r="AI592" s="0" t="n">
        <f aca="false">IF(Y592="","",VLOOKUP(Y592,Assumptions!$B$6:$C$9,2,FALSE()))</f>
        <v>2</v>
      </c>
      <c r="AJ592" s="0" t="n">
        <f aca="false">IF(Z592="","",VLOOKUP(Z592,Assumptions!$B$6:$C$9,2,FALSE()))</f>
        <v>2</v>
      </c>
      <c r="AK592" s="7" t="n">
        <f aca="false">IFERROR(ROUND(AVERAGE(AF592:AJ592),3),"")</f>
        <v>2.6</v>
      </c>
      <c r="AL592" s="7" t="n">
        <f aca="false">IF(OR(AF592="",AJ592=""),"",AJ592-AF592)</f>
        <v>-1</v>
      </c>
      <c r="AM592" s="7" t="n">
        <f aca="false">IF(COUNT(AF592:AJ592)&gt;=2,ROUND(_xlfn.STDEV.S(AF592:AJ592),3),"")</f>
        <v>0.548</v>
      </c>
      <c r="AN592" s="7" t="n">
        <f aca="false">ROUND((IF(AF592="",0,AF592)*Assumptions!$F$15)+(IF(AG592="",0,AG592)*Assumptions!$F$16)+(IF(AH592="",0,AH592)*Assumptions!$F$17)+(IF(AI592="",0,AI592)*Assumptions!$F$18)+(IF(AJ592="",0,AJ592)*Assumptions!$F$19),3)</f>
        <v>2.45</v>
      </c>
      <c r="AO592" s="0" t="str">
        <f aca="false">IF(AC592&lt;=20,"",IF(AC592&lt;=Assumptions!$F$6,"20-30",IF(AC592&lt;=Assumptions!$F$7,"30-40",IF(AC592&lt;=Assumptions!$F$8,"40-50",IF(AC592&lt;=Assumptions!$F$9,"50-60",IF(AC592&lt;=Assumptions!$F$10,"60+",""))))))</f>
        <v>30-40</v>
      </c>
      <c r="AP592" s="0" t="str">
        <f aca="false">IFERROR(VLOOKUP(O592,Assumptions!$B$14:$C$26,2,FALSE()),"Other")</f>
        <v>Manager</v>
      </c>
      <c r="AQ592" s="0" t="n">
        <f aca="false">IF(T592="",0,1)</f>
        <v>0</v>
      </c>
      <c r="AR592" s="0" t="n">
        <f aca="false">IF(U592="",0,1)</f>
        <v>0</v>
      </c>
      <c r="AS592" s="8" t="n">
        <f aca="false">IF(AK592="","",IF(MAX($AK$2:$AK$921)=MIN($AK$2:$AK$921),50,ROUND((AK592-MIN($AK$2:$AK$921))/(MAX($AK$2:$AK$921)-MIN($AK$2:$AK$921))*100,2)))</f>
        <v>39.99</v>
      </c>
      <c r="AT592" s="8" t="n">
        <f aca="false">IF(MAX($BC$2:$BC$921)=MIN($BC$2:$BC$921),50,ROUND((BC592-MIN($BC$2:$BC$921))/(MAX($BC$2:$BC$921)-MIN($BC$2:$BC$921))*100,2))</f>
        <v>25</v>
      </c>
      <c r="AU592" s="8" t="n">
        <f aca="false">IF(MAX($BE$2:$BE$921)=MIN($BE$2:$BE$921),50,ROUND((BE592-MIN($BE$2:$BE$921))/(MAX($BE$2:$BE$921)-MIN($BE$2:$BE$921))*100,2))</f>
        <v>68.36</v>
      </c>
      <c r="AV592" s="8" t="n">
        <f aca="false">IF(MAX($AD$2:$AD$921)=MIN($AD$2:$AD$921),50,ROUND((AD592-MIN($AD$2:$AD$921))/(MAX($AD$2:$AD$921)-MIN($AD$2:$AD$921))*100,2))</f>
        <v>39.66</v>
      </c>
      <c r="AW592" s="8" t="n">
        <f aca="false">IF(MAX($AN$2:$AN$921)=MIN($AN$2:$AN$921),50,ROUND((AN592-MIN($AN$2:$AN$921))/(MAX($AN$2:$AN$921)-MIN($AN$2:$AN$921))*100,2))</f>
        <v>61.25</v>
      </c>
      <c r="AX592" s="8" t="n">
        <f aca="false">AQ592*100</f>
        <v>0</v>
      </c>
      <c r="AY592" s="8" t="n">
        <f aca="false">AR592*100</f>
        <v>0</v>
      </c>
      <c r="AZ592" s="8" t="n">
        <f aca="false">IFERROR(ROUND(AS592*Assumptions!$I$6+AW592*Assumptions!$I$7+AT592*Assumptions!$I$8+AU592*Assumptions!$I$9+AV592*Assumptions!$I$10+AX592*Assumptions!$I$11+AY592*Assumptions!$I$12,2),"")</f>
        <v>42.22</v>
      </c>
      <c r="BA592" s="0" t="str">
        <f aca="false">IF(AZ592="","",IF(AZ592&lt;=Assumptions!$I$18,"Below Expectation",IF(AZ592&lt;=Assumptions!$I$19,"Developing",IF(AZ592&lt;=Assumptions!$I$20,"Meets Expectation",IF(AZ592&lt;=Assumptions!$I$21,"Exceeds","Star Performer")))))</f>
        <v>Developing</v>
      </c>
      <c r="BB592" s="0" t="n">
        <f aca="false">IF(AZ592="",0,IF(AZ592&gt;=Assumptions!$I$26,1,0))</f>
        <v>0</v>
      </c>
      <c r="BC592" s="9" t="n">
        <f aca="false">IF(AL592="",2,AL592+2)</f>
        <v>1</v>
      </c>
      <c r="BD592" s="10" t="n">
        <f aca="false">IF(AM592="",ROUND(AVERAGE($AM$2:$AM$921),3),AM592)</f>
        <v>0.548</v>
      </c>
      <c r="BE592" s="9" t="n">
        <f aca="false">1-BD592</f>
        <v>0.452</v>
      </c>
    </row>
    <row r="593" customFormat="false" ht="14.25" hidden="true" customHeight="false" outlineLevel="0" collapsed="false">
      <c r="A593" s="4" t="n">
        <v>634</v>
      </c>
      <c r="B593" s="5" t="n">
        <v>55055509</v>
      </c>
      <c r="C593" s="5" t="s">
        <v>57</v>
      </c>
      <c r="D593" s="5" t="s">
        <v>2188</v>
      </c>
      <c r="E593" s="5" t="s">
        <v>514</v>
      </c>
      <c r="F593" s="5" t="s">
        <v>608</v>
      </c>
      <c r="G593" s="5" t="s">
        <v>609</v>
      </c>
      <c r="H593" s="5" t="s">
        <v>608</v>
      </c>
      <c r="I593" s="5" t="s">
        <v>63</v>
      </c>
      <c r="J593" s="5" t="s">
        <v>100</v>
      </c>
      <c r="K593" s="5" t="s">
        <v>65</v>
      </c>
      <c r="L593" s="6" t="n">
        <v>44777</v>
      </c>
      <c r="M593" s="5" t="s">
        <v>1878</v>
      </c>
      <c r="N593" s="6" t="n">
        <v>34888</v>
      </c>
      <c r="O593" s="5" t="s">
        <v>365</v>
      </c>
      <c r="P593" s="5" t="s">
        <v>365</v>
      </c>
      <c r="Q593" s="5" t="s">
        <v>591</v>
      </c>
      <c r="R593" s="5" t="s">
        <v>987</v>
      </c>
      <c r="S593" s="5" t="s">
        <v>418</v>
      </c>
      <c r="T593" s="6"/>
      <c r="U593" s="6"/>
      <c r="V593" s="5"/>
      <c r="W593" s="5" t="s">
        <v>631</v>
      </c>
      <c r="X593" s="5" t="s">
        <v>631</v>
      </c>
      <c r="Y593" s="5" t="s">
        <v>141</v>
      </c>
      <c r="Z593" s="5" t="s">
        <v>83</v>
      </c>
      <c r="AA593" s="5" t="s">
        <v>2189</v>
      </c>
      <c r="AB593" s="0" t="n">
        <f aca="false">IFERROR(VALUE(R593),0)</f>
        <v>5.1</v>
      </c>
      <c r="AC593" s="0" t="n">
        <f aca="false">IFERROR(VALUE(M593),"")</f>
        <v>30.11</v>
      </c>
      <c r="AD593" s="0" t="n">
        <f aca="false">IFERROR(VALUE(Q593),"")</f>
        <v>3.1</v>
      </c>
      <c r="AE593" s="0" t="n">
        <f aca="false">IFERROR(VALUE(S593),"")</f>
        <v>9.8</v>
      </c>
      <c r="AF593" s="0" t="str">
        <f aca="false">IF(V593="","",VLOOKUP(V593,Assumptions!$B$6:$C$9,2,FALSE()))</f>
        <v/>
      </c>
      <c r="AG593" s="0" t="n">
        <f aca="false">IF(W593="","",VLOOKUP(W593,Assumptions!$B$6:$C$9,2,FALSE()))</f>
        <v>2</v>
      </c>
      <c r="AH593" s="0" t="n">
        <f aca="false">IF(X593="","",VLOOKUP(X593,Assumptions!$B$6:$C$9,2,FALSE()))</f>
        <v>2</v>
      </c>
      <c r="AI593" s="0" t="n">
        <f aca="false">IF(Y593="","",VLOOKUP(Y593,Assumptions!$B$6:$C$9,2,FALSE()))</f>
        <v>3</v>
      </c>
      <c r="AJ593" s="0" t="n">
        <f aca="false">IF(Z593="","",VLOOKUP(Z593,Assumptions!$B$6:$C$9,2,FALSE()))</f>
        <v>4</v>
      </c>
      <c r="AK593" s="7" t="n">
        <f aca="false">IFERROR(ROUND(AVERAGE(AF593:AJ593),3),"")</f>
        <v>2.75</v>
      </c>
      <c r="AL593" s="7" t="str">
        <f aca="false">IF(OR(AF593="",AJ593=""),"",AJ593-AF593)</f>
        <v/>
      </c>
      <c r="AM593" s="7" t="n">
        <f aca="false">IF(COUNT(AF593:AJ593)&gt;=2,ROUND(_xlfn.STDEV.S(AF593:AJ593),3),"")</f>
        <v>0.957</v>
      </c>
      <c r="AN593" s="7" t="n">
        <f aca="false">ROUND((IF(AF593="",0,AF593)*Assumptions!$F$15)+(IF(AG593="",0,AG593)*Assumptions!$F$16)+(IF(AH593="",0,AH593)*Assumptions!$F$17)+(IF(AI593="",0,AI593)*Assumptions!$F$18)+(IF(AJ593="",0,AJ593)*Assumptions!$F$19),3)</f>
        <v>2.65</v>
      </c>
      <c r="AO593" s="0" t="str">
        <f aca="false">IF(AC593&lt;=20,"",IF(AC593&lt;=Assumptions!$F$6,"20-30",IF(AC593&lt;=Assumptions!$F$7,"30-40",IF(AC593&lt;=Assumptions!$F$8,"40-50",IF(AC593&lt;=Assumptions!$F$9,"50-60",IF(AC593&lt;=Assumptions!$F$10,"60+",""))))))</f>
        <v>30-40</v>
      </c>
      <c r="AP593" s="0" t="str">
        <f aca="false">IFERROR(VLOOKUP(O593,Assumptions!$B$14:$C$26,2,FALSE()),"Other")</f>
        <v>Manager</v>
      </c>
      <c r="AQ593" s="0" t="n">
        <f aca="false">IF(T593="",0,1)</f>
        <v>0</v>
      </c>
      <c r="AR593" s="0" t="n">
        <f aca="false">IF(U593="",0,1)</f>
        <v>0</v>
      </c>
      <c r="AS593" s="8" t="n">
        <f aca="false">IF(AK593="","",IF(MAX($AK$2:$AK$921)=MIN($AK$2:$AK$921),50,ROUND((AK593-MIN($AK$2:$AK$921))/(MAX($AK$2:$AK$921)-MIN($AK$2:$AK$921))*100,2)))</f>
        <v>46.42</v>
      </c>
      <c r="AT593" s="8" t="n">
        <f aca="false">IF(MAX($BC$2:$BC$921)=MIN($BC$2:$BC$921),50,ROUND((BC593-MIN($BC$2:$BC$921))/(MAX($BC$2:$BC$921)-MIN($BC$2:$BC$921))*100,2))</f>
        <v>50</v>
      </c>
      <c r="AU593" s="8" t="n">
        <f aca="false">IF(MAX($BE$2:$BE$921)=MIN($BE$2:$BE$921),50,ROUND((BE593-MIN($BE$2:$BE$921))/(MAX($BE$2:$BE$921)-MIN($BE$2:$BE$921))*100,2))</f>
        <v>44.75</v>
      </c>
      <c r="AV593" s="8" t="n">
        <f aca="false">IF(MAX($AD$2:$AD$921)=MIN($AD$2:$AD$921),50,ROUND((AD593-MIN($AD$2:$AD$921))/(MAX($AD$2:$AD$921)-MIN($AD$2:$AD$921))*100,2))</f>
        <v>8.13</v>
      </c>
      <c r="AW593" s="8" t="n">
        <f aca="false">IF(MAX($AN$2:$AN$921)=MIN($AN$2:$AN$921),50,ROUND((AN593-MIN($AN$2:$AN$921))/(MAX($AN$2:$AN$921)-MIN($AN$2:$AN$921))*100,2))</f>
        <v>66.25</v>
      </c>
      <c r="AX593" s="8" t="n">
        <f aca="false">AQ593*100</f>
        <v>0</v>
      </c>
      <c r="AY593" s="8" t="n">
        <f aca="false">AR593*100</f>
        <v>0</v>
      </c>
      <c r="AZ593" s="8" t="n">
        <f aca="false">IFERROR(ROUND(AS593*Assumptions!$I$6+AW593*Assumptions!$I$7+AT593*Assumptions!$I$8+AU593*Assumptions!$I$9+AV593*Assumptions!$I$10+AX593*Assumptions!$I$11+AY593*Assumptions!$I$12,2),"")</f>
        <v>42.2</v>
      </c>
      <c r="BA593" s="0" t="str">
        <f aca="false">IF(AZ593="","",IF(AZ593&lt;=Assumptions!$I$18,"Below Expectation",IF(AZ593&lt;=Assumptions!$I$19,"Developing",IF(AZ593&lt;=Assumptions!$I$20,"Meets Expectation",IF(AZ593&lt;=Assumptions!$I$21,"Exceeds","Star Performer")))))</f>
        <v>Developing</v>
      </c>
      <c r="BB593" s="0" t="n">
        <f aca="false">IF(AZ593="",0,IF(AZ593&gt;=Assumptions!$I$26,1,0))</f>
        <v>0</v>
      </c>
      <c r="BC593" s="9" t="n">
        <f aca="false">IF(AL593="",2,AL593+2)</f>
        <v>2</v>
      </c>
      <c r="BD593" s="10" t="n">
        <f aca="false">IF(AM593="",ROUND(AVERAGE($AM$2:$AM$921),3),AM593)</f>
        <v>0.957</v>
      </c>
      <c r="BE593" s="9" t="n">
        <f aca="false">1-BD593</f>
        <v>0.043</v>
      </c>
    </row>
    <row r="594" customFormat="false" ht="14.25" hidden="false" customHeight="false" outlineLevel="0" collapsed="false">
      <c r="A594" s="4" t="n">
        <v>647</v>
      </c>
      <c r="B594" s="5" t="n">
        <v>55056869</v>
      </c>
      <c r="C594" s="5" t="s">
        <v>106</v>
      </c>
      <c r="D594" s="5" t="s">
        <v>2190</v>
      </c>
      <c r="E594" s="5" t="s">
        <v>108</v>
      </c>
      <c r="F594" s="5" t="s">
        <v>463</v>
      </c>
      <c r="G594" s="5" t="s">
        <v>589</v>
      </c>
      <c r="H594" s="5" t="s">
        <v>590</v>
      </c>
      <c r="I594" s="5" t="s">
        <v>63</v>
      </c>
      <c r="J594" s="5" t="s">
        <v>112</v>
      </c>
      <c r="K594" s="5" t="s">
        <v>309</v>
      </c>
      <c r="L594" s="6" t="n">
        <v>44809</v>
      </c>
      <c r="M594" s="5" t="s">
        <v>182</v>
      </c>
      <c r="N594" s="6" t="n">
        <v>36363</v>
      </c>
      <c r="O594" s="5" t="s">
        <v>1264</v>
      </c>
      <c r="P594" s="5" t="s">
        <v>1559</v>
      </c>
      <c r="Q594" s="5" t="s">
        <v>231</v>
      </c>
      <c r="R594" s="5" t="s">
        <v>115</v>
      </c>
      <c r="S594" s="5" t="s">
        <v>231</v>
      </c>
      <c r="T594" s="6"/>
      <c r="U594" s="6"/>
      <c r="V594" s="5"/>
      <c r="W594" s="5" t="s">
        <v>631</v>
      </c>
      <c r="X594" s="5" t="s">
        <v>631</v>
      </c>
      <c r="Y594" s="5" t="s">
        <v>83</v>
      </c>
      <c r="Z594" s="5" t="s">
        <v>141</v>
      </c>
      <c r="AA594" s="5" t="s">
        <v>2191</v>
      </c>
      <c r="AB594" s="0" t="n">
        <f aca="false">IFERROR(VALUE(R594),0)</f>
        <v>0</v>
      </c>
      <c r="AC594" s="0" t="n">
        <f aca="false">IFERROR(VALUE(M594),"")</f>
        <v>26.1</v>
      </c>
      <c r="AD594" s="0" t="n">
        <f aca="false">IFERROR(VALUE(Q594),"")</f>
        <v>3.9</v>
      </c>
      <c r="AE594" s="0" t="n">
        <f aca="false">IFERROR(VALUE(S594),"")</f>
        <v>3.9</v>
      </c>
      <c r="AF594" s="0" t="str">
        <f aca="false">IF(V594="","",VLOOKUP(V594,Assumptions!$B$6:$C$9,2,FALSE()))</f>
        <v/>
      </c>
      <c r="AG594" s="0" t="n">
        <f aca="false">IF(W594="","",VLOOKUP(W594,Assumptions!$B$6:$C$9,2,FALSE()))</f>
        <v>2</v>
      </c>
      <c r="AH594" s="0" t="n">
        <f aca="false">IF(X594="","",VLOOKUP(X594,Assumptions!$B$6:$C$9,2,FALSE()))</f>
        <v>2</v>
      </c>
      <c r="AI594" s="0" t="n">
        <f aca="false">IF(Y594="","",VLOOKUP(Y594,Assumptions!$B$6:$C$9,2,FALSE()))</f>
        <v>4</v>
      </c>
      <c r="AJ594" s="0" t="n">
        <f aca="false">IF(Z594="","",VLOOKUP(Z594,Assumptions!$B$6:$C$9,2,FALSE()))</f>
        <v>3</v>
      </c>
      <c r="AK594" s="7" t="n">
        <f aca="false">IFERROR(ROUND(AVERAGE(AF594:AJ594),3),"")</f>
        <v>2.75</v>
      </c>
      <c r="AL594" s="7" t="str">
        <f aca="false">IF(OR(AF594="",AJ594=""),"",AJ594-AF594)</f>
        <v/>
      </c>
      <c r="AM594" s="7" t="n">
        <f aca="false">IF(COUNT(AF594:AJ594)&gt;=2,ROUND(_xlfn.STDEV.S(AF594:AJ594),3),"")</f>
        <v>0.957</v>
      </c>
      <c r="AN594" s="7" t="n">
        <f aca="false">ROUND((IF(AF594="",0,AF594)*Assumptions!$F$15)+(IF(AG594="",0,AG594)*Assumptions!$F$16)+(IF(AH594="",0,AH594)*Assumptions!$F$17)+(IF(AI594="",0,AI594)*Assumptions!$F$18)+(IF(AJ594="",0,AJ594)*Assumptions!$F$19),3)</f>
        <v>2.6</v>
      </c>
      <c r="AO594" s="0" t="str">
        <f aca="false">IF(AC594&lt;=20,"",IF(AC594&lt;=Assumptions!$F$6,"20-30",IF(AC594&lt;=Assumptions!$F$7,"30-40",IF(AC594&lt;=Assumptions!$F$8,"40-50",IF(AC594&lt;=Assumptions!$F$9,"50-60",IF(AC594&lt;=Assumptions!$F$10,"60+",""))))))</f>
        <v>20-30</v>
      </c>
      <c r="AP594" s="0" t="str">
        <f aca="false">IFERROR(VLOOKUP(O594,Assumptions!$B$14:$C$26,2,FALSE()),"Other")</f>
        <v>Manager</v>
      </c>
      <c r="AQ594" s="0" t="n">
        <f aca="false">IF(T594="",0,1)</f>
        <v>0</v>
      </c>
      <c r="AR594" s="0" t="n">
        <f aca="false">IF(U594="",0,1)</f>
        <v>0</v>
      </c>
      <c r="AS594" s="8" t="n">
        <f aca="false">IF(AK594="","",IF(MAX($AK$2:$AK$921)=MIN($AK$2:$AK$921),50,ROUND((AK594-MIN($AK$2:$AK$921))/(MAX($AK$2:$AK$921)-MIN($AK$2:$AK$921))*100,2)))</f>
        <v>46.42</v>
      </c>
      <c r="AT594" s="8" t="n">
        <f aca="false">IF(MAX($BC$2:$BC$921)=MIN($BC$2:$BC$921),50,ROUND((BC594-MIN($BC$2:$BC$921))/(MAX($BC$2:$BC$921)-MIN($BC$2:$BC$921))*100,2))</f>
        <v>50</v>
      </c>
      <c r="AU594" s="8" t="n">
        <f aca="false">IF(MAX($BE$2:$BE$921)=MIN($BE$2:$BE$921),50,ROUND((BE594-MIN($BE$2:$BE$921))/(MAX($BE$2:$BE$921)-MIN($BE$2:$BE$921))*100,2))</f>
        <v>44.75</v>
      </c>
      <c r="AV594" s="8" t="n">
        <f aca="false">IF(MAX($AD$2:$AD$921)=MIN($AD$2:$AD$921),50,ROUND((AD594-MIN($AD$2:$AD$921))/(MAX($AD$2:$AD$921)-MIN($AD$2:$AD$921))*100,2))</f>
        <v>10.3</v>
      </c>
      <c r="AW594" s="8" t="n">
        <f aca="false">IF(MAX($AN$2:$AN$921)=MIN($AN$2:$AN$921),50,ROUND((AN594-MIN($AN$2:$AN$921))/(MAX($AN$2:$AN$921)-MIN($AN$2:$AN$921))*100,2))</f>
        <v>65</v>
      </c>
      <c r="AX594" s="8" t="n">
        <f aca="false">AQ594*100</f>
        <v>0</v>
      </c>
      <c r="AY594" s="8" t="n">
        <f aca="false">AR594*100</f>
        <v>0</v>
      </c>
      <c r="AZ594" s="8" t="n">
        <f aca="false">IFERROR(ROUND(AS594*Assumptions!$I$6+AW594*Assumptions!$I$7+AT594*Assumptions!$I$8+AU594*Assumptions!$I$9+AV594*Assumptions!$I$10+AX594*Assumptions!$I$11+AY594*Assumptions!$I$12,2),"")</f>
        <v>42.17</v>
      </c>
      <c r="BA594" s="0" t="str">
        <f aca="false">IF(AZ594="","",IF(AZ594&lt;=Assumptions!$I$18,"Below Expectation",IF(AZ594&lt;=Assumptions!$I$19,"Developing",IF(AZ594&lt;=Assumptions!$I$20,"Meets Expectation",IF(AZ594&lt;=Assumptions!$I$21,"Exceeds","Star Performer")))))</f>
        <v>Developing</v>
      </c>
      <c r="BB594" s="0" t="n">
        <f aca="false">IF(AZ594="",0,IF(AZ594&gt;=Assumptions!$I$26,1,0))</f>
        <v>0</v>
      </c>
      <c r="BC594" s="9" t="n">
        <f aca="false">IF(AL594="",2,AL594+2)</f>
        <v>2</v>
      </c>
      <c r="BD594" s="10" t="n">
        <f aca="false">IF(AM594="",ROUND(AVERAGE($AM$2:$AM$921),3),AM594)</f>
        <v>0.957</v>
      </c>
      <c r="BE594" s="9" t="n">
        <f aca="false">1-BD594</f>
        <v>0.043</v>
      </c>
    </row>
    <row r="595" customFormat="false" ht="14.25" hidden="true" customHeight="false" outlineLevel="0" collapsed="false">
      <c r="A595" s="4" t="n">
        <v>677</v>
      </c>
      <c r="B595" s="5" t="n">
        <v>55059480</v>
      </c>
      <c r="C595" s="5" t="s">
        <v>85</v>
      </c>
      <c r="D595" s="5" t="s">
        <v>2192</v>
      </c>
      <c r="E595" s="5" t="s">
        <v>775</v>
      </c>
      <c r="F595" s="5" t="s">
        <v>1382</v>
      </c>
      <c r="G595" s="5" t="s">
        <v>1383</v>
      </c>
      <c r="H595" s="5" t="s">
        <v>1382</v>
      </c>
      <c r="I595" s="5" t="s">
        <v>63</v>
      </c>
      <c r="J595" s="5" t="s">
        <v>76</v>
      </c>
      <c r="K595" s="5" t="s">
        <v>309</v>
      </c>
      <c r="L595" s="6" t="n">
        <v>44851</v>
      </c>
      <c r="M595" s="5" t="s">
        <v>960</v>
      </c>
      <c r="N595" s="6" t="n">
        <v>36964</v>
      </c>
      <c r="O595" s="5" t="s">
        <v>1264</v>
      </c>
      <c r="P595" s="5" t="s">
        <v>1559</v>
      </c>
      <c r="Q595" s="5" t="s">
        <v>335</v>
      </c>
      <c r="R595" s="5" t="s">
        <v>115</v>
      </c>
      <c r="S595" s="5" t="s">
        <v>335</v>
      </c>
      <c r="T595" s="6"/>
      <c r="U595" s="6"/>
      <c r="V595" s="5"/>
      <c r="W595" s="5" t="s">
        <v>631</v>
      </c>
      <c r="X595" s="5" t="s">
        <v>141</v>
      </c>
      <c r="Y595" s="5" t="s">
        <v>631</v>
      </c>
      <c r="Z595" s="5" t="s">
        <v>83</v>
      </c>
      <c r="AA595" s="5" t="s">
        <v>1870</v>
      </c>
      <c r="AB595" s="0" t="n">
        <f aca="false">IFERROR(VALUE(R595),0)</f>
        <v>0</v>
      </c>
      <c r="AC595" s="0" t="n">
        <f aca="false">IFERROR(VALUE(M595),"")</f>
        <v>25.2</v>
      </c>
      <c r="AD595" s="0" t="n">
        <f aca="false">IFERROR(VALUE(Q595),"")</f>
        <v>3.7</v>
      </c>
      <c r="AE595" s="0" t="n">
        <f aca="false">IFERROR(VALUE(S595),"")</f>
        <v>3.7</v>
      </c>
      <c r="AF595" s="0" t="str">
        <f aca="false">IF(V595="","",VLOOKUP(V595,Assumptions!$B$6:$C$9,2,FALSE()))</f>
        <v/>
      </c>
      <c r="AG595" s="0" t="n">
        <f aca="false">IF(W595="","",VLOOKUP(W595,Assumptions!$B$6:$C$9,2,FALSE()))</f>
        <v>2</v>
      </c>
      <c r="AH595" s="0" t="n">
        <f aca="false">IF(X595="","",VLOOKUP(X595,Assumptions!$B$6:$C$9,2,FALSE()))</f>
        <v>3</v>
      </c>
      <c r="AI595" s="0" t="n">
        <f aca="false">IF(Y595="","",VLOOKUP(Y595,Assumptions!$B$6:$C$9,2,FALSE()))</f>
        <v>2</v>
      </c>
      <c r="AJ595" s="0" t="n">
        <f aca="false">IF(Z595="","",VLOOKUP(Z595,Assumptions!$B$6:$C$9,2,FALSE()))</f>
        <v>4</v>
      </c>
      <c r="AK595" s="7" t="n">
        <f aca="false">IFERROR(ROUND(AVERAGE(AF595:AJ595),3),"")</f>
        <v>2.75</v>
      </c>
      <c r="AL595" s="7" t="str">
        <f aca="false">IF(OR(AF595="",AJ595=""),"",AJ595-AF595)</f>
        <v/>
      </c>
      <c r="AM595" s="7" t="n">
        <f aca="false">IF(COUNT(AF595:AJ595)&gt;=2,ROUND(_xlfn.STDEV.S(AF595:AJ595),3),"")</f>
        <v>0.957</v>
      </c>
      <c r="AN595" s="7" t="n">
        <f aca="false">ROUND((IF(AF595="",0,AF595)*Assumptions!$F$15)+(IF(AG595="",0,AG595)*Assumptions!$F$16)+(IF(AH595="",0,AH595)*Assumptions!$F$17)+(IF(AI595="",0,AI595)*Assumptions!$F$18)+(IF(AJ595="",0,AJ595)*Assumptions!$F$19),3)</f>
        <v>2.6</v>
      </c>
      <c r="AO595" s="0" t="str">
        <f aca="false">IF(AC595&lt;=20,"",IF(AC595&lt;=Assumptions!$F$6,"20-30",IF(AC595&lt;=Assumptions!$F$7,"30-40",IF(AC595&lt;=Assumptions!$F$8,"40-50",IF(AC595&lt;=Assumptions!$F$9,"50-60",IF(AC595&lt;=Assumptions!$F$10,"60+",""))))))</f>
        <v>20-30</v>
      </c>
      <c r="AP595" s="0" t="str">
        <f aca="false">IFERROR(VLOOKUP(O595,Assumptions!$B$14:$C$26,2,FALSE()),"Other")</f>
        <v>Manager</v>
      </c>
      <c r="AQ595" s="0" t="n">
        <f aca="false">IF(T595="",0,1)</f>
        <v>0</v>
      </c>
      <c r="AR595" s="0" t="n">
        <f aca="false">IF(U595="",0,1)</f>
        <v>0</v>
      </c>
      <c r="AS595" s="8" t="n">
        <f aca="false">IF(AK595="","",IF(MAX($AK$2:$AK$921)=MIN($AK$2:$AK$921),50,ROUND((AK595-MIN($AK$2:$AK$921))/(MAX($AK$2:$AK$921)-MIN($AK$2:$AK$921))*100,2)))</f>
        <v>46.42</v>
      </c>
      <c r="AT595" s="8" t="n">
        <f aca="false">IF(MAX($BC$2:$BC$921)=MIN($BC$2:$BC$921),50,ROUND((BC595-MIN($BC$2:$BC$921))/(MAX($BC$2:$BC$921)-MIN($BC$2:$BC$921))*100,2))</f>
        <v>50</v>
      </c>
      <c r="AU595" s="8" t="n">
        <f aca="false">IF(MAX($BE$2:$BE$921)=MIN($BE$2:$BE$921),50,ROUND((BE595-MIN($BE$2:$BE$921))/(MAX($BE$2:$BE$921)-MIN($BE$2:$BE$921))*100,2))</f>
        <v>44.75</v>
      </c>
      <c r="AV595" s="8" t="n">
        <f aca="false">IF(MAX($AD$2:$AD$921)=MIN($AD$2:$AD$921),50,ROUND((AD595-MIN($AD$2:$AD$921))/(MAX($AD$2:$AD$921)-MIN($AD$2:$AD$921))*100,2))</f>
        <v>9.76</v>
      </c>
      <c r="AW595" s="8" t="n">
        <f aca="false">IF(MAX($AN$2:$AN$921)=MIN($AN$2:$AN$921),50,ROUND((AN595-MIN($AN$2:$AN$921))/(MAX($AN$2:$AN$921)-MIN($AN$2:$AN$921))*100,2))</f>
        <v>65</v>
      </c>
      <c r="AX595" s="8" t="n">
        <f aca="false">AQ595*100</f>
        <v>0</v>
      </c>
      <c r="AY595" s="8" t="n">
        <f aca="false">AR595*100</f>
        <v>0</v>
      </c>
      <c r="AZ595" s="8" t="n">
        <f aca="false">IFERROR(ROUND(AS595*Assumptions!$I$6+AW595*Assumptions!$I$7+AT595*Assumptions!$I$8+AU595*Assumptions!$I$9+AV595*Assumptions!$I$10+AX595*Assumptions!$I$11+AY595*Assumptions!$I$12,2),"")</f>
        <v>42.11</v>
      </c>
      <c r="BA595" s="0" t="str">
        <f aca="false">IF(AZ595="","",IF(AZ595&lt;=Assumptions!$I$18,"Below Expectation",IF(AZ595&lt;=Assumptions!$I$19,"Developing",IF(AZ595&lt;=Assumptions!$I$20,"Meets Expectation",IF(AZ595&lt;=Assumptions!$I$21,"Exceeds","Star Performer")))))</f>
        <v>Developing</v>
      </c>
      <c r="BB595" s="0" t="n">
        <f aca="false">IF(AZ595="",0,IF(AZ595&gt;=Assumptions!$I$26,1,0))</f>
        <v>0</v>
      </c>
      <c r="BC595" s="9" t="n">
        <f aca="false">IF(AL595="",2,AL595+2)</f>
        <v>2</v>
      </c>
      <c r="BD595" s="10" t="n">
        <f aca="false">IF(AM595="",ROUND(AVERAGE($AM$2:$AM$921),3),AM595)</f>
        <v>0.957</v>
      </c>
      <c r="BE595" s="9" t="n">
        <f aca="false">1-BD595</f>
        <v>0.043</v>
      </c>
    </row>
    <row r="596" customFormat="false" ht="14.25" hidden="true" customHeight="false" outlineLevel="0" collapsed="false">
      <c r="A596" s="4" t="n">
        <v>210</v>
      </c>
      <c r="B596" s="5" t="n">
        <v>10056423</v>
      </c>
      <c r="C596" s="5" t="s">
        <v>57</v>
      </c>
      <c r="D596" s="5" t="s">
        <v>2193</v>
      </c>
      <c r="E596" s="5" t="s">
        <v>456</v>
      </c>
      <c r="F596" s="5" t="s">
        <v>608</v>
      </c>
      <c r="G596" s="5" t="s">
        <v>609</v>
      </c>
      <c r="H596" s="5" t="s">
        <v>608</v>
      </c>
      <c r="I596" s="5" t="s">
        <v>63</v>
      </c>
      <c r="J596" s="5" t="s">
        <v>100</v>
      </c>
      <c r="K596" s="5" t="s">
        <v>65</v>
      </c>
      <c r="L596" s="6" t="n">
        <v>42730</v>
      </c>
      <c r="M596" s="5" t="s">
        <v>625</v>
      </c>
      <c r="N596" s="6" t="n">
        <v>33562</v>
      </c>
      <c r="O596" s="5" t="s">
        <v>365</v>
      </c>
      <c r="P596" s="5" t="s">
        <v>365</v>
      </c>
      <c r="Q596" s="5" t="s">
        <v>425</v>
      </c>
      <c r="R596" s="5" t="s">
        <v>115</v>
      </c>
      <c r="S596" s="5" t="s">
        <v>425</v>
      </c>
      <c r="T596" s="6"/>
      <c r="U596" s="6"/>
      <c r="V596" s="5" t="s">
        <v>631</v>
      </c>
      <c r="W596" s="5" t="s">
        <v>631</v>
      </c>
      <c r="X596" s="5" t="s">
        <v>141</v>
      </c>
      <c r="Y596" s="5" t="s">
        <v>141</v>
      </c>
      <c r="Z596" s="5" t="s">
        <v>631</v>
      </c>
      <c r="AA596" s="5" t="s">
        <v>2194</v>
      </c>
      <c r="AB596" s="0" t="n">
        <f aca="false">IFERROR(VALUE(R596),0)</f>
        <v>0</v>
      </c>
      <c r="AC596" s="0" t="n">
        <f aca="false">IFERROR(VALUE(M596),"")</f>
        <v>34.6</v>
      </c>
      <c r="AD596" s="0" t="n">
        <f aca="false">IFERROR(VALUE(Q596),"")</f>
        <v>9.5</v>
      </c>
      <c r="AE596" s="0" t="n">
        <f aca="false">IFERROR(VALUE(S596),"")</f>
        <v>9.5</v>
      </c>
      <c r="AF596" s="0" t="n">
        <f aca="false">IF(V596="","",VLOOKUP(V596,Assumptions!$B$6:$C$9,2,FALSE()))</f>
        <v>2</v>
      </c>
      <c r="AG596" s="0" t="n">
        <f aca="false">IF(W596="","",VLOOKUP(W596,Assumptions!$B$6:$C$9,2,FALSE()))</f>
        <v>2</v>
      </c>
      <c r="AH596" s="0" t="n">
        <f aca="false">IF(X596="","",VLOOKUP(X596,Assumptions!$B$6:$C$9,2,FALSE()))</f>
        <v>3</v>
      </c>
      <c r="AI596" s="0" t="n">
        <f aca="false">IF(Y596="","",VLOOKUP(Y596,Assumptions!$B$6:$C$9,2,FALSE()))</f>
        <v>3</v>
      </c>
      <c r="AJ596" s="0" t="n">
        <f aca="false">IF(Z596="","",VLOOKUP(Z596,Assumptions!$B$6:$C$9,2,FALSE()))</f>
        <v>2</v>
      </c>
      <c r="AK596" s="7" t="n">
        <f aca="false">IFERROR(ROUND(AVERAGE(AF596:AJ596),3),"")</f>
        <v>2.4</v>
      </c>
      <c r="AL596" s="7" t="n">
        <f aca="false">IF(OR(AF596="",AJ596=""),"",AJ596-AF596)</f>
        <v>0</v>
      </c>
      <c r="AM596" s="7" t="n">
        <f aca="false">IF(COUNT(AF596:AJ596)&gt;=2,ROUND(_xlfn.STDEV.S(AF596:AJ596),3),"")</f>
        <v>0.548</v>
      </c>
      <c r="AN596" s="7" t="n">
        <f aca="false">ROUND((IF(AF596="",0,AF596)*Assumptions!$F$15)+(IF(AG596="",0,AG596)*Assumptions!$F$16)+(IF(AH596="",0,AH596)*Assumptions!$F$17)+(IF(AI596="",0,AI596)*Assumptions!$F$18)+(IF(AJ596="",0,AJ596)*Assumptions!$F$19),3)</f>
        <v>2.45</v>
      </c>
      <c r="AO596" s="0" t="str">
        <f aca="false">IF(AC596&lt;=20,"",IF(AC596&lt;=Assumptions!$F$6,"20-30",IF(AC596&lt;=Assumptions!$F$7,"30-40",IF(AC596&lt;=Assumptions!$F$8,"40-50",IF(AC596&lt;=Assumptions!$F$9,"50-60",IF(AC596&lt;=Assumptions!$F$10,"60+",""))))))</f>
        <v>30-40</v>
      </c>
      <c r="AP596" s="0" t="str">
        <f aca="false">IFERROR(VLOOKUP(O596,Assumptions!$B$14:$C$26,2,FALSE()),"Other")</f>
        <v>Manager</v>
      </c>
      <c r="AQ596" s="0" t="n">
        <f aca="false">IF(T596="",0,1)</f>
        <v>0</v>
      </c>
      <c r="AR596" s="0" t="n">
        <f aca="false">IF(U596="",0,1)</f>
        <v>0</v>
      </c>
      <c r="AS596" s="8" t="n">
        <f aca="false">IF(AK596="","",IF(MAX($AK$2:$AK$921)=MIN($AK$2:$AK$921),50,ROUND((AK596-MIN($AK$2:$AK$921))/(MAX($AK$2:$AK$921)-MIN($AK$2:$AK$921))*100,2)))</f>
        <v>31.42</v>
      </c>
      <c r="AT596" s="8" t="n">
        <f aca="false">IF(MAX($BC$2:$BC$921)=MIN($BC$2:$BC$921),50,ROUND((BC596-MIN($BC$2:$BC$921))/(MAX($BC$2:$BC$921)-MIN($BC$2:$BC$921))*100,2))</f>
        <v>50</v>
      </c>
      <c r="AU596" s="8" t="n">
        <f aca="false">IF(MAX($BE$2:$BE$921)=MIN($BE$2:$BE$921),50,ROUND((BE596-MIN($BE$2:$BE$921))/(MAX($BE$2:$BE$921)-MIN($BE$2:$BE$921))*100,2))</f>
        <v>68.36</v>
      </c>
      <c r="AV596" s="8" t="n">
        <f aca="false">IF(MAX($AD$2:$AD$921)=MIN($AD$2:$AD$921),50,ROUND((AD596-MIN($AD$2:$AD$921))/(MAX($AD$2:$AD$921)-MIN($AD$2:$AD$921))*100,2))</f>
        <v>25.52</v>
      </c>
      <c r="AW596" s="8" t="n">
        <f aca="false">IF(MAX($AN$2:$AN$921)=MIN($AN$2:$AN$921),50,ROUND((AN596-MIN($AN$2:$AN$921))/(MAX($AN$2:$AN$921)-MIN($AN$2:$AN$921))*100,2))</f>
        <v>61.25</v>
      </c>
      <c r="AX596" s="8" t="n">
        <f aca="false">AQ596*100</f>
        <v>0</v>
      </c>
      <c r="AY596" s="8" t="n">
        <f aca="false">AR596*100</f>
        <v>0</v>
      </c>
      <c r="AZ596" s="8" t="n">
        <f aca="false">IFERROR(ROUND(AS596*Assumptions!$I$6+AW596*Assumptions!$I$7+AT596*Assumptions!$I$8+AU596*Assumptions!$I$9+AV596*Assumptions!$I$10+AX596*Assumptions!$I$11+AY596*Assumptions!$I$12,2),"")</f>
        <v>41.98</v>
      </c>
      <c r="BA596" s="0" t="str">
        <f aca="false">IF(AZ596="","",IF(AZ596&lt;=Assumptions!$I$18,"Below Expectation",IF(AZ596&lt;=Assumptions!$I$19,"Developing",IF(AZ596&lt;=Assumptions!$I$20,"Meets Expectation",IF(AZ596&lt;=Assumptions!$I$21,"Exceeds","Star Performer")))))</f>
        <v>Developing</v>
      </c>
      <c r="BB596" s="0" t="n">
        <f aca="false">IF(AZ596="",0,IF(AZ596&gt;=Assumptions!$I$26,1,0))</f>
        <v>0</v>
      </c>
      <c r="BC596" s="9" t="n">
        <f aca="false">IF(AL596="",2,AL596+2)</f>
        <v>2</v>
      </c>
      <c r="BD596" s="10" t="n">
        <f aca="false">IF(AM596="",ROUND(AVERAGE($AM$2:$AM$921),3),AM596)</f>
        <v>0.548</v>
      </c>
      <c r="BE596" s="9" t="n">
        <f aca="false">1-BD596</f>
        <v>0.452</v>
      </c>
    </row>
    <row r="597" customFormat="false" ht="14.25" hidden="true" customHeight="false" outlineLevel="0" collapsed="false">
      <c r="A597" s="4" t="n">
        <v>361</v>
      </c>
      <c r="B597" s="5" t="n">
        <v>37101641</v>
      </c>
      <c r="C597" s="5" t="s">
        <v>85</v>
      </c>
      <c r="D597" s="5" t="s">
        <v>2195</v>
      </c>
      <c r="E597" s="5" t="s">
        <v>315</v>
      </c>
      <c r="F597" s="5" t="s">
        <v>705</v>
      </c>
      <c r="G597" s="5" t="s">
        <v>706</v>
      </c>
      <c r="H597" s="5" t="s">
        <v>707</v>
      </c>
      <c r="I597" s="5" t="s">
        <v>63</v>
      </c>
      <c r="J597" s="5" t="s">
        <v>76</v>
      </c>
      <c r="K597" s="5" t="s">
        <v>65</v>
      </c>
      <c r="L597" s="6" t="n">
        <v>39240</v>
      </c>
      <c r="M597" s="5" t="s">
        <v>1902</v>
      </c>
      <c r="N597" s="6" t="n">
        <v>27274</v>
      </c>
      <c r="O597" s="5" t="s">
        <v>332</v>
      </c>
      <c r="P597" s="5" t="s">
        <v>333</v>
      </c>
      <c r="Q597" s="5" t="s">
        <v>1390</v>
      </c>
      <c r="R597" s="5" t="s">
        <v>352</v>
      </c>
      <c r="S597" s="5" t="s">
        <v>1147</v>
      </c>
      <c r="T597" s="6"/>
      <c r="U597" s="6"/>
      <c r="V597" s="5" t="s">
        <v>631</v>
      </c>
      <c r="W597" s="5" t="s">
        <v>631</v>
      </c>
      <c r="X597" s="5" t="s">
        <v>631</v>
      </c>
      <c r="Y597" s="5" t="s">
        <v>631</v>
      </c>
      <c r="Z597" s="5" t="s">
        <v>631</v>
      </c>
      <c r="AA597" s="5" t="s">
        <v>2196</v>
      </c>
      <c r="AB597" s="0" t="n">
        <f aca="false">IFERROR(VALUE(R597),0)</f>
        <v>4.6</v>
      </c>
      <c r="AC597" s="0" t="n">
        <f aca="false">IFERROR(VALUE(M597),"")</f>
        <v>51.9</v>
      </c>
      <c r="AD597" s="0" t="n">
        <f aca="false">IFERROR(VALUE(Q597),"")</f>
        <v>19</v>
      </c>
      <c r="AE597" s="0" t="n">
        <f aca="false">IFERROR(VALUE(S597),"")</f>
        <v>23.6</v>
      </c>
      <c r="AF597" s="0" t="n">
        <f aca="false">IF(V597="","",VLOOKUP(V597,Assumptions!$B$6:$C$9,2,FALSE()))</f>
        <v>2</v>
      </c>
      <c r="AG597" s="0" t="n">
        <f aca="false">IF(W597="","",VLOOKUP(W597,Assumptions!$B$6:$C$9,2,FALSE()))</f>
        <v>2</v>
      </c>
      <c r="AH597" s="0" t="n">
        <f aca="false">IF(X597="","",VLOOKUP(X597,Assumptions!$B$6:$C$9,2,FALSE()))</f>
        <v>2</v>
      </c>
      <c r="AI597" s="0" t="n">
        <f aca="false">IF(Y597="","",VLOOKUP(Y597,Assumptions!$B$6:$C$9,2,FALSE()))</f>
        <v>2</v>
      </c>
      <c r="AJ597" s="0" t="n">
        <f aca="false">IF(Z597="","",VLOOKUP(Z597,Assumptions!$B$6:$C$9,2,FALSE()))</f>
        <v>2</v>
      </c>
      <c r="AK597" s="7" t="n">
        <f aca="false">IFERROR(ROUND(AVERAGE(AF597:AJ597),3),"")</f>
        <v>2</v>
      </c>
      <c r="AL597" s="7" t="n">
        <f aca="false">IF(OR(AF597="",AJ597=""),"",AJ597-AF597)</f>
        <v>0</v>
      </c>
      <c r="AM597" s="7" t="n">
        <f aca="false">IF(COUNT(AF597:AJ597)&gt;=2,ROUND(_xlfn.STDEV.S(AF597:AJ597),3),"")</f>
        <v>0</v>
      </c>
      <c r="AN597" s="7" t="n">
        <f aca="false">ROUND((IF(AF597="",0,AF597)*Assumptions!$F$15)+(IF(AG597="",0,AG597)*Assumptions!$F$16)+(IF(AH597="",0,AH597)*Assumptions!$F$17)+(IF(AI597="",0,AI597)*Assumptions!$F$18)+(IF(AJ597="",0,AJ597)*Assumptions!$F$19),3)</f>
        <v>2</v>
      </c>
      <c r="AO597" s="0" t="str">
        <f aca="false">IF(AC597&lt;=20,"",IF(AC597&lt;=Assumptions!$F$6,"20-30",IF(AC597&lt;=Assumptions!$F$7,"30-40",IF(AC597&lt;=Assumptions!$F$8,"40-50",IF(AC597&lt;=Assumptions!$F$9,"50-60",IF(AC597&lt;=Assumptions!$F$10,"60+",""))))))</f>
        <v>50-60</v>
      </c>
      <c r="AP597" s="0" t="str">
        <f aca="false">IFERROR(VLOOKUP(O597,Assumptions!$B$14:$C$26,2,FALSE()),"Other")</f>
        <v>Manager</v>
      </c>
      <c r="AQ597" s="0" t="n">
        <f aca="false">IF(T597="",0,1)</f>
        <v>0</v>
      </c>
      <c r="AR597" s="0" t="n">
        <f aca="false">IF(U597="",0,1)</f>
        <v>0</v>
      </c>
      <c r="AS597" s="8" t="n">
        <f aca="false">IF(AK597="","",IF(MAX($AK$2:$AK$921)=MIN($AK$2:$AK$921),50,ROUND((AK597-MIN($AK$2:$AK$921))/(MAX($AK$2:$AK$921)-MIN($AK$2:$AK$921))*100,2)))</f>
        <v>14.27</v>
      </c>
      <c r="AT597" s="8" t="n">
        <f aca="false">IF(MAX($BC$2:$BC$921)=MIN($BC$2:$BC$921),50,ROUND((BC597-MIN($BC$2:$BC$921))/(MAX($BC$2:$BC$921)-MIN($BC$2:$BC$921))*100,2))</f>
        <v>50</v>
      </c>
      <c r="AU597" s="8" t="n">
        <f aca="false">IF(MAX($BE$2:$BE$921)=MIN($BE$2:$BE$921),50,ROUND((BE597-MIN($BE$2:$BE$921))/(MAX($BE$2:$BE$921)-MIN($BE$2:$BE$921))*100,2))</f>
        <v>100</v>
      </c>
      <c r="AV597" s="8" t="n">
        <f aca="false">IF(MAX($AD$2:$AD$921)=MIN($AD$2:$AD$921),50,ROUND((AD597-MIN($AD$2:$AD$921))/(MAX($AD$2:$AD$921)-MIN($AD$2:$AD$921))*100,2))</f>
        <v>51.35</v>
      </c>
      <c r="AW597" s="8" t="n">
        <f aca="false">IF(MAX($AN$2:$AN$921)=MIN($AN$2:$AN$921),50,ROUND((AN597-MIN($AN$2:$AN$921))/(MAX($AN$2:$AN$921)-MIN($AN$2:$AN$921))*100,2))</f>
        <v>50</v>
      </c>
      <c r="AX597" s="8" t="n">
        <f aca="false">AQ597*100</f>
        <v>0</v>
      </c>
      <c r="AY597" s="8" t="n">
        <f aca="false">AR597*100</f>
        <v>0</v>
      </c>
      <c r="AZ597" s="8" t="n">
        <f aca="false">IFERROR(ROUND(AS597*Assumptions!$I$6+AW597*Assumptions!$I$7+AT597*Assumptions!$I$8+AU597*Assumptions!$I$9+AV597*Assumptions!$I$10+AX597*Assumptions!$I$11+AY597*Assumptions!$I$12,2),"")</f>
        <v>41.92</v>
      </c>
      <c r="BA597" s="0" t="str">
        <f aca="false">IF(AZ597="","",IF(AZ597&lt;=Assumptions!$I$18,"Below Expectation",IF(AZ597&lt;=Assumptions!$I$19,"Developing",IF(AZ597&lt;=Assumptions!$I$20,"Meets Expectation",IF(AZ597&lt;=Assumptions!$I$21,"Exceeds","Star Performer")))))</f>
        <v>Developing</v>
      </c>
      <c r="BB597" s="0" t="n">
        <f aca="false">IF(AZ597="",0,IF(AZ597&gt;=Assumptions!$I$26,1,0))</f>
        <v>0</v>
      </c>
      <c r="BC597" s="9" t="n">
        <f aca="false">IF(AL597="",2,AL597+2)</f>
        <v>2</v>
      </c>
      <c r="BD597" s="10" t="n">
        <f aca="false">IF(AM597="",ROUND(AVERAGE($AM$2:$AM$921),3),AM597)</f>
        <v>0</v>
      </c>
      <c r="BE597" s="9" t="n">
        <f aca="false">1-BD597</f>
        <v>1</v>
      </c>
    </row>
    <row r="598" customFormat="false" ht="14.25" hidden="true" customHeight="false" outlineLevel="0" collapsed="false">
      <c r="A598" s="4" t="n">
        <v>362</v>
      </c>
      <c r="B598" s="5" t="n">
        <v>37101674</v>
      </c>
      <c r="C598" s="5" t="s">
        <v>57</v>
      </c>
      <c r="D598" s="5" t="s">
        <v>2197</v>
      </c>
      <c r="E598" s="5" t="s">
        <v>607</v>
      </c>
      <c r="F598" s="5" t="s">
        <v>608</v>
      </c>
      <c r="G598" s="5" t="s">
        <v>609</v>
      </c>
      <c r="H598" s="5" t="s">
        <v>608</v>
      </c>
      <c r="I598" s="5" t="s">
        <v>63</v>
      </c>
      <c r="J598" s="5" t="s">
        <v>100</v>
      </c>
      <c r="K598" s="5" t="s">
        <v>65</v>
      </c>
      <c r="L598" s="6" t="n">
        <v>39265</v>
      </c>
      <c r="M598" s="5" t="s">
        <v>145</v>
      </c>
      <c r="N598" s="6" t="n">
        <v>27519</v>
      </c>
      <c r="O598" s="5" t="s">
        <v>365</v>
      </c>
      <c r="P598" s="5" t="s">
        <v>365</v>
      </c>
      <c r="Q598" s="5" t="s">
        <v>642</v>
      </c>
      <c r="R598" s="5" t="s">
        <v>807</v>
      </c>
      <c r="S598" s="5" t="s">
        <v>584</v>
      </c>
      <c r="T598" s="6"/>
      <c r="U598" s="6"/>
      <c r="V598" s="5" t="s">
        <v>631</v>
      </c>
      <c r="W598" s="5" t="s">
        <v>631</v>
      </c>
      <c r="X598" s="5" t="s">
        <v>631</v>
      </c>
      <c r="Y598" s="5" t="s">
        <v>631</v>
      </c>
      <c r="Z598" s="5" t="s">
        <v>631</v>
      </c>
      <c r="AA598" s="5" t="s">
        <v>2198</v>
      </c>
      <c r="AB598" s="0" t="n">
        <f aca="false">IFERROR(VALUE(R598),0)</f>
        <v>7.6</v>
      </c>
      <c r="AC598" s="0" t="n">
        <f aca="false">IFERROR(VALUE(M598),"")</f>
        <v>51.1</v>
      </c>
      <c r="AD598" s="0" t="n">
        <f aca="false">IFERROR(VALUE(Q598),"")</f>
        <v>18.11</v>
      </c>
      <c r="AE598" s="0" t="n">
        <f aca="false">IFERROR(VALUE(S598),"")</f>
        <v>26.5</v>
      </c>
      <c r="AF598" s="0" t="n">
        <f aca="false">IF(V598="","",VLOOKUP(V598,Assumptions!$B$6:$C$9,2,FALSE()))</f>
        <v>2</v>
      </c>
      <c r="AG598" s="0" t="n">
        <f aca="false">IF(W598="","",VLOOKUP(W598,Assumptions!$B$6:$C$9,2,FALSE()))</f>
        <v>2</v>
      </c>
      <c r="AH598" s="0" t="n">
        <f aca="false">IF(X598="","",VLOOKUP(X598,Assumptions!$B$6:$C$9,2,FALSE()))</f>
        <v>2</v>
      </c>
      <c r="AI598" s="0" t="n">
        <f aca="false">IF(Y598="","",VLOOKUP(Y598,Assumptions!$B$6:$C$9,2,FALSE()))</f>
        <v>2</v>
      </c>
      <c r="AJ598" s="0" t="n">
        <f aca="false">IF(Z598="","",VLOOKUP(Z598,Assumptions!$B$6:$C$9,2,FALSE()))</f>
        <v>2</v>
      </c>
      <c r="AK598" s="7" t="n">
        <f aca="false">IFERROR(ROUND(AVERAGE(AF598:AJ598),3),"")</f>
        <v>2</v>
      </c>
      <c r="AL598" s="7" t="n">
        <f aca="false">IF(OR(AF598="",AJ598=""),"",AJ598-AF598)</f>
        <v>0</v>
      </c>
      <c r="AM598" s="7" t="n">
        <f aca="false">IF(COUNT(AF598:AJ598)&gt;=2,ROUND(_xlfn.STDEV.S(AF598:AJ598),3),"")</f>
        <v>0</v>
      </c>
      <c r="AN598" s="7" t="n">
        <f aca="false">ROUND((IF(AF598="",0,AF598)*Assumptions!$F$15)+(IF(AG598="",0,AG598)*Assumptions!$F$16)+(IF(AH598="",0,AH598)*Assumptions!$F$17)+(IF(AI598="",0,AI598)*Assumptions!$F$18)+(IF(AJ598="",0,AJ598)*Assumptions!$F$19),3)</f>
        <v>2</v>
      </c>
      <c r="AO598" s="0" t="str">
        <f aca="false">IF(AC598&lt;=20,"",IF(AC598&lt;=Assumptions!$F$6,"20-30",IF(AC598&lt;=Assumptions!$F$7,"30-40",IF(AC598&lt;=Assumptions!$F$8,"40-50",IF(AC598&lt;=Assumptions!$F$9,"50-60",IF(AC598&lt;=Assumptions!$F$10,"60+",""))))))</f>
        <v>50-60</v>
      </c>
      <c r="AP598" s="0" t="str">
        <f aca="false">IFERROR(VLOOKUP(O598,Assumptions!$B$14:$C$26,2,FALSE()),"Other")</f>
        <v>Manager</v>
      </c>
      <c r="AQ598" s="0" t="n">
        <f aca="false">IF(T598="",0,1)</f>
        <v>0</v>
      </c>
      <c r="AR598" s="0" t="n">
        <f aca="false">IF(U598="",0,1)</f>
        <v>0</v>
      </c>
      <c r="AS598" s="8" t="n">
        <f aca="false">IF(AK598="","",IF(MAX($AK$2:$AK$921)=MIN($AK$2:$AK$921),50,ROUND((AK598-MIN($AK$2:$AK$921))/(MAX($AK$2:$AK$921)-MIN($AK$2:$AK$921))*100,2)))</f>
        <v>14.27</v>
      </c>
      <c r="AT598" s="8" t="n">
        <f aca="false">IF(MAX($BC$2:$BC$921)=MIN($BC$2:$BC$921),50,ROUND((BC598-MIN($BC$2:$BC$921))/(MAX($BC$2:$BC$921)-MIN($BC$2:$BC$921))*100,2))</f>
        <v>50</v>
      </c>
      <c r="AU598" s="8" t="n">
        <f aca="false">IF(MAX($BE$2:$BE$921)=MIN($BE$2:$BE$921),50,ROUND((BE598-MIN($BE$2:$BE$921))/(MAX($BE$2:$BE$921)-MIN($BE$2:$BE$921))*100,2))</f>
        <v>100</v>
      </c>
      <c r="AV598" s="8" t="n">
        <f aca="false">IF(MAX($AD$2:$AD$921)=MIN($AD$2:$AD$921),50,ROUND((AD598-MIN($AD$2:$AD$921))/(MAX($AD$2:$AD$921)-MIN($AD$2:$AD$921))*100,2))</f>
        <v>48.93</v>
      </c>
      <c r="AW598" s="8" t="n">
        <f aca="false">IF(MAX($AN$2:$AN$921)=MIN($AN$2:$AN$921),50,ROUND((AN598-MIN($AN$2:$AN$921))/(MAX($AN$2:$AN$921)-MIN($AN$2:$AN$921))*100,2))</f>
        <v>50</v>
      </c>
      <c r="AX598" s="8" t="n">
        <f aca="false">AQ598*100</f>
        <v>0</v>
      </c>
      <c r="AY598" s="8" t="n">
        <f aca="false">AR598*100</f>
        <v>0</v>
      </c>
      <c r="AZ598" s="8" t="n">
        <f aca="false">IFERROR(ROUND(AS598*Assumptions!$I$6+AW598*Assumptions!$I$7+AT598*Assumptions!$I$8+AU598*Assumptions!$I$9+AV598*Assumptions!$I$10+AX598*Assumptions!$I$11+AY598*Assumptions!$I$12,2),"")</f>
        <v>41.67</v>
      </c>
      <c r="BA598" s="0" t="str">
        <f aca="false">IF(AZ598="","",IF(AZ598&lt;=Assumptions!$I$18,"Below Expectation",IF(AZ598&lt;=Assumptions!$I$19,"Developing",IF(AZ598&lt;=Assumptions!$I$20,"Meets Expectation",IF(AZ598&lt;=Assumptions!$I$21,"Exceeds","Star Performer")))))</f>
        <v>Developing</v>
      </c>
      <c r="BB598" s="0" t="n">
        <f aca="false">IF(AZ598="",0,IF(AZ598&gt;=Assumptions!$I$26,1,0))</f>
        <v>0</v>
      </c>
      <c r="BC598" s="9" t="n">
        <f aca="false">IF(AL598="",2,AL598+2)</f>
        <v>2</v>
      </c>
      <c r="BD598" s="10" t="n">
        <f aca="false">IF(AM598="",ROUND(AVERAGE($AM$2:$AM$921),3),AM598)</f>
        <v>0</v>
      </c>
      <c r="BE598" s="9" t="n">
        <f aca="false">1-BD598</f>
        <v>1</v>
      </c>
    </row>
    <row r="599" customFormat="false" ht="14.25" hidden="true" customHeight="false" outlineLevel="0" collapsed="false">
      <c r="A599" s="4" t="n">
        <v>667</v>
      </c>
      <c r="B599" s="5" t="n">
        <v>55058533</v>
      </c>
      <c r="C599" s="5" t="s">
        <v>858</v>
      </c>
      <c r="D599" s="5" t="s">
        <v>2199</v>
      </c>
      <c r="E599" s="5" t="s">
        <v>1080</v>
      </c>
      <c r="F599" s="5" t="s">
        <v>308</v>
      </c>
      <c r="G599" s="5" t="s">
        <v>307</v>
      </c>
      <c r="H599" s="5" t="s">
        <v>308</v>
      </c>
      <c r="I599" s="5" t="s">
        <v>63</v>
      </c>
      <c r="J599" s="5" t="s">
        <v>100</v>
      </c>
      <c r="K599" s="5" t="s">
        <v>65</v>
      </c>
      <c r="L599" s="6" t="n">
        <v>44837</v>
      </c>
      <c r="M599" s="5" t="s">
        <v>2200</v>
      </c>
      <c r="N599" s="6" t="n">
        <v>31665</v>
      </c>
      <c r="O599" s="5" t="s">
        <v>332</v>
      </c>
      <c r="P599" s="5" t="s">
        <v>333</v>
      </c>
      <c r="Q599" s="5" t="s">
        <v>445</v>
      </c>
      <c r="R599" s="5" t="s">
        <v>1362</v>
      </c>
      <c r="S599" s="5" t="s">
        <v>1113</v>
      </c>
      <c r="T599" s="6"/>
      <c r="U599" s="6"/>
      <c r="V599" s="5"/>
      <c r="W599" s="5" t="s">
        <v>631</v>
      </c>
      <c r="X599" s="5" t="s">
        <v>141</v>
      </c>
      <c r="Y599" s="5" t="s">
        <v>83</v>
      </c>
      <c r="Z599" s="5" t="s">
        <v>631</v>
      </c>
      <c r="AA599" s="5" t="s">
        <v>2201</v>
      </c>
      <c r="AB599" s="0" t="n">
        <f aca="false">IFERROR(VALUE(R599),0)</f>
        <v>13.2</v>
      </c>
      <c r="AC599" s="0" t="n">
        <f aca="false">IFERROR(VALUE(M599),"")</f>
        <v>39.8</v>
      </c>
      <c r="AD599" s="0" t="n">
        <f aca="false">IFERROR(VALUE(Q599),"")</f>
        <v>3.8</v>
      </c>
      <c r="AE599" s="0" t="n">
        <f aca="false">IFERROR(VALUE(S599),"")</f>
        <v>16.1</v>
      </c>
      <c r="AF599" s="0" t="str">
        <f aca="false">IF(V599="","",VLOOKUP(V599,Assumptions!$B$6:$C$9,2,FALSE()))</f>
        <v/>
      </c>
      <c r="AG599" s="0" t="n">
        <f aca="false">IF(W599="","",VLOOKUP(W599,Assumptions!$B$6:$C$9,2,FALSE()))</f>
        <v>2</v>
      </c>
      <c r="AH599" s="0" t="n">
        <f aca="false">IF(X599="","",VLOOKUP(X599,Assumptions!$B$6:$C$9,2,FALSE()))</f>
        <v>3</v>
      </c>
      <c r="AI599" s="0" t="n">
        <f aca="false">IF(Y599="","",VLOOKUP(Y599,Assumptions!$B$6:$C$9,2,FALSE()))</f>
        <v>4</v>
      </c>
      <c r="AJ599" s="0" t="n">
        <f aca="false">IF(Z599="","",VLOOKUP(Z599,Assumptions!$B$6:$C$9,2,FALSE()))</f>
        <v>2</v>
      </c>
      <c r="AK599" s="7" t="n">
        <f aca="false">IFERROR(ROUND(AVERAGE(AF599:AJ599),3),"")</f>
        <v>2.75</v>
      </c>
      <c r="AL599" s="7" t="str">
        <f aca="false">IF(OR(AF599="",AJ599=""),"",AJ599-AF599)</f>
        <v/>
      </c>
      <c r="AM599" s="7" t="n">
        <f aca="false">IF(COUNT(AF599:AJ599)&gt;=2,ROUND(_xlfn.STDEV.S(AF599:AJ599),3),"")</f>
        <v>0.957</v>
      </c>
      <c r="AN599" s="7" t="n">
        <f aca="false">ROUND((IF(AF599="",0,AF599)*Assumptions!$F$15)+(IF(AG599="",0,AG599)*Assumptions!$F$16)+(IF(AH599="",0,AH599)*Assumptions!$F$17)+(IF(AI599="",0,AI599)*Assumptions!$F$18)+(IF(AJ599="",0,AJ599)*Assumptions!$F$19),3)</f>
        <v>2.5</v>
      </c>
      <c r="AO599" s="0" t="str">
        <f aca="false">IF(AC599&lt;=20,"",IF(AC599&lt;=Assumptions!$F$6,"20-30",IF(AC599&lt;=Assumptions!$F$7,"30-40",IF(AC599&lt;=Assumptions!$F$8,"40-50",IF(AC599&lt;=Assumptions!$F$9,"50-60",IF(AC599&lt;=Assumptions!$F$10,"60+",""))))))</f>
        <v>30-40</v>
      </c>
      <c r="AP599" s="0" t="str">
        <f aca="false">IFERROR(VLOOKUP(O599,Assumptions!$B$14:$C$26,2,FALSE()),"Other")</f>
        <v>Manager</v>
      </c>
      <c r="AQ599" s="0" t="n">
        <f aca="false">IF(T599="",0,1)</f>
        <v>0</v>
      </c>
      <c r="AR599" s="0" t="n">
        <f aca="false">IF(U599="",0,1)</f>
        <v>0</v>
      </c>
      <c r="AS599" s="8" t="n">
        <f aca="false">IF(AK599="","",IF(MAX($AK$2:$AK$921)=MIN($AK$2:$AK$921),50,ROUND((AK599-MIN($AK$2:$AK$921))/(MAX($AK$2:$AK$921)-MIN($AK$2:$AK$921))*100,2)))</f>
        <v>46.42</v>
      </c>
      <c r="AT599" s="8" t="n">
        <f aca="false">IF(MAX($BC$2:$BC$921)=MIN($BC$2:$BC$921),50,ROUND((BC599-MIN($BC$2:$BC$921))/(MAX($BC$2:$BC$921)-MIN($BC$2:$BC$921))*100,2))</f>
        <v>50</v>
      </c>
      <c r="AU599" s="8" t="n">
        <f aca="false">IF(MAX($BE$2:$BE$921)=MIN($BE$2:$BE$921),50,ROUND((BE599-MIN($BE$2:$BE$921))/(MAX($BE$2:$BE$921)-MIN($BE$2:$BE$921))*100,2))</f>
        <v>44.75</v>
      </c>
      <c r="AV599" s="8" t="n">
        <f aca="false">IF(MAX($AD$2:$AD$921)=MIN($AD$2:$AD$921),50,ROUND((AD599-MIN($AD$2:$AD$921))/(MAX($AD$2:$AD$921)-MIN($AD$2:$AD$921))*100,2))</f>
        <v>10.03</v>
      </c>
      <c r="AW599" s="8" t="n">
        <f aca="false">IF(MAX($AN$2:$AN$921)=MIN($AN$2:$AN$921),50,ROUND((AN599-MIN($AN$2:$AN$921))/(MAX($AN$2:$AN$921)-MIN($AN$2:$AN$921))*100,2))</f>
        <v>62.5</v>
      </c>
      <c r="AX599" s="8" t="n">
        <f aca="false">AQ599*100</f>
        <v>0</v>
      </c>
      <c r="AY599" s="8" t="n">
        <f aca="false">AR599*100</f>
        <v>0</v>
      </c>
      <c r="AZ599" s="8" t="n">
        <f aca="false">IFERROR(ROUND(AS599*Assumptions!$I$6+AW599*Assumptions!$I$7+AT599*Assumptions!$I$8+AU599*Assumptions!$I$9+AV599*Assumptions!$I$10+AX599*Assumptions!$I$11+AY599*Assumptions!$I$12,2),"")</f>
        <v>41.64</v>
      </c>
      <c r="BA599" s="0" t="str">
        <f aca="false">IF(AZ599="","",IF(AZ599&lt;=Assumptions!$I$18,"Below Expectation",IF(AZ599&lt;=Assumptions!$I$19,"Developing",IF(AZ599&lt;=Assumptions!$I$20,"Meets Expectation",IF(AZ599&lt;=Assumptions!$I$21,"Exceeds","Star Performer")))))</f>
        <v>Developing</v>
      </c>
      <c r="BB599" s="0" t="n">
        <f aca="false">IF(AZ599="",0,IF(AZ599&gt;=Assumptions!$I$26,1,0))</f>
        <v>0</v>
      </c>
      <c r="BC599" s="9" t="n">
        <f aca="false">IF(AL599="",2,AL599+2)</f>
        <v>2</v>
      </c>
      <c r="BD599" s="10" t="n">
        <f aca="false">IF(AM599="",ROUND(AVERAGE($AM$2:$AM$921),3),AM599)</f>
        <v>0.957</v>
      </c>
      <c r="BE599" s="9" t="n">
        <f aca="false">1-BD599</f>
        <v>0.043</v>
      </c>
    </row>
    <row r="600" customFormat="false" ht="14.25" hidden="true" customHeight="false" outlineLevel="0" collapsed="false">
      <c r="A600" s="4" t="n">
        <v>703</v>
      </c>
      <c r="B600" s="5" t="n">
        <v>55065027</v>
      </c>
      <c r="C600" s="5" t="s">
        <v>57</v>
      </c>
      <c r="D600" s="5" t="s">
        <v>2202</v>
      </c>
      <c r="E600" s="5" t="s">
        <v>208</v>
      </c>
      <c r="F600" s="5" t="s">
        <v>608</v>
      </c>
      <c r="G600" s="5" t="s">
        <v>609</v>
      </c>
      <c r="H600" s="5" t="s">
        <v>608</v>
      </c>
      <c r="I600" s="5" t="s">
        <v>63</v>
      </c>
      <c r="J600" s="5" t="s">
        <v>100</v>
      </c>
      <c r="K600" s="5" t="s">
        <v>65</v>
      </c>
      <c r="L600" s="6" t="n">
        <v>44953</v>
      </c>
      <c r="M600" s="5" t="s">
        <v>1986</v>
      </c>
      <c r="N600" s="6" t="n">
        <v>34513</v>
      </c>
      <c r="O600" s="5" t="s">
        <v>365</v>
      </c>
      <c r="P600" s="5" t="s">
        <v>365</v>
      </c>
      <c r="Q600" s="5" t="s">
        <v>768</v>
      </c>
      <c r="R600" s="5" t="s">
        <v>335</v>
      </c>
      <c r="S600" s="5" t="s">
        <v>701</v>
      </c>
      <c r="T600" s="6"/>
      <c r="U600" s="6"/>
      <c r="V600" s="5"/>
      <c r="W600" s="5"/>
      <c r="X600" s="5" t="s">
        <v>631</v>
      </c>
      <c r="Y600" s="5" t="s">
        <v>141</v>
      </c>
      <c r="Z600" s="5" t="s">
        <v>141</v>
      </c>
      <c r="AA600" s="5" t="s">
        <v>2203</v>
      </c>
      <c r="AB600" s="0" t="n">
        <f aca="false">IFERROR(VALUE(R600),0)</f>
        <v>3.7</v>
      </c>
      <c r="AC600" s="0" t="n">
        <f aca="false">IFERROR(VALUE(M600),"")</f>
        <v>31.11</v>
      </c>
      <c r="AD600" s="0" t="n">
        <f aca="false">IFERROR(VALUE(Q600),"")</f>
        <v>3.4</v>
      </c>
      <c r="AE600" s="0" t="n">
        <f aca="false">IFERROR(VALUE(S600),"")</f>
        <v>6.11</v>
      </c>
      <c r="AF600" s="0" t="str">
        <f aca="false">IF(V600="","",VLOOKUP(V600,Assumptions!$B$6:$C$9,2,FALSE()))</f>
        <v/>
      </c>
      <c r="AG600" s="0" t="str">
        <f aca="false">IF(W600="","",VLOOKUP(W600,Assumptions!$B$6:$C$9,2,FALSE()))</f>
        <v/>
      </c>
      <c r="AH600" s="0" t="n">
        <f aca="false">IF(X600="","",VLOOKUP(X600,Assumptions!$B$6:$C$9,2,FALSE()))</f>
        <v>2</v>
      </c>
      <c r="AI600" s="0" t="n">
        <f aca="false">IF(Y600="","",VLOOKUP(Y600,Assumptions!$B$6:$C$9,2,FALSE()))</f>
        <v>3</v>
      </c>
      <c r="AJ600" s="0" t="n">
        <f aca="false">IF(Z600="","",VLOOKUP(Z600,Assumptions!$B$6:$C$9,2,FALSE()))</f>
        <v>3</v>
      </c>
      <c r="AK600" s="7" t="n">
        <f aca="false">IFERROR(ROUND(AVERAGE(AF600:AJ600),3),"")</f>
        <v>2.667</v>
      </c>
      <c r="AL600" s="7" t="str">
        <f aca="false">IF(OR(AF600="",AJ600=""),"",AJ600-AF600)</f>
        <v/>
      </c>
      <c r="AM600" s="7" t="n">
        <f aca="false">IF(COUNT(AF600:AJ600)&gt;=2,ROUND(_xlfn.STDEV.S(AF600:AJ600),3),"")</f>
        <v>0.577</v>
      </c>
      <c r="AN600" s="7" t="n">
        <f aca="false">ROUND((IF(AF600="",0,AF600)*Assumptions!$F$15)+(IF(AG600="",0,AG600)*Assumptions!$F$16)+(IF(AH600="",0,AH600)*Assumptions!$F$17)+(IF(AI600="",0,AI600)*Assumptions!$F$18)+(IF(AJ600="",0,AJ600)*Assumptions!$F$19),3)</f>
        <v>2.05</v>
      </c>
      <c r="AO600" s="0" t="str">
        <f aca="false">IF(AC600&lt;=20,"",IF(AC600&lt;=Assumptions!$F$6,"20-30",IF(AC600&lt;=Assumptions!$F$7,"30-40",IF(AC600&lt;=Assumptions!$F$8,"40-50",IF(AC600&lt;=Assumptions!$F$9,"50-60",IF(AC600&lt;=Assumptions!$F$10,"60+",""))))))</f>
        <v>30-40</v>
      </c>
      <c r="AP600" s="0" t="str">
        <f aca="false">IFERROR(VLOOKUP(O600,Assumptions!$B$14:$C$26,2,FALSE()),"Other")</f>
        <v>Manager</v>
      </c>
      <c r="AQ600" s="0" t="n">
        <f aca="false">IF(T600="",0,1)</f>
        <v>0</v>
      </c>
      <c r="AR600" s="0" t="n">
        <f aca="false">IF(U600="",0,1)</f>
        <v>0</v>
      </c>
      <c r="AS600" s="8" t="n">
        <f aca="false">IF(AK600="","",IF(MAX($AK$2:$AK$921)=MIN($AK$2:$AK$921),50,ROUND((AK600-MIN($AK$2:$AK$921))/(MAX($AK$2:$AK$921)-MIN($AK$2:$AK$921))*100,2)))</f>
        <v>42.86</v>
      </c>
      <c r="AT600" s="8" t="n">
        <f aca="false">IF(MAX($BC$2:$BC$921)=MIN($BC$2:$BC$921),50,ROUND((BC600-MIN($BC$2:$BC$921))/(MAX($BC$2:$BC$921)-MIN($BC$2:$BC$921))*100,2))</f>
        <v>50</v>
      </c>
      <c r="AU600" s="8" t="n">
        <f aca="false">IF(MAX($BE$2:$BE$921)=MIN($BE$2:$BE$921),50,ROUND((BE600-MIN($BE$2:$BE$921))/(MAX($BE$2:$BE$921)-MIN($BE$2:$BE$921))*100,2))</f>
        <v>66.69</v>
      </c>
      <c r="AV600" s="8" t="n">
        <f aca="false">IF(MAX($AD$2:$AD$921)=MIN($AD$2:$AD$921),50,ROUND((AD600-MIN($AD$2:$AD$921))/(MAX($AD$2:$AD$921)-MIN($AD$2:$AD$921))*100,2))</f>
        <v>8.94</v>
      </c>
      <c r="AW600" s="8" t="n">
        <f aca="false">IF(MAX($AN$2:$AN$921)=MIN($AN$2:$AN$921),50,ROUND((AN600-MIN($AN$2:$AN$921))/(MAX($AN$2:$AN$921)-MIN($AN$2:$AN$921))*100,2))</f>
        <v>51.25</v>
      </c>
      <c r="AX600" s="8" t="n">
        <f aca="false">AQ600*100</f>
        <v>0</v>
      </c>
      <c r="AY600" s="8" t="n">
        <f aca="false">AR600*100</f>
        <v>0</v>
      </c>
      <c r="AZ600" s="8" t="n">
        <f aca="false">IFERROR(ROUND(AS600*Assumptions!$I$6+AW600*Assumptions!$I$7+AT600*Assumptions!$I$8+AU600*Assumptions!$I$9+AV600*Assumptions!$I$10+AX600*Assumptions!$I$11+AY600*Assumptions!$I$12,2),"")</f>
        <v>41.51</v>
      </c>
      <c r="BA600" s="0" t="str">
        <f aca="false">IF(AZ600="","",IF(AZ600&lt;=Assumptions!$I$18,"Below Expectation",IF(AZ600&lt;=Assumptions!$I$19,"Developing",IF(AZ600&lt;=Assumptions!$I$20,"Meets Expectation",IF(AZ600&lt;=Assumptions!$I$21,"Exceeds","Star Performer")))))</f>
        <v>Developing</v>
      </c>
      <c r="BB600" s="0" t="n">
        <f aca="false">IF(AZ600="",0,IF(AZ600&gt;=Assumptions!$I$26,1,0))</f>
        <v>0</v>
      </c>
      <c r="BC600" s="9" t="n">
        <f aca="false">IF(AL600="",2,AL600+2)</f>
        <v>2</v>
      </c>
      <c r="BD600" s="10" t="n">
        <f aca="false">IF(AM600="",ROUND(AVERAGE($AM$2:$AM$921),3),AM600)</f>
        <v>0.577</v>
      </c>
      <c r="BE600" s="9" t="n">
        <f aca="false">1-BD600</f>
        <v>0.423</v>
      </c>
    </row>
    <row r="601" customFormat="false" ht="14.25" hidden="true" customHeight="false" outlineLevel="0" collapsed="false">
      <c r="A601" s="4" t="n">
        <v>705</v>
      </c>
      <c r="B601" s="5" t="n">
        <v>55065532</v>
      </c>
      <c r="C601" s="5" t="s">
        <v>57</v>
      </c>
      <c r="D601" s="5" t="s">
        <v>2204</v>
      </c>
      <c r="E601" s="5" t="s">
        <v>208</v>
      </c>
      <c r="F601" s="5" t="s">
        <v>608</v>
      </c>
      <c r="G601" s="5" t="s">
        <v>609</v>
      </c>
      <c r="H601" s="5" t="s">
        <v>608</v>
      </c>
      <c r="I601" s="5" t="s">
        <v>63</v>
      </c>
      <c r="J601" s="5" t="s">
        <v>100</v>
      </c>
      <c r="K601" s="5" t="s">
        <v>309</v>
      </c>
      <c r="L601" s="6" t="n">
        <v>44964</v>
      </c>
      <c r="M601" s="5" t="s">
        <v>102</v>
      </c>
      <c r="N601" s="6" t="n">
        <v>35715</v>
      </c>
      <c r="O601" s="5" t="s">
        <v>365</v>
      </c>
      <c r="P601" s="5" t="s">
        <v>365</v>
      </c>
      <c r="Q601" s="5" t="s">
        <v>768</v>
      </c>
      <c r="R601" s="5" t="s">
        <v>1042</v>
      </c>
      <c r="S601" s="5" t="s">
        <v>903</v>
      </c>
      <c r="T601" s="6"/>
      <c r="U601" s="6"/>
      <c r="V601" s="5"/>
      <c r="W601" s="5"/>
      <c r="X601" s="5" t="s">
        <v>631</v>
      </c>
      <c r="Y601" s="5" t="s">
        <v>141</v>
      </c>
      <c r="Z601" s="5" t="s">
        <v>141</v>
      </c>
      <c r="AA601" s="5" t="s">
        <v>2205</v>
      </c>
      <c r="AB601" s="0" t="n">
        <f aca="false">IFERROR(VALUE(R601),0)</f>
        <v>3.3</v>
      </c>
      <c r="AC601" s="0" t="n">
        <f aca="false">IFERROR(VALUE(M601),"")</f>
        <v>28.7</v>
      </c>
      <c r="AD601" s="0" t="n">
        <f aca="false">IFERROR(VALUE(Q601),"")</f>
        <v>3.4</v>
      </c>
      <c r="AE601" s="0" t="n">
        <f aca="false">IFERROR(VALUE(S601),"")</f>
        <v>6.7</v>
      </c>
      <c r="AF601" s="0" t="str">
        <f aca="false">IF(V601="","",VLOOKUP(V601,Assumptions!$B$6:$C$9,2,FALSE()))</f>
        <v/>
      </c>
      <c r="AG601" s="0" t="str">
        <f aca="false">IF(W601="","",VLOOKUP(W601,Assumptions!$B$6:$C$9,2,FALSE()))</f>
        <v/>
      </c>
      <c r="AH601" s="0" t="n">
        <f aca="false">IF(X601="","",VLOOKUP(X601,Assumptions!$B$6:$C$9,2,FALSE()))</f>
        <v>2</v>
      </c>
      <c r="AI601" s="0" t="n">
        <f aca="false">IF(Y601="","",VLOOKUP(Y601,Assumptions!$B$6:$C$9,2,FALSE()))</f>
        <v>3</v>
      </c>
      <c r="AJ601" s="0" t="n">
        <f aca="false">IF(Z601="","",VLOOKUP(Z601,Assumptions!$B$6:$C$9,2,FALSE()))</f>
        <v>3</v>
      </c>
      <c r="AK601" s="7" t="n">
        <f aca="false">IFERROR(ROUND(AVERAGE(AF601:AJ601),3),"")</f>
        <v>2.667</v>
      </c>
      <c r="AL601" s="7" t="str">
        <f aca="false">IF(OR(AF601="",AJ601=""),"",AJ601-AF601)</f>
        <v/>
      </c>
      <c r="AM601" s="7" t="n">
        <f aca="false">IF(COUNT(AF601:AJ601)&gt;=2,ROUND(_xlfn.STDEV.S(AF601:AJ601),3),"")</f>
        <v>0.577</v>
      </c>
      <c r="AN601" s="7" t="n">
        <f aca="false">ROUND((IF(AF601="",0,AF601)*Assumptions!$F$15)+(IF(AG601="",0,AG601)*Assumptions!$F$16)+(IF(AH601="",0,AH601)*Assumptions!$F$17)+(IF(AI601="",0,AI601)*Assumptions!$F$18)+(IF(AJ601="",0,AJ601)*Assumptions!$F$19),3)</f>
        <v>2.05</v>
      </c>
      <c r="AO601" s="0" t="str">
        <f aca="false">IF(AC601&lt;=20,"",IF(AC601&lt;=Assumptions!$F$6,"20-30",IF(AC601&lt;=Assumptions!$F$7,"30-40",IF(AC601&lt;=Assumptions!$F$8,"40-50",IF(AC601&lt;=Assumptions!$F$9,"50-60",IF(AC601&lt;=Assumptions!$F$10,"60+",""))))))</f>
        <v>20-30</v>
      </c>
      <c r="AP601" s="0" t="str">
        <f aca="false">IFERROR(VLOOKUP(O601,Assumptions!$B$14:$C$26,2,FALSE()),"Other")</f>
        <v>Manager</v>
      </c>
      <c r="AQ601" s="0" t="n">
        <f aca="false">IF(T601="",0,1)</f>
        <v>0</v>
      </c>
      <c r="AR601" s="0" t="n">
        <f aca="false">IF(U601="",0,1)</f>
        <v>0</v>
      </c>
      <c r="AS601" s="8" t="n">
        <f aca="false">IF(AK601="","",IF(MAX($AK$2:$AK$921)=MIN($AK$2:$AK$921),50,ROUND((AK601-MIN($AK$2:$AK$921))/(MAX($AK$2:$AK$921)-MIN($AK$2:$AK$921))*100,2)))</f>
        <v>42.86</v>
      </c>
      <c r="AT601" s="8" t="n">
        <f aca="false">IF(MAX($BC$2:$BC$921)=MIN($BC$2:$BC$921),50,ROUND((BC601-MIN($BC$2:$BC$921))/(MAX($BC$2:$BC$921)-MIN($BC$2:$BC$921))*100,2))</f>
        <v>50</v>
      </c>
      <c r="AU601" s="8" t="n">
        <f aca="false">IF(MAX($BE$2:$BE$921)=MIN($BE$2:$BE$921),50,ROUND((BE601-MIN($BE$2:$BE$921))/(MAX($BE$2:$BE$921)-MIN($BE$2:$BE$921))*100,2))</f>
        <v>66.69</v>
      </c>
      <c r="AV601" s="8" t="n">
        <f aca="false">IF(MAX($AD$2:$AD$921)=MIN($AD$2:$AD$921),50,ROUND((AD601-MIN($AD$2:$AD$921))/(MAX($AD$2:$AD$921)-MIN($AD$2:$AD$921))*100,2))</f>
        <v>8.94</v>
      </c>
      <c r="AW601" s="8" t="n">
        <f aca="false">IF(MAX($AN$2:$AN$921)=MIN($AN$2:$AN$921),50,ROUND((AN601-MIN($AN$2:$AN$921))/(MAX($AN$2:$AN$921)-MIN($AN$2:$AN$921))*100,2))</f>
        <v>51.25</v>
      </c>
      <c r="AX601" s="8" t="n">
        <f aca="false">AQ601*100</f>
        <v>0</v>
      </c>
      <c r="AY601" s="8" t="n">
        <f aca="false">AR601*100</f>
        <v>0</v>
      </c>
      <c r="AZ601" s="8" t="n">
        <f aca="false">IFERROR(ROUND(AS601*Assumptions!$I$6+AW601*Assumptions!$I$7+AT601*Assumptions!$I$8+AU601*Assumptions!$I$9+AV601*Assumptions!$I$10+AX601*Assumptions!$I$11+AY601*Assumptions!$I$12,2),"")</f>
        <v>41.51</v>
      </c>
      <c r="BA601" s="0" t="str">
        <f aca="false">IF(AZ601="","",IF(AZ601&lt;=Assumptions!$I$18,"Below Expectation",IF(AZ601&lt;=Assumptions!$I$19,"Developing",IF(AZ601&lt;=Assumptions!$I$20,"Meets Expectation",IF(AZ601&lt;=Assumptions!$I$21,"Exceeds","Star Performer")))))</f>
        <v>Developing</v>
      </c>
      <c r="BB601" s="0" t="n">
        <f aca="false">IF(AZ601="",0,IF(AZ601&gt;=Assumptions!$I$26,1,0))</f>
        <v>0</v>
      </c>
      <c r="BC601" s="9" t="n">
        <f aca="false">IF(AL601="",2,AL601+2)</f>
        <v>2</v>
      </c>
      <c r="BD601" s="10" t="n">
        <f aca="false">IF(AM601="",ROUND(AVERAGE($AM$2:$AM$921),3),AM601)</f>
        <v>0.577</v>
      </c>
      <c r="BE601" s="9" t="n">
        <f aca="false">1-BD601</f>
        <v>0.423</v>
      </c>
    </row>
    <row r="602" customFormat="false" ht="14.25" hidden="true" customHeight="false" outlineLevel="0" collapsed="false">
      <c r="A602" s="4" t="n">
        <v>717</v>
      </c>
      <c r="B602" s="5" t="n">
        <v>55066769</v>
      </c>
      <c r="C602" s="5" t="s">
        <v>85</v>
      </c>
      <c r="D602" s="5" t="s">
        <v>2206</v>
      </c>
      <c r="E602" s="5" t="s">
        <v>1459</v>
      </c>
      <c r="F602" s="5" t="s">
        <v>1675</v>
      </c>
      <c r="G602" s="5" t="s">
        <v>1676</v>
      </c>
      <c r="H602" s="5" t="s">
        <v>1675</v>
      </c>
      <c r="I602" s="5" t="s">
        <v>63</v>
      </c>
      <c r="J602" s="5" t="s">
        <v>76</v>
      </c>
      <c r="K602" s="5" t="s">
        <v>65</v>
      </c>
      <c r="L602" s="6" t="n">
        <v>44993</v>
      </c>
      <c r="M602" s="5" t="s">
        <v>325</v>
      </c>
      <c r="N602" s="6" t="n">
        <v>35255</v>
      </c>
      <c r="O602" s="5" t="s">
        <v>365</v>
      </c>
      <c r="P602" s="5" t="s">
        <v>365</v>
      </c>
      <c r="Q602" s="5" t="s">
        <v>1042</v>
      </c>
      <c r="R602" s="5" t="s">
        <v>920</v>
      </c>
      <c r="S602" s="5" t="s">
        <v>997</v>
      </c>
      <c r="T602" s="6"/>
      <c r="U602" s="6"/>
      <c r="V602" s="5"/>
      <c r="W602" s="5"/>
      <c r="X602" s="5" t="s">
        <v>631</v>
      </c>
      <c r="Y602" s="5" t="s">
        <v>141</v>
      </c>
      <c r="Z602" s="5" t="s">
        <v>141</v>
      </c>
      <c r="AA602" s="5" t="s">
        <v>2207</v>
      </c>
      <c r="AB602" s="0" t="n">
        <f aca="false">IFERROR(VALUE(R602),0)</f>
        <v>2.8</v>
      </c>
      <c r="AC602" s="0" t="n">
        <f aca="false">IFERROR(VALUE(M602),"")</f>
        <v>29.1</v>
      </c>
      <c r="AD602" s="0" t="n">
        <f aca="false">IFERROR(VALUE(Q602),"")</f>
        <v>3.3</v>
      </c>
      <c r="AE602" s="0" t="n">
        <f aca="false">IFERROR(VALUE(S602),"")</f>
        <v>5.11</v>
      </c>
      <c r="AF602" s="0" t="str">
        <f aca="false">IF(V602="","",VLOOKUP(V602,Assumptions!$B$6:$C$9,2,FALSE()))</f>
        <v/>
      </c>
      <c r="AG602" s="0" t="str">
        <f aca="false">IF(W602="","",VLOOKUP(W602,Assumptions!$B$6:$C$9,2,FALSE()))</f>
        <v/>
      </c>
      <c r="AH602" s="0" t="n">
        <f aca="false">IF(X602="","",VLOOKUP(X602,Assumptions!$B$6:$C$9,2,FALSE()))</f>
        <v>2</v>
      </c>
      <c r="AI602" s="0" t="n">
        <f aca="false">IF(Y602="","",VLOOKUP(Y602,Assumptions!$B$6:$C$9,2,FALSE()))</f>
        <v>3</v>
      </c>
      <c r="AJ602" s="0" t="n">
        <f aca="false">IF(Z602="","",VLOOKUP(Z602,Assumptions!$B$6:$C$9,2,FALSE()))</f>
        <v>3</v>
      </c>
      <c r="AK602" s="7" t="n">
        <f aca="false">IFERROR(ROUND(AVERAGE(AF602:AJ602),3),"")</f>
        <v>2.667</v>
      </c>
      <c r="AL602" s="7" t="str">
        <f aca="false">IF(OR(AF602="",AJ602=""),"",AJ602-AF602)</f>
        <v/>
      </c>
      <c r="AM602" s="7" t="n">
        <f aca="false">IF(COUNT(AF602:AJ602)&gt;=2,ROUND(_xlfn.STDEV.S(AF602:AJ602),3),"")</f>
        <v>0.577</v>
      </c>
      <c r="AN602" s="7" t="n">
        <f aca="false">ROUND((IF(AF602="",0,AF602)*Assumptions!$F$15)+(IF(AG602="",0,AG602)*Assumptions!$F$16)+(IF(AH602="",0,AH602)*Assumptions!$F$17)+(IF(AI602="",0,AI602)*Assumptions!$F$18)+(IF(AJ602="",0,AJ602)*Assumptions!$F$19),3)</f>
        <v>2.05</v>
      </c>
      <c r="AO602" s="0" t="str">
        <f aca="false">IF(AC602&lt;=20,"",IF(AC602&lt;=Assumptions!$F$6,"20-30",IF(AC602&lt;=Assumptions!$F$7,"30-40",IF(AC602&lt;=Assumptions!$F$8,"40-50",IF(AC602&lt;=Assumptions!$F$9,"50-60",IF(AC602&lt;=Assumptions!$F$10,"60+",""))))))</f>
        <v>20-30</v>
      </c>
      <c r="AP602" s="0" t="str">
        <f aca="false">IFERROR(VLOOKUP(O602,Assumptions!$B$14:$C$26,2,FALSE()),"Other")</f>
        <v>Manager</v>
      </c>
      <c r="AQ602" s="0" t="n">
        <f aca="false">IF(T602="",0,1)</f>
        <v>0</v>
      </c>
      <c r="AR602" s="0" t="n">
        <f aca="false">IF(U602="",0,1)</f>
        <v>0</v>
      </c>
      <c r="AS602" s="8" t="n">
        <f aca="false">IF(AK602="","",IF(MAX($AK$2:$AK$921)=MIN($AK$2:$AK$921),50,ROUND((AK602-MIN($AK$2:$AK$921))/(MAX($AK$2:$AK$921)-MIN($AK$2:$AK$921))*100,2)))</f>
        <v>42.86</v>
      </c>
      <c r="AT602" s="8" t="n">
        <f aca="false">IF(MAX($BC$2:$BC$921)=MIN($BC$2:$BC$921),50,ROUND((BC602-MIN($BC$2:$BC$921))/(MAX($BC$2:$BC$921)-MIN($BC$2:$BC$921))*100,2))</f>
        <v>50</v>
      </c>
      <c r="AU602" s="8" t="n">
        <f aca="false">IF(MAX($BE$2:$BE$921)=MIN($BE$2:$BE$921),50,ROUND((BE602-MIN($BE$2:$BE$921))/(MAX($BE$2:$BE$921)-MIN($BE$2:$BE$921))*100,2))</f>
        <v>66.69</v>
      </c>
      <c r="AV602" s="8" t="n">
        <f aca="false">IF(MAX($AD$2:$AD$921)=MIN($AD$2:$AD$921),50,ROUND((AD602-MIN($AD$2:$AD$921))/(MAX($AD$2:$AD$921)-MIN($AD$2:$AD$921))*100,2))</f>
        <v>8.67</v>
      </c>
      <c r="AW602" s="8" t="n">
        <f aca="false">IF(MAX($AN$2:$AN$921)=MIN($AN$2:$AN$921),50,ROUND((AN602-MIN($AN$2:$AN$921))/(MAX($AN$2:$AN$921)-MIN($AN$2:$AN$921))*100,2))</f>
        <v>51.25</v>
      </c>
      <c r="AX602" s="8" t="n">
        <f aca="false">AQ602*100</f>
        <v>0</v>
      </c>
      <c r="AY602" s="8" t="n">
        <f aca="false">AR602*100</f>
        <v>0</v>
      </c>
      <c r="AZ602" s="8" t="n">
        <f aca="false">IFERROR(ROUND(AS602*Assumptions!$I$6+AW602*Assumptions!$I$7+AT602*Assumptions!$I$8+AU602*Assumptions!$I$9+AV602*Assumptions!$I$10+AX602*Assumptions!$I$11+AY602*Assumptions!$I$12,2),"")</f>
        <v>41.48</v>
      </c>
      <c r="BA602" s="0" t="str">
        <f aca="false">IF(AZ602="","",IF(AZ602&lt;=Assumptions!$I$18,"Below Expectation",IF(AZ602&lt;=Assumptions!$I$19,"Developing",IF(AZ602&lt;=Assumptions!$I$20,"Meets Expectation",IF(AZ602&lt;=Assumptions!$I$21,"Exceeds","Star Performer")))))</f>
        <v>Developing</v>
      </c>
      <c r="BB602" s="0" t="n">
        <f aca="false">IF(AZ602="",0,IF(AZ602&gt;=Assumptions!$I$26,1,0))</f>
        <v>0</v>
      </c>
      <c r="BC602" s="9" t="n">
        <f aca="false">IF(AL602="",2,AL602+2)</f>
        <v>2</v>
      </c>
      <c r="BD602" s="10" t="n">
        <f aca="false">IF(AM602="",ROUND(AVERAGE($AM$2:$AM$921),3),AM602)</f>
        <v>0.577</v>
      </c>
      <c r="BE602" s="9" t="n">
        <f aca="false">1-BD602</f>
        <v>0.423</v>
      </c>
    </row>
    <row r="603" customFormat="false" ht="14.25" hidden="true" customHeight="false" outlineLevel="0" collapsed="false">
      <c r="A603" s="4" t="n">
        <v>729</v>
      </c>
      <c r="B603" s="5" t="n">
        <v>55067745</v>
      </c>
      <c r="C603" s="5" t="s">
        <v>85</v>
      </c>
      <c r="D603" s="5" t="s">
        <v>2208</v>
      </c>
      <c r="E603" s="5" t="s">
        <v>315</v>
      </c>
      <c r="F603" s="5" t="s">
        <v>602</v>
      </c>
      <c r="G603" s="5" t="s">
        <v>603</v>
      </c>
      <c r="H603" s="5" t="s">
        <v>602</v>
      </c>
      <c r="I603" s="5" t="s">
        <v>63</v>
      </c>
      <c r="J603" s="5" t="s">
        <v>76</v>
      </c>
      <c r="K603" s="5" t="s">
        <v>65</v>
      </c>
      <c r="L603" s="6" t="n">
        <v>45019</v>
      </c>
      <c r="M603" s="5" t="s">
        <v>944</v>
      </c>
      <c r="N603" s="6" t="n">
        <v>32625</v>
      </c>
      <c r="O603" s="5" t="s">
        <v>365</v>
      </c>
      <c r="P603" s="5" t="s">
        <v>365</v>
      </c>
      <c r="Q603" s="5" t="s">
        <v>103</v>
      </c>
      <c r="R603" s="5" t="s">
        <v>367</v>
      </c>
      <c r="S603" s="5" t="s">
        <v>715</v>
      </c>
      <c r="T603" s="6"/>
      <c r="U603" s="6"/>
      <c r="V603" s="5"/>
      <c r="W603" s="5"/>
      <c r="X603" s="5" t="s">
        <v>631</v>
      </c>
      <c r="Y603" s="5" t="s">
        <v>141</v>
      </c>
      <c r="Z603" s="5" t="s">
        <v>141</v>
      </c>
      <c r="AA603" s="5" t="s">
        <v>2209</v>
      </c>
      <c r="AB603" s="0" t="n">
        <f aca="false">IFERROR(VALUE(R603),0)</f>
        <v>11.6</v>
      </c>
      <c r="AC603" s="0" t="n">
        <f aca="false">IFERROR(VALUE(M603),"")</f>
        <v>37.1</v>
      </c>
      <c r="AD603" s="0" t="n">
        <f aca="false">IFERROR(VALUE(Q603),"")</f>
        <v>3.2</v>
      </c>
      <c r="AE603" s="0" t="n">
        <f aca="false">IFERROR(VALUE(S603),"")</f>
        <v>14.8</v>
      </c>
      <c r="AF603" s="0" t="str">
        <f aca="false">IF(V603="","",VLOOKUP(V603,Assumptions!$B$6:$C$9,2,FALSE()))</f>
        <v/>
      </c>
      <c r="AG603" s="0" t="str">
        <f aca="false">IF(W603="","",VLOOKUP(W603,Assumptions!$B$6:$C$9,2,FALSE()))</f>
        <v/>
      </c>
      <c r="AH603" s="0" t="n">
        <f aca="false">IF(X603="","",VLOOKUP(X603,Assumptions!$B$6:$C$9,2,FALSE()))</f>
        <v>2</v>
      </c>
      <c r="AI603" s="0" t="n">
        <f aca="false">IF(Y603="","",VLOOKUP(Y603,Assumptions!$B$6:$C$9,2,FALSE()))</f>
        <v>3</v>
      </c>
      <c r="AJ603" s="0" t="n">
        <f aca="false">IF(Z603="","",VLOOKUP(Z603,Assumptions!$B$6:$C$9,2,FALSE()))</f>
        <v>3</v>
      </c>
      <c r="AK603" s="7" t="n">
        <f aca="false">IFERROR(ROUND(AVERAGE(AF603:AJ603),3),"")</f>
        <v>2.667</v>
      </c>
      <c r="AL603" s="7" t="str">
        <f aca="false">IF(OR(AF603="",AJ603=""),"",AJ603-AF603)</f>
        <v/>
      </c>
      <c r="AM603" s="7" t="n">
        <f aca="false">IF(COUNT(AF603:AJ603)&gt;=2,ROUND(_xlfn.STDEV.S(AF603:AJ603),3),"")</f>
        <v>0.577</v>
      </c>
      <c r="AN603" s="7" t="n">
        <f aca="false">ROUND((IF(AF603="",0,AF603)*Assumptions!$F$15)+(IF(AG603="",0,AG603)*Assumptions!$F$16)+(IF(AH603="",0,AH603)*Assumptions!$F$17)+(IF(AI603="",0,AI603)*Assumptions!$F$18)+(IF(AJ603="",0,AJ603)*Assumptions!$F$19),3)</f>
        <v>2.05</v>
      </c>
      <c r="AO603" s="0" t="str">
        <f aca="false">IF(AC603&lt;=20,"",IF(AC603&lt;=Assumptions!$F$6,"20-30",IF(AC603&lt;=Assumptions!$F$7,"30-40",IF(AC603&lt;=Assumptions!$F$8,"40-50",IF(AC603&lt;=Assumptions!$F$9,"50-60",IF(AC603&lt;=Assumptions!$F$10,"60+",""))))))</f>
        <v>30-40</v>
      </c>
      <c r="AP603" s="0" t="str">
        <f aca="false">IFERROR(VLOOKUP(O603,Assumptions!$B$14:$C$26,2,FALSE()),"Other")</f>
        <v>Manager</v>
      </c>
      <c r="AQ603" s="0" t="n">
        <f aca="false">IF(T603="",0,1)</f>
        <v>0</v>
      </c>
      <c r="AR603" s="0" t="n">
        <f aca="false">IF(U603="",0,1)</f>
        <v>0</v>
      </c>
      <c r="AS603" s="8" t="n">
        <f aca="false">IF(AK603="","",IF(MAX($AK$2:$AK$921)=MIN($AK$2:$AK$921),50,ROUND((AK603-MIN($AK$2:$AK$921))/(MAX($AK$2:$AK$921)-MIN($AK$2:$AK$921))*100,2)))</f>
        <v>42.86</v>
      </c>
      <c r="AT603" s="8" t="n">
        <f aca="false">IF(MAX($BC$2:$BC$921)=MIN($BC$2:$BC$921),50,ROUND((BC603-MIN($BC$2:$BC$921))/(MAX($BC$2:$BC$921)-MIN($BC$2:$BC$921))*100,2))</f>
        <v>50</v>
      </c>
      <c r="AU603" s="8" t="n">
        <f aca="false">IF(MAX($BE$2:$BE$921)=MIN($BE$2:$BE$921),50,ROUND((BE603-MIN($BE$2:$BE$921))/(MAX($BE$2:$BE$921)-MIN($BE$2:$BE$921))*100,2))</f>
        <v>66.69</v>
      </c>
      <c r="AV603" s="8" t="n">
        <f aca="false">IF(MAX($AD$2:$AD$921)=MIN($AD$2:$AD$921),50,ROUND((AD603-MIN($AD$2:$AD$921))/(MAX($AD$2:$AD$921)-MIN($AD$2:$AD$921))*100,2))</f>
        <v>8.4</v>
      </c>
      <c r="AW603" s="8" t="n">
        <f aca="false">IF(MAX($AN$2:$AN$921)=MIN($AN$2:$AN$921),50,ROUND((AN603-MIN($AN$2:$AN$921))/(MAX($AN$2:$AN$921)-MIN($AN$2:$AN$921))*100,2))</f>
        <v>51.25</v>
      </c>
      <c r="AX603" s="8" t="n">
        <f aca="false">AQ603*100</f>
        <v>0</v>
      </c>
      <c r="AY603" s="8" t="n">
        <f aca="false">AR603*100</f>
        <v>0</v>
      </c>
      <c r="AZ603" s="8" t="n">
        <f aca="false">IFERROR(ROUND(AS603*Assumptions!$I$6+AW603*Assumptions!$I$7+AT603*Assumptions!$I$8+AU603*Assumptions!$I$9+AV603*Assumptions!$I$10+AX603*Assumptions!$I$11+AY603*Assumptions!$I$12,2),"")</f>
        <v>41.45</v>
      </c>
      <c r="BA603" s="0" t="str">
        <f aca="false">IF(AZ603="","",IF(AZ603&lt;=Assumptions!$I$18,"Below Expectation",IF(AZ603&lt;=Assumptions!$I$19,"Developing",IF(AZ603&lt;=Assumptions!$I$20,"Meets Expectation",IF(AZ603&lt;=Assumptions!$I$21,"Exceeds","Star Performer")))))</f>
        <v>Developing</v>
      </c>
      <c r="BB603" s="0" t="n">
        <f aca="false">IF(AZ603="",0,IF(AZ603&gt;=Assumptions!$I$26,1,0))</f>
        <v>0</v>
      </c>
      <c r="BC603" s="9" t="n">
        <f aca="false">IF(AL603="",2,AL603+2)</f>
        <v>2</v>
      </c>
      <c r="BD603" s="10" t="n">
        <f aca="false">IF(AM603="",ROUND(AVERAGE($AM$2:$AM$921),3),AM603)</f>
        <v>0.577</v>
      </c>
      <c r="BE603" s="9" t="n">
        <f aca="false">1-BD603</f>
        <v>0.423</v>
      </c>
    </row>
    <row r="604" customFormat="false" ht="14.25" hidden="true" customHeight="false" outlineLevel="0" collapsed="false">
      <c r="A604" s="4" t="n">
        <v>730</v>
      </c>
      <c r="B604" s="5" t="n">
        <v>55067809</v>
      </c>
      <c r="C604" s="5" t="s">
        <v>57</v>
      </c>
      <c r="D604" s="5" t="s">
        <v>2210</v>
      </c>
      <c r="E604" s="5" t="s">
        <v>1595</v>
      </c>
      <c r="F604" s="5" t="s">
        <v>387</v>
      </c>
      <c r="G604" s="5" t="s">
        <v>388</v>
      </c>
      <c r="H604" s="5" t="s">
        <v>387</v>
      </c>
      <c r="I604" s="5" t="s">
        <v>63</v>
      </c>
      <c r="J604" s="5" t="s">
        <v>100</v>
      </c>
      <c r="K604" s="5" t="s">
        <v>65</v>
      </c>
      <c r="L604" s="6" t="n">
        <v>45022</v>
      </c>
      <c r="M604" s="5" t="s">
        <v>1032</v>
      </c>
      <c r="N604" s="6" t="n">
        <v>32667</v>
      </c>
      <c r="O604" s="5" t="s">
        <v>332</v>
      </c>
      <c r="P604" s="5" t="s">
        <v>333</v>
      </c>
      <c r="Q604" s="5" t="s">
        <v>103</v>
      </c>
      <c r="R604" s="5" t="s">
        <v>599</v>
      </c>
      <c r="S604" s="5" t="s">
        <v>762</v>
      </c>
      <c r="T604" s="6"/>
      <c r="U604" s="6"/>
      <c r="V604" s="5"/>
      <c r="W604" s="5"/>
      <c r="X604" s="5" t="s">
        <v>631</v>
      </c>
      <c r="Y604" s="5" t="s">
        <v>141</v>
      </c>
      <c r="Z604" s="5" t="s">
        <v>141</v>
      </c>
      <c r="AA604" s="5" t="s">
        <v>2211</v>
      </c>
      <c r="AB604" s="0" t="n">
        <f aca="false">IFERROR(VALUE(R604),0)</f>
        <v>9.11</v>
      </c>
      <c r="AC604" s="0" t="n">
        <f aca="false">IFERROR(VALUE(M604),"")</f>
        <v>37</v>
      </c>
      <c r="AD604" s="0" t="n">
        <f aca="false">IFERROR(VALUE(Q604),"")</f>
        <v>3.2</v>
      </c>
      <c r="AE604" s="0" t="n">
        <f aca="false">IFERROR(VALUE(S604),"")</f>
        <v>13.1</v>
      </c>
      <c r="AF604" s="0" t="str">
        <f aca="false">IF(V604="","",VLOOKUP(V604,Assumptions!$B$6:$C$9,2,FALSE()))</f>
        <v/>
      </c>
      <c r="AG604" s="0" t="str">
        <f aca="false">IF(W604="","",VLOOKUP(W604,Assumptions!$B$6:$C$9,2,FALSE()))</f>
        <v/>
      </c>
      <c r="AH604" s="0" t="n">
        <f aca="false">IF(X604="","",VLOOKUP(X604,Assumptions!$B$6:$C$9,2,FALSE()))</f>
        <v>2</v>
      </c>
      <c r="AI604" s="0" t="n">
        <f aca="false">IF(Y604="","",VLOOKUP(Y604,Assumptions!$B$6:$C$9,2,FALSE()))</f>
        <v>3</v>
      </c>
      <c r="AJ604" s="0" t="n">
        <f aca="false">IF(Z604="","",VLOOKUP(Z604,Assumptions!$B$6:$C$9,2,FALSE()))</f>
        <v>3</v>
      </c>
      <c r="AK604" s="7" t="n">
        <f aca="false">IFERROR(ROUND(AVERAGE(AF604:AJ604),3),"")</f>
        <v>2.667</v>
      </c>
      <c r="AL604" s="7" t="str">
        <f aca="false">IF(OR(AF604="",AJ604=""),"",AJ604-AF604)</f>
        <v/>
      </c>
      <c r="AM604" s="7" t="n">
        <f aca="false">IF(COUNT(AF604:AJ604)&gt;=2,ROUND(_xlfn.STDEV.S(AF604:AJ604),3),"")</f>
        <v>0.577</v>
      </c>
      <c r="AN604" s="7" t="n">
        <f aca="false">ROUND((IF(AF604="",0,AF604)*Assumptions!$F$15)+(IF(AG604="",0,AG604)*Assumptions!$F$16)+(IF(AH604="",0,AH604)*Assumptions!$F$17)+(IF(AI604="",0,AI604)*Assumptions!$F$18)+(IF(AJ604="",0,AJ604)*Assumptions!$F$19),3)</f>
        <v>2.05</v>
      </c>
      <c r="AO604" s="0" t="str">
        <f aca="false">IF(AC604&lt;=20,"",IF(AC604&lt;=Assumptions!$F$6,"20-30",IF(AC604&lt;=Assumptions!$F$7,"30-40",IF(AC604&lt;=Assumptions!$F$8,"40-50",IF(AC604&lt;=Assumptions!$F$9,"50-60",IF(AC604&lt;=Assumptions!$F$10,"60+",""))))))</f>
        <v>30-40</v>
      </c>
      <c r="AP604" s="0" t="str">
        <f aca="false">IFERROR(VLOOKUP(O604,Assumptions!$B$14:$C$26,2,FALSE()),"Other")</f>
        <v>Manager</v>
      </c>
      <c r="AQ604" s="0" t="n">
        <f aca="false">IF(T604="",0,1)</f>
        <v>0</v>
      </c>
      <c r="AR604" s="0" t="n">
        <f aca="false">IF(U604="",0,1)</f>
        <v>0</v>
      </c>
      <c r="AS604" s="8" t="n">
        <f aca="false">IF(AK604="","",IF(MAX($AK$2:$AK$921)=MIN($AK$2:$AK$921),50,ROUND((AK604-MIN($AK$2:$AK$921))/(MAX($AK$2:$AK$921)-MIN($AK$2:$AK$921))*100,2)))</f>
        <v>42.86</v>
      </c>
      <c r="AT604" s="8" t="n">
        <f aca="false">IF(MAX($BC$2:$BC$921)=MIN($BC$2:$BC$921),50,ROUND((BC604-MIN($BC$2:$BC$921))/(MAX($BC$2:$BC$921)-MIN($BC$2:$BC$921))*100,2))</f>
        <v>50</v>
      </c>
      <c r="AU604" s="8" t="n">
        <f aca="false">IF(MAX($BE$2:$BE$921)=MIN($BE$2:$BE$921),50,ROUND((BE604-MIN($BE$2:$BE$921))/(MAX($BE$2:$BE$921)-MIN($BE$2:$BE$921))*100,2))</f>
        <v>66.69</v>
      </c>
      <c r="AV604" s="8" t="n">
        <f aca="false">IF(MAX($AD$2:$AD$921)=MIN($AD$2:$AD$921),50,ROUND((AD604-MIN($AD$2:$AD$921))/(MAX($AD$2:$AD$921)-MIN($AD$2:$AD$921))*100,2))</f>
        <v>8.4</v>
      </c>
      <c r="AW604" s="8" t="n">
        <f aca="false">IF(MAX($AN$2:$AN$921)=MIN($AN$2:$AN$921),50,ROUND((AN604-MIN($AN$2:$AN$921))/(MAX($AN$2:$AN$921)-MIN($AN$2:$AN$921))*100,2))</f>
        <v>51.25</v>
      </c>
      <c r="AX604" s="8" t="n">
        <f aca="false">AQ604*100</f>
        <v>0</v>
      </c>
      <c r="AY604" s="8" t="n">
        <f aca="false">AR604*100</f>
        <v>0</v>
      </c>
      <c r="AZ604" s="8" t="n">
        <f aca="false">IFERROR(ROUND(AS604*Assumptions!$I$6+AW604*Assumptions!$I$7+AT604*Assumptions!$I$8+AU604*Assumptions!$I$9+AV604*Assumptions!$I$10+AX604*Assumptions!$I$11+AY604*Assumptions!$I$12,2),"")</f>
        <v>41.45</v>
      </c>
      <c r="BA604" s="0" t="str">
        <f aca="false">IF(AZ604="","",IF(AZ604&lt;=Assumptions!$I$18,"Below Expectation",IF(AZ604&lt;=Assumptions!$I$19,"Developing",IF(AZ604&lt;=Assumptions!$I$20,"Meets Expectation",IF(AZ604&lt;=Assumptions!$I$21,"Exceeds","Star Performer")))))</f>
        <v>Developing</v>
      </c>
      <c r="BB604" s="0" t="n">
        <f aca="false">IF(AZ604="",0,IF(AZ604&gt;=Assumptions!$I$26,1,0))</f>
        <v>0</v>
      </c>
      <c r="BC604" s="9" t="n">
        <f aca="false">IF(AL604="",2,AL604+2)</f>
        <v>2</v>
      </c>
      <c r="BD604" s="10" t="n">
        <f aca="false">IF(AM604="",ROUND(AVERAGE($AM$2:$AM$921),3),AM604)</f>
        <v>0.577</v>
      </c>
      <c r="BE604" s="9" t="n">
        <f aca="false">1-BD604</f>
        <v>0.423</v>
      </c>
    </row>
    <row r="605" customFormat="false" ht="14.25" hidden="true" customHeight="false" outlineLevel="0" collapsed="false">
      <c r="A605" s="4" t="n">
        <v>147</v>
      </c>
      <c r="B605" s="5" t="n">
        <v>10046520</v>
      </c>
      <c r="C605" s="5" t="s">
        <v>85</v>
      </c>
      <c r="D605" s="5" t="s">
        <v>2212</v>
      </c>
      <c r="E605" s="5" t="s">
        <v>87</v>
      </c>
      <c r="F605" s="5" t="s">
        <v>602</v>
      </c>
      <c r="G605" s="5" t="s">
        <v>603</v>
      </c>
      <c r="H605" s="5" t="s">
        <v>602</v>
      </c>
      <c r="I605" s="5" t="s">
        <v>63</v>
      </c>
      <c r="J605" s="5" t="s">
        <v>76</v>
      </c>
      <c r="K605" s="5" t="s">
        <v>65</v>
      </c>
      <c r="L605" s="6" t="n">
        <v>41932</v>
      </c>
      <c r="M605" s="5" t="s">
        <v>802</v>
      </c>
      <c r="N605" s="6" t="n">
        <v>32387</v>
      </c>
      <c r="O605" s="5" t="s">
        <v>365</v>
      </c>
      <c r="P605" s="5" t="s">
        <v>365</v>
      </c>
      <c r="Q605" s="5" t="s">
        <v>172</v>
      </c>
      <c r="R605" s="5" t="s">
        <v>445</v>
      </c>
      <c r="S605" s="5" t="s">
        <v>959</v>
      </c>
      <c r="T605" s="6"/>
      <c r="U605" s="6"/>
      <c r="V605" s="5" t="s">
        <v>141</v>
      </c>
      <c r="W605" s="5" t="s">
        <v>141</v>
      </c>
      <c r="X605" s="5" t="s">
        <v>141</v>
      </c>
      <c r="Y605" s="5" t="s">
        <v>631</v>
      </c>
      <c r="Z605" s="5" t="s">
        <v>631</v>
      </c>
      <c r="AA605" s="5" t="s">
        <v>2213</v>
      </c>
      <c r="AB605" s="0" t="n">
        <f aca="false">IFERROR(VALUE(R605),0)</f>
        <v>3.8</v>
      </c>
      <c r="AC605" s="0" t="n">
        <f aca="false">IFERROR(VALUE(M605),"")</f>
        <v>37.9</v>
      </c>
      <c r="AD605" s="0" t="n">
        <f aca="false">IFERROR(VALUE(Q605),"")</f>
        <v>11.7</v>
      </c>
      <c r="AE605" s="0" t="n">
        <f aca="false">IFERROR(VALUE(S605),"")</f>
        <v>15.3</v>
      </c>
      <c r="AF605" s="0" t="n">
        <f aca="false">IF(V605="","",VLOOKUP(V605,Assumptions!$B$6:$C$9,2,FALSE()))</f>
        <v>3</v>
      </c>
      <c r="AG605" s="0" t="n">
        <f aca="false">IF(W605="","",VLOOKUP(W605,Assumptions!$B$6:$C$9,2,FALSE()))</f>
        <v>3</v>
      </c>
      <c r="AH605" s="0" t="n">
        <f aca="false">IF(X605="","",VLOOKUP(X605,Assumptions!$B$6:$C$9,2,FALSE()))</f>
        <v>3</v>
      </c>
      <c r="AI605" s="0" t="n">
        <f aca="false">IF(Y605="","",VLOOKUP(Y605,Assumptions!$B$6:$C$9,2,FALSE()))</f>
        <v>2</v>
      </c>
      <c r="AJ605" s="0" t="n">
        <f aca="false">IF(Z605="","",VLOOKUP(Z605,Assumptions!$B$6:$C$9,2,FALSE()))</f>
        <v>2</v>
      </c>
      <c r="AK605" s="7" t="n">
        <f aca="false">IFERROR(ROUND(AVERAGE(AF605:AJ605),3),"")</f>
        <v>2.6</v>
      </c>
      <c r="AL605" s="7" t="n">
        <f aca="false">IF(OR(AF605="",AJ605=""),"",AJ605-AF605)</f>
        <v>-1</v>
      </c>
      <c r="AM605" s="7" t="n">
        <f aca="false">IF(COUNT(AF605:AJ605)&gt;=2,ROUND(_xlfn.STDEV.S(AF605:AJ605),3),"")</f>
        <v>0.548</v>
      </c>
      <c r="AN605" s="7" t="n">
        <f aca="false">ROUND((IF(AF605="",0,AF605)*Assumptions!$F$15)+(IF(AG605="",0,AG605)*Assumptions!$F$16)+(IF(AH605="",0,AH605)*Assumptions!$F$17)+(IF(AI605="",0,AI605)*Assumptions!$F$18)+(IF(AJ605="",0,AJ605)*Assumptions!$F$19),3)</f>
        <v>2.45</v>
      </c>
      <c r="AO605" s="0" t="str">
        <f aca="false">IF(AC605&lt;=20,"",IF(AC605&lt;=Assumptions!$F$6,"20-30",IF(AC605&lt;=Assumptions!$F$7,"30-40",IF(AC605&lt;=Assumptions!$F$8,"40-50",IF(AC605&lt;=Assumptions!$F$9,"50-60",IF(AC605&lt;=Assumptions!$F$10,"60+",""))))))</f>
        <v>30-40</v>
      </c>
      <c r="AP605" s="0" t="str">
        <f aca="false">IFERROR(VLOOKUP(O605,Assumptions!$B$14:$C$26,2,FALSE()),"Other")</f>
        <v>Manager</v>
      </c>
      <c r="AQ605" s="0" t="n">
        <f aca="false">IF(T605="",0,1)</f>
        <v>0</v>
      </c>
      <c r="AR605" s="0" t="n">
        <f aca="false">IF(U605="",0,1)</f>
        <v>0</v>
      </c>
      <c r="AS605" s="8" t="n">
        <f aca="false">IF(AK605="","",IF(MAX($AK$2:$AK$921)=MIN($AK$2:$AK$921),50,ROUND((AK605-MIN($AK$2:$AK$921))/(MAX($AK$2:$AK$921)-MIN($AK$2:$AK$921))*100,2)))</f>
        <v>39.99</v>
      </c>
      <c r="AT605" s="8" t="n">
        <f aca="false">IF(MAX($BC$2:$BC$921)=MIN($BC$2:$BC$921),50,ROUND((BC605-MIN($BC$2:$BC$921))/(MAX($BC$2:$BC$921)-MIN($BC$2:$BC$921))*100,2))</f>
        <v>25</v>
      </c>
      <c r="AU605" s="8" t="n">
        <f aca="false">IF(MAX($BE$2:$BE$921)=MIN($BE$2:$BE$921),50,ROUND((BE605-MIN($BE$2:$BE$921))/(MAX($BE$2:$BE$921)-MIN($BE$2:$BE$921))*100,2))</f>
        <v>68.36</v>
      </c>
      <c r="AV605" s="8" t="n">
        <f aca="false">IF(MAX($AD$2:$AD$921)=MIN($AD$2:$AD$921),50,ROUND((AD605-MIN($AD$2:$AD$921))/(MAX($AD$2:$AD$921)-MIN($AD$2:$AD$921))*100,2))</f>
        <v>31.5</v>
      </c>
      <c r="AW605" s="8" t="n">
        <f aca="false">IF(MAX($AN$2:$AN$921)=MIN($AN$2:$AN$921),50,ROUND((AN605-MIN($AN$2:$AN$921))/(MAX($AN$2:$AN$921)-MIN($AN$2:$AN$921))*100,2))</f>
        <v>61.25</v>
      </c>
      <c r="AX605" s="8" t="n">
        <f aca="false">AQ605*100</f>
        <v>0</v>
      </c>
      <c r="AY605" s="8" t="n">
        <f aca="false">AR605*100</f>
        <v>0</v>
      </c>
      <c r="AZ605" s="8" t="n">
        <f aca="false">IFERROR(ROUND(AS605*Assumptions!$I$6+AW605*Assumptions!$I$7+AT605*Assumptions!$I$8+AU605*Assumptions!$I$9+AV605*Assumptions!$I$10+AX605*Assumptions!$I$11+AY605*Assumptions!$I$12,2),"")</f>
        <v>41.4</v>
      </c>
      <c r="BA605" s="0" t="str">
        <f aca="false">IF(AZ605="","",IF(AZ605&lt;=Assumptions!$I$18,"Below Expectation",IF(AZ605&lt;=Assumptions!$I$19,"Developing",IF(AZ605&lt;=Assumptions!$I$20,"Meets Expectation",IF(AZ605&lt;=Assumptions!$I$21,"Exceeds","Star Performer")))))</f>
        <v>Developing</v>
      </c>
      <c r="BB605" s="0" t="n">
        <f aca="false">IF(AZ605="",0,IF(AZ605&gt;=Assumptions!$I$26,1,0))</f>
        <v>0</v>
      </c>
      <c r="BC605" s="9" t="n">
        <f aca="false">IF(AL605="",2,AL605+2)</f>
        <v>1</v>
      </c>
      <c r="BD605" s="10" t="n">
        <f aca="false">IF(AM605="",ROUND(AVERAGE($AM$2:$AM$921),3),AM605)</f>
        <v>0.548</v>
      </c>
      <c r="BE605" s="9" t="n">
        <f aca="false">1-BD605</f>
        <v>0.452</v>
      </c>
    </row>
    <row r="606" customFormat="false" ht="14.25" hidden="false" customHeight="false" outlineLevel="0" collapsed="false">
      <c r="A606" s="4" t="n">
        <v>752</v>
      </c>
      <c r="B606" s="5" t="n">
        <v>55077229</v>
      </c>
      <c r="C606" s="5" t="s">
        <v>106</v>
      </c>
      <c r="D606" s="5" t="s">
        <v>2214</v>
      </c>
      <c r="E606" s="5" t="s">
        <v>1494</v>
      </c>
      <c r="F606" s="5" t="s">
        <v>1977</v>
      </c>
      <c r="G606" s="5" t="s">
        <v>2147</v>
      </c>
      <c r="H606" s="5" t="s">
        <v>2148</v>
      </c>
      <c r="I606" s="5" t="s">
        <v>63</v>
      </c>
      <c r="J606" s="5" t="s">
        <v>112</v>
      </c>
      <c r="K606" s="5" t="s">
        <v>309</v>
      </c>
      <c r="L606" s="6" t="n">
        <v>45160</v>
      </c>
      <c r="M606" s="5" t="s">
        <v>1201</v>
      </c>
      <c r="N606" s="6" t="n">
        <v>35523</v>
      </c>
      <c r="O606" s="5" t="s">
        <v>365</v>
      </c>
      <c r="P606" s="5" t="s">
        <v>365</v>
      </c>
      <c r="Q606" s="5" t="s">
        <v>219</v>
      </c>
      <c r="R606" s="5" t="s">
        <v>115</v>
      </c>
      <c r="S606" s="5" t="s">
        <v>219</v>
      </c>
      <c r="T606" s="6"/>
      <c r="U606" s="6"/>
      <c r="V606" s="5"/>
      <c r="W606" s="5"/>
      <c r="X606" s="5" t="s">
        <v>631</v>
      </c>
      <c r="Y606" s="5" t="s">
        <v>141</v>
      </c>
      <c r="Z606" s="5" t="s">
        <v>141</v>
      </c>
      <c r="AA606" s="5" t="s">
        <v>2215</v>
      </c>
      <c r="AB606" s="0" t="n">
        <f aca="false">IFERROR(VALUE(R606),0)</f>
        <v>0</v>
      </c>
      <c r="AC606" s="0" t="n">
        <f aca="false">IFERROR(VALUE(M606),"")</f>
        <v>29.2</v>
      </c>
      <c r="AD606" s="0" t="n">
        <f aca="false">IFERROR(VALUE(Q606),"")</f>
        <v>2.9</v>
      </c>
      <c r="AE606" s="0" t="n">
        <f aca="false">IFERROR(VALUE(S606),"")</f>
        <v>2.9</v>
      </c>
      <c r="AF606" s="0" t="str">
        <f aca="false">IF(V606="","",VLOOKUP(V606,Assumptions!$B$6:$C$9,2,FALSE()))</f>
        <v/>
      </c>
      <c r="AG606" s="0" t="str">
        <f aca="false">IF(W606="","",VLOOKUP(W606,Assumptions!$B$6:$C$9,2,FALSE()))</f>
        <v/>
      </c>
      <c r="AH606" s="0" t="n">
        <f aca="false">IF(X606="","",VLOOKUP(X606,Assumptions!$B$6:$C$9,2,FALSE()))</f>
        <v>2</v>
      </c>
      <c r="AI606" s="0" t="n">
        <f aca="false">IF(Y606="","",VLOOKUP(Y606,Assumptions!$B$6:$C$9,2,FALSE()))</f>
        <v>3</v>
      </c>
      <c r="AJ606" s="0" t="n">
        <f aca="false">IF(Z606="","",VLOOKUP(Z606,Assumptions!$B$6:$C$9,2,FALSE()))</f>
        <v>3</v>
      </c>
      <c r="AK606" s="7" t="n">
        <f aca="false">IFERROR(ROUND(AVERAGE(AF606:AJ606),3),"")</f>
        <v>2.667</v>
      </c>
      <c r="AL606" s="7" t="str">
        <f aca="false">IF(OR(AF606="",AJ606=""),"",AJ606-AF606)</f>
        <v/>
      </c>
      <c r="AM606" s="7" t="n">
        <f aca="false">IF(COUNT(AF606:AJ606)&gt;=2,ROUND(_xlfn.STDEV.S(AF606:AJ606),3),"")</f>
        <v>0.577</v>
      </c>
      <c r="AN606" s="7" t="n">
        <f aca="false">ROUND((IF(AF606="",0,AF606)*Assumptions!$F$15)+(IF(AG606="",0,AG606)*Assumptions!$F$16)+(IF(AH606="",0,AH606)*Assumptions!$F$17)+(IF(AI606="",0,AI606)*Assumptions!$F$18)+(IF(AJ606="",0,AJ606)*Assumptions!$F$19),3)</f>
        <v>2.05</v>
      </c>
      <c r="AO606" s="0" t="str">
        <f aca="false">IF(AC606&lt;=20,"",IF(AC606&lt;=Assumptions!$F$6,"20-30",IF(AC606&lt;=Assumptions!$F$7,"30-40",IF(AC606&lt;=Assumptions!$F$8,"40-50",IF(AC606&lt;=Assumptions!$F$9,"50-60",IF(AC606&lt;=Assumptions!$F$10,"60+",""))))))</f>
        <v>20-30</v>
      </c>
      <c r="AP606" s="0" t="str">
        <f aca="false">IFERROR(VLOOKUP(O606,Assumptions!$B$14:$C$26,2,FALSE()),"Other")</f>
        <v>Manager</v>
      </c>
      <c r="AQ606" s="0" t="n">
        <f aca="false">IF(T606="",0,1)</f>
        <v>0</v>
      </c>
      <c r="AR606" s="0" t="n">
        <f aca="false">IF(U606="",0,1)</f>
        <v>0</v>
      </c>
      <c r="AS606" s="8" t="n">
        <f aca="false">IF(AK606="","",IF(MAX($AK$2:$AK$921)=MIN($AK$2:$AK$921),50,ROUND((AK606-MIN($AK$2:$AK$921))/(MAX($AK$2:$AK$921)-MIN($AK$2:$AK$921))*100,2)))</f>
        <v>42.86</v>
      </c>
      <c r="AT606" s="8" t="n">
        <f aca="false">IF(MAX($BC$2:$BC$921)=MIN($BC$2:$BC$921),50,ROUND((BC606-MIN($BC$2:$BC$921))/(MAX($BC$2:$BC$921)-MIN($BC$2:$BC$921))*100,2))</f>
        <v>50</v>
      </c>
      <c r="AU606" s="8" t="n">
        <f aca="false">IF(MAX($BE$2:$BE$921)=MIN($BE$2:$BE$921),50,ROUND((BE606-MIN($BE$2:$BE$921))/(MAX($BE$2:$BE$921)-MIN($BE$2:$BE$921))*100,2))</f>
        <v>66.69</v>
      </c>
      <c r="AV606" s="8" t="n">
        <f aca="false">IF(MAX($AD$2:$AD$921)=MIN($AD$2:$AD$921),50,ROUND((AD606-MIN($AD$2:$AD$921))/(MAX($AD$2:$AD$921)-MIN($AD$2:$AD$921))*100,2))</f>
        <v>7.58</v>
      </c>
      <c r="AW606" s="8" t="n">
        <f aca="false">IF(MAX($AN$2:$AN$921)=MIN($AN$2:$AN$921),50,ROUND((AN606-MIN($AN$2:$AN$921))/(MAX($AN$2:$AN$921)-MIN($AN$2:$AN$921))*100,2))</f>
        <v>51.25</v>
      </c>
      <c r="AX606" s="8" t="n">
        <f aca="false">AQ606*100</f>
        <v>0</v>
      </c>
      <c r="AY606" s="8" t="n">
        <f aca="false">AR606*100</f>
        <v>0</v>
      </c>
      <c r="AZ606" s="8" t="n">
        <f aca="false">IFERROR(ROUND(AS606*Assumptions!$I$6+AW606*Assumptions!$I$7+AT606*Assumptions!$I$8+AU606*Assumptions!$I$9+AV606*Assumptions!$I$10+AX606*Assumptions!$I$11+AY606*Assumptions!$I$12,2),"")</f>
        <v>41.37</v>
      </c>
      <c r="BA606" s="0" t="str">
        <f aca="false">IF(AZ606="","",IF(AZ606&lt;=Assumptions!$I$18,"Below Expectation",IF(AZ606&lt;=Assumptions!$I$19,"Developing",IF(AZ606&lt;=Assumptions!$I$20,"Meets Expectation",IF(AZ606&lt;=Assumptions!$I$21,"Exceeds","Star Performer")))))</f>
        <v>Developing</v>
      </c>
      <c r="BB606" s="0" t="n">
        <f aca="false">IF(AZ606="",0,IF(AZ606&gt;=Assumptions!$I$26,1,0))</f>
        <v>0</v>
      </c>
      <c r="BC606" s="9" t="n">
        <f aca="false">IF(AL606="",2,AL606+2)</f>
        <v>2</v>
      </c>
      <c r="BD606" s="10" t="n">
        <f aca="false">IF(AM606="",ROUND(AVERAGE($AM$2:$AM$921),3),AM606)</f>
        <v>0.577</v>
      </c>
      <c r="BE606" s="9" t="n">
        <f aca="false">1-BD606</f>
        <v>0.423</v>
      </c>
    </row>
    <row r="607" customFormat="false" ht="14.25" hidden="false" customHeight="false" outlineLevel="0" collapsed="false">
      <c r="A607" s="4" t="n">
        <v>765</v>
      </c>
      <c r="B607" s="5" t="n">
        <v>55085977</v>
      </c>
      <c r="C607" s="5" t="s">
        <v>106</v>
      </c>
      <c r="D607" s="5" t="s">
        <v>2216</v>
      </c>
      <c r="E607" s="5" t="s">
        <v>108</v>
      </c>
      <c r="F607" s="5" t="s">
        <v>590</v>
      </c>
      <c r="G607" s="5" t="s">
        <v>589</v>
      </c>
      <c r="H607" s="5" t="s">
        <v>590</v>
      </c>
      <c r="I607" s="5" t="s">
        <v>63</v>
      </c>
      <c r="J607" s="5" t="s">
        <v>112</v>
      </c>
      <c r="K607" s="5" t="s">
        <v>309</v>
      </c>
      <c r="L607" s="6" t="n">
        <v>45224</v>
      </c>
      <c r="M607" s="5" t="s">
        <v>134</v>
      </c>
      <c r="N607" s="6" t="n">
        <v>37189</v>
      </c>
      <c r="O607" s="5" t="s">
        <v>1264</v>
      </c>
      <c r="P607" s="5" t="s">
        <v>1559</v>
      </c>
      <c r="Q607" s="5" t="s">
        <v>195</v>
      </c>
      <c r="R607" s="5" t="s">
        <v>115</v>
      </c>
      <c r="S607" s="5" t="s">
        <v>195</v>
      </c>
      <c r="T607" s="6"/>
      <c r="U607" s="6"/>
      <c r="V607" s="5"/>
      <c r="W607" s="5"/>
      <c r="X607" s="5" t="s">
        <v>631</v>
      </c>
      <c r="Y607" s="5" t="s">
        <v>141</v>
      </c>
      <c r="Z607" s="5" t="s">
        <v>141</v>
      </c>
      <c r="AA607" s="5" t="s">
        <v>2161</v>
      </c>
      <c r="AB607" s="0" t="n">
        <f aca="false">IFERROR(VALUE(R607),0)</f>
        <v>0</v>
      </c>
      <c r="AC607" s="0" t="n">
        <f aca="false">IFERROR(VALUE(M607),"")</f>
        <v>24.7</v>
      </c>
      <c r="AD607" s="0" t="n">
        <f aca="false">IFERROR(VALUE(Q607),"")</f>
        <v>2.7</v>
      </c>
      <c r="AE607" s="0" t="n">
        <f aca="false">IFERROR(VALUE(S607),"")</f>
        <v>2.7</v>
      </c>
      <c r="AF607" s="0" t="str">
        <f aca="false">IF(V607="","",VLOOKUP(V607,Assumptions!$B$6:$C$9,2,FALSE()))</f>
        <v/>
      </c>
      <c r="AG607" s="0" t="str">
        <f aca="false">IF(W607="","",VLOOKUP(W607,Assumptions!$B$6:$C$9,2,FALSE()))</f>
        <v/>
      </c>
      <c r="AH607" s="0" t="n">
        <f aca="false">IF(X607="","",VLOOKUP(X607,Assumptions!$B$6:$C$9,2,FALSE()))</f>
        <v>2</v>
      </c>
      <c r="AI607" s="0" t="n">
        <f aca="false">IF(Y607="","",VLOOKUP(Y607,Assumptions!$B$6:$C$9,2,FALSE()))</f>
        <v>3</v>
      </c>
      <c r="AJ607" s="0" t="n">
        <f aca="false">IF(Z607="","",VLOOKUP(Z607,Assumptions!$B$6:$C$9,2,FALSE()))</f>
        <v>3</v>
      </c>
      <c r="AK607" s="7" t="n">
        <f aca="false">IFERROR(ROUND(AVERAGE(AF607:AJ607),3),"")</f>
        <v>2.667</v>
      </c>
      <c r="AL607" s="7" t="str">
        <f aca="false">IF(OR(AF607="",AJ607=""),"",AJ607-AF607)</f>
        <v/>
      </c>
      <c r="AM607" s="7" t="n">
        <f aca="false">IF(COUNT(AF607:AJ607)&gt;=2,ROUND(_xlfn.STDEV.S(AF607:AJ607),3),"")</f>
        <v>0.577</v>
      </c>
      <c r="AN607" s="7" t="n">
        <f aca="false">ROUND((IF(AF607="",0,AF607)*Assumptions!$F$15)+(IF(AG607="",0,AG607)*Assumptions!$F$16)+(IF(AH607="",0,AH607)*Assumptions!$F$17)+(IF(AI607="",0,AI607)*Assumptions!$F$18)+(IF(AJ607="",0,AJ607)*Assumptions!$F$19),3)</f>
        <v>2.05</v>
      </c>
      <c r="AO607" s="0" t="str">
        <f aca="false">IF(AC607&lt;=20,"",IF(AC607&lt;=Assumptions!$F$6,"20-30",IF(AC607&lt;=Assumptions!$F$7,"30-40",IF(AC607&lt;=Assumptions!$F$8,"40-50",IF(AC607&lt;=Assumptions!$F$9,"50-60",IF(AC607&lt;=Assumptions!$F$10,"60+",""))))))</f>
        <v>20-30</v>
      </c>
      <c r="AP607" s="0" t="str">
        <f aca="false">IFERROR(VLOOKUP(O607,Assumptions!$B$14:$C$26,2,FALSE()),"Other")</f>
        <v>Manager</v>
      </c>
      <c r="AQ607" s="0" t="n">
        <f aca="false">IF(T607="",0,1)</f>
        <v>0</v>
      </c>
      <c r="AR607" s="0" t="n">
        <f aca="false">IF(U607="",0,1)</f>
        <v>0</v>
      </c>
      <c r="AS607" s="8" t="n">
        <f aca="false">IF(AK607="","",IF(MAX($AK$2:$AK$921)=MIN($AK$2:$AK$921),50,ROUND((AK607-MIN($AK$2:$AK$921))/(MAX($AK$2:$AK$921)-MIN($AK$2:$AK$921))*100,2)))</f>
        <v>42.86</v>
      </c>
      <c r="AT607" s="8" t="n">
        <f aca="false">IF(MAX($BC$2:$BC$921)=MIN($BC$2:$BC$921),50,ROUND((BC607-MIN($BC$2:$BC$921))/(MAX($BC$2:$BC$921)-MIN($BC$2:$BC$921))*100,2))</f>
        <v>50</v>
      </c>
      <c r="AU607" s="8" t="n">
        <f aca="false">IF(MAX($BE$2:$BE$921)=MIN($BE$2:$BE$921),50,ROUND((BE607-MIN($BE$2:$BE$921))/(MAX($BE$2:$BE$921)-MIN($BE$2:$BE$921))*100,2))</f>
        <v>66.69</v>
      </c>
      <c r="AV607" s="8" t="n">
        <f aca="false">IF(MAX($AD$2:$AD$921)=MIN($AD$2:$AD$921),50,ROUND((AD607-MIN($AD$2:$AD$921))/(MAX($AD$2:$AD$921)-MIN($AD$2:$AD$921))*100,2))</f>
        <v>7.04</v>
      </c>
      <c r="AW607" s="8" t="n">
        <f aca="false">IF(MAX($AN$2:$AN$921)=MIN($AN$2:$AN$921),50,ROUND((AN607-MIN($AN$2:$AN$921))/(MAX($AN$2:$AN$921)-MIN($AN$2:$AN$921))*100,2))</f>
        <v>51.25</v>
      </c>
      <c r="AX607" s="8" t="n">
        <f aca="false">AQ607*100</f>
        <v>0</v>
      </c>
      <c r="AY607" s="8" t="n">
        <f aca="false">AR607*100</f>
        <v>0</v>
      </c>
      <c r="AZ607" s="8" t="n">
        <f aca="false">IFERROR(ROUND(AS607*Assumptions!$I$6+AW607*Assumptions!$I$7+AT607*Assumptions!$I$8+AU607*Assumptions!$I$9+AV607*Assumptions!$I$10+AX607*Assumptions!$I$11+AY607*Assumptions!$I$12,2),"")</f>
        <v>41.32</v>
      </c>
      <c r="BA607" s="0" t="str">
        <f aca="false">IF(AZ607="","",IF(AZ607&lt;=Assumptions!$I$18,"Below Expectation",IF(AZ607&lt;=Assumptions!$I$19,"Developing",IF(AZ607&lt;=Assumptions!$I$20,"Meets Expectation",IF(AZ607&lt;=Assumptions!$I$21,"Exceeds","Star Performer")))))</f>
        <v>Developing</v>
      </c>
      <c r="BB607" s="0" t="n">
        <f aca="false">IF(AZ607="",0,IF(AZ607&gt;=Assumptions!$I$26,1,0))</f>
        <v>0</v>
      </c>
      <c r="BC607" s="9" t="n">
        <f aca="false">IF(AL607="",2,AL607+2)</f>
        <v>2</v>
      </c>
      <c r="BD607" s="10" t="n">
        <f aca="false">IF(AM607="",ROUND(AVERAGE($AM$2:$AM$921),3),AM607)</f>
        <v>0.577</v>
      </c>
      <c r="BE607" s="9" t="n">
        <f aca="false">1-BD607</f>
        <v>0.423</v>
      </c>
    </row>
    <row r="608" customFormat="false" ht="14.25" hidden="false" customHeight="false" outlineLevel="0" collapsed="false">
      <c r="A608" s="4" t="n">
        <v>771</v>
      </c>
      <c r="B608" s="5" t="n">
        <v>55085988</v>
      </c>
      <c r="C608" s="5" t="s">
        <v>106</v>
      </c>
      <c r="D608" s="5" t="s">
        <v>2217</v>
      </c>
      <c r="E608" s="5" t="s">
        <v>108</v>
      </c>
      <c r="F608" s="5" t="s">
        <v>590</v>
      </c>
      <c r="G608" s="5" t="s">
        <v>589</v>
      </c>
      <c r="H608" s="5" t="s">
        <v>590</v>
      </c>
      <c r="I608" s="5" t="s">
        <v>63</v>
      </c>
      <c r="J608" s="5" t="s">
        <v>112</v>
      </c>
      <c r="K608" s="5" t="s">
        <v>309</v>
      </c>
      <c r="L608" s="6" t="n">
        <v>45224</v>
      </c>
      <c r="M608" s="5" t="s">
        <v>530</v>
      </c>
      <c r="N608" s="6" t="n">
        <v>37159</v>
      </c>
      <c r="O608" s="5" t="s">
        <v>1264</v>
      </c>
      <c r="P608" s="5" t="s">
        <v>1559</v>
      </c>
      <c r="Q608" s="5" t="s">
        <v>195</v>
      </c>
      <c r="R608" s="5" t="s">
        <v>115</v>
      </c>
      <c r="S608" s="5" t="s">
        <v>195</v>
      </c>
      <c r="T608" s="6"/>
      <c r="U608" s="6"/>
      <c r="V608" s="5"/>
      <c r="W608" s="5"/>
      <c r="X608" s="5" t="s">
        <v>631</v>
      </c>
      <c r="Y608" s="5" t="s">
        <v>141</v>
      </c>
      <c r="Z608" s="5" t="s">
        <v>141</v>
      </c>
      <c r="AA608" s="5" t="s">
        <v>2218</v>
      </c>
      <c r="AB608" s="0" t="n">
        <f aca="false">IFERROR(VALUE(R608),0)</f>
        <v>0</v>
      </c>
      <c r="AC608" s="0" t="n">
        <f aca="false">IFERROR(VALUE(M608),"")</f>
        <v>24.8</v>
      </c>
      <c r="AD608" s="0" t="n">
        <f aca="false">IFERROR(VALUE(Q608),"")</f>
        <v>2.7</v>
      </c>
      <c r="AE608" s="0" t="n">
        <f aca="false">IFERROR(VALUE(S608),"")</f>
        <v>2.7</v>
      </c>
      <c r="AF608" s="0" t="str">
        <f aca="false">IF(V608="","",VLOOKUP(V608,Assumptions!$B$6:$C$9,2,FALSE()))</f>
        <v/>
      </c>
      <c r="AG608" s="0" t="str">
        <f aca="false">IF(W608="","",VLOOKUP(W608,Assumptions!$B$6:$C$9,2,FALSE()))</f>
        <v/>
      </c>
      <c r="AH608" s="0" t="n">
        <f aca="false">IF(X608="","",VLOOKUP(X608,Assumptions!$B$6:$C$9,2,FALSE()))</f>
        <v>2</v>
      </c>
      <c r="AI608" s="0" t="n">
        <f aca="false">IF(Y608="","",VLOOKUP(Y608,Assumptions!$B$6:$C$9,2,FALSE()))</f>
        <v>3</v>
      </c>
      <c r="AJ608" s="0" t="n">
        <f aca="false">IF(Z608="","",VLOOKUP(Z608,Assumptions!$B$6:$C$9,2,FALSE()))</f>
        <v>3</v>
      </c>
      <c r="AK608" s="7" t="n">
        <f aca="false">IFERROR(ROUND(AVERAGE(AF608:AJ608),3),"")</f>
        <v>2.667</v>
      </c>
      <c r="AL608" s="7" t="str">
        <f aca="false">IF(OR(AF608="",AJ608=""),"",AJ608-AF608)</f>
        <v/>
      </c>
      <c r="AM608" s="7" t="n">
        <f aca="false">IF(COUNT(AF608:AJ608)&gt;=2,ROUND(_xlfn.STDEV.S(AF608:AJ608),3),"")</f>
        <v>0.577</v>
      </c>
      <c r="AN608" s="7" t="n">
        <f aca="false">ROUND((IF(AF608="",0,AF608)*Assumptions!$F$15)+(IF(AG608="",0,AG608)*Assumptions!$F$16)+(IF(AH608="",0,AH608)*Assumptions!$F$17)+(IF(AI608="",0,AI608)*Assumptions!$F$18)+(IF(AJ608="",0,AJ608)*Assumptions!$F$19),3)</f>
        <v>2.05</v>
      </c>
      <c r="AO608" s="0" t="str">
        <f aca="false">IF(AC608&lt;=20,"",IF(AC608&lt;=Assumptions!$F$6,"20-30",IF(AC608&lt;=Assumptions!$F$7,"30-40",IF(AC608&lt;=Assumptions!$F$8,"40-50",IF(AC608&lt;=Assumptions!$F$9,"50-60",IF(AC608&lt;=Assumptions!$F$10,"60+",""))))))</f>
        <v>20-30</v>
      </c>
      <c r="AP608" s="0" t="str">
        <f aca="false">IFERROR(VLOOKUP(O608,Assumptions!$B$14:$C$26,2,FALSE()),"Other")</f>
        <v>Manager</v>
      </c>
      <c r="AQ608" s="0" t="n">
        <f aca="false">IF(T608="",0,1)</f>
        <v>0</v>
      </c>
      <c r="AR608" s="0" t="n">
        <f aca="false">IF(U608="",0,1)</f>
        <v>0</v>
      </c>
      <c r="AS608" s="8" t="n">
        <f aca="false">IF(AK608="","",IF(MAX($AK$2:$AK$921)=MIN($AK$2:$AK$921),50,ROUND((AK608-MIN($AK$2:$AK$921))/(MAX($AK$2:$AK$921)-MIN($AK$2:$AK$921))*100,2)))</f>
        <v>42.86</v>
      </c>
      <c r="AT608" s="8" t="n">
        <f aca="false">IF(MAX($BC$2:$BC$921)=MIN($BC$2:$BC$921),50,ROUND((BC608-MIN($BC$2:$BC$921))/(MAX($BC$2:$BC$921)-MIN($BC$2:$BC$921))*100,2))</f>
        <v>50</v>
      </c>
      <c r="AU608" s="8" t="n">
        <f aca="false">IF(MAX($BE$2:$BE$921)=MIN($BE$2:$BE$921),50,ROUND((BE608-MIN($BE$2:$BE$921))/(MAX($BE$2:$BE$921)-MIN($BE$2:$BE$921))*100,2))</f>
        <v>66.69</v>
      </c>
      <c r="AV608" s="8" t="n">
        <f aca="false">IF(MAX($AD$2:$AD$921)=MIN($AD$2:$AD$921),50,ROUND((AD608-MIN($AD$2:$AD$921))/(MAX($AD$2:$AD$921)-MIN($AD$2:$AD$921))*100,2))</f>
        <v>7.04</v>
      </c>
      <c r="AW608" s="8" t="n">
        <f aca="false">IF(MAX($AN$2:$AN$921)=MIN($AN$2:$AN$921),50,ROUND((AN608-MIN($AN$2:$AN$921))/(MAX($AN$2:$AN$921)-MIN($AN$2:$AN$921))*100,2))</f>
        <v>51.25</v>
      </c>
      <c r="AX608" s="8" t="n">
        <f aca="false">AQ608*100</f>
        <v>0</v>
      </c>
      <c r="AY608" s="8" t="n">
        <f aca="false">AR608*100</f>
        <v>0</v>
      </c>
      <c r="AZ608" s="8" t="n">
        <f aca="false">IFERROR(ROUND(AS608*Assumptions!$I$6+AW608*Assumptions!$I$7+AT608*Assumptions!$I$8+AU608*Assumptions!$I$9+AV608*Assumptions!$I$10+AX608*Assumptions!$I$11+AY608*Assumptions!$I$12,2),"")</f>
        <v>41.32</v>
      </c>
      <c r="BA608" s="0" t="str">
        <f aca="false">IF(AZ608="","",IF(AZ608&lt;=Assumptions!$I$18,"Below Expectation",IF(AZ608&lt;=Assumptions!$I$19,"Developing",IF(AZ608&lt;=Assumptions!$I$20,"Meets Expectation",IF(AZ608&lt;=Assumptions!$I$21,"Exceeds","Star Performer")))))</f>
        <v>Developing</v>
      </c>
      <c r="BB608" s="0" t="n">
        <f aca="false">IF(AZ608="",0,IF(AZ608&gt;=Assumptions!$I$26,1,0))</f>
        <v>0</v>
      </c>
      <c r="BC608" s="9" t="n">
        <f aca="false">IF(AL608="",2,AL608+2)</f>
        <v>2</v>
      </c>
      <c r="BD608" s="10" t="n">
        <f aca="false">IF(AM608="",ROUND(AVERAGE($AM$2:$AM$921),3),AM608)</f>
        <v>0.577</v>
      </c>
      <c r="BE608" s="9" t="n">
        <f aca="false">1-BD608</f>
        <v>0.423</v>
      </c>
    </row>
    <row r="609" customFormat="false" ht="14.25" hidden="false" customHeight="false" outlineLevel="0" collapsed="false">
      <c r="A609" s="4" t="n">
        <v>782</v>
      </c>
      <c r="B609" s="5" t="n">
        <v>55086006</v>
      </c>
      <c r="C609" s="5" t="s">
        <v>106</v>
      </c>
      <c r="D609" s="5" t="s">
        <v>2219</v>
      </c>
      <c r="E609" s="5" t="s">
        <v>108</v>
      </c>
      <c r="F609" s="5" t="s">
        <v>590</v>
      </c>
      <c r="G609" s="5" t="s">
        <v>589</v>
      </c>
      <c r="H609" s="5" t="s">
        <v>590</v>
      </c>
      <c r="I609" s="5" t="s">
        <v>63</v>
      </c>
      <c r="J609" s="5" t="s">
        <v>112</v>
      </c>
      <c r="K609" s="5" t="s">
        <v>309</v>
      </c>
      <c r="L609" s="6" t="n">
        <v>45224</v>
      </c>
      <c r="M609" s="5" t="s">
        <v>1690</v>
      </c>
      <c r="N609" s="6" t="n">
        <v>36559</v>
      </c>
      <c r="O609" s="5" t="s">
        <v>1264</v>
      </c>
      <c r="P609" s="5" t="s">
        <v>1559</v>
      </c>
      <c r="Q609" s="5" t="s">
        <v>195</v>
      </c>
      <c r="R609" s="5" t="s">
        <v>115</v>
      </c>
      <c r="S609" s="5" t="s">
        <v>195</v>
      </c>
      <c r="T609" s="6"/>
      <c r="U609" s="6"/>
      <c r="V609" s="5"/>
      <c r="W609" s="5"/>
      <c r="X609" s="5" t="s">
        <v>631</v>
      </c>
      <c r="Y609" s="5" t="s">
        <v>141</v>
      </c>
      <c r="Z609" s="5" t="s">
        <v>141</v>
      </c>
      <c r="AA609" s="5" t="s">
        <v>2220</v>
      </c>
      <c r="AB609" s="0" t="n">
        <f aca="false">IFERROR(VALUE(R609),0)</f>
        <v>0</v>
      </c>
      <c r="AC609" s="0" t="n">
        <f aca="false">IFERROR(VALUE(M609),"")</f>
        <v>26.4</v>
      </c>
      <c r="AD609" s="0" t="n">
        <f aca="false">IFERROR(VALUE(Q609),"")</f>
        <v>2.7</v>
      </c>
      <c r="AE609" s="0" t="n">
        <f aca="false">IFERROR(VALUE(S609),"")</f>
        <v>2.7</v>
      </c>
      <c r="AF609" s="0" t="str">
        <f aca="false">IF(V609="","",VLOOKUP(V609,Assumptions!$B$6:$C$9,2,FALSE()))</f>
        <v/>
      </c>
      <c r="AG609" s="0" t="str">
        <f aca="false">IF(W609="","",VLOOKUP(W609,Assumptions!$B$6:$C$9,2,FALSE()))</f>
        <v/>
      </c>
      <c r="AH609" s="0" t="n">
        <f aca="false">IF(X609="","",VLOOKUP(X609,Assumptions!$B$6:$C$9,2,FALSE()))</f>
        <v>2</v>
      </c>
      <c r="AI609" s="0" t="n">
        <f aca="false">IF(Y609="","",VLOOKUP(Y609,Assumptions!$B$6:$C$9,2,FALSE()))</f>
        <v>3</v>
      </c>
      <c r="AJ609" s="0" t="n">
        <f aca="false">IF(Z609="","",VLOOKUP(Z609,Assumptions!$B$6:$C$9,2,FALSE()))</f>
        <v>3</v>
      </c>
      <c r="AK609" s="7" t="n">
        <f aca="false">IFERROR(ROUND(AVERAGE(AF609:AJ609),3),"")</f>
        <v>2.667</v>
      </c>
      <c r="AL609" s="7" t="str">
        <f aca="false">IF(OR(AF609="",AJ609=""),"",AJ609-AF609)</f>
        <v/>
      </c>
      <c r="AM609" s="7" t="n">
        <f aca="false">IF(COUNT(AF609:AJ609)&gt;=2,ROUND(_xlfn.STDEV.S(AF609:AJ609),3),"")</f>
        <v>0.577</v>
      </c>
      <c r="AN609" s="7" t="n">
        <f aca="false">ROUND((IF(AF609="",0,AF609)*Assumptions!$F$15)+(IF(AG609="",0,AG609)*Assumptions!$F$16)+(IF(AH609="",0,AH609)*Assumptions!$F$17)+(IF(AI609="",0,AI609)*Assumptions!$F$18)+(IF(AJ609="",0,AJ609)*Assumptions!$F$19),3)</f>
        <v>2.05</v>
      </c>
      <c r="AO609" s="0" t="str">
        <f aca="false">IF(AC609&lt;=20,"",IF(AC609&lt;=Assumptions!$F$6,"20-30",IF(AC609&lt;=Assumptions!$F$7,"30-40",IF(AC609&lt;=Assumptions!$F$8,"40-50",IF(AC609&lt;=Assumptions!$F$9,"50-60",IF(AC609&lt;=Assumptions!$F$10,"60+",""))))))</f>
        <v>20-30</v>
      </c>
      <c r="AP609" s="0" t="str">
        <f aca="false">IFERROR(VLOOKUP(O609,Assumptions!$B$14:$C$26,2,FALSE()),"Other")</f>
        <v>Manager</v>
      </c>
      <c r="AQ609" s="0" t="n">
        <f aca="false">IF(T609="",0,1)</f>
        <v>0</v>
      </c>
      <c r="AR609" s="0" t="n">
        <f aca="false">IF(U609="",0,1)</f>
        <v>0</v>
      </c>
      <c r="AS609" s="8" t="n">
        <f aca="false">IF(AK609="","",IF(MAX($AK$2:$AK$921)=MIN($AK$2:$AK$921),50,ROUND((AK609-MIN($AK$2:$AK$921))/(MAX($AK$2:$AK$921)-MIN($AK$2:$AK$921))*100,2)))</f>
        <v>42.86</v>
      </c>
      <c r="AT609" s="8" t="n">
        <f aca="false">IF(MAX($BC$2:$BC$921)=MIN($BC$2:$BC$921),50,ROUND((BC609-MIN($BC$2:$BC$921))/(MAX($BC$2:$BC$921)-MIN($BC$2:$BC$921))*100,2))</f>
        <v>50</v>
      </c>
      <c r="AU609" s="8" t="n">
        <f aca="false">IF(MAX($BE$2:$BE$921)=MIN($BE$2:$BE$921),50,ROUND((BE609-MIN($BE$2:$BE$921))/(MAX($BE$2:$BE$921)-MIN($BE$2:$BE$921))*100,2))</f>
        <v>66.69</v>
      </c>
      <c r="AV609" s="8" t="n">
        <f aca="false">IF(MAX($AD$2:$AD$921)=MIN($AD$2:$AD$921),50,ROUND((AD609-MIN($AD$2:$AD$921))/(MAX($AD$2:$AD$921)-MIN($AD$2:$AD$921))*100,2))</f>
        <v>7.04</v>
      </c>
      <c r="AW609" s="8" t="n">
        <f aca="false">IF(MAX($AN$2:$AN$921)=MIN($AN$2:$AN$921),50,ROUND((AN609-MIN($AN$2:$AN$921))/(MAX($AN$2:$AN$921)-MIN($AN$2:$AN$921))*100,2))</f>
        <v>51.25</v>
      </c>
      <c r="AX609" s="8" t="n">
        <f aca="false">AQ609*100</f>
        <v>0</v>
      </c>
      <c r="AY609" s="8" t="n">
        <f aca="false">AR609*100</f>
        <v>0</v>
      </c>
      <c r="AZ609" s="8" t="n">
        <f aca="false">IFERROR(ROUND(AS609*Assumptions!$I$6+AW609*Assumptions!$I$7+AT609*Assumptions!$I$8+AU609*Assumptions!$I$9+AV609*Assumptions!$I$10+AX609*Assumptions!$I$11+AY609*Assumptions!$I$12,2),"")</f>
        <v>41.32</v>
      </c>
      <c r="BA609" s="0" t="str">
        <f aca="false">IF(AZ609="","",IF(AZ609&lt;=Assumptions!$I$18,"Below Expectation",IF(AZ609&lt;=Assumptions!$I$19,"Developing",IF(AZ609&lt;=Assumptions!$I$20,"Meets Expectation",IF(AZ609&lt;=Assumptions!$I$21,"Exceeds","Star Performer")))))</f>
        <v>Developing</v>
      </c>
      <c r="BB609" s="0" t="n">
        <f aca="false">IF(AZ609="",0,IF(AZ609&gt;=Assumptions!$I$26,1,0))</f>
        <v>0</v>
      </c>
      <c r="BC609" s="9" t="n">
        <f aca="false">IF(AL609="",2,AL609+2)</f>
        <v>2</v>
      </c>
      <c r="BD609" s="10" t="n">
        <f aca="false">IF(AM609="",ROUND(AVERAGE($AM$2:$AM$921),3),AM609)</f>
        <v>0.577</v>
      </c>
      <c r="BE609" s="9" t="n">
        <f aca="false">1-BD609</f>
        <v>0.423</v>
      </c>
    </row>
    <row r="610" customFormat="false" ht="14.25" hidden="true" customHeight="false" outlineLevel="0" collapsed="false">
      <c r="A610" s="4" t="n">
        <v>787</v>
      </c>
      <c r="B610" s="5" t="n">
        <v>55086017</v>
      </c>
      <c r="C610" s="5" t="s">
        <v>85</v>
      </c>
      <c r="D610" s="5" t="s">
        <v>2221</v>
      </c>
      <c r="E610" s="5" t="s">
        <v>137</v>
      </c>
      <c r="F610" s="5" t="s">
        <v>590</v>
      </c>
      <c r="G610" s="5" t="s">
        <v>589</v>
      </c>
      <c r="H610" s="5" t="s">
        <v>590</v>
      </c>
      <c r="I610" s="5" t="s">
        <v>63</v>
      </c>
      <c r="J610" s="5" t="s">
        <v>76</v>
      </c>
      <c r="K610" s="5" t="s">
        <v>309</v>
      </c>
      <c r="L610" s="6" t="n">
        <v>45224</v>
      </c>
      <c r="M610" s="5" t="s">
        <v>1726</v>
      </c>
      <c r="N610" s="6" t="n">
        <v>36730</v>
      </c>
      <c r="O610" s="5" t="s">
        <v>1264</v>
      </c>
      <c r="P610" s="5" t="s">
        <v>1559</v>
      </c>
      <c r="Q610" s="5" t="s">
        <v>195</v>
      </c>
      <c r="R610" s="5" t="s">
        <v>115</v>
      </c>
      <c r="S610" s="5" t="s">
        <v>195</v>
      </c>
      <c r="T610" s="6"/>
      <c r="U610" s="6"/>
      <c r="V610" s="5"/>
      <c r="W610" s="5"/>
      <c r="X610" s="5" t="s">
        <v>631</v>
      </c>
      <c r="Y610" s="5" t="s">
        <v>141</v>
      </c>
      <c r="Z610" s="5" t="s">
        <v>141</v>
      </c>
      <c r="AA610" s="5" t="s">
        <v>2222</v>
      </c>
      <c r="AB610" s="0" t="n">
        <f aca="false">IFERROR(VALUE(R610),0)</f>
        <v>0</v>
      </c>
      <c r="AC610" s="0" t="n">
        <f aca="false">IFERROR(VALUE(M610),"")</f>
        <v>25.1</v>
      </c>
      <c r="AD610" s="0" t="n">
        <f aca="false">IFERROR(VALUE(Q610),"")</f>
        <v>2.7</v>
      </c>
      <c r="AE610" s="0" t="n">
        <f aca="false">IFERROR(VALUE(S610),"")</f>
        <v>2.7</v>
      </c>
      <c r="AF610" s="0" t="str">
        <f aca="false">IF(V610="","",VLOOKUP(V610,Assumptions!$B$6:$C$9,2,FALSE()))</f>
        <v/>
      </c>
      <c r="AG610" s="0" t="str">
        <f aca="false">IF(W610="","",VLOOKUP(W610,Assumptions!$B$6:$C$9,2,FALSE()))</f>
        <v/>
      </c>
      <c r="AH610" s="0" t="n">
        <f aca="false">IF(X610="","",VLOOKUP(X610,Assumptions!$B$6:$C$9,2,FALSE()))</f>
        <v>2</v>
      </c>
      <c r="AI610" s="0" t="n">
        <f aca="false">IF(Y610="","",VLOOKUP(Y610,Assumptions!$B$6:$C$9,2,FALSE()))</f>
        <v>3</v>
      </c>
      <c r="AJ610" s="0" t="n">
        <f aca="false">IF(Z610="","",VLOOKUP(Z610,Assumptions!$B$6:$C$9,2,FALSE()))</f>
        <v>3</v>
      </c>
      <c r="AK610" s="7" t="n">
        <f aca="false">IFERROR(ROUND(AVERAGE(AF610:AJ610),3),"")</f>
        <v>2.667</v>
      </c>
      <c r="AL610" s="7" t="str">
        <f aca="false">IF(OR(AF610="",AJ610=""),"",AJ610-AF610)</f>
        <v/>
      </c>
      <c r="AM610" s="7" t="n">
        <f aca="false">IF(COUNT(AF610:AJ610)&gt;=2,ROUND(_xlfn.STDEV.S(AF610:AJ610),3),"")</f>
        <v>0.577</v>
      </c>
      <c r="AN610" s="7" t="n">
        <f aca="false">ROUND((IF(AF610="",0,AF610)*Assumptions!$F$15)+(IF(AG610="",0,AG610)*Assumptions!$F$16)+(IF(AH610="",0,AH610)*Assumptions!$F$17)+(IF(AI610="",0,AI610)*Assumptions!$F$18)+(IF(AJ610="",0,AJ610)*Assumptions!$F$19),3)</f>
        <v>2.05</v>
      </c>
      <c r="AO610" s="0" t="str">
        <f aca="false">IF(AC610&lt;=20,"",IF(AC610&lt;=Assumptions!$F$6,"20-30",IF(AC610&lt;=Assumptions!$F$7,"30-40",IF(AC610&lt;=Assumptions!$F$8,"40-50",IF(AC610&lt;=Assumptions!$F$9,"50-60",IF(AC610&lt;=Assumptions!$F$10,"60+",""))))))</f>
        <v>20-30</v>
      </c>
      <c r="AP610" s="0" t="str">
        <f aca="false">IFERROR(VLOOKUP(O610,Assumptions!$B$14:$C$26,2,FALSE()),"Other")</f>
        <v>Manager</v>
      </c>
      <c r="AQ610" s="0" t="n">
        <f aca="false">IF(T610="",0,1)</f>
        <v>0</v>
      </c>
      <c r="AR610" s="0" t="n">
        <f aca="false">IF(U610="",0,1)</f>
        <v>0</v>
      </c>
      <c r="AS610" s="8" t="n">
        <f aca="false">IF(AK610="","",IF(MAX($AK$2:$AK$921)=MIN($AK$2:$AK$921),50,ROUND((AK610-MIN($AK$2:$AK$921))/(MAX($AK$2:$AK$921)-MIN($AK$2:$AK$921))*100,2)))</f>
        <v>42.86</v>
      </c>
      <c r="AT610" s="8" t="n">
        <f aca="false">IF(MAX($BC$2:$BC$921)=MIN($BC$2:$BC$921),50,ROUND((BC610-MIN($BC$2:$BC$921))/(MAX($BC$2:$BC$921)-MIN($BC$2:$BC$921))*100,2))</f>
        <v>50</v>
      </c>
      <c r="AU610" s="8" t="n">
        <f aca="false">IF(MAX($BE$2:$BE$921)=MIN($BE$2:$BE$921),50,ROUND((BE610-MIN($BE$2:$BE$921))/(MAX($BE$2:$BE$921)-MIN($BE$2:$BE$921))*100,2))</f>
        <v>66.69</v>
      </c>
      <c r="AV610" s="8" t="n">
        <f aca="false">IF(MAX($AD$2:$AD$921)=MIN($AD$2:$AD$921),50,ROUND((AD610-MIN($AD$2:$AD$921))/(MAX($AD$2:$AD$921)-MIN($AD$2:$AD$921))*100,2))</f>
        <v>7.04</v>
      </c>
      <c r="AW610" s="8" t="n">
        <f aca="false">IF(MAX($AN$2:$AN$921)=MIN($AN$2:$AN$921),50,ROUND((AN610-MIN($AN$2:$AN$921))/(MAX($AN$2:$AN$921)-MIN($AN$2:$AN$921))*100,2))</f>
        <v>51.25</v>
      </c>
      <c r="AX610" s="8" t="n">
        <f aca="false">AQ610*100</f>
        <v>0</v>
      </c>
      <c r="AY610" s="8" t="n">
        <f aca="false">AR610*100</f>
        <v>0</v>
      </c>
      <c r="AZ610" s="8" t="n">
        <f aca="false">IFERROR(ROUND(AS610*Assumptions!$I$6+AW610*Assumptions!$I$7+AT610*Assumptions!$I$8+AU610*Assumptions!$I$9+AV610*Assumptions!$I$10+AX610*Assumptions!$I$11+AY610*Assumptions!$I$12,2),"")</f>
        <v>41.32</v>
      </c>
      <c r="BA610" s="0" t="str">
        <f aca="false">IF(AZ610="","",IF(AZ610&lt;=Assumptions!$I$18,"Below Expectation",IF(AZ610&lt;=Assumptions!$I$19,"Developing",IF(AZ610&lt;=Assumptions!$I$20,"Meets Expectation",IF(AZ610&lt;=Assumptions!$I$21,"Exceeds","Star Performer")))))</f>
        <v>Developing</v>
      </c>
      <c r="BB610" s="0" t="n">
        <f aca="false">IF(AZ610="",0,IF(AZ610&gt;=Assumptions!$I$26,1,0))</f>
        <v>0</v>
      </c>
      <c r="BC610" s="9" t="n">
        <f aca="false">IF(AL610="",2,AL610+2)</f>
        <v>2</v>
      </c>
      <c r="BD610" s="10" t="n">
        <f aca="false">IF(AM610="",ROUND(AVERAGE($AM$2:$AM$921),3),AM610)</f>
        <v>0.577</v>
      </c>
      <c r="BE610" s="9" t="n">
        <f aca="false">1-BD610</f>
        <v>0.423</v>
      </c>
    </row>
    <row r="611" customFormat="false" ht="14.25" hidden="true" customHeight="false" outlineLevel="0" collapsed="false">
      <c r="A611" s="4" t="n">
        <v>789</v>
      </c>
      <c r="B611" s="5" t="n">
        <v>55086064</v>
      </c>
      <c r="C611" s="5" t="s">
        <v>149</v>
      </c>
      <c r="D611" s="5" t="s">
        <v>2223</v>
      </c>
      <c r="E611" s="5" t="s">
        <v>919</v>
      </c>
      <c r="F611" s="5" t="s">
        <v>2224</v>
      </c>
      <c r="G611" s="5" t="s">
        <v>2225</v>
      </c>
      <c r="H611" s="5" t="s">
        <v>2226</v>
      </c>
      <c r="I611" s="5" t="s">
        <v>63</v>
      </c>
      <c r="J611" s="5" t="s">
        <v>100</v>
      </c>
      <c r="K611" s="5" t="s">
        <v>309</v>
      </c>
      <c r="L611" s="6" t="n">
        <v>45224</v>
      </c>
      <c r="M611" s="5" t="s">
        <v>910</v>
      </c>
      <c r="N611" s="6" t="n">
        <v>37076</v>
      </c>
      <c r="O611" s="5" t="s">
        <v>585</v>
      </c>
      <c r="P611" s="5" t="s">
        <v>586</v>
      </c>
      <c r="Q611" s="5" t="s">
        <v>195</v>
      </c>
      <c r="R611" s="5" t="s">
        <v>115</v>
      </c>
      <c r="S611" s="5" t="s">
        <v>195</v>
      </c>
      <c r="T611" s="6"/>
      <c r="U611" s="6"/>
      <c r="V611" s="5"/>
      <c r="W611" s="5"/>
      <c r="X611" s="5" t="s">
        <v>631</v>
      </c>
      <c r="Y611" s="5" t="s">
        <v>141</v>
      </c>
      <c r="Z611" s="5" t="s">
        <v>141</v>
      </c>
      <c r="AA611" s="5" t="s">
        <v>2227</v>
      </c>
      <c r="AB611" s="0" t="n">
        <f aca="false">IFERROR(VALUE(R611),0)</f>
        <v>0</v>
      </c>
      <c r="AC611" s="0" t="n">
        <f aca="false">IFERROR(VALUE(M611),"")</f>
        <v>24.11</v>
      </c>
      <c r="AD611" s="0" t="n">
        <f aca="false">IFERROR(VALUE(Q611),"")</f>
        <v>2.7</v>
      </c>
      <c r="AE611" s="0" t="n">
        <f aca="false">IFERROR(VALUE(S611),"")</f>
        <v>2.7</v>
      </c>
      <c r="AF611" s="0" t="str">
        <f aca="false">IF(V611="","",VLOOKUP(V611,Assumptions!$B$6:$C$9,2,FALSE()))</f>
        <v/>
      </c>
      <c r="AG611" s="0" t="str">
        <f aca="false">IF(W611="","",VLOOKUP(W611,Assumptions!$B$6:$C$9,2,FALSE()))</f>
        <v/>
      </c>
      <c r="AH611" s="0" t="n">
        <f aca="false">IF(X611="","",VLOOKUP(X611,Assumptions!$B$6:$C$9,2,FALSE()))</f>
        <v>2</v>
      </c>
      <c r="AI611" s="0" t="n">
        <f aca="false">IF(Y611="","",VLOOKUP(Y611,Assumptions!$B$6:$C$9,2,FALSE()))</f>
        <v>3</v>
      </c>
      <c r="AJ611" s="0" t="n">
        <f aca="false">IF(Z611="","",VLOOKUP(Z611,Assumptions!$B$6:$C$9,2,FALSE()))</f>
        <v>3</v>
      </c>
      <c r="AK611" s="7" t="n">
        <f aca="false">IFERROR(ROUND(AVERAGE(AF611:AJ611),3),"")</f>
        <v>2.667</v>
      </c>
      <c r="AL611" s="7" t="str">
        <f aca="false">IF(OR(AF611="",AJ611=""),"",AJ611-AF611)</f>
        <v/>
      </c>
      <c r="AM611" s="7" t="n">
        <f aca="false">IF(COUNT(AF611:AJ611)&gt;=2,ROUND(_xlfn.STDEV.S(AF611:AJ611),3),"")</f>
        <v>0.577</v>
      </c>
      <c r="AN611" s="7" t="n">
        <f aca="false">ROUND((IF(AF611="",0,AF611)*Assumptions!$F$15)+(IF(AG611="",0,AG611)*Assumptions!$F$16)+(IF(AH611="",0,AH611)*Assumptions!$F$17)+(IF(AI611="",0,AI611)*Assumptions!$F$18)+(IF(AJ611="",0,AJ611)*Assumptions!$F$19),3)</f>
        <v>2.05</v>
      </c>
      <c r="AO611" s="0" t="str">
        <f aca="false">IF(AC611&lt;=20,"",IF(AC611&lt;=Assumptions!$F$6,"20-30",IF(AC611&lt;=Assumptions!$F$7,"30-40",IF(AC611&lt;=Assumptions!$F$8,"40-50",IF(AC611&lt;=Assumptions!$F$9,"50-60",IF(AC611&lt;=Assumptions!$F$10,"60+",""))))))</f>
        <v>20-30</v>
      </c>
      <c r="AP611" s="0" t="str">
        <f aca="false">IFERROR(VLOOKUP(O611,Assumptions!$B$14:$C$26,2,FALSE()),"Other")</f>
        <v>Manager</v>
      </c>
      <c r="AQ611" s="0" t="n">
        <f aca="false">IF(T611="",0,1)</f>
        <v>0</v>
      </c>
      <c r="AR611" s="0" t="n">
        <f aca="false">IF(U611="",0,1)</f>
        <v>0</v>
      </c>
      <c r="AS611" s="8" t="n">
        <f aca="false">IF(AK611="","",IF(MAX($AK$2:$AK$921)=MIN($AK$2:$AK$921),50,ROUND((AK611-MIN($AK$2:$AK$921))/(MAX($AK$2:$AK$921)-MIN($AK$2:$AK$921))*100,2)))</f>
        <v>42.86</v>
      </c>
      <c r="AT611" s="8" t="n">
        <f aca="false">IF(MAX($BC$2:$BC$921)=MIN($BC$2:$BC$921),50,ROUND((BC611-MIN($BC$2:$BC$921))/(MAX($BC$2:$BC$921)-MIN($BC$2:$BC$921))*100,2))</f>
        <v>50</v>
      </c>
      <c r="AU611" s="8" t="n">
        <f aca="false">IF(MAX($BE$2:$BE$921)=MIN($BE$2:$BE$921),50,ROUND((BE611-MIN($BE$2:$BE$921))/(MAX($BE$2:$BE$921)-MIN($BE$2:$BE$921))*100,2))</f>
        <v>66.69</v>
      </c>
      <c r="AV611" s="8" t="n">
        <f aca="false">IF(MAX($AD$2:$AD$921)=MIN($AD$2:$AD$921),50,ROUND((AD611-MIN($AD$2:$AD$921))/(MAX($AD$2:$AD$921)-MIN($AD$2:$AD$921))*100,2))</f>
        <v>7.04</v>
      </c>
      <c r="AW611" s="8" t="n">
        <f aca="false">IF(MAX($AN$2:$AN$921)=MIN($AN$2:$AN$921),50,ROUND((AN611-MIN($AN$2:$AN$921))/(MAX($AN$2:$AN$921)-MIN($AN$2:$AN$921))*100,2))</f>
        <v>51.25</v>
      </c>
      <c r="AX611" s="8" t="n">
        <f aca="false">AQ611*100</f>
        <v>0</v>
      </c>
      <c r="AY611" s="8" t="n">
        <f aca="false">AR611*100</f>
        <v>0</v>
      </c>
      <c r="AZ611" s="8" t="n">
        <f aca="false">IFERROR(ROUND(AS611*Assumptions!$I$6+AW611*Assumptions!$I$7+AT611*Assumptions!$I$8+AU611*Assumptions!$I$9+AV611*Assumptions!$I$10+AX611*Assumptions!$I$11+AY611*Assumptions!$I$12,2),"")</f>
        <v>41.32</v>
      </c>
      <c r="BA611" s="0" t="str">
        <f aca="false">IF(AZ611="","",IF(AZ611&lt;=Assumptions!$I$18,"Below Expectation",IF(AZ611&lt;=Assumptions!$I$19,"Developing",IF(AZ611&lt;=Assumptions!$I$20,"Meets Expectation",IF(AZ611&lt;=Assumptions!$I$21,"Exceeds","Star Performer")))))</f>
        <v>Developing</v>
      </c>
      <c r="BB611" s="0" t="n">
        <f aca="false">IF(AZ611="",0,IF(AZ611&gt;=Assumptions!$I$26,1,0))</f>
        <v>0</v>
      </c>
      <c r="BC611" s="9" t="n">
        <f aca="false">IF(AL611="",2,AL611+2)</f>
        <v>2</v>
      </c>
      <c r="BD611" s="10" t="n">
        <f aca="false">IF(AM611="",ROUND(AVERAGE($AM$2:$AM$921),3),AM611)</f>
        <v>0.577</v>
      </c>
      <c r="BE611" s="9" t="n">
        <f aca="false">1-BD611</f>
        <v>0.423</v>
      </c>
    </row>
    <row r="612" customFormat="false" ht="14.25" hidden="true" customHeight="false" outlineLevel="0" collapsed="false">
      <c r="A612" s="4" t="n">
        <v>791</v>
      </c>
      <c r="B612" s="5" t="n">
        <v>55086090</v>
      </c>
      <c r="C612" s="5" t="s">
        <v>149</v>
      </c>
      <c r="D612" s="5" t="s">
        <v>2228</v>
      </c>
      <c r="E612" s="5" t="s">
        <v>1127</v>
      </c>
      <c r="F612" s="5" t="s">
        <v>2224</v>
      </c>
      <c r="G612" s="5" t="s">
        <v>2225</v>
      </c>
      <c r="H612" s="5" t="s">
        <v>2226</v>
      </c>
      <c r="I612" s="5" t="s">
        <v>63</v>
      </c>
      <c r="J612" s="5" t="s">
        <v>100</v>
      </c>
      <c r="K612" s="5" t="s">
        <v>309</v>
      </c>
      <c r="L612" s="6" t="n">
        <v>45224</v>
      </c>
      <c r="M612" s="5" t="s">
        <v>353</v>
      </c>
      <c r="N612" s="6" t="n">
        <v>37436</v>
      </c>
      <c r="O612" s="5" t="s">
        <v>585</v>
      </c>
      <c r="P612" s="5" t="s">
        <v>586</v>
      </c>
      <c r="Q612" s="5" t="s">
        <v>195</v>
      </c>
      <c r="R612" s="5" t="s">
        <v>115</v>
      </c>
      <c r="S612" s="5" t="s">
        <v>195</v>
      </c>
      <c r="T612" s="6"/>
      <c r="U612" s="6"/>
      <c r="V612" s="5"/>
      <c r="W612" s="5"/>
      <c r="X612" s="5" t="s">
        <v>631</v>
      </c>
      <c r="Y612" s="5" t="s">
        <v>141</v>
      </c>
      <c r="Z612" s="5" t="s">
        <v>141</v>
      </c>
      <c r="AA612" s="5" t="s">
        <v>2218</v>
      </c>
      <c r="AB612" s="0" t="n">
        <f aca="false">IFERROR(VALUE(R612),0)</f>
        <v>0</v>
      </c>
      <c r="AC612" s="0" t="n">
        <f aca="false">IFERROR(VALUE(M612),"")</f>
        <v>23.11</v>
      </c>
      <c r="AD612" s="0" t="n">
        <f aca="false">IFERROR(VALUE(Q612),"")</f>
        <v>2.7</v>
      </c>
      <c r="AE612" s="0" t="n">
        <f aca="false">IFERROR(VALUE(S612),"")</f>
        <v>2.7</v>
      </c>
      <c r="AF612" s="0" t="str">
        <f aca="false">IF(V612="","",VLOOKUP(V612,Assumptions!$B$6:$C$9,2,FALSE()))</f>
        <v/>
      </c>
      <c r="AG612" s="0" t="str">
        <f aca="false">IF(W612="","",VLOOKUP(W612,Assumptions!$B$6:$C$9,2,FALSE()))</f>
        <v/>
      </c>
      <c r="AH612" s="0" t="n">
        <f aca="false">IF(X612="","",VLOOKUP(X612,Assumptions!$B$6:$C$9,2,FALSE()))</f>
        <v>2</v>
      </c>
      <c r="AI612" s="0" t="n">
        <f aca="false">IF(Y612="","",VLOOKUP(Y612,Assumptions!$B$6:$C$9,2,FALSE()))</f>
        <v>3</v>
      </c>
      <c r="AJ612" s="0" t="n">
        <f aca="false">IF(Z612="","",VLOOKUP(Z612,Assumptions!$B$6:$C$9,2,FALSE()))</f>
        <v>3</v>
      </c>
      <c r="AK612" s="7" t="n">
        <f aca="false">IFERROR(ROUND(AVERAGE(AF612:AJ612),3),"")</f>
        <v>2.667</v>
      </c>
      <c r="AL612" s="7" t="str">
        <f aca="false">IF(OR(AF612="",AJ612=""),"",AJ612-AF612)</f>
        <v/>
      </c>
      <c r="AM612" s="7" t="n">
        <f aca="false">IF(COUNT(AF612:AJ612)&gt;=2,ROUND(_xlfn.STDEV.S(AF612:AJ612),3),"")</f>
        <v>0.577</v>
      </c>
      <c r="AN612" s="7" t="n">
        <f aca="false">ROUND((IF(AF612="",0,AF612)*Assumptions!$F$15)+(IF(AG612="",0,AG612)*Assumptions!$F$16)+(IF(AH612="",0,AH612)*Assumptions!$F$17)+(IF(AI612="",0,AI612)*Assumptions!$F$18)+(IF(AJ612="",0,AJ612)*Assumptions!$F$19),3)</f>
        <v>2.05</v>
      </c>
      <c r="AO612" s="0" t="str">
        <f aca="false">IF(AC612&lt;=20,"",IF(AC612&lt;=Assumptions!$F$6,"20-30",IF(AC612&lt;=Assumptions!$F$7,"30-40",IF(AC612&lt;=Assumptions!$F$8,"40-50",IF(AC612&lt;=Assumptions!$F$9,"50-60",IF(AC612&lt;=Assumptions!$F$10,"60+",""))))))</f>
        <v>20-30</v>
      </c>
      <c r="AP612" s="0" t="str">
        <f aca="false">IFERROR(VLOOKUP(O612,Assumptions!$B$14:$C$26,2,FALSE()),"Other")</f>
        <v>Manager</v>
      </c>
      <c r="AQ612" s="0" t="n">
        <f aca="false">IF(T612="",0,1)</f>
        <v>0</v>
      </c>
      <c r="AR612" s="0" t="n">
        <f aca="false">IF(U612="",0,1)</f>
        <v>0</v>
      </c>
      <c r="AS612" s="8" t="n">
        <f aca="false">IF(AK612="","",IF(MAX($AK$2:$AK$921)=MIN($AK$2:$AK$921),50,ROUND((AK612-MIN($AK$2:$AK$921))/(MAX($AK$2:$AK$921)-MIN($AK$2:$AK$921))*100,2)))</f>
        <v>42.86</v>
      </c>
      <c r="AT612" s="8" t="n">
        <f aca="false">IF(MAX($BC$2:$BC$921)=MIN($BC$2:$BC$921),50,ROUND((BC612-MIN($BC$2:$BC$921))/(MAX($BC$2:$BC$921)-MIN($BC$2:$BC$921))*100,2))</f>
        <v>50</v>
      </c>
      <c r="AU612" s="8" t="n">
        <f aca="false">IF(MAX($BE$2:$BE$921)=MIN($BE$2:$BE$921),50,ROUND((BE612-MIN($BE$2:$BE$921))/(MAX($BE$2:$BE$921)-MIN($BE$2:$BE$921))*100,2))</f>
        <v>66.69</v>
      </c>
      <c r="AV612" s="8" t="n">
        <f aca="false">IF(MAX($AD$2:$AD$921)=MIN($AD$2:$AD$921),50,ROUND((AD612-MIN($AD$2:$AD$921))/(MAX($AD$2:$AD$921)-MIN($AD$2:$AD$921))*100,2))</f>
        <v>7.04</v>
      </c>
      <c r="AW612" s="8" t="n">
        <f aca="false">IF(MAX($AN$2:$AN$921)=MIN($AN$2:$AN$921),50,ROUND((AN612-MIN($AN$2:$AN$921))/(MAX($AN$2:$AN$921)-MIN($AN$2:$AN$921))*100,2))</f>
        <v>51.25</v>
      </c>
      <c r="AX612" s="8" t="n">
        <f aca="false">AQ612*100</f>
        <v>0</v>
      </c>
      <c r="AY612" s="8" t="n">
        <f aca="false">AR612*100</f>
        <v>0</v>
      </c>
      <c r="AZ612" s="8" t="n">
        <f aca="false">IFERROR(ROUND(AS612*Assumptions!$I$6+AW612*Assumptions!$I$7+AT612*Assumptions!$I$8+AU612*Assumptions!$I$9+AV612*Assumptions!$I$10+AX612*Assumptions!$I$11+AY612*Assumptions!$I$12,2),"")</f>
        <v>41.32</v>
      </c>
      <c r="BA612" s="0" t="str">
        <f aca="false">IF(AZ612="","",IF(AZ612&lt;=Assumptions!$I$18,"Below Expectation",IF(AZ612&lt;=Assumptions!$I$19,"Developing",IF(AZ612&lt;=Assumptions!$I$20,"Meets Expectation",IF(AZ612&lt;=Assumptions!$I$21,"Exceeds","Star Performer")))))</f>
        <v>Developing</v>
      </c>
      <c r="BB612" s="0" t="n">
        <f aca="false">IF(AZ612="",0,IF(AZ612&gt;=Assumptions!$I$26,1,0))</f>
        <v>0</v>
      </c>
      <c r="BC612" s="9" t="n">
        <f aca="false">IF(AL612="",2,AL612+2)</f>
        <v>2</v>
      </c>
      <c r="BD612" s="10" t="n">
        <f aca="false">IF(AM612="",ROUND(AVERAGE($AM$2:$AM$921),3),AM612)</f>
        <v>0.577</v>
      </c>
      <c r="BE612" s="9" t="n">
        <f aca="false">1-BD612</f>
        <v>0.423</v>
      </c>
    </row>
    <row r="613" customFormat="false" ht="14.25" hidden="false" customHeight="false" outlineLevel="0" collapsed="false">
      <c r="A613" s="4" t="n">
        <v>792</v>
      </c>
      <c r="B613" s="5" t="n">
        <v>55086130</v>
      </c>
      <c r="C613" s="5" t="s">
        <v>106</v>
      </c>
      <c r="D613" s="5" t="s">
        <v>2229</v>
      </c>
      <c r="E613" s="5" t="s">
        <v>108</v>
      </c>
      <c r="F613" s="5" t="s">
        <v>590</v>
      </c>
      <c r="G613" s="5" t="s">
        <v>589</v>
      </c>
      <c r="H613" s="5" t="s">
        <v>590</v>
      </c>
      <c r="I613" s="5" t="s">
        <v>63</v>
      </c>
      <c r="J613" s="5" t="s">
        <v>112</v>
      </c>
      <c r="K613" s="5" t="s">
        <v>309</v>
      </c>
      <c r="L613" s="6" t="n">
        <v>45224</v>
      </c>
      <c r="M613" s="5" t="s">
        <v>578</v>
      </c>
      <c r="N613" s="6" t="n">
        <v>37325</v>
      </c>
      <c r="O613" s="5" t="s">
        <v>1264</v>
      </c>
      <c r="P613" s="5" t="s">
        <v>1559</v>
      </c>
      <c r="Q613" s="5" t="s">
        <v>195</v>
      </c>
      <c r="R613" s="5" t="s">
        <v>115</v>
      </c>
      <c r="S613" s="5" t="s">
        <v>195</v>
      </c>
      <c r="T613" s="6"/>
      <c r="U613" s="6"/>
      <c r="V613" s="5"/>
      <c r="W613" s="5"/>
      <c r="X613" s="5" t="s">
        <v>631</v>
      </c>
      <c r="Y613" s="5" t="s">
        <v>141</v>
      </c>
      <c r="Z613" s="5" t="s">
        <v>141</v>
      </c>
      <c r="AA613" s="5" t="s">
        <v>2230</v>
      </c>
      <c r="AB613" s="0" t="n">
        <f aca="false">IFERROR(VALUE(R613),0)</f>
        <v>0</v>
      </c>
      <c r="AC613" s="0" t="n">
        <f aca="false">IFERROR(VALUE(M613),"")</f>
        <v>24.2</v>
      </c>
      <c r="AD613" s="0" t="n">
        <f aca="false">IFERROR(VALUE(Q613),"")</f>
        <v>2.7</v>
      </c>
      <c r="AE613" s="0" t="n">
        <f aca="false">IFERROR(VALUE(S613),"")</f>
        <v>2.7</v>
      </c>
      <c r="AF613" s="0" t="str">
        <f aca="false">IF(V613="","",VLOOKUP(V613,Assumptions!$B$6:$C$9,2,FALSE()))</f>
        <v/>
      </c>
      <c r="AG613" s="0" t="str">
        <f aca="false">IF(W613="","",VLOOKUP(W613,Assumptions!$B$6:$C$9,2,FALSE()))</f>
        <v/>
      </c>
      <c r="AH613" s="0" t="n">
        <f aca="false">IF(X613="","",VLOOKUP(X613,Assumptions!$B$6:$C$9,2,FALSE()))</f>
        <v>2</v>
      </c>
      <c r="AI613" s="0" t="n">
        <f aca="false">IF(Y613="","",VLOOKUP(Y613,Assumptions!$B$6:$C$9,2,FALSE()))</f>
        <v>3</v>
      </c>
      <c r="AJ613" s="0" t="n">
        <f aca="false">IF(Z613="","",VLOOKUP(Z613,Assumptions!$B$6:$C$9,2,FALSE()))</f>
        <v>3</v>
      </c>
      <c r="AK613" s="7" t="n">
        <f aca="false">IFERROR(ROUND(AVERAGE(AF613:AJ613),3),"")</f>
        <v>2.667</v>
      </c>
      <c r="AL613" s="7" t="str">
        <f aca="false">IF(OR(AF613="",AJ613=""),"",AJ613-AF613)</f>
        <v/>
      </c>
      <c r="AM613" s="7" t="n">
        <f aca="false">IF(COUNT(AF613:AJ613)&gt;=2,ROUND(_xlfn.STDEV.S(AF613:AJ613),3),"")</f>
        <v>0.577</v>
      </c>
      <c r="AN613" s="7" t="n">
        <f aca="false">ROUND((IF(AF613="",0,AF613)*Assumptions!$F$15)+(IF(AG613="",0,AG613)*Assumptions!$F$16)+(IF(AH613="",0,AH613)*Assumptions!$F$17)+(IF(AI613="",0,AI613)*Assumptions!$F$18)+(IF(AJ613="",0,AJ613)*Assumptions!$F$19),3)</f>
        <v>2.05</v>
      </c>
      <c r="AO613" s="0" t="str">
        <f aca="false">IF(AC613&lt;=20,"",IF(AC613&lt;=Assumptions!$F$6,"20-30",IF(AC613&lt;=Assumptions!$F$7,"30-40",IF(AC613&lt;=Assumptions!$F$8,"40-50",IF(AC613&lt;=Assumptions!$F$9,"50-60",IF(AC613&lt;=Assumptions!$F$10,"60+",""))))))</f>
        <v>20-30</v>
      </c>
      <c r="AP613" s="0" t="str">
        <f aca="false">IFERROR(VLOOKUP(O613,Assumptions!$B$14:$C$26,2,FALSE()),"Other")</f>
        <v>Manager</v>
      </c>
      <c r="AQ613" s="0" t="n">
        <f aca="false">IF(T613="",0,1)</f>
        <v>0</v>
      </c>
      <c r="AR613" s="0" t="n">
        <f aca="false">IF(U613="",0,1)</f>
        <v>0</v>
      </c>
      <c r="AS613" s="8" t="n">
        <f aca="false">IF(AK613="","",IF(MAX($AK$2:$AK$921)=MIN($AK$2:$AK$921),50,ROUND((AK613-MIN($AK$2:$AK$921))/(MAX($AK$2:$AK$921)-MIN($AK$2:$AK$921))*100,2)))</f>
        <v>42.86</v>
      </c>
      <c r="AT613" s="8" t="n">
        <f aca="false">IF(MAX($BC$2:$BC$921)=MIN($BC$2:$BC$921),50,ROUND((BC613-MIN($BC$2:$BC$921))/(MAX($BC$2:$BC$921)-MIN($BC$2:$BC$921))*100,2))</f>
        <v>50</v>
      </c>
      <c r="AU613" s="8" t="n">
        <f aca="false">IF(MAX($BE$2:$BE$921)=MIN($BE$2:$BE$921),50,ROUND((BE613-MIN($BE$2:$BE$921))/(MAX($BE$2:$BE$921)-MIN($BE$2:$BE$921))*100,2))</f>
        <v>66.69</v>
      </c>
      <c r="AV613" s="8" t="n">
        <f aca="false">IF(MAX($AD$2:$AD$921)=MIN($AD$2:$AD$921),50,ROUND((AD613-MIN($AD$2:$AD$921))/(MAX($AD$2:$AD$921)-MIN($AD$2:$AD$921))*100,2))</f>
        <v>7.04</v>
      </c>
      <c r="AW613" s="8" t="n">
        <f aca="false">IF(MAX($AN$2:$AN$921)=MIN($AN$2:$AN$921),50,ROUND((AN613-MIN($AN$2:$AN$921))/(MAX($AN$2:$AN$921)-MIN($AN$2:$AN$921))*100,2))</f>
        <v>51.25</v>
      </c>
      <c r="AX613" s="8" t="n">
        <f aca="false">AQ613*100</f>
        <v>0</v>
      </c>
      <c r="AY613" s="8" t="n">
        <f aca="false">AR613*100</f>
        <v>0</v>
      </c>
      <c r="AZ613" s="8" t="n">
        <f aca="false">IFERROR(ROUND(AS613*Assumptions!$I$6+AW613*Assumptions!$I$7+AT613*Assumptions!$I$8+AU613*Assumptions!$I$9+AV613*Assumptions!$I$10+AX613*Assumptions!$I$11+AY613*Assumptions!$I$12,2),"")</f>
        <v>41.32</v>
      </c>
      <c r="BA613" s="0" t="str">
        <f aca="false">IF(AZ613="","",IF(AZ613&lt;=Assumptions!$I$18,"Below Expectation",IF(AZ613&lt;=Assumptions!$I$19,"Developing",IF(AZ613&lt;=Assumptions!$I$20,"Meets Expectation",IF(AZ613&lt;=Assumptions!$I$21,"Exceeds","Star Performer")))))</f>
        <v>Developing</v>
      </c>
      <c r="BB613" s="0" t="n">
        <f aca="false">IF(AZ613="",0,IF(AZ613&gt;=Assumptions!$I$26,1,0))</f>
        <v>0</v>
      </c>
      <c r="BC613" s="9" t="n">
        <f aca="false">IF(AL613="",2,AL613+2)</f>
        <v>2</v>
      </c>
      <c r="BD613" s="10" t="n">
        <f aca="false">IF(AM613="",ROUND(AVERAGE($AM$2:$AM$921),3),AM613)</f>
        <v>0.577</v>
      </c>
      <c r="BE613" s="9" t="n">
        <f aca="false">1-BD613</f>
        <v>0.423</v>
      </c>
    </row>
    <row r="614" customFormat="false" ht="14.25" hidden="true" customHeight="false" outlineLevel="0" collapsed="false">
      <c r="A614" s="4" t="n">
        <v>793</v>
      </c>
      <c r="B614" s="5" t="n">
        <v>55086157</v>
      </c>
      <c r="C614" s="5" t="s">
        <v>149</v>
      </c>
      <c r="D614" s="5" t="s">
        <v>2231</v>
      </c>
      <c r="E614" s="5" t="s">
        <v>718</v>
      </c>
      <c r="F614" s="5" t="s">
        <v>2224</v>
      </c>
      <c r="G614" s="5" t="s">
        <v>2225</v>
      </c>
      <c r="H614" s="5" t="s">
        <v>2226</v>
      </c>
      <c r="I614" s="5" t="s">
        <v>63</v>
      </c>
      <c r="J614" s="5" t="s">
        <v>100</v>
      </c>
      <c r="K614" s="5" t="s">
        <v>309</v>
      </c>
      <c r="L614" s="6" t="n">
        <v>45224</v>
      </c>
      <c r="M614" s="5" t="s">
        <v>230</v>
      </c>
      <c r="N614" s="6" t="n">
        <v>36900</v>
      </c>
      <c r="O614" s="5" t="s">
        <v>585</v>
      </c>
      <c r="P614" s="5" t="s">
        <v>586</v>
      </c>
      <c r="Q614" s="5" t="s">
        <v>195</v>
      </c>
      <c r="R614" s="5" t="s">
        <v>115</v>
      </c>
      <c r="S614" s="5" t="s">
        <v>195</v>
      </c>
      <c r="T614" s="6"/>
      <c r="U614" s="6"/>
      <c r="V614" s="5"/>
      <c r="W614" s="5"/>
      <c r="X614" s="5" t="s">
        <v>631</v>
      </c>
      <c r="Y614" s="5" t="s">
        <v>141</v>
      </c>
      <c r="Z614" s="5" t="s">
        <v>141</v>
      </c>
      <c r="AA614" s="5" t="s">
        <v>2232</v>
      </c>
      <c r="AB614" s="0" t="n">
        <f aca="false">IFERROR(VALUE(R614),0)</f>
        <v>0</v>
      </c>
      <c r="AC614" s="0" t="n">
        <f aca="false">IFERROR(VALUE(M614),"")</f>
        <v>25.4</v>
      </c>
      <c r="AD614" s="0" t="n">
        <f aca="false">IFERROR(VALUE(Q614),"")</f>
        <v>2.7</v>
      </c>
      <c r="AE614" s="0" t="n">
        <f aca="false">IFERROR(VALUE(S614),"")</f>
        <v>2.7</v>
      </c>
      <c r="AF614" s="0" t="str">
        <f aca="false">IF(V614="","",VLOOKUP(V614,Assumptions!$B$6:$C$9,2,FALSE()))</f>
        <v/>
      </c>
      <c r="AG614" s="0" t="str">
        <f aca="false">IF(W614="","",VLOOKUP(W614,Assumptions!$B$6:$C$9,2,FALSE()))</f>
        <v/>
      </c>
      <c r="AH614" s="0" t="n">
        <f aca="false">IF(X614="","",VLOOKUP(X614,Assumptions!$B$6:$C$9,2,FALSE()))</f>
        <v>2</v>
      </c>
      <c r="AI614" s="0" t="n">
        <f aca="false">IF(Y614="","",VLOOKUP(Y614,Assumptions!$B$6:$C$9,2,FALSE()))</f>
        <v>3</v>
      </c>
      <c r="AJ614" s="0" t="n">
        <f aca="false">IF(Z614="","",VLOOKUP(Z614,Assumptions!$B$6:$C$9,2,FALSE()))</f>
        <v>3</v>
      </c>
      <c r="AK614" s="7" t="n">
        <f aca="false">IFERROR(ROUND(AVERAGE(AF614:AJ614),3),"")</f>
        <v>2.667</v>
      </c>
      <c r="AL614" s="7" t="str">
        <f aca="false">IF(OR(AF614="",AJ614=""),"",AJ614-AF614)</f>
        <v/>
      </c>
      <c r="AM614" s="7" t="n">
        <f aca="false">IF(COUNT(AF614:AJ614)&gt;=2,ROUND(_xlfn.STDEV.S(AF614:AJ614),3),"")</f>
        <v>0.577</v>
      </c>
      <c r="AN614" s="7" t="n">
        <f aca="false">ROUND((IF(AF614="",0,AF614)*Assumptions!$F$15)+(IF(AG614="",0,AG614)*Assumptions!$F$16)+(IF(AH614="",0,AH614)*Assumptions!$F$17)+(IF(AI614="",0,AI614)*Assumptions!$F$18)+(IF(AJ614="",0,AJ614)*Assumptions!$F$19),3)</f>
        <v>2.05</v>
      </c>
      <c r="AO614" s="0" t="str">
        <f aca="false">IF(AC614&lt;=20,"",IF(AC614&lt;=Assumptions!$F$6,"20-30",IF(AC614&lt;=Assumptions!$F$7,"30-40",IF(AC614&lt;=Assumptions!$F$8,"40-50",IF(AC614&lt;=Assumptions!$F$9,"50-60",IF(AC614&lt;=Assumptions!$F$10,"60+",""))))))</f>
        <v>20-30</v>
      </c>
      <c r="AP614" s="0" t="str">
        <f aca="false">IFERROR(VLOOKUP(O614,Assumptions!$B$14:$C$26,2,FALSE()),"Other")</f>
        <v>Manager</v>
      </c>
      <c r="AQ614" s="0" t="n">
        <f aca="false">IF(T614="",0,1)</f>
        <v>0</v>
      </c>
      <c r="AR614" s="0" t="n">
        <f aca="false">IF(U614="",0,1)</f>
        <v>0</v>
      </c>
      <c r="AS614" s="8" t="n">
        <f aca="false">IF(AK614="","",IF(MAX($AK$2:$AK$921)=MIN($AK$2:$AK$921),50,ROUND((AK614-MIN($AK$2:$AK$921))/(MAX($AK$2:$AK$921)-MIN($AK$2:$AK$921))*100,2)))</f>
        <v>42.86</v>
      </c>
      <c r="AT614" s="8" t="n">
        <f aca="false">IF(MAX($BC$2:$BC$921)=MIN($BC$2:$BC$921),50,ROUND((BC614-MIN($BC$2:$BC$921))/(MAX($BC$2:$BC$921)-MIN($BC$2:$BC$921))*100,2))</f>
        <v>50</v>
      </c>
      <c r="AU614" s="8" t="n">
        <f aca="false">IF(MAX($BE$2:$BE$921)=MIN($BE$2:$BE$921),50,ROUND((BE614-MIN($BE$2:$BE$921))/(MAX($BE$2:$BE$921)-MIN($BE$2:$BE$921))*100,2))</f>
        <v>66.69</v>
      </c>
      <c r="AV614" s="8" t="n">
        <f aca="false">IF(MAX($AD$2:$AD$921)=MIN($AD$2:$AD$921),50,ROUND((AD614-MIN($AD$2:$AD$921))/(MAX($AD$2:$AD$921)-MIN($AD$2:$AD$921))*100,2))</f>
        <v>7.04</v>
      </c>
      <c r="AW614" s="8" t="n">
        <f aca="false">IF(MAX($AN$2:$AN$921)=MIN($AN$2:$AN$921),50,ROUND((AN614-MIN($AN$2:$AN$921))/(MAX($AN$2:$AN$921)-MIN($AN$2:$AN$921))*100,2))</f>
        <v>51.25</v>
      </c>
      <c r="AX614" s="8" t="n">
        <f aca="false">AQ614*100</f>
        <v>0</v>
      </c>
      <c r="AY614" s="8" t="n">
        <f aca="false">AR614*100</f>
        <v>0</v>
      </c>
      <c r="AZ614" s="8" t="n">
        <f aca="false">IFERROR(ROUND(AS614*Assumptions!$I$6+AW614*Assumptions!$I$7+AT614*Assumptions!$I$8+AU614*Assumptions!$I$9+AV614*Assumptions!$I$10+AX614*Assumptions!$I$11+AY614*Assumptions!$I$12,2),"")</f>
        <v>41.32</v>
      </c>
      <c r="BA614" s="0" t="str">
        <f aca="false">IF(AZ614="","",IF(AZ614&lt;=Assumptions!$I$18,"Below Expectation",IF(AZ614&lt;=Assumptions!$I$19,"Developing",IF(AZ614&lt;=Assumptions!$I$20,"Meets Expectation",IF(AZ614&lt;=Assumptions!$I$21,"Exceeds","Star Performer")))))</f>
        <v>Developing</v>
      </c>
      <c r="BB614" s="0" t="n">
        <f aca="false">IF(AZ614="",0,IF(AZ614&gt;=Assumptions!$I$26,1,0))</f>
        <v>0</v>
      </c>
      <c r="BC614" s="9" t="n">
        <f aca="false">IF(AL614="",2,AL614+2)</f>
        <v>2</v>
      </c>
      <c r="BD614" s="10" t="n">
        <f aca="false">IF(AM614="",ROUND(AVERAGE($AM$2:$AM$921),3),AM614)</f>
        <v>0.577</v>
      </c>
      <c r="BE614" s="9" t="n">
        <f aca="false">1-BD614</f>
        <v>0.423</v>
      </c>
    </row>
    <row r="615" customFormat="false" ht="14.25" hidden="true" customHeight="false" outlineLevel="0" collapsed="false">
      <c r="A615" s="4" t="n">
        <v>801</v>
      </c>
      <c r="B615" s="5" t="n">
        <v>55086325</v>
      </c>
      <c r="C615" s="5" t="s">
        <v>666</v>
      </c>
      <c r="D615" s="5" t="s">
        <v>2233</v>
      </c>
      <c r="E615" s="5" t="s">
        <v>841</v>
      </c>
      <c r="F615" s="5" t="s">
        <v>465</v>
      </c>
      <c r="G615" s="5" t="s">
        <v>464</v>
      </c>
      <c r="H615" s="5" t="s">
        <v>465</v>
      </c>
      <c r="I615" s="5" t="s">
        <v>63</v>
      </c>
      <c r="J615" s="5" t="s">
        <v>100</v>
      </c>
      <c r="K615" s="5" t="s">
        <v>309</v>
      </c>
      <c r="L615" s="6" t="n">
        <v>45224</v>
      </c>
      <c r="M615" s="5" t="s">
        <v>910</v>
      </c>
      <c r="N615" s="6" t="n">
        <v>37060</v>
      </c>
      <c r="O615" s="5" t="s">
        <v>585</v>
      </c>
      <c r="P615" s="5" t="s">
        <v>586</v>
      </c>
      <c r="Q615" s="5" t="s">
        <v>195</v>
      </c>
      <c r="R615" s="5" t="s">
        <v>115</v>
      </c>
      <c r="S615" s="5" t="s">
        <v>195</v>
      </c>
      <c r="T615" s="6"/>
      <c r="U615" s="6"/>
      <c r="V615" s="5"/>
      <c r="W615" s="5"/>
      <c r="X615" s="5" t="s">
        <v>631</v>
      </c>
      <c r="Y615" s="5" t="s">
        <v>141</v>
      </c>
      <c r="Z615" s="5" t="s">
        <v>141</v>
      </c>
      <c r="AA615" s="5" t="s">
        <v>2234</v>
      </c>
      <c r="AB615" s="0" t="n">
        <f aca="false">IFERROR(VALUE(R615),0)</f>
        <v>0</v>
      </c>
      <c r="AC615" s="0" t="n">
        <f aca="false">IFERROR(VALUE(M615),"")</f>
        <v>24.11</v>
      </c>
      <c r="AD615" s="0" t="n">
        <f aca="false">IFERROR(VALUE(Q615),"")</f>
        <v>2.7</v>
      </c>
      <c r="AE615" s="0" t="n">
        <f aca="false">IFERROR(VALUE(S615),"")</f>
        <v>2.7</v>
      </c>
      <c r="AF615" s="0" t="str">
        <f aca="false">IF(V615="","",VLOOKUP(V615,Assumptions!$B$6:$C$9,2,FALSE()))</f>
        <v/>
      </c>
      <c r="AG615" s="0" t="str">
        <f aca="false">IF(W615="","",VLOOKUP(W615,Assumptions!$B$6:$C$9,2,FALSE()))</f>
        <v/>
      </c>
      <c r="AH615" s="0" t="n">
        <f aca="false">IF(X615="","",VLOOKUP(X615,Assumptions!$B$6:$C$9,2,FALSE()))</f>
        <v>2</v>
      </c>
      <c r="AI615" s="0" t="n">
        <f aca="false">IF(Y615="","",VLOOKUP(Y615,Assumptions!$B$6:$C$9,2,FALSE()))</f>
        <v>3</v>
      </c>
      <c r="AJ615" s="0" t="n">
        <f aca="false">IF(Z615="","",VLOOKUP(Z615,Assumptions!$B$6:$C$9,2,FALSE()))</f>
        <v>3</v>
      </c>
      <c r="AK615" s="7" t="n">
        <f aca="false">IFERROR(ROUND(AVERAGE(AF615:AJ615),3),"")</f>
        <v>2.667</v>
      </c>
      <c r="AL615" s="7" t="str">
        <f aca="false">IF(OR(AF615="",AJ615=""),"",AJ615-AF615)</f>
        <v/>
      </c>
      <c r="AM615" s="7" t="n">
        <f aca="false">IF(COUNT(AF615:AJ615)&gt;=2,ROUND(_xlfn.STDEV.S(AF615:AJ615),3),"")</f>
        <v>0.577</v>
      </c>
      <c r="AN615" s="7" t="n">
        <f aca="false">ROUND((IF(AF615="",0,AF615)*Assumptions!$F$15)+(IF(AG615="",0,AG615)*Assumptions!$F$16)+(IF(AH615="",0,AH615)*Assumptions!$F$17)+(IF(AI615="",0,AI615)*Assumptions!$F$18)+(IF(AJ615="",0,AJ615)*Assumptions!$F$19),3)</f>
        <v>2.05</v>
      </c>
      <c r="AO615" s="0" t="str">
        <f aca="false">IF(AC615&lt;=20,"",IF(AC615&lt;=Assumptions!$F$6,"20-30",IF(AC615&lt;=Assumptions!$F$7,"30-40",IF(AC615&lt;=Assumptions!$F$8,"40-50",IF(AC615&lt;=Assumptions!$F$9,"50-60",IF(AC615&lt;=Assumptions!$F$10,"60+",""))))))</f>
        <v>20-30</v>
      </c>
      <c r="AP615" s="0" t="str">
        <f aca="false">IFERROR(VLOOKUP(O615,Assumptions!$B$14:$C$26,2,FALSE()),"Other")</f>
        <v>Manager</v>
      </c>
      <c r="AQ615" s="0" t="n">
        <f aca="false">IF(T615="",0,1)</f>
        <v>0</v>
      </c>
      <c r="AR615" s="0" t="n">
        <f aca="false">IF(U615="",0,1)</f>
        <v>0</v>
      </c>
      <c r="AS615" s="8" t="n">
        <f aca="false">IF(AK615="","",IF(MAX($AK$2:$AK$921)=MIN($AK$2:$AK$921),50,ROUND((AK615-MIN($AK$2:$AK$921))/(MAX($AK$2:$AK$921)-MIN($AK$2:$AK$921))*100,2)))</f>
        <v>42.86</v>
      </c>
      <c r="AT615" s="8" t="n">
        <f aca="false">IF(MAX($BC$2:$BC$921)=MIN($BC$2:$BC$921),50,ROUND((BC615-MIN($BC$2:$BC$921))/(MAX($BC$2:$BC$921)-MIN($BC$2:$BC$921))*100,2))</f>
        <v>50</v>
      </c>
      <c r="AU615" s="8" t="n">
        <f aca="false">IF(MAX($BE$2:$BE$921)=MIN($BE$2:$BE$921),50,ROUND((BE615-MIN($BE$2:$BE$921))/(MAX($BE$2:$BE$921)-MIN($BE$2:$BE$921))*100,2))</f>
        <v>66.69</v>
      </c>
      <c r="AV615" s="8" t="n">
        <f aca="false">IF(MAX($AD$2:$AD$921)=MIN($AD$2:$AD$921),50,ROUND((AD615-MIN($AD$2:$AD$921))/(MAX($AD$2:$AD$921)-MIN($AD$2:$AD$921))*100,2))</f>
        <v>7.04</v>
      </c>
      <c r="AW615" s="8" t="n">
        <f aca="false">IF(MAX($AN$2:$AN$921)=MIN($AN$2:$AN$921),50,ROUND((AN615-MIN($AN$2:$AN$921))/(MAX($AN$2:$AN$921)-MIN($AN$2:$AN$921))*100,2))</f>
        <v>51.25</v>
      </c>
      <c r="AX615" s="8" t="n">
        <f aca="false">AQ615*100</f>
        <v>0</v>
      </c>
      <c r="AY615" s="8" t="n">
        <f aca="false">AR615*100</f>
        <v>0</v>
      </c>
      <c r="AZ615" s="8" t="n">
        <f aca="false">IFERROR(ROUND(AS615*Assumptions!$I$6+AW615*Assumptions!$I$7+AT615*Assumptions!$I$8+AU615*Assumptions!$I$9+AV615*Assumptions!$I$10+AX615*Assumptions!$I$11+AY615*Assumptions!$I$12,2),"")</f>
        <v>41.32</v>
      </c>
      <c r="BA615" s="0" t="str">
        <f aca="false">IF(AZ615="","",IF(AZ615&lt;=Assumptions!$I$18,"Below Expectation",IF(AZ615&lt;=Assumptions!$I$19,"Developing",IF(AZ615&lt;=Assumptions!$I$20,"Meets Expectation",IF(AZ615&lt;=Assumptions!$I$21,"Exceeds","Star Performer")))))</f>
        <v>Developing</v>
      </c>
      <c r="BB615" s="0" t="n">
        <f aca="false">IF(AZ615="",0,IF(AZ615&gt;=Assumptions!$I$26,1,0))</f>
        <v>0</v>
      </c>
      <c r="BC615" s="9" t="n">
        <f aca="false">IF(AL615="",2,AL615+2)</f>
        <v>2</v>
      </c>
      <c r="BD615" s="10" t="n">
        <f aca="false">IF(AM615="",ROUND(AVERAGE($AM$2:$AM$921),3),AM615)</f>
        <v>0.577</v>
      </c>
      <c r="BE615" s="9" t="n">
        <f aca="false">1-BD615</f>
        <v>0.423</v>
      </c>
    </row>
    <row r="616" customFormat="false" ht="14.25" hidden="true" customHeight="false" outlineLevel="0" collapsed="false">
      <c r="A616" s="4" t="n">
        <v>803</v>
      </c>
      <c r="B616" s="5" t="n">
        <v>55086347</v>
      </c>
      <c r="C616" s="5" t="s">
        <v>149</v>
      </c>
      <c r="D616" s="5" t="s">
        <v>2235</v>
      </c>
      <c r="E616" s="5" t="s">
        <v>151</v>
      </c>
      <c r="F616" s="5" t="s">
        <v>2224</v>
      </c>
      <c r="G616" s="5" t="s">
        <v>2225</v>
      </c>
      <c r="H616" s="5" t="s">
        <v>2226</v>
      </c>
      <c r="I616" s="5" t="s">
        <v>63</v>
      </c>
      <c r="J616" s="5" t="s">
        <v>100</v>
      </c>
      <c r="K616" s="5" t="s">
        <v>309</v>
      </c>
      <c r="L616" s="6" t="n">
        <v>45224</v>
      </c>
      <c r="M616" s="5" t="s">
        <v>182</v>
      </c>
      <c r="N616" s="6" t="n">
        <v>36351</v>
      </c>
      <c r="O616" s="5" t="s">
        <v>585</v>
      </c>
      <c r="P616" s="5" t="s">
        <v>586</v>
      </c>
      <c r="Q616" s="5" t="s">
        <v>195</v>
      </c>
      <c r="R616" s="5" t="s">
        <v>115</v>
      </c>
      <c r="S616" s="5" t="s">
        <v>195</v>
      </c>
      <c r="T616" s="6"/>
      <c r="U616" s="6"/>
      <c r="V616" s="5"/>
      <c r="W616" s="5"/>
      <c r="X616" s="5" t="s">
        <v>631</v>
      </c>
      <c r="Y616" s="5" t="s">
        <v>141</v>
      </c>
      <c r="Z616" s="5" t="s">
        <v>141</v>
      </c>
      <c r="AA616" s="5" t="s">
        <v>2236</v>
      </c>
      <c r="AB616" s="0" t="n">
        <f aca="false">IFERROR(VALUE(R616),0)</f>
        <v>0</v>
      </c>
      <c r="AC616" s="0" t="n">
        <f aca="false">IFERROR(VALUE(M616),"")</f>
        <v>26.1</v>
      </c>
      <c r="AD616" s="0" t="n">
        <f aca="false">IFERROR(VALUE(Q616),"")</f>
        <v>2.7</v>
      </c>
      <c r="AE616" s="0" t="n">
        <f aca="false">IFERROR(VALUE(S616),"")</f>
        <v>2.7</v>
      </c>
      <c r="AF616" s="0" t="str">
        <f aca="false">IF(V616="","",VLOOKUP(V616,Assumptions!$B$6:$C$9,2,FALSE()))</f>
        <v/>
      </c>
      <c r="AG616" s="0" t="str">
        <f aca="false">IF(W616="","",VLOOKUP(W616,Assumptions!$B$6:$C$9,2,FALSE()))</f>
        <v/>
      </c>
      <c r="AH616" s="0" t="n">
        <f aca="false">IF(X616="","",VLOOKUP(X616,Assumptions!$B$6:$C$9,2,FALSE()))</f>
        <v>2</v>
      </c>
      <c r="AI616" s="0" t="n">
        <f aca="false">IF(Y616="","",VLOOKUP(Y616,Assumptions!$B$6:$C$9,2,FALSE()))</f>
        <v>3</v>
      </c>
      <c r="AJ616" s="0" t="n">
        <f aca="false">IF(Z616="","",VLOOKUP(Z616,Assumptions!$B$6:$C$9,2,FALSE()))</f>
        <v>3</v>
      </c>
      <c r="AK616" s="7" t="n">
        <f aca="false">IFERROR(ROUND(AVERAGE(AF616:AJ616),3),"")</f>
        <v>2.667</v>
      </c>
      <c r="AL616" s="7" t="str">
        <f aca="false">IF(OR(AF616="",AJ616=""),"",AJ616-AF616)</f>
        <v/>
      </c>
      <c r="AM616" s="7" t="n">
        <f aca="false">IF(COUNT(AF616:AJ616)&gt;=2,ROUND(_xlfn.STDEV.S(AF616:AJ616),3),"")</f>
        <v>0.577</v>
      </c>
      <c r="AN616" s="7" t="n">
        <f aca="false">ROUND((IF(AF616="",0,AF616)*Assumptions!$F$15)+(IF(AG616="",0,AG616)*Assumptions!$F$16)+(IF(AH616="",0,AH616)*Assumptions!$F$17)+(IF(AI616="",0,AI616)*Assumptions!$F$18)+(IF(AJ616="",0,AJ616)*Assumptions!$F$19),3)</f>
        <v>2.05</v>
      </c>
      <c r="AO616" s="0" t="str">
        <f aca="false">IF(AC616&lt;=20,"",IF(AC616&lt;=Assumptions!$F$6,"20-30",IF(AC616&lt;=Assumptions!$F$7,"30-40",IF(AC616&lt;=Assumptions!$F$8,"40-50",IF(AC616&lt;=Assumptions!$F$9,"50-60",IF(AC616&lt;=Assumptions!$F$10,"60+",""))))))</f>
        <v>20-30</v>
      </c>
      <c r="AP616" s="0" t="str">
        <f aca="false">IFERROR(VLOOKUP(O616,Assumptions!$B$14:$C$26,2,FALSE()),"Other")</f>
        <v>Manager</v>
      </c>
      <c r="AQ616" s="0" t="n">
        <f aca="false">IF(T616="",0,1)</f>
        <v>0</v>
      </c>
      <c r="AR616" s="0" t="n">
        <f aca="false">IF(U616="",0,1)</f>
        <v>0</v>
      </c>
      <c r="AS616" s="8" t="n">
        <f aca="false">IF(AK616="","",IF(MAX($AK$2:$AK$921)=MIN($AK$2:$AK$921),50,ROUND((AK616-MIN($AK$2:$AK$921))/(MAX($AK$2:$AK$921)-MIN($AK$2:$AK$921))*100,2)))</f>
        <v>42.86</v>
      </c>
      <c r="AT616" s="8" t="n">
        <f aca="false">IF(MAX($BC$2:$BC$921)=MIN($BC$2:$BC$921),50,ROUND((BC616-MIN($BC$2:$BC$921))/(MAX($BC$2:$BC$921)-MIN($BC$2:$BC$921))*100,2))</f>
        <v>50</v>
      </c>
      <c r="AU616" s="8" t="n">
        <f aca="false">IF(MAX($BE$2:$BE$921)=MIN($BE$2:$BE$921),50,ROUND((BE616-MIN($BE$2:$BE$921))/(MAX($BE$2:$BE$921)-MIN($BE$2:$BE$921))*100,2))</f>
        <v>66.69</v>
      </c>
      <c r="AV616" s="8" t="n">
        <f aca="false">IF(MAX($AD$2:$AD$921)=MIN($AD$2:$AD$921),50,ROUND((AD616-MIN($AD$2:$AD$921))/(MAX($AD$2:$AD$921)-MIN($AD$2:$AD$921))*100,2))</f>
        <v>7.04</v>
      </c>
      <c r="AW616" s="8" t="n">
        <f aca="false">IF(MAX($AN$2:$AN$921)=MIN($AN$2:$AN$921),50,ROUND((AN616-MIN($AN$2:$AN$921))/(MAX($AN$2:$AN$921)-MIN($AN$2:$AN$921))*100,2))</f>
        <v>51.25</v>
      </c>
      <c r="AX616" s="8" t="n">
        <f aca="false">AQ616*100</f>
        <v>0</v>
      </c>
      <c r="AY616" s="8" t="n">
        <f aca="false">AR616*100</f>
        <v>0</v>
      </c>
      <c r="AZ616" s="8" t="n">
        <f aca="false">IFERROR(ROUND(AS616*Assumptions!$I$6+AW616*Assumptions!$I$7+AT616*Assumptions!$I$8+AU616*Assumptions!$I$9+AV616*Assumptions!$I$10+AX616*Assumptions!$I$11+AY616*Assumptions!$I$12,2),"")</f>
        <v>41.32</v>
      </c>
      <c r="BA616" s="0" t="str">
        <f aca="false">IF(AZ616="","",IF(AZ616&lt;=Assumptions!$I$18,"Below Expectation",IF(AZ616&lt;=Assumptions!$I$19,"Developing",IF(AZ616&lt;=Assumptions!$I$20,"Meets Expectation",IF(AZ616&lt;=Assumptions!$I$21,"Exceeds","Star Performer")))))</f>
        <v>Developing</v>
      </c>
      <c r="BB616" s="0" t="n">
        <f aca="false">IF(AZ616="",0,IF(AZ616&gt;=Assumptions!$I$26,1,0))</f>
        <v>0</v>
      </c>
      <c r="BC616" s="9" t="n">
        <f aca="false">IF(AL616="",2,AL616+2)</f>
        <v>2</v>
      </c>
      <c r="BD616" s="10" t="n">
        <f aca="false">IF(AM616="",ROUND(AVERAGE($AM$2:$AM$921),3),AM616)</f>
        <v>0.577</v>
      </c>
      <c r="BE616" s="9" t="n">
        <f aca="false">1-BD616</f>
        <v>0.423</v>
      </c>
    </row>
    <row r="617" customFormat="false" ht="14.25" hidden="false" customHeight="false" outlineLevel="0" collapsed="false">
      <c r="A617" s="4" t="n">
        <v>808</v>
      </c>
      <c r="B617" s="5" t="n">
        <v>55086362</v>
      </c>
      <c r="C617" s="5" t="s">
        <v>106</v>
      </c>
      <c r="D617" s="5" t="s">
        <v>2237</v>
      </c>
      <c r="E617" s="5" t="s">
        <v>108</v>
      </c>
      <c r="F617" s="5" t="s">
        <v>590</v>
      </c>
      <c r="G617" s="5" t="s">
        <v>589</v>
      </c>
      <c r="H617" s="5" t="s">
        <v>590</v>
      </c>
      <c r="I617" s="5" t="s">
        <v>63</v>
      </c>
      <c r="J617" s="5" t="s">
        <v>112</v>
      </c>
      <c r="K617" s="5" t="s">
        <v>309</v>
      </c>
      <c r="L617" s="6" t="n">
        <v>45224</v>
      </c>
      <c r="M617" s="5" t="s">
        <v>536</v>
      </c>
      <c r="N617" s="6" t="n">
        <v>36592</v>
      </c>
      <c r="O617" s="5" t="s">
        <v>1264</v>
      </c>
      <c r="P617" s="5" t="s">
        <v>1559</v>
      </c>
      <c r="Q617" s="5" t="s">
        <v>195</v>
      </c>
      <c r="R617" s="5" t="s">
        <v>115</v>
      </c>
      <c r="S617" s="5" t="s">
        <v>195</v>
      </c>
      <c r="T617" s="6"/>
      <c r="U617" s="6"/>
      <c r="V617" s="5"/>
      <c r="W617" s="5"/>
      <c r="X617" s="5" t="s">
        <v>631</v>
      </c>
      <c r="Y617" s="5" t="s">
        <v>141</v>
      </c>
      <c r="Z617" s="5" t="s">
        <v>141</v>
      </c>
      <c r="AA617" s="5" t="s">
        <v>2238</v>
      </c>
      <c r="AB617" s="0" t="n">
        <f aca="false">IFERROR(VALUE(R617),0)</f>
        <v>0</v>
      </c>
      <c r="AC617" s="0" t="n">
        <f aca="false">IFERROR(VALUE(M617),"")</f>
        <v>26.3</v>
      </c>
      <c r="AD617" s="0" t="n">
        <f aca="false">IFERROR(VALUE(Q617),"")</f>
        <v>2.7</v>
      </c>
      <c r="AE617" s="0" t="n">
        <f aca="false">IFERROR(VALUE(S617),"")</f>
        <v>2.7</v>
      </c>
      <c r="AF617" s="0" t="str">
        <f aca="false">IF(V617="","",VLOOKUP(V617,Assumptions!$B$6:$C$9,2,FALSE()))</f>
        <v/>
      </c>
      <c r="AG617" s="0" t="str">
        <f aca="false">IF(W617="","",VLOOKUP(W617,Assumptions!$B$6:$C$9,2,FALSE()))</f>
        <v/>
      </c>
      <c r="AH617" s="0" t="n">
        <f aca="false">IF(X617="","",VLOOKUP(X617,Assumptions!$B$6:$C$9,2,FALSE()))</f>
        <v>2</v>
      </c>
      <c r="AI617" s="0" t="n">
        <f aca="false">IF(Y617="","",VLOOKUP(Y617,Assumptions!$B$6:$C$9,2,FALSE()))</f>
        <v>3</v>
      </c>
      <c r="AJ617" s="0" t="n">
        <f aca="false">IF(Z617="","",VLOOKUP(Z617,Assumptions!$B$6:$C$9,2,FALSE()))</f>
        <v>3</v>
      </c>
      <c r="AK617" s="7" t="n">
        <f aca="false">IFERROR(ROUND(AVERAGE(AF617:AJ617),3),"")</f>
        <v>2.667</v>
      </c>
      <c r="AL617" s="7" t="str">
        <f aca="false">IF(OR(AF617="",AJ617=""),"",AJ617-AF617)</f>
        <v/>
      </c>
      <c r="AM617" s="7" t="n">
        <f aca="false">IF(COUNT(AF617:AJ617)&gt;=2,ROUND(_xlfn.STDEV.S(AF617:AJ617),3),"")</f>
        <v>0.577</v>
      </c>
      <c r="AN617" s="7" t="n">
        <f aca="false">ROUND((IF(AF617="",0,AF617)*Assumptions!$F$15)+(IF(AG617="",0,AG617)*Assumptions!$F$16)+(IF(AH617="",0,AH617)*Assumptions!$F$17)+(IF(AI617="",0,AI617)*Assumptions!$F$18)+(IF(AJ617="",0,AJ617)*Assumptions!$F$19),3)</f>
        <v>2.05</v>
      </c>
      <c r="AO617" s="0" t="str">
        <f aca="false">IF(AC617&lt;=20,"",IF(AC617&lt;=Assumptions!$F$6,"20-30",IF(AC617&lt;=Assumptions!$F$7,"30-40",IF(AC617&lt;=Assumptions!$F$8,"40-50",IF(AC617&lt;=Assumptions!$F$9,"50-60",IF(AC617&lt;=Assumptions!$F$10,"60+",""))))))</f>
        <v>20-30</v>
      </c>
      <c r="AP617" s="0" t="str">
        <f aca="false">IFERROR(VLOOKUP(O617,Assumptions!$B$14:$C$26,2,FALSE()),"Other")</f>
        <v>Manager</v>
      </c>
      <c r="AQ617" s="0" t="n">
        <f aca="false">IF(T617="",0,1)</f>
        <v>0</v>
      </c>
      <c r="AR617" s="0" t="n">
        <f aca="false">IF(U617="",0,1)</f>
        <v>0</v>
      </c>
      <c r="AS617" s="8" t="n">
        <f aca="false">IF(AK617="","",IF(MAX($AK$2:$AK$921)=MIN($AK$2:$AK$921),50,ROUND((AK617-MIN($AK$2:$AK$921))/(MAX($AK$2:$AK$921)-MIN($AK$2:$AK$921))*100,2)))</f>
        <v>42.86</v>
      </c>
      <c r="AT617" s="8" t="n">
        <f aca="false">IF(MAX($BC$2:$BC$921)=MIN($BC$2:$BC$921),50,ROUND((BC617-MIN($BC$2:$BC$921))/(MAX($BC$2:$BC$921)-MIN($BC$2:$BC$921))*100,2))</f>
        <v>50</v>
      </c>
      <c r="AU617" s="8" t="n">
        <f aca="false">IF(MAX($BE$2:$BE$921)=MIN($BE$2:$BE$921),50,ROUND((BE617-MIN($BE$2:$BE$921))/(MAX($BE$2:$BE$921)-MIN($BE$2:$BE$921))*100,2))</f>
        <v>66.69</v>
      </c>
      <c r="AV617" s="8" t="n">
        <f aca="false">IF(MAX($AD$2:$AD$921)=MIN($AD$2:$AD$921),50,ROUND((AD617-MIN($AD$2:$AD$921))/(MAX($AD$2:$AD$921)-MIN($AD$2:$AD$921))*100,2))</f>
        <v>7.04</v>
      </c>
      <c r="AW617" s="8" t="n">
        <f aca="false">IF(MAX($AN$2:$AN$921)=MIN($AN$2:$AN$921),50,ROUND((AN617-MIN($AN$2:$AN$921))/(MAX($AN$2:$AN$921)-MIN($AN$2:$AN$921))*100,2))</f>
        <v>51.25</v>
      </c>
      <c r="AX617" s="8" t="n">
        <f aca="false">AQ617*100</f>
        <v>0</v>
      </c>
      <c r="AY617" s="8" t="n">
        <f aca="false">AR617*100</f>
        <v>0</v>
      </c>
      <c r="AZ617" s="8" t="n">
        <f aca="false">IFERROR(ROUND(AS617*Assumptions!$I$6+AW617*Assumptions!$I$7+AT617*Assumptions!$I$8+AU617*Assumptions!$I$9+AV617*Assumptions!$I$10+AX617*Assumptions!$I$11+AY617*Assumptions!$I$12,2),"")</f>
        <v>41.32</v>
      </c>
      <c r="BA617" s="0" t="str">
        <f aca="false">IF(AZ617="","",IF(AZ617&lt;=Assumptions!$I$18,"Below Expectation",IF(AZ617&lt;=Assumptions!$I$19,"Developing",IF(AZ617&lt;=Assumptions!$I$20,"Meets Expectation",IF(AZ617&lt;=Assumptions!$I$21,"Exceeds","Star Performer")))))</f>
        <v>Developing</v>
      </c>
      <c r="BB617" s="0" t="n">
        <f aca="false">IF(AZ617="",0,IF(AZ617&gt;=Assumptions!$I$26,1,0))</f>
        <v>0</v>
      </c>
      <c r="BC617" s="9" t="n">
        <f aca="false">IF(AL617="",2,AL617+2)</f>
        <v>2</v>
      </c>
      <c r="BD617" s="10" t="n">
        <f aca="false">IF(AM617="",ROUND(AVERAGE($AM$2:$AM$921),3),AM617)</f>
        <v>0.577</v>
      </c>
      <c r="BE617" s="9" t="n">
        <f aca="false">1-BD617</f>
        <v>0.423</v>
      </c>
    </row>
    <row r="618" customFormat="false" ht="14.25" hidden="true" customHeight="false" outlineLevel="0" collapsed="false">
      <c r="A618" s="4" t="n">
        <v>834</v>
      </c>
      <c r="B618" s="5" t="n">
        <v>55092853</v>
      </c>
      <c r="C618" s="5" t="s">
        <v>526</v>
      </c>
      <c r="D618" s="5" t="s">
        <v>2239</v>
      </c>
      <c r="E618" s="5" t="s">
        <v>528</v>
      </c>
      <c r="F618" s="5" t="s">
        <v>590</v>
      </c>
      <c r="G618" s="5" t="s">
        <v>589</v>
      </c>
      <c r="H618" s="5" t="s">
        <v>590</v>
      </c>
      <c r="I618" s="5" t="s">
        <v>63</v>
      </c>
      <c r="J618" s="5" t="s">
        <v>100</v>
      </c>
      <c r="K618" s="5" t="s">
        <v>65</v>
      </c>
      <c r="L618" s="6" t="n">
        <v>45265</v>
      </c>
      <c r="M618" s="5" t="s">
        <v>1789</v>
      </c>
      <c r="N618" s="6" t="n">
        <v>37117</v>
      </c>
      <c r="O618" s="5" t="s">
        <v>1264</v>
      </c>
      <c r="P618" s="5" t="s">
        <v>1559</v>
      </c>
      <c r="Q618" s="5" t="s">
        <v>412</v>
      </c>
      <c r="R618" s="5" t="s">
        <v>115</v>
      </c>
      <c r="S618" s="5" t="s">
        <v>412</v>
      </c>
      <c r="T618" s="6"/>
      <c r="U618" s="6"/>
      <c r="V618" s="5"/>
      <c r="W618" s="5"/>
      <c r="X618" s="5" t="s">
        <v>631</v>
      </c>
      <c r="Y618" s="5" t="s">
        <v>141</v>
      </c>
      <c r="Z618" s="5" t="s">
        <v>141</v>
      </c>
      <c r="AA618" s="5" t="s">
        <v>2240</v>
      </c>
      <c r="AB618" s="0" t="n">
        <f aca="false">IFERROR(VALUE(R618),0)</f>
        <v>0</v>
      </c>
      <c r="AC618" s="0" t="n">
        <f aca="false">IFERROR(VALUE(M618),"")</f>
        <v>24.9</v>
      </c>
      <c r="AD618" s="0" t="n">
        <f aca="false">IFERROR(VALUE(Q618),"")</f>
        <v>2.6</v>
      </c>
      <c r="AE618" s="0" t="n">
        <f aca="false">IFERROR(VALUE(S618),"")</f>
        <v>2.6</v>
      </c>
      <c r="AF618" s="0" t="str">
        <f aca="false">IF(V618="","",VLOOKUP(V618,Assumptions!$B$6:$C$9,2,FALSE()))</f>
        <v/>
      </c>
      <c r="AG618" s="0" t="str">
        <f aca="false">IF(W618="","",VLOOKUP(W618,Assumptions!$B$6:$C$9,2,FALSE()))</f>
        <v/>
      </c>
      <c r="AH618" s="0" t="n">
        <f aca="false">IF(X618="","",VLOOKUP(X618,Assumptions!$B$6:$C$9,2,FALSE()))</f>
        <v>2</v>
      </c>
      <c r="AI618" s="0" t="n">
        <f aca="false">IF(Y618="","",VLOOKUP(Y618,Assumptions!$B$6:$C$9,2,FALSE()))</f>
        <v>3</v>
      </c>
      <c r="AJ618" s="0" t="n">
        <f aca="false">IF(Z618="","",VLOOKUP(Z618,Assumptions!$B$6:$C$9,2,FALSE()))</f>
        <v>3</v>
      </c>
      <c r="AK618" s="7" t="n">
        <f aca="false">IFERROR(ROUND(AVERAGE(AF618:AJ618),3),"")</f>
        <v>2.667</v>
      </c>
      <c r="AL618" s="7" t="str">
        <f aca="false">IF(OR(AF618="",AJ618=""),"",AJ618-AF618)</f>
        <v/>
      </c>
      <c r="AM618" s="7" t="n">
        <f aca="false">IF(COUNT(AF618:AJ618)&gt;=2,ROUND(_xlfn.STDEV.S(AF618:AJ618),3),"")</f>
        <v>0.577</v>
      </c>
      <c r="AN618" s="7" t="n">
        <f aca="false">ROUND((IF(AF618="",0,AF618)*Assumptions!$F$15)+(IF(AG618="",0,AG618)*Assumptions!$F$16)+(IF(AH618="",0,AH618)*Assumptions!$F$17)+(IF(AI618="",0,AI618)*Assumptions!$F$18)+(IF(AJ618="",0,AJ618)*Assumptions!$F$19),3)</f>
        <v>2.05</v>
      </c>
      <c r="AO618" s="0" t="str">
        <f aca="false">IF(AC618&lt;=20,"",IF(AC618&lt;=Assumptions!$F$6,"20-30",IF(AC618&lt;=Assumptions!$F$7,"30-40",IF(AC618&lt;=Assumptions!$F$8,"40-50",IF(AC618&lt;=Assumptions!$F$9,"50-60",IF(AC618&lt;=Assumptions!$F$10,"60+",""))))))</f>
        <v>20-30</v>
      </c>
      <c r="AP618" s="0" t="str">
        <f aca="false">IFERROR(VLOOKUP(O618,Assumptions!$B$14:$C$26,2,FALSE()),"Other")</f>
        <v>Manager</v>
      </c>
      <c r="AQ618" s="0" t="n">
        <f aca="false">IF(T618="",0,1)</f>
        <v>0</v>
      </c>
      <c r="AR618" s="0" t="n">
        <f aca="false">IF(U618="",0,1)</f>
        <v>0</v>
      </c>
      <c r="AS618" s="8" t="n">
        <f aca="false">IF(AK618="","",IF(MAX($AK$2:$AK$921)=MIN($AK$2:$AK$921),50,ROUND((AK618-MIN($AK$2:$AK$921))/(MAX($AK$2:$AK$921)-MIN($AK$2:$AK$921))*100,2)))</f>
        <v>42.86</v>
      </c>
      <c r="AT618" s="8" t="n">
        <f aca="false">IF(MAX($BC$2:$BC$921)=MIN($BC$2:$BC$921),50,ROUND((BC618-MIN($BC$2:$BC$921))/(MAX($BC$2:$BC$921)-MIN($BC$2:$BC$921))*100,2))</f>
        <v>50</v>
      </c>
      <c r="AU618" s="8" t="n">
        <f aca="false">IF(MAX($BE$2:$BE$921)=MIN($BE$2:$BE$921),50,ROUND((BE618-MIN($BE$2:$BE$921))/(MAX($BE$2:$BE$921)-MIN($BE$2:$BE$921))*100,2))</f>
        <v>66.69</v>
      </c>
      <c r="AV618" s="8" t="n">
        <f aca="false">IF(MAX($AD$2:$AD$921)=MIN($AD$2:$AD$921),50,ROUND((AD618-MIN($AD$2:$AD$921))/(MAX($AD$2:$AD$921)-MIN($AD$2:$AD$921))*100,2))</f>
        <v>6.77</v>
      </c>
      <c r="AW618" s="8" t="n">
        <f aca="false">IF(MAX($AN$2:$AN$921)=MIN($AN$2:$AN$921),50,ROUND((AN618-MIN($AN$2:$AN$921))/(MAX($AN$2:$AN$921)-MIN($AN$2:$AN$921))*100,2))</f>
        <v>51.25</v>
      </c>
      <c r="AX618" s="8" t="n">
        <f aca="false">AQ618*100</f>
        <v>0</v>
      </c>
      <c r="AY618" s="8" t="n">
        <f aca="false">AR618*100</f>
        <v>0</v>
      </c>
      <c r="AZ618" s="8" t="n">
        <f aca="false">IFERROR(ROUND(AS618*Assumptions!$I$6+AW618*Assumptions!$I$7+AT618*Assumptions!$I$8+AU618*Assumptions!$I$9+AV618*Assumptions!$I$10+AX618*Assumptions!$I$11+AY618*Assumptions!$I$12,2),"")</f>
        <v>41.29</v>
      </c>
      <c r="BA618" s="0" t="str">
        <f aca="false">IF(AZ618="","",IF(AZ618&lt;=Assumptions!$I$18,"Below Expectation",IF(AZ618&lt;=Assumptions!$I$19,"Developing",IF(AZ618&lt;=Assumptions!$I$20,"Meets Expectation",IF(AZ618&lt;=Assumptions!$I$21,"Exceeds","Star Performer")))))</f>
        <v>Developing</v>
      </c>
      <c r="BB618" s="0" t="n">
        <f aca="false">IF(AZ618="",0,IF(AZ618&gt;=Assumptions!$I$26,1,0))</f>
        <v>0</v>
      </c>
      <c r="BC618" s="9" t="n">
        <f aca="false">IF(AL618="",2,AL618+2)</f>
        <v>2</v>
      </c>
      <c r="BD618" s="10" t="n">
        <f aca="false">IF(AM618="",ROUND(AVERAGE($AM$2:$AM$921),3),AM618)</f>
        <v>0.577</v>
      </c>
      <c r="BE618" s="9" t="n">
        <f aca="false">1-BD618</f>
        <v>0.423</v>
      </c>
    </row>
    <row r="619" customFormat="false" ht="14.25" hidden="true" customHeight="false" outlineLevel="0" collapsed="false">
      <c r="A619" s="4" t="n">
        <v>837</v>
      </c>
      <c r="B619" s="5" t="n">
        <v>55092885</v>
      </c>
      <c r="C619" s="5" t="s">
        <v>57</v>
      </c>
      <c r="D619" s="5" t="s">
        <v>2241</v>
      </c>
      <c r="E619" s="5" t="s">
        <v>607</v>
      </c>
      <c r="F619" s="5" t="s">
        <v>1770</v>
      </c>
      <c r="G619" s="5" t="s">
        <v>1771</v>
      </c>
      <c r="H619" s="5" t="s">
        <v>1770</v>
      </c>
      <c r="I619" s="5" t="s">
        <v>63</v>
      </c>
      <c r="J619" s="5" t="s">
        <v>100</v>
      </c>
      <c r="K619" s="5" t="s">
        <v>309</v>
      </c>
      <c r="L619" s="6" t="n">
        <v>45265</v>
      </c>
      <c r="M619" s="5" t="s">
        <v>984</v>
      </c>
      <c r="N619" s="6" t="n">
        <v>37217</v>
      </c>
      <c r="O619" s="5" t="s">
        <v>1264</v>
      </c>
      <c r="P619" s="5" t="s">
        <v>1559</v>
      </c>
      <c r="Q619" s="5" t="s">
        <v>412</v>
      </c>
      <c r="R619" s="5" t="s">
        <v>115</v>
      </c>
      <c r="S619" s="5" t="s">
        <v>412</v>
      </c>
      <c r="T619" s="6"/>
      <c r="U619" s="6"/>
      <c r="V619" s="5"/>
      <c r="W619" s="5"/>
      <c r="X619" s="5" t="s">
        <v>631</v>
      </c>
      <c r="Y619" s="5" t="s">
        <v>141</v>
      </c>
      <c r="Z619" s="5" t="s">
        <v>141</v>
      </c>
      <c r="AA619" s="5" t="s">
        <v>2242</v>
      </c>
      <c r="AB619" s="0" t="n">
        <f aca="false">IFERROR(VALUE(R619),0)</f>
        <v>0</v>
      </c>
      <c r="AC619" s="0" t="n">
        <f aca="false">IFERROR(VALUE(M619),"")</f>
        <v>24.6</v>
      </c>
      <c r="AD619" s="0" t="n">
        <f aca="false">IFERROR(VALUE(Q619),"")</f>
        <v>2.6</v>
      </c>
      <c r="AE619" s="0" t="n">
        <f aca="false">IFERROR(VALUE(S619),"")</f>
        <v>2.6</v>
      </c>
      <c r="AF619" s="0" t="str">
        <f aca="false">IF(V619="","",VLOOKUP(V619,Assumptions!$B$6:$C$9,2,FALSE()))</f>
        <v/>
      </c>
      <c r="AG619" s="0" t="str">
        <f aca="false">IF(W619="","",VLOOKUP(W619,Assumptions!$B$6:$C$9,2,FALSE()))</f>
        <v/>
      </c>
      <c r="AH619" s="0" t="n">
        <f aca="false">IF(X619="","",VLOOKUP(X619,Assumptions!$B$6:$C$9,2,FALSE()))</f>
        <v>2</v>
      </c>
      <c r="AI619" s="0" t="n">
        <f aca="false">IF(Y619="","",VLOOKUP(Y619,Assumptions!$B$6:$C$9,2,FALSE()))</f>
        <v>3</v>
      </c>
      <c r="AJ619" s="0" t="n">
        <f aca="false">IF(Z619="","",VLOOKUP(Z619,Assumptions!$B$6:$C$9,2,FALSE()))</f>
        <v>3</v>
      </c>
      <c r="AK619" s="7" t="n">
        <f aca="false">IFERROR(ROUND(AVERAGE(AF619:AJ619),3),"")</f>
        <v>2.667</v>
      </c>
      <c r="AL619" s="7" t="str">
        <f aca="false">IF(OR(AF619="",AJ619=""),"",AJ619-AF619)</f>
        <v/>
      </c>
      <c r="AM619" s="7" t="n">
        <f aca="false">IF(COUNT(AF619:AJ619)&gt;=2,ROUND(_xlfn.STDEV.S(AF619:AJ619),3),"")</f>
        <v>0.577</v>
      </c>
      <c r="AN619" s="7" t="n">
        <f aca="false">ROUND((IF(AF619="",0,AF619)*Assumptions!$F$15)+(IF(AG619="",0,AG619)*Assumptions!$F$16)+(IF(AH619="",0,AH619)*Assumptions!$F$17)+(IF(AI619="",0,AI619)*Assumptions!$F$18)+(IF(AJ619="",0,AJ619)*Assumptions!$F$19),3)</f>
        <v>2.05</v>
      </c>
      <c r="AO619" s="0" t="str">
        <f aca="false">IF(AC619&lt;=20,"",IF(AC619&lt;=Assumptions!$F$6,"20-30",IF(AC619&lt;=Assumptions!$F$7,"30-40",IF(AC619&lt;=Assumptions!$F$8,"40-50",IF(AC619&lt;=Assumptions!$F$9,"50-60",IF(AC619&lt;=Assumptions!$F$10,"60+",""))))))</f>
        <v>20-30</v>
      </c>
      <c r="AP619" s="0" t="str">
        <f aca="false">IFERROR(VLOOKUP(O619,Assumptions!$B$14:$C$26,2,FALSE()),"Other")</f>
        <v>Manager</v>
      </c>
      <c r="AQ619" s="0" t="n">
        <f aca="false">IF(T619="",0,1)</f>
        <v>0</v>
      </c>
      <c r="AR619" s="0" t="n">
        <f aca="false">IF(U619="",0,1)</f>
        <v>0</v>
      </c>
      <c r="AS619" s="8" t="n">
        <f aca="false">IF(AK619="","",IF(MAX($AK$2:$AK$921)=MIN($AK$2:$AK$921),50,ROUND((AK619-MIN($AK$2:$AK$921))/(MAX($AK$2:$AK$921)-MIN($AK$2:$AK$921))*100,2)))</f>
        <v>42.86</v>
      </c>
      <c r="AT619" s="8" t="n">
        <f aca="false">IF(MAX($BC$2:$BC$921)=MIN($BC$2:$BC$921),50,ROUND((BC619-MIN($BC$2:$BC$921))/(MAX($BC$2:$BC$921)-MIN($BC$2:$BC$921))*100,2))</f>
        <v>50</v>
      </c>
      <c r="AU619" s="8" t="n">
        <f aca="false">IF(MAX($BE$2:$BE$921)=MIN($BE$2:$BE$921),50,ROUND((BE619-MIN($BE$2:$BE$921))/(MAX($BE$2:$BE$921)-MIN($BE$2:$BE$921))*100,2))</f>
        <v>66.69</v>
      </c>
      <c r="AV619" s="8" t="n">
        <f aca="false">IF(MAX($AD$2:$AD$921)=MIN($AD$2:$AD$921),50,ROUND((AD619-MIN($AD$2:$AD$921))/(MAX($AD$2:$AD$921)-MIN($AD$2:$AD$921))*100,2))</f>
        <v>6.77</v>
      </c>
      <c r="AW619" s="8" t="n">
        <f aca="false">IF(MAX($AN$2:$AN$921)=MIN($AN$2:$AN$921),50,ROUND((AN619-MIN($AN$2:$AN$921))/(MAX($AN$2:$AN$921)-MIN($AN$2:$AN$921))*100,2))</f>
        <v>51.25</v>
      </c>
      <c r="AX619" s="8" t="n">
        <f aca="false">AQ619*100</f>
        <v>0</v>
      </c>
      <c r="AY619" s="8" t="n">
        <f aca="false">AR619*100</f>
        <v>0</v>
      </c>
      <c r="AZ619" s="8" t="n">
        <f aca="false">IFERROR(ROUND(AS619*Assumptions!$I$6+AW619*Assumptions!$I$7+AT619*Assumptions!$I$8+AU619*Assumptions!$I$9+AV619*Assumptions!$I$10+AX619*Assumptions!$I$11+AY619*Assumptions!$I$12,2),"")</f>
        <v>41.29</v>
      </c>
      <c r="BA619" s="0" t="str">
        <f aca="false">IF(AZ619="","",IF(AZ619&lt;=Assumptions!$I$18,"Below Expectation",IF(AZ619&lt;=Assumptions!$I$19,"Developing",IF(AZ619&lt;=Assumptions!$I$20,"Meets Expectation",IF(AZ619&lt;=Assumptions!$I$21,"Exceeds","Star Performer")))))</f>
        <v>Developing</v>
      </c>
      <c r="BB619" s="0" t="n">
        <f aca="false">IF(AZ619="",0,IF(AZ619&gt;=Assumptions!$I$26,1,0))</f>
        <v>0</v>
      </c>
      <c r="BC619" s="9" t="n">
        <f aca="false">IF(AL619="",2,AL619+2)</f>
        <v>2</v>
      </c>
      <c r="BD619" s="10" t="n">
        <f aca="false">IF(AM619="",ROUND(AVERAGE($AM$2:$AM$921),3),AM619)</f>
        <v>0.577</v>
      </c>
      <c r="BE619" s="9" t="n">
        <f aca="false">1-BD619</f>
        <v>0.423</v>
      </c>
    </row>
    <row r="620" customFormat="false" ht="14.25" hidden="true" customHeight="false" outlineLevel="0" collapsed="false">
      <c r="A620" s="4" t="n">
        <v>841</v>
      </c>
      <c r="B620" s="5" t="n">
        <v>55092910</v>
      </c>
      <c r="C620" s="5" t="s">
        <v>149</v>
      </c>
      <c r="D620" s="5" t="s">
        <v>2243</v>
      </c>
      <c r="E620" s="5" t="s">
        <v>449</v>
      </c>
      <c r="F620" s="5" t="s">
        <v>1606</v>
      </c>
      <c r="G620" s="5" t="s">
        <v>1607</v>
      </c>
      <c r="H620" s="5" t="s">
        <v>1606</v>
      </c>
      <c r="I620" s="5" t="s">
        <v>63</v>
      </c>
      <c r="J620" s="5" t="s">
        <v>100</v>
      </c>
      <c r="K620" s="5" t="s">
        <v>309</v>
      </c>
      <c r="L620" s="6" t="n">
        <v>45265</v>
      </c>
      <c r="M620" s="5" t="s">
        <v>904</v>
      </c>
      <c r="N620" s="6" t="n">
        <v>37498</v>
      </c>
      <c r="O620" s="5" t="s">
        <v>1264</v>
      </c>
      <c r="P620" s="5" t="s">
        <v>1559</v>
      </c>
      <c r="Q620" s="5" t="s">
        <v>412</v>
      </c>
      <c r="R620" s="5" t="s">
        <v>115</v>
      </c>
      <c r="S620" s="5" t="s">
        <v>412</v>
      </c>
      <c r="T620" s="6"/>
      <c r="U620" s="6"/>
      <c r="V620" s="5"/>
      <c r="W620" s="5"/>
      <c r="X620" s="5" t="s">
        <v>631</v>
      </c>
      <c r="Y620" s="5" t="s">
        <v>141</v>
      </c>
      <c r="Z620" s="5" t="s">
        <v>141</v>
      </c>
      <c r="AA620" s="5" t="s">
        <v>2242</v>
      </c>
      <c r="AB620" s="0" t="n">
        <f aca="false">IFERROR(VALUE(R620),0)</f>
        <v>0</v>
      </c>
      <c r="AC620" s="0" t="n">
        <f aca="false">IFERROR(VALUE(M620),"")</f>
        <v>23.9</v>
      </c>
      <c r="AD620" s="0" t="n">
        <f aca="false">IFERROR(VALUE(Q620),"")</f>
        <v>2.6</v>
      </c>
      <c r="AE620" s="0" t="n">
        <f aca="false">IFERROR(VALUE(S620),"")</f>
        <v>2.6</v>
      </c>
      <c r="AF620" s="0" t="str">
        <f aca="false">IF(V620="","",VLOOKUP(V620,Assumptions!$B$6:$C$9,2,FALSE()))</f>
        <v/>
      </c>
      <c r="AG620" s="0" t="str">
        <f aca="false">IF(W620="","",VLOOKUP(W620,Assumptions!$B$6:$C$9,2,FALSE()))</f>
        <v/>
      </c>
      <c r="AH620" s="0" t="n">
        <f aca="false">IF(X620="","",VLOOKUP(X620,Assumptions!$B$6:$C$9,2,FALSE()))</f>
        <v>2</v>
      </c>
      <c r="AI620" s="0" t="n">
        <f aca="false">IF(Y620="","",VLOOKUP(Y620,Assumptions!$B$6:$C$9,2,FALSE()))</f>
        <v>3</v>
      </c>
      <c r="AJ620" s="0" t="n">
        <f aca="false">IF(Z620="","",VLOOKUP(Z620,Assumptions!$B$6:$C$9,2,FALSE()))</f>
        <v>3</v>
      </c>
      <c r="AK620" s="7" t="n">
        <f aca="false">IFERROR(ROUND(AVERAGE(AF620:AJ620),3),"")</f>
        <v>2.667</v>
      </c>
      <c r="AL620" s="7" t="str">
        <f aca="false">IF(OR(AF620="",AJ620=""),"",AJ620-AF620)</f>
        <v/>
      </c>
      <c r="AM620" s="7" t="n">
        <f aca="false">IF(COUNT(AF620:AJ620)&gt;=2,ROUND(_xlfn.STDEV.S(AF620:AJ620),3),"")</f>
        <v>0.577</v>
      </c>
      <c r="AN620" s="7" t="n">
        <f aca="false">ROUND((IF(AF620="",0,AF620)*Assumptions!$F$15)+(IF(AG620="",0,AG620)*Assumptions!$F$16)+(IF(AH620="",0,AH620)*Assumptions!$F$17)+(IF(AI620="",0,AI620)*Assumptions!$F$18)+(IF(AJ620="",0,AJ620)*Assumptions!$F$19),3)</f>
        <v>2.05</v>
      </c>
      <c r="AO620" s="0" t="str">
        <f aca="false">IF(AC620&lt;=20,"",IF(AC620&lt;=Assumptions!$F$6,"20-30",IF(AC620&lt;=Assumptions!$F$7,"30-40",IF(AC620&lt;=Assumptions!$F$8,"40-50",IF(AC620&lt;=Assumptions!$F$9,"50-60",IF(AC620&lt;=Assumptions!$F$10,"60+",""))))))</f>
        <v>20-30</v>
      </c>
      <c r="AP620" s="0" t="str">
        <f aca="false">IFERROR(VLOOKUP(O620,Assumptions!$B$14:$C$26,2,FALSE()),"Other")</f>
        <v>Manager</v>
      </c>
      <c r="AQ620" s="0" t="n">
        <f aca="false">IF(T620="",0,1)</f>
        <v>0</v>
      </c>
      <c r="AR620" s="0" t="n">
        <f aca="false">IF(U620="",0,1)</f>
        <v>0</v>
      </c>
      <c r="AS620" s="8" t="n">
        <f aca="false">IF(AK620="","",IF(MAX($AK$2:$AK$921)=MIN($AK$2:$AK$921),50,ROUND((AK620-MIN($AK$2:$AK$921))/(MAX($AK$2:$AK$921)-MIN($AK$2:$AK$921))*100,2)))</f>
        <v>42.86</v>
      </c>
      <c r="AT620" s="8" t="n">
        <f aca="false">IF(MAX($BC$2:$BC$921)=MIN($BC$2:$BC$921),50,ROUND((BC620-MIN($BC$2:$BC$921))/(MAX($BC$2:$BC$921)-MIN($BC$2:$BC$921))*100,2))</f>
        <v>50</v>
      </c>
      <c r="AU620" s="8" t="n">
        <f aca="false">IF(MAX($BE$2:$BE$921)=MIN($BE$2:$BE$921),50,ROUND((BE620-MIN($BE$2:$BE$921))/(MAX($BE$2:$BE$921)-MIN($BE$2:$BE$921))*100,2))</f>
        <v>66.69</v>
      </c>
      <c r="AV620" s="8" t="n">
        <f aca="false">IF(MAX($AD$2:$AD$921)=MIN($AD$2:$AD$921),50,ROUND((AD620-MIN($AD$2:$AD$921))/(MAX($AD$2:$AD$921)-MIN($AD$2:$AD$921))*100,2))</f>
        <v>6.77</v>
      </c>
      <c r="AW620" s="8" t="n">
        <f aca="false">IF(MAX($AN$2:$AN$921)=MIN($AN$2:$AN$921),50,ROUND((AN620-MIN($AN$2:$AN$921))/(MAX($AN$2:$AN$921)-MIN($AN$2:$AN$921))*100,2))</f>
        <v>51.25</v>
      </c>
      <c r="AX620" s="8" t="n">
        <f aca="false">AQ620*100</f>
        <v>0</v>
      </c>
      <c r="AY620" s="8" t="n">
        <f aca="false">AR620*100</f>
        <v>0</v>
      </c>
      <c r="AZ620" s="8" t="n">
        <f aca="false">IFERROR(ROUND(AS620*Assumptions!$I$6+AW620*Assumptions!$I$7+AT620*Assumptions!$I$8+AU620*Assumptions!$I$9+AV620*Assumptions!$I$10+AX620*Assumptions!$I$11+AY620*Assumptions!$I$12,2),"")</f>
        <v>41.29</v>
      </c>
      <c r="BA620" s="0" t="str">
        <f aca="false">IF(AZ620="","",IF(AZ620&lt;=Assumptions!$I$18,"Below Expectation",IF(AZ620&lt;=Assumptions!$I$19,"Developing",IF(AZ620&lt;=Assumptions!$I$20,"Meets Expectation",IF(AZ620&lt;=Assumptions!$I$21,"Exceeds","Star Performer")))))</f>
        <v>Developing</v>
      </c>
      <c r="BB620" s="0" t="n">
        <f aca="false">IF(AZ620="",0,IF(AZ620&gt;=Assumptions!$I$26,1,0))</f>
        <v>0</v>
      </c>
      <c r="BC620" s="9" t="n">
        <f aca="false">IF(AL620="",2,AL620+2)</f>
        <v>2</v>
      </c>
      <c r="BD620" s="10" t="n">
        <f aca="false">IF(AM620="",ROUND(AVERAGE($AM$2:$AM$921),3),AM620)</f>
        <v>0.577</v>
      </c>
      <c r="BE620" s="9" t="n">
        <f aca="false">1-BD620</f>
        <v>0.423</v>
      </c>
    </row>
    <row r="621" customFormat="false" ht="14.25" hidden="true" customHeight="false" outlineLevel="0" collapsed="false">
      <c r="A621" s="4" t="n">
        <v>854</v>
      </c>
      <c r="B621" s="5" t="n">
        <v>55093212</v>
      </c>
      <c r="C621" s="5"/>
      <c r="D621" s="5" t="s">
        <v>2244</v>
      </c>
      <c r="E621" s="5" t="s">
        <v>257</v>
      </c>
      <c r="F621" s="5" t="s">
        <v>590</v>
      </c>
      <c r="G621" s="5" t="s">
        <v>2245</v>
      </c>
      <c r="H621" s="5" t="s">
        <v>2246</v>
      </c>
      <c r="I621" s="5" t="s">
        <v>63</v>
      </c>
      <c r="J621" s="5" t="s">
        <v>76</v>
      </c>
      <c r="K621" s="5" t="s">
        <v>309</v>
      </c>
      <c r="L621" s="6" t="n">
        <v>45265</v>
      </c>
      <c r="M621" s="5" t="s">
        <v>916</v>
      </c>
      <c r="N621" s="6" t="n">
        <v>36942</v>
      </c>
      <c r="O621" s="5" t="s">
        <v>1264</v>
      </c>
      <c r="P621" s="5" t="s">
        <v>1559</v>
      </c>
      <c r="Q621" s="5" t="s">
        <v>412</v>
      </c>
      <c r="R621" s="5" t="s">
        <v>115</v>
      </c>
      <c r="S621" s="5" t="s">
        <v>412</v>
      </c>
      <c r="T621" s="6"/>
      <c r="U621" s="6"/>
      <c r="V621" s="5"/>
      <c r="W621" s="5"/>
      <c r="X621" s="5" t="s">
        <v>631</v>
      </c>
      <c r="Y621" s="5" t="s">
        <v>141</v>
      </c>
      <c r="Z621" s="5" t="s">
        <v>141</v>
      </c>
      <c r="AA621" s="5" t="s">
        <v>2247</v>
      </c>
      <c r="AB621" s="0" t="n">
        <f aca="false">IFERROR(VALUE(R621),0)</f>
        <v>0</v>
      </c>
      <c r="AC621" s="0" t="n">
        <f aca="false">IFERROR(VALUE(M621),"")</f>
        <v>25.3</v>
      </c>
      <c r="AD621" s="0" t="n">
        <f aca="false">IFERROR(VALUE(Q621),"")</f>
        <v>2.6</v>
      </c>
      <c r="AE621" s="0" t="n">
        <f aca="false">IFERROR(VALUE(S621),"")</f>
        <v>2.6</v>
      </c>
      <c r="AF621" s="0" t="str">
        <f aca="false">IF(V621="","",VLOOKUP(V621,Assumptions!$B$6:$C$9,2,FALSE()))</f>
        <v/>
      </c>
      <c r="AG621" s="0" t="str">
        <f aca="false">IF(W621="","",VLOOKUP(W621,Assumptions!$B$6:$C$9,2,FALSE()))</f>
        <v/>
      </c>
      <c r="AH621" s="0" t="n">
        <f aca="false">IF(X621="","",VLOOKUP(X621,Assumptions!$B$6:$C$9,2,FALSE()))</f>
        <v>2</v>
      </c>
      <c r="AI621" s="0" t="n">
        <f aca="false">IF(Y621="","",VLOOKUP(Y621,Assumptions!$B$6:$C$9,2,FALSE()))</f>
        <v>3</v>
      </c>
      <c r="AJ621" s="0" t="n">
        <f aca="false">IF(Z621="","",VLOOKUP(Z621,Assumptions!$B$6:$C$9,2,FALSE()))</f>
        <v>3</v>
      </c>
      <c r="AK621" s="7" t="n">
        <f aca="false">IFERROR(ROUND(AVERAGE(AF621:AJ621),3),"")</f>
        <v>2.667</v>
      </c>
      <c r="AL621" s="7" t="str">
        <f aca="false">IF(OR(AF621="",AJ621=""),"",AJ621-AF621)</f>
        <v/>
      </c>
      <c r="AM621" s="7" t="n">
        <f aca="false">IF(COUNT(AF621:AJ621)&gt;=2,ROUND(_xlfn.STDEV.S(AF621:AJ621),3),"")</f>
        <v>0.577</v>
      </c>
      <c r="AN621" s="7" t="n">
        <f aca="false">ROUND((IF(AF621="",0,AF621)*Assumptions!$F$15)+(IF(AG621="",0,AG621)*Assumptions!$F$16)+(IF(AH621="",0,AH621)*Assumptions!$F$17)+(IF(AI621="",0,AI621)*Assumptions!$F$18)+(IF(AJ621="",0,AJ621)*Assumptions!$F$19),3)</f>
        <v>2.05</v>
      </c>
      <c r="AO621" s="0" t="str">
        <f aca="false">IF(AC621&lt;=20,"",IF(AC621&lt;=Assumptions!$F$6,"20-30",IF(AC621&lt;=Assumptions!$F$7,"30-40",IF(AC621&lt;=Assumptions!$F$8,"40-50",IF(AC621&lt;=Assumptions!$F$9,"50-60",IF(AC621&lt;=Assumptions!$F$10,"60+",""))))))</f>
        <v>20-30</v>
      </c>
      <c r="AP621" s="0" t="str">
        <f aca="false">IFERROR(VLOOKUP(O621,Assumptions!$B$14:$C$26,2,FALSE()),"Other")</f>
        <v>Manager</v>
      </c>
      <c r="AQ621" s="0" t="n">
        <f aca="false">IF(T621="",0,1)</f>
        <v>0</v>
      </c>
      <c r="AR621" s="0" t="n">
        <f aca="false">IF(U621="",0,1)</f>
        <v>0</v>
      </c>
      <c r="AS621" s="8" t="n">
        <f aca="false">IF(AK621="","",IF(MAX($AK$2:$AK$921)=MIN($AK$2:$AK$921),50,ROUND((AK621-MIN($AK$2:$AK$921))/(MAX($AK$2:$AK$921)-MIN($AK$2:$AK$921))*100,2)))</f>
        <v>42.86</v>
      </c>
      <c r="AT621" s="8" t="n">
        <f aca="false">IF(MAX($BC$2:$BC$921)=MIN($BC$2:$BC$921),50,ROUND((BC621-MIN($BC$2:$BC$921))/(MAX($BC$2:$BC$921)-MIN($BC$2:$BC$921))*100,2))</f>
        <v>50</v>
      </c>
      <c r="AU621" s="8" t="n">
        <f aca="false">IF(MAX($BE$2:$BE$921)=MIN($BE$2:$BE$921),50,ROUND((BE621-MIN($BE$2:$BE$921))/(MAX($BE$2:$BE$921)-MIN($BE$2:$BE$921))*100,2))</f>
        <v>66.69</v>
      </c>
      <c r="AV621" s="8" t="n">
        <f aca="false">IF(MAX($AD$2:$AD$921)=MIN($AD$2:$AD$921),50,ROUND((AD621-MIN($AD$2:$AD$921))/(MAX($AD$2:$AD$921)-MIN($AD$2:$AD$921))*100,2))</f>
        <v>6.77</v>
      </c>
      <c r="AW621" s="8" t="n">
        <f aca="false">IF(MAX($AN$2:$AN$921)=MIN($AN$2:$AN$921),50,ROUND((AN621-MIN($AN$2:$AN$921))/(MAX($AN$2:$AN$921)-MIN($AN$2:$AN$921))*100,2))</f>
        <v>51.25</v>
      </c>
      <c r="AX621" s="8" t="n">
        <f aca="false">AQ621*100</f>
        <v>0</v>
      </c>
      <c r="AY621" s="8" t="n">
        <f aca="false">AR621*100</f>
        <v>0</v>
      </c>
      <c r="AZ621" s="8" t="n">
        <f aca="false">IFERROR(ROUND(AS621*Assumptions!$I$6+AW621*Assumptions!$I$7+AT621*Assumptions!$I$8+AU621*Assumptions!$I$9+AV621*Assumptions!$I$10+AX621*Assumptions!$I$11+AY621*Assumptions!$I$12,2),"")</f>
        <v>41.29</v>
      </c>
      <c r="BA621" s="0" t="str">
        <f aca="false">IF(AZ621="","",IF(AZ621&lt;=Assumptions!$I$18,"Below Expectation",IF(AZ621&lt;=Assumptions!$I$19,"Developing",IF(AZ621&lt;=Assumptions!$I$20,"Meets Expectation",IF(AZ621&lt;=Assumptions!$I$21,"Exceeds","Star Performer")))))</f>
        <v>Developing</v>
      </c>
      <c r="BB621" s="0" t="n">
        <f aca="false">IF(AZ621="",0,IF(AZ621&gt;=Assumptions!$I$26,1,0))</f>
        <v>0</v>
      </c>
      <c r="BC621" s="9" t="n">
        <f aca="false">IF(AL621="",2,AL621+2)</f>
        <v>2</v>
      </c>
      <c r="BD621" s="10" t="n">
        <f aca="false">IF(AM621="",ROUND(AVERAGE($AM$2:$AM$921),3),AM621)</f>
        <v>0.577</v>
      </c>
      <c r="BE621" s="9" t="n">
        <f aca="false">1-BD621</f>
        <v>0.423</v>
      </c>
    </row>
    <row r="622" customFormat="false" ht="14.25" hidden="true" customHeight="false" outlineLevel="0" collapsed="false">
      <c r="A622" s="4" t="n">
        <v>588</v>
      </c>
      <c r="B622" s="5" t="n">
        <v>55052314</v>
      </c>
      <c r="C622" s="5"/>
      <c r="D622" s="5" t="s">
        <v>2248</v>
      </c>
      <c r="E622" s="5" t="s">
        <v>1092</v>
      </c>
      <c r="F622" s="5" t="s">
        <v>2249</v>
      </c>
      <c r="G622" s="5" t="s">
        <v>2250</v>
      </c>
      <c r="H622" s="5" t="s">
        <v>2251</v>
      </c>
      <c r="I622" s="5" t="s">
        <v>63</v>
      </c>
      <c r="J622" s="5" t="s">
        <v>76</v>
      </c>
      <c r="K622" s="5" t="s">
        <v>309</v>
      </c>
      <c r="L622" s="6" t="n">
        <v>44732</v>
      </c>
      <c r="M622" s="5" t="s">
        <v>1513</v>
      </c>
      <c r="N622" s="6" t="n">
        <v>36627</v>
      </c>
      <c r="O622" s="5" t="s">
        <v>1264</v>
      </c>
      <c r="P622" s="5" t="s">
        <v>1559</v>
      </c>
      <c r="Q622" s="5" t="s">
        <v>345</v>
      </c>
      <c r="R622" s="5" t="s">
        <v>115</v>
      </c>
      <c r="S622" s="5" t="s">
        <v>345</v>
      </c>
      <c r="T622" s="6"/>
      <c r="U622" s="6"/>
      <c r="V622" s="5"/>
      <c r="W622" s="5" t="s">
        <v>141</v>
      </c>
      <c r="X622" s="5" t="s">
        <v>631</v>
      </c>
      <c r="Y622" s="5" t="s">
        <v>83</v>
      </c>
      <c r="Z622" s="5" t="s">
        <v>631</v>
      </c>
      <c r="AA622" s="5" t="s">
        <v>2252</v>
      </c>
      <c r="AB622" s="0" t="n">
        <f aca="false">IFERROR(VALUE(R622),0)</f>
        <v>0</v>
      </c>
      <c r="AC622" s="0" t="n">
        <f aca="false">IFERROR(VALUE(M622),"")</f>
        <v>26.1</v>
      </c>
      <c r="AD622" s="0" t="n">
        <f aca="false">IFERROR(VALUE(Q622),"")</f>
        <v>3.11</v>
      </c>
      <c r="AE622" s="0" t="n">
        <f aca="false">IFERROR(VALUE(S622),"")</f>
        <v>3.11</v>
      </c>
      <c r="AF622" s="0" t="str">
        <f aca="false">IF(V622="","",VLOOKUP(V622,Assumptions!$B$6:$C$9,2,FALSE()))</f>
        <v/>
      </c>
      <c r="AG622" s="0" t="n">
        <f aca="false">IF(W622="","",VLOOKUP(W622,Assumptions!$B$6:$C$9,2,FALSE()))</f>
        <v>3</v>
      </c>
      <c r="AH622" s="0" t="n">
        <f aca="false">IF(X622="","",VLOOKUP(X622,Assumptions!$B$6:$C$9,2,FALSE()))</f>
        <v>2</v>
      </c>
      <c r="AI622" s="0" t="n">
        <f aca="false">IF(Y622="","",VLOOKUP(Y622,Assumptions!$B$6:$C$9,2,FALSE()))</f>
        <v>4</v>
      </c>
      <c r="AJ622" s="0" t="n">
        <f aca="false">IF(Z622="","",VLOOKUP(Z622,Assumptions!$B$6:$C$9,2,FALSE()))</f>
        <v>2</v>
      </c>
      <c r="AK622" s="7" t="n">
        <f aca="false">IFERROR(ROUND(AVERAGE(AF622:AJ622),3),"")</f>
        <v>2.75</v>
      </c>
      <c r="AL622" s="7" t="str">
        <f aca="false">IF(OR(AF622="",AJ622=""),"",AJ622-AF622)</f>
        <v/>
      </c>
      <c r="AM622" s="7" t="n">
        <f aca="false">IF(COUNT(AF622:AJ622)&gt;=2,ROUND(_xlfn.STDEV.S(AF622:AJ622),3),"")</f>
        <v>0.957</v>
      </c>
      <c r="AN622" s="7" t="n">
        <f aca="false">ROUND((IF(AF622="",0,AF622)*Assumptions!$F$15)+(IF(AG622="",0,AG622)*Assumptions!$F$16)+(IF(AH622="",0,AH622)*Assumptions!$F$17)+(IF(AI622="",0,AI622)*Assumptions!$F$18)+(IF(AJ622="",0,AJ622)*Assumptions!$F$19),3)</f>
        <v>2.45</v>
      </c>
      <c r="AO622" s="0" t="str">
        <f aca="false">IF(AC622&lt;=20,"",IF(AC622&lt;=Assumptions!$F$6,"20-30",IF(AC622&lt;=Assumptions!$F$7,"30-40",IF(AC622&lt;=Assumptions!$F$8,"40-50",IF(AC622&lt;=Assumptions!$F$9,"50-60",IF(AC622&lt;=Assumptions!$F$10,"60+",""))))))</f>
        <v>20-30</v>
      </c>
      <c r="AP622" s="0" t="str">
        <f aca="false">IFERROR(VLOOKUP(O622,Assumptions!$B$14:$C$26,2,FALSE()),"Other")</f>
        <v>Manager</v>
      </c>
      <c r="AQ622" s="0" t="n">
        <f aca="false">IF(T622="",0,1)</f>
        <v>0</v>
      </c>
      <c r="AR622" s="0" t="n">
        <f aca="false">IF(U622="",0,1)</f>
        <v>0</v>
      </c>
      <c r="AS622" s="8" t="n">
        <f aca="false">IF(AK622="","",IF(MAX($AK$2:$AK$921)=MIN($AK$2:$AK$921),50,ROUND((AK622-MIN($AK$2:$AK$921))/(MAX($AK$2:$AK$921)-MIN($AK$2:$AK$921))*100,2)))</f>
        <v>46.42</v>
      </c>
      <c r="AT622" s="8" t="n">
        <f aca="false">IF(MAX($BC$2:$BC$921)=MIN($BC$2:$BC$921),50,ROUND((BC622-MIN($BC$2:$BC$921))/(MAX($BC$2:$BC$921)-MIN($BC$2:$BC$921))*100,2))</f>
        <v>50</v>
      </c>
      <c r="AU622" s="8" t="n">
        <f aca="false">IF(MAX($BE$2:$BE$921)=MIN($BE$2:$BE$921),50,ROUND((BE622-MIN($BE$2:$BE$921))/(MAX($BE$2:$BE$921)-MIN($BE$2:$BE$921))*100,2))</f>
        <v>44.75</v>
      </c>
      <c r="AV622" s="8" t="n">
        <f aca="false">IF(MAX($AD$2:$AD$921)=MIN($AD$2:$AD$921),50,ROUND((AD622-MIN($AD$2:$AD$921))/(MAX($AD$2:$AD$921)-MIN($AD$2:$AD$921))*100,2))</f>
        <v>8.15</v>
      </c>
      <c r="AW622" s="8" t="n">
        <f aca="false">IF(MAX($AN$2:$AN$921)=MIN($AN$2:$AN$921),50,ROUND((AN622-MIN($AN$2:$AN$921))/(MAX($AN$2:$AN$921)-MIN($AN$2:$AN$921))*100,2))</f>
        <v>61.25</v>
      </c>
      <c r="AX622" s="8" t="n">
        <f aca="false">AQ622*100</f>
        <v>0</v>
      </c>
      <c r="AY622" s="8" t="n">
        <f aca="false">AR622*100</f>
        <v>0</v>
      </c>
      <c r="AZ622" s="8" t="n">
        <f aca="false">IFERROR(ROUND(AS622*Assumptions!$I$6+AW622*Assumptions!$I$7+AT622*Assumptions!$I$8+AU622*Assumptions!$I$9+AV622*Assumptions!$I$10+AX622*Assumptions!$I$11+AY622*Assumptions!$I$12,2),"")</f>
        <v>41.2</v>
      </c>
      <c r="BA622" s="0" t="str">
        <f aca="false">IF(AZ622="","",IF(AZ622&lt;=Assumptions!$I$18,"Below Expectation",IF(AZ622&lt;=Assumptions!$I$19,"Developing",IF(AZ622&lt;=Assumptions!$I$20,"Meets Expectation",IF(AZ622&lt;=Assumptions!$I$21,"Exceeds","Star Performer")))))</f>
        <v>Developing</v>
      </c>
      <c r="BB622" s="0" t="n">
        <f aca="false">IF(AZ622="",0,IF(AZ622&gt;=Assumptions!$I$26,1,0))</f>
        <v>0</v>
      </c>
      <c r="BC622" s="9" t="n">
        <f aca="false">IF(AL622="",2,AL622+2)</f>
        <v>2</v>
      </c>
      <c r="BD622" s="10" t="n">
        <f aca="false">IF(AM622="",ROUND(AVERAGE($AM$2:$AM$921),3),AM622)</f>
        <v>0.957</v>
      </c>
      <c r="BE622" s="9" t="n">
        <f aca="false">1-BD622</f>
        <v>0.043</v>
      </c>
    </row>
    <row r="623" customFormat="false" ht="14.25" hidden="true" customHeight="false" outlineLevel="0" collapsed="false">
      <c r="A623" s="4" t="n">
        <v>737</v>
      </c>
      <c r="B623" s="5" t="n">
        <v>55070353</v>
      </c>
      <c r="C623" s="5" t="s">
        <v>973</v>
      </c>
      <c r="D623" s="5" t="s">
        <v>2253</v>
      </c>
      <c r="E623" s="5" t="s">
        <v>973</v>
      </c>
      <c r="F623" s="5" t="s">
        <v>2254</v>
      </c>
      <c r="G623" s="5" t="s">
        <v>2255</v>
      </c>
      <c r="H623" s="5" t="s">
        <v>2254</v>
      </c>
      <c r="I623" s="5" t="s">
        <v>63</v>
      </c>
      <c r="J623" s="5" t="s">
        <v>100</v>
      </c>
      <c r="K623" s="5" t="s">
        <v>65</v>
      </c>
      <c r="L623" s="6" t="n">
        <v>45096</v>
      </c>
      <c r="M623" s="5" t="s">
        <v>846</v>
      </c>
      <c r="N623" s="6" t="n">
        <v>32696</v>
      </c>
      <c r="O623" s="5" t="s">
        <v>332</v>
      </c>
      <c r="P623" s="5" t="s">
        <v>333</v>
      </c>
      <c r="Q623" s="5" t="s">
        <v>156</v>
      </c>
      <c r="R623" s="5" t="s">
        <v>425</v>
      </c>
      <c r="S623" s="5" t="s">
        <v>374</v>
      </c>
      <c r="T623" s="6"/>
      <c r="U623" s="6"/>
      <c r="V623" s="5"/>
      <c r="W623" s="5"/>
      <c r="X623" s="5" t="s">
        <v>631</v>
      </c>
      <c r="Y623" s="5" t="s">
        <v>141</v>
      </c>
      <c r="Z623" s="5" t="s">
        <v>141</v>
      </c>
      <c r="AA623" s="5" t="s">
        <v>2256</v>
      </c>
      <c r="AB623" s="0" t="n">
        <f aca="false">IFERROR(VALUE(R623),0)</f>
        <v>9.5</v>
      </c>
      <c r="AC623" s="0" t="n">
        <f aca="false">IFERROR(VALUE(M623),"")</f>
        <v>36.11</v>
      </c>
      <c r="AD623" s="0" t="n">
        <f aca="false">IFERROR(VALUE(Q623),"")</f>
        <v>2.11</v>
      </c>
      <c r="AE623" s="0" t="n">
        <f aca="false">IFERROR(VALUE(S623),"")</f>
        <v>12.4</v>
      </c>
      <c r="AF623" s="0" t="str">
        <f aca="false">IF(V623="","",VLOOKUP(V623,Assumptions!$B$6:$C$9,2,FALSE()))</f>
        <v/>
      </c>
      <c r="AG623" s="0" t="str">
        <f aca="false">IF(W623="","",VLOOKUP(W623,Assumptions!$B$6:$C$9,2,FALSE()))</f>
        <v/>
      </c>
      <c r="AH623" s="0" t="n">
        <f aca="false">IF(X623="","",VLOOKUP(X623,Assumptions!$B$6:$C$9,2,FALSE()))</f>
        <v>2</v>
      </c>
      <c r="AI623" s="0" t="n">
        <f aca="false">IF(Y623="","",VLOOKUP(Y623,Assumptions!$B$6:$C$9,2,FALSE()))</f>
        <v>3</v>
      </c>
      <c r="AJ623" s="0" t="n">
        <f aca="false">IF(Z623="","",VLOOKUP(Z623,Assumptions!$B$6:$C$9,2,FALSE()))</f>
        <v>3</v>
      </c>
      <c r="AK623" s="7" t="n">
        <f aca="false">IFERROR(ROUND(AVERAGE(AF623:AJ623),3),"")</f>
        <v>2.667</v>
      </c>
      <c r="AL623" s="7" t="str">
        <f aca="false">IF(OR(AF623="",AJ623=""),"",AJ623-AF623)</f>
        <v/>
      </c>
      <c r="AM623" s="7" t="n">
        <f aca="false">IF(COUNT(AF623:AJ623)&gt;=2,ROUND(_xlfn.STDEV.S(AF623:AJ623),3),"")</f>
        <v>0.577</v>
      </c>
      <c r="AN623" s="7" t="n">
        <f aca="false">ROUND((IF(AF623="",0,AF623)*Assumptions!$F$15)+(IF(AG623="",0,AG623)*Assumptions!$F$16)+(IF(AH623="",0,AH623)*Assumptions!$F$17)+(IF(AI623="",0,AI623)*Assumptions!$F$18)+(IF(AJ623="",0,AJ623)*Assumptions!$F$19),3)</f>
        <v>2.05</v>
      </c>
      <c r="AO623" s="0" t="str">
        <f aca="false">IF(AC623&lt;=20,"",IF(AC623&lt;=Assumptions!$F$6,"20-30",IF(AC623&lt;=Assumptions!$F$7,"30-40",IF(AC623&lt;=Assumptions!$F$8,"40-50",IF(AC623&lt;=Assumptions!$F$9,"50-60",IF(AC623&lt;=Assumptions!$F$10,"60+",""))))))</f>
        <v>30-40</v>
      </c>
      <c r="AP623" s="0" t="str">
        <f aca="false">IFERROR(VLOOKUP(O623,Assumptions!$B$14:$C$26,2,FALSE()),"Other")</f>
        <v>Manager</v>
      </c>
      <c r="AQ623" s="0" t="n">
        <f aca="false">IF(T623="",0,1)</f>
        <v>0</v>
      </c>
      <c r="AR623" s="0" t="n">
        <f aca="false">IF(U623="",0,1)</f>
        <v>0</v>
      </c>
      <c r="AS623" s="8" t="n">
        <f aca="false">IF(AK623="","",IF(MAX($AK$2:$AK$921)=MIN($AK$2:$AK$921),50,ROUND((AK623-MIN($AK$2:$AK$921))/(MAX($AK$2:$AK$921)-MIN($AK$2:$AK$921))*100,2)))</f>
        <v>42.86</v>
      </c>
      <c r="AT623" s="8" t="n">
        <f aca="false">IF(MAX($BC$2:$BC$921)=MIN($BC$2:$BC$921),50,ROUND((BC623-MIN($BC$2:$BC$921))/(MAX($BC$2:$BC$921)-MIN($BC$2:$BC$921))*100,2))</f>
        <v>50</v>
      </c>
      <c r="AU623" s="8" t="n">
        <f aca="false">IF(MAX($BE$2:$BE$921)=MIN($BE$2:$BE$921),50,ROUND((BE623-MIN($BE$2:$BE$921))/(MAX($BE$2:$BE$921)-MIN($BE$2:$BE$921))*100,2))</f>
        <v>66.69</v>
      </c>
      <c r="AV623" s="8" t="n">
        <f aca="false">IF(MAX($AD$2:$AD$921)=MIN($AD$2:$AD$921),50,ROUND((AD623-MIN($AD$2:$AD$921))/(MAX($AD$2:$AD$921)-MIN($AD$2:$AD$921))*100,2))</f>
        <v>5.44</v>
      </c>
      <c r="AW623" s="8" t="n">
        <f aca="false">IF(MAX($AN$2:$AN$921)=MIN($AN$2:$AN$921),50,ROUND((AN623-MIN($AN$2:$AN$921))/(MAX($AN$2:$AN$921)-MIN($AN$2:$AN$921))*100,2))</f>
        <v>51.25</v>
      </c>
      <c r="AX623" s="8" t="n">
        <f aca="false">AQ623*100</f>
        <v>0</v>
      </c>
      <c r="AY623" s="8" t="n">
        <f aca="false">AR623*100</f>
        <v>0</v>
      </c>
      <c r="AZ623" s="8" t="n">
        <f aca="false">IFERROR(ROUND(AS623*Assumptions!$I$6+AW623*Assumptions!$I$7+AT623*Assumptions!$I$8+AU623*Assumptions!$I$9+AV623*Assumptions!$I$10+AX623*Assumptions!$I$11+AY623*Assumptions!$I$12,2),"")</f>
        <v>41.16</v>
      </c>
      <c r="BA623" s="0" t="str">
        <f aca="false">IF(AZ623="","",IF(AZ623&lt;=Assumptions!$I$18,"Below Expectation",IF(AZ623&lt;=Assumptions!$I$19,"Developing",IF(AZ623&lt;=Assumptions!$I$20,"Meets Expectation",IF(AZ623&lt;=Assumptions!$I$21,"Exceeds","Star Performer")))))</f>
        <v>Developing</v>
      </c>
      <c r="BB623" s="0" t="n">
        <f aca="false">IF(AZ623="",0,IF(AZ623&gt;=Assumptions!$I$26,1,0))</f>
        <v>0</v>
      </c>
      <c r="BC623" s="9" t="n">
        <f aca="false">IF(AL623="",2,AL623+2)</f>
        <v>2</v>
      </c>
      <c r="BD623" s="10" t="n">
        <f aca="false">IF(AM623="",ROUND(AVERAGE($AM$2:$AM$921),3),AM623)</f>
        <v>0.577</v>
      </c>
      <c r="BE623" s="9" t="n">
        <f aca="false">1-BD623</f>
        <v>0.423</v>
      </c>
    </row>
    <row r="624" customFormat="false" ht="14.25" hidden="false" customHeight="false" outlineLevel="0" collapsed="false">
      <c r="A624" s="4" t="n">
        <v>735</v>
      </c>
      <c r="B624" s="5" t="n">
        <v>55069055</v>
      </c>
      <c r="C624" s="5" t="s">
        <v>106</v>
      </c>
      <c r="D624" s="5" t="s">
        <v>2257</v>
      </c>
      <c r="E624" s="5" t="s">
        <v>1494</v>
      </c>
      <c r="F624" s="5" t="s">
        <v>563</v>
      </c>
      <c r="G624" s="5" t="s">
        <v>924</v>
      </c>
      <c r="H624" s="5" t="s">
        <v>925</v>
      </c>
      <c r="I624" s="5" t="s">
        <v>63</v>
      </c>
      <c r="J624" s="5" t="s">
        <v>112</v>
      </c>
      <c r="K624" s="5" t="s">
        <v>309</v>
      </c>
      <c r="L624" s="6" t="n">
        <v>45068</v>
      </c>
      <c r="M624" s="5" t="s">
        <v>2258</v>
      </c>
      <c r="N624" s="6" t="n">
        <v>35200</v>
      </c>
      <c r="O624" s="5" t="s">
        <v>1264</v>
      </c>
      <c r="P624" s="5" t="s">
        <v>1264</v>
      </c>
      <c r="Q624" s="5" t="s">
        <v>433</v>
      </c>
      <c r="R624" s="5" t="s">
        <v>629</v>
      </c>
      <c r="S624" s="5" t="s">
        <v>685</v>
      </c>
      <c r="T624" s="6"/>
      <c r="U624" s="6"/>
      <c r="V624" s="5"/>
      <c r="W624" s="5"/>
      <c r="X624" s="5" t="s">
        <v>141</v>
      </c>
      <c r="Y624" s="5" t="s">
        <v>631</v>
      </c>
      <c r="Z624" s="5" t="s">
        <v>141</v>
      </c>
      <c r="AA624" s="5" t="s">
        <v>2259</v>
      </c>
      <c r="AB624" s="0" t="n">
        <f aca="false">IFERROR(VALUE(R624),0)</f>
        <v>2.1</v>
      </c>
      <c r="AC624" s="0" t="n">
        <f aca="false">IFERROR(VALUE(M624),"")</f>
        <v>30</v>
      </c>
      <c r="AD624" s="0" t="n">
        <f aca="false">IFERROR(VALUE(Q624),"")</f>
        <v>3</v>
      </c>
      <c r="AE624" s="0" t="n">
        <f aca="false">IFERROR(VALUE(S624),"")</f>
        <v>5.1</v>
      </c>
      <c r="AF624" s="0" t="str">
        <f aca="false">IF(V624="","",VLOOKUP(V624,Assumptions!$B$6:$C$9,2,FALSE()))</f>
        <v/>
      </c>
      <c r="AG624" s="0" t="str">
        <f aca="false">IF(W624="","",VLOOKUP(W624,Assumptions!$B$6:$C$9,2,FALSE()))</f>
        <v/>
      </c>
      <c r="AH624" s="0" t="n">
        <f aca="false">IF(X624="","",VLOOKUP(X624,Assumptions!$B$6:$C$9,2,FALSE()))</f>
        <v>3</v>
      </c>
      <c r="AI624" s="0" t="n">
        <f aca="false">IF(Y624="","",VLOOKUP(Y624,Assumptions!$B$6:$C$9,2,FALSE()))</f>
        <v>2</v>
      </c>
      <c r="AJ624" s="0" t="n">
        <f aca="false">IF(Z624="","",VLOOKUP(Z624,Assumptions!$B$6:$C$9,2,FALSE()))</f>
        <v>3</v>
      </c>
      <c r="AK624" s="7" t="n">
        <f aca="false">IFERROR(ROUND(AVERAGE(AF624:AJ624),3),"")</f>
        <v>2.667</v>
      </c>
      <c r="AL624" s="7" t="str">
        <f aca="false">IF(OR(AF624="",AJ624=""),"",AJ624-AF624)</f>
        <v/>
      </c>
      <c r="AM624" s="7" t="n">
        <f aca="false">IF(COUNT(AF624:AJ624)&gt;=2,ROUND(_xlfn.STDEV.S(AF624:AJ624),3),"")</f>
        <v>0.577</v>
      </c>
      <c r="AN624" s="7" t="n">
        <f aca="false">ROUND((IF(AF624="",0,AF624)*Assumptions!$F$15)+(IF(AG624="",0,AG624)*Assumptions!$F$16)+(IF(AH624="",0,AH624)*Assumptions!$F$17)+(IF(AI624="",0,AI624)*Assumptions!$F$18)+(IF(AJ624="",0,AJ624)*Assumptions!$F$19),3)</f>
        <v>2</v>
      </c>
      <c r="AO624" s="0" t="str">
        <f aca="false">IF(AC624&lt;=20,"",IF(AC624&lt;=Assumptions!$F$6,"20-30",IF(AC624&lt;=Assumptions!$F$7,"30-40",IF(AC624&lt;=Assumptions!$F$8,"40-50",IF(AC624&lt;=Assumptions!$F$9,"50-60",IF(AC624&lt;=Assumptions!$F$10,"60+",""))))))</f>
        <v>20-30</v>
      </c>
      <c r="AP624" s="0" t="str">
        <f aca="false">IFERROR(VLOOKUP(O624,Assumptions!$B$14:$C$26,2,FALSE()),"Other")</f>
        <v>Manager</v>
      </c>
      <c r="AQ624" s="0" t="n">
        <f aca="false">IF(T624="",0,1)</f>
        <v>0</v>
      </c>
      <c r="AR624" s="0" t="n">
        <f aca="false">IF(U624="",0,1)</f>
        <v>0</v>
      </c>
      <c r="AS624" s="8" t="n">
        <f aca="false">IF(AK624="","",IF(MAX($AK$2:$AK$921)=MIN($AK$2:$AK$921),50,ROUND((AK624-MIN($AK$2:$AK$921))/(MAX($AK$2:$AK$921)-MIN($AK$2:$AK$921))*100,2)))</f>
        <v>42.86</v>
      </c>
      <c r="AT624" s="8" t="n">
        <f aca="false">IF(MAX($BC$2:$BC$921)=MIN($BC$2:$BC$921),50,ROUND((BC624-MIN($BC$2:$BC$921))/(MAX($BC$2:$BC$921)-MIN($BC$2:$BC$921))*100,2))</f>
        <v>50</v>
      </c>
      <c r="AU624" s="8" t="n">
        <f aca="false">IF(MAX($BE$2:$BE$921)=MIN($BE$2:$BE$921),50,ROUND((BE624-MIN($BE$2:$BE$921))/(MAX($BE$2:$BE$921)-MIN($BE$2:$BE$921))*100,2))</f>
        <v>66.69</v>
      </c>
      <c r="AV624" s="8" t="n">
        <f aca="false">IF(MAX($AD$2:$AD$921)=MIN($AD$2:$AD$921),50,ROUND((AD624-MIN($AD$2:$AD$921))/(MAX($AD$2:$AD$921)-MIN($AD$2:$AD$921))*100,2))</f>
        <v>7.86</v>
      </c>
      <c r="AW624" s="8" t="n">
        <f aca="false">IF(MAX($AN$2:$AN$921)=MIN($AN$2:$AN$921),50,ROUND((AN624-MIN($AN$2:$AN$921))/(MAX($AN$2:$AN$921)-MIN($AN$2:$AN$921))*100,2))</f>
        <v>50</v>
      </c>
      <c r="AX624" s="8" t="n">
        <f aca="false">AQ624*100</f>
        <v>0</v>
      </c>
      <c r="AY624" s="8" t="n">
        <f aca="false">AR624*100</f>
        <v>0</v>
      </c>
      <c r="AZ624" s="8" t="n">
        <f aca="false">IFERROR(ROUND(AS624*Assumptions!$I$6+AW624*Assumptions!$I$7+AT624*Assumptions!$I$8+AU624*Assumptions!$I$9+AV624*Assumptions!$I$10+AX624*Assumptions!$I$11+AY624*Assumptions!$I$12,2),"")</f>
        <v>41.15</v>
      </c>
      <c r="BA624" s="0" t="str">
        <f aca="false">IF(AZ624="","",IF(AZ624&lt;=Assumptions!$I$18,"Below Expectation",IF(AZ624&lt;=Assumptions!$I$19,"Developing",IF(AZ624&lt;=Assumptions!$I$20,"Meets Expectation",IF(AZ624&lt;=Assumptions!$I$21,"Exceeds","Star Performer")))))</f>
        <v>Developing</v>
      </c>
      <c r="BB624" s="0" t="n">
        <f aca="false">IF(AZ624="",0,IF(AZ624&gt;=Assumptions!$I$26,1,0))</f>
        <v>0</v>
      </c>
      <c r="BC624" s="9" t="n">
        <f aca="false">IF(AL624="",2,AL624+2)</f>
        <v>2</v>
      </c>
      <c r="BD624" s="10" t="n">
        <f aca="false">IF(AM624="",ROUND(AVERAGE($AM$2:$AM$921),3),AM624)</f>
        <v>0.577</v>
      </c>
      <c r="BE624" s="9" t="n">
        <f aca="false">1-BD624</f>
        <v>0.423</v>
      </c>
    </row>
    <row r="625" customFormat="false" ht="14.25" hidden="true" customHeight="false" outlineLevel="0" collapsed="false">
      <c r="A625" s="4" t="n">
        <v>738</v>
      </c>
      <c r="B625" s="5" t="n">
        <v>55073428</v>
      </c>
      <c r="C625" s="5" t="s">
        <v>149</v>
      </c>
      <c r="D625" s="5" t="s">
        <v>2260</v>
      </c>
      <c r="E625" s="5" t="s">
        <v>151</v>
      </c>
      <c r="F625" s="5" t="s">
        <v>1606</v>
      </c>
      <c r="G625" s="5" t="s">
        <v>1607</v>
      </c>
      <c r="H625" s="5" t="s">
        <v>1606</v>
      </c>
      <c r="I625" s="5" t="s">
        <v>63</v>
      </c>
      <c r="J625" s="5" t="s">
        <v>100</v>
      </c>
      <c r="K625" s="5" t="s">
        <v>309</v>
      </c>
      <c r="L625" s="6" t="n">
        <v>45125</v>
      </c>
      <c r="M625" s="5" t="s">
        <v>524</v>
      </c>
      <c r="N625" s="6" t="n">
        <v>35850</v>
      </c>
      <c r="O625" s="5" t="s">
        <v>1264</v>
      </c>
      <c r="P625" s="5" t="s">
        <v>1559</v>
      </c>
      <c r="Q625" s="5" t="s">
        <v>271</v>
      </c>
      <c r="R625" s="5" t="s">
        <v>115</v>
      </c>
      <c r="S625" s="5" t="s">
        <v>271</v>
      </c>
      <c r="T625" s="6"/>
      <c r="U625" s="6"/>
      <c r="V625" s="5"/>
      <c r="W625" s="5"/>
      <c r="X625" s="5" t="s">
        <v>631</v>
      </c>
      <c r="Y625" s="5" t="s">
        <v>141</v>
      </c>
      <c r="Z625" s="5" t="s">
        <v>141</v>
      </c>
      <c r="AA625" s="5" t="s">
        <v>2261</v>
      </c>
      <c r="AB625" s="0" t="n">
        <f aca="false">IFERROR(VALUE(R625),0)</f>
        <v>0</v>
      </c>
      <c r="AC625" s="0" t="n">
        <f aca="false">IFERROR(VALUE(M625),"")</f>
        <v>28.3</v>
      </c>
      <c r="AD625" s="0" t="n">
        <f aca="false">IFERROR(VALUE(Q625),"")</f>
        <v>2.1</v>
      </c>
      <c r="AE625" s="0" t="n">
        <f aca="false">IFERROR(VALUE(S625),"")</f>
        <v>2.1</v>
      </c>
      <c r="AF625" s="0" t="str">
        <f aca="false">IF(V625="","",VLOOKUP(V625,Assumptions!$B$6:$C$9,2,FALSE()))</f>
        <v/>
      </c>
      <c r="AG625" s="0" t="str">
        <f aca="false">IF(W625="","",VLOOKUP(W625,Assumptions!$B$6:$C$9,2,FALSE()))</f>
        <v/>
      </c>
      <c r="AH625" s="0" t="n">
        <f aca="false">IF(X625="","",VLOOKUP(X625,Assumptions!$B$6:$C$9,2,FALSE()))</f>
        <v>2</v>
      </c>
      <c r="AI625" s="0" t="n">
        <f aca="false">IF(Y625="","",VLOOKUP(Y625,Assumptions!$B$6:$C$9,2,FALSE()))</f>
        <v>3</v>
      </c>
      <c r="AJ625" s="0" t="n">
        <f aca="false">IF(Z625="","",VLOOKUP(Z625,Assumptions!$B$6:$C$9,2,FALSE()))</f>
        <v>3</v>
      </c>
      <c r="AK625" s="7" t="n">
        <f aca="false">IFERROR(ROUND(AVERAGE(AF625:AJ625),3),"")</f>
        <v>2.667</v>
      </c>
      <c r="AL625" s="7" t="str">
        <f aca="false">IF(OR(AF625="",AJ625=""),"",AJ625-AF625)</f>
        <v/>
      </c>
      <c r="AM625" s="7" t="n">
        <f aca="false">IF(COUNT(AF625:AJ625)&gt;=2,ROUND(_xlfn.STDEV.S(AF625:AJ625),3),"")</f>
        <v>0.577</v>
      </c>
      <c r="AN625" s="7" t="n">
        <f aca="false">ROUND((IF(AF625="",0,AF625)*Assumptions!$F$15)+(IF(AG625="",0,AG625)*Assumptions!$F$16)+(IF(AH625="",0,AH625)*Assumptions!$F$17)+(IF(AI625="",0,AI625)*Assumptions!$F$18)+(IF(AJ625="",0,AJ625)*Assumptions!$F$19),3)</f>
        <v>2.05</v>
      </c>
      <c r="AO625" s="0" t="str">
        <f aca="false">IF(AC625&lt;=20,"",IF(AC625&lt;=Assumptions!$F$6,"20-30",IF(AC625&lt;=Assumptions!$F$7,"30-40",IF(AC625&lt;=Assumptions!$F$8,"40-50",IF(AC625&lt;=Assumptions!$F$9,"50-60",IF(AC625&lt;=Assumptions!$F$10,"60+",""))))))</f>
        <v>20-30</v>
      </c>
      <c r="AP625" s="0" t="str">
        <f aca="false">IFERROR(VLOOKUP(O625,Assumptions!$B$14:$C$26,2,FALSE()),"Other")</f>
        <v>Manager</v>
      </c>
      <c r="AQ625" s="0" t="n">
        <f aca="false">IF(T625="",0,1)</f>
        <v>0</v>
      </c>
      <c r="AR625" s="0" t="n">
        <f aca="false">IF(U625="",0,1)</f>
        <v>0</v>
      </c>
      <c r="AS625" s="8" t="n">
        <f aca="false">IF(AK625="","",IF(MAX($AK$2:$AK$921)=MIN($AK$2:$AK$921),50,ROUND((AK625-MIN($AK$2:$AK$921))/(MAX($AK$2:$AK$921)-MIN($AK$2:$AK$921))*100,2)))</f>
        <v>42.86</v>
      </c>
      <c r="AT625" s="8" t="n">
        <f aca="false">IF(MAX($BC$2:$BC$921)=MIN($BC$2:$BC$921),50,ROUND((BC625-MIN($BC$2:$BC$921))/(MAX($BC$2:$BC$921)-MIN($BC$2:$BC$921))*100,2))</f>
        <v>50</v>
      </c>
      <c r="AU625" s="8" t="n">
        <f aca="false">IF(MAX($BE$2:$BE$921)=MIN($BE$2:$BE$921),50,ROUND((BE625-MIN($BE$2:$BE$921))/(MAX($BE$2:$BE$921)-MIN($BE$2:$BE$921))*100,2))</f>
        <v>66.69</v>
      </c>
      <c r="AV625" s="8" t="n">
        <f aca="false">IF(MAX($AD$2:$AD$921)=MIN($AD$2:$AD$921),50,ROUND((AD625-MIN($AD$2:$AD$921))/(MAX($AD$2:$AD$921)-MIN($AD$2:$AD$921))*100,2))</f>
        <v>5.41</v>
      </c>
      <c r="AW625" s="8" t="n">
        <f aca="false">IF(MAX($AN$2:$AN$921)=MIN($AN$2:$AN$921),50,ROUND((AN625-MIN($AN$2:$AN$921))/(MAX($AN$2:$AN$921)-MIN($AN$2:$AN$921))*100,2))</f>
        <v>51.25</v>
      </c>
      <c r="AX625" s="8" t="n">
        <f aca="false">AQ625*100</f>
        <v>0</v>
      </c>
      <c r="AY625" s="8" t="n">
        <f aca="false">AR625*100</f>
        <v>0</v>
      </c>
      <c r="AZ625" s="8" t="n">
        <f aca="false">IFERROR(ROUND(AS625*Assumptions!$I$6+AW625*Assumptions!$I$7+AT625*Assumptions!$I$8+AU625*Assumptions!$I$9+AV625*Assumptions!$I$10+AX625*Assumptions!$I$11+AY625*Assumptions!$I$12,2),"")</f>
        <v>41.15</v>
      </c>
      <c r="BA625" s="0" t="str">
        <f aca="false">IF(AZ625="","",IF(AZ625&lt;=Assumptions!$I$18,"Below Expectation",IF(AZ625&lt;=Assumptions!$I$19,"Developing",IF(AZ625&lt;=Assumptions!$I$20,"Meets Expectation",IF(AZ625&lt;=Assumptions!$I$21,"Exceeds","Star Performer")))))</f>
        <v>Developing</v>
      </c>
      <c r="BB625" s="0" t="n">
        <f aca="false">IF(AZ625="",0,IF(AZ625&gt;=Assumptions!$I$26,1,0))</f>
        <v>0</v>
      </c>
      <c r="BC625" s="9" t="n">
        <f aca="false">IF(AL625="",2,AL625+2)</f>
        <v>2</v>
      </c>
      <c r="BD625" s="10" t="n">
        <f aca="false">IF(AM625="",ROUND(AVERAGE($AM$2:$AM$921),3),AM625)</f>
        <v>0.577</v>
      </c>
      <c r="BE625" s="9" t="n">
        <f aca="false">1-BD625</f>
        <v>0.423</v>
      </c>
    </row>
    <row r="626" customFormat="false" ht="14.25" hidden="true" customHeight="false" outlineLevel="0" collapsed="false">
      <c r="A626" s="4" t="n">
        <v>743</v>
      </c>
      <c r="B626" s="5" t="n">
        <v>55074177</v>
      </c>
      <c r="C626" s="5" t="s">
        <v>85</v>
      </c>
      <c r="D626" s="5" t="s">
        <v>2262</v>
      </c>
      <c r="E626" s="5" t="s">
        <v>1292</v>
      </c>
      <c r="F626" s="5" t="s">
        <v>590</v>
      </c>
      <c r="G626" s="5" t="s">
        <v>589</v>
      </c>
      <c r="H626" s="5" t="s">
        <v>590</v>
      </c>
      <c r="I626" s="5" t="s">
        <v>63</v>
      </c>
      <c r="J626" s="5" t="s">
        <v>76</v>
      </c>
      <c r="K626" s="5" t="s">
        <v>309</v>
      </c>
      <c r="L626" s="6" t="n">
        <v>45132</v>
      </c>
      <c r="M626" s="5" t="s">
        <v>910</v>
      </c>
      <c r="N626" s="6" t="n">
        <v>37074</v>
      </c>
      <c r="O626" s="5" t="s">
        <v>1264</v>
      </c>
      <c r="P626" s="5" t="s">
        <v>1559</v>
      </c>
      <c r="Q626" s="5" t="s">
        <v>271</v>
      </c>
      <c r="R626" s="5" t="s">
        <v>115</v>
      </c>
      <c r="S626" s="5" t="s">
        <v>271</v>
      </c>
      <c r="T626" s="6"/>
      <c r="U626" s="6"/>
      <c r="V626" s="5"/>
      <c r="W626" s="5"/>
      <c r="X626" s="5" t="s">
        <v>631</v>
      </c>
      <c r="Y626" s="5" t="s">
        <v>141</v>
      </c>
      <c r="Z626" s="5" t="s">
        <v>141</v>
      </c>
      <c r="AA626" s="5" t="s">
        <v>2263</v>
      </c>
      <c r="AB626" s="0" t="n">
        <f aca="false">IFERROR(VALUE(R626),0)</f>
        <v>0</v>
      </c>
      <c r="AC626" s="0" t="n">
        <f aca="false">IFERROR(VALUE(M626),"")</f>
        <v>24.11</v>
      </c>
      <c r="AD626" s="0" t="n">
        <f aca="false">IFERROR(VALUE(Q626),"")</f>
        <v>2.1</v>
      </c>
      <c r="AE626" s="0" t="n">
        <f aca="false">IFERROR(VALUE(S626),"")</f>
        <v>2.1</v>
      </c>
      <c r="AF626" s="0" t="str">
        <f aca="false">IF(V626="","",VLOOKUP(V626,Assumptions!$B$6:$C$9,2,FALSE()))</f>
        <v/>
      </c>
      <c r="AG626" s="0" t="str">
        <f aca="false">IF(W626="","",VLOOKUP(W626,Assumptions!$B$6:$C$9,2,FALSE()))</f>
        <v/>
      </c>
      <c r="AH626" s="0" t="n">
        <f aca="false">IF(X626="","",VLOOKUP(X626,Assumptions!$B$6:$C$9,2,FALSE()))</f>
        <v>2</v>
      </c>
      <c r="AI626" s="0" t="n">
        <f aca="false">IF(Y626="","",VLOOKUP(Y626,Assumptions!$B$6:$C$9,2,FALSE()))</f>
        <v>3</v>
      </c>
      <c r="AJ626" s="0" t="n">
        <f aca="false">IF(Z626="","",VLOOKUP(Z626,Assumptions!$B$6:$C$9,2,FALSE()))</f>
        <v>3</v>
      </c>
      <c r="AK626" s="7" t="n">
        <f aca="false">IFERROR(ROUND(AVERAGE(AF626:AJ626),3),"")</f>
        <v>2.667</v>
      </c>
      <c r="AL626" s="7" t="str">
        <f aca="false">IF(OR(AF626="",AJ626=""),"",AJ626-AF626)</f>
        <v/>
      </c>
      <c r="AM626" s="7" t="n">
        <f aca="false">IF(COUNT(AF626:AJ626)&gt;=2,ROUND(_xlfn.STDEV.S(AF626:AJ626),3),"")</f>
        <v>0.577</v>
      </c>
      <c r="AN626" s="7" t="n">
        <f aca="false">ROUND((IF(AF626="",0,AF626)*Assumptions!$F$15)+(IF(AG626="",0,AG626)*Assumptions!$F$16)+(IF(AH626="",0,AH626)*Assumptions!$F$17)+(IF(AI626="",0,AI626)*Assumptions!$F$18)+(IF(AJ626="",0,AJ626)*Assumptions!$F$19),3)</f>
        <v>2.05</v>
      </c>
      <c r="AO626" s="0" t="str">
        <f aca="false">IF(AC626&lt;=20,"",IF(AC626&lt;=Assumptions!$F$6,"20-30",IF(AC626&lt;=Assumptions!$F$7,"30-40",IF(AC626&lt;=Assumptions!$F$8,"40-50",IF(AC626&lt;=Assumptions!$F$9,"50-60",IF(AC626&lt;=Assumptions!$F$10,"60+",""))))))</f>
        <v>20-30</v>
      </c>
      <c r="AP626" s="0" t="str">
        <f aca="false">IFERROR(VLOOKUP(O626,Assumptions!$B$14:$C$26,2,FALSE()),"Other")</f>
        <v>Manager</v>
      </c>
      <c r="AQ626" s="0" t="n">
        <f aca="false">IF(T626="",0,1)</f>
        <v>0</v>
      </c>
      <c r="AR626" s="0" t="n">
        <f aca="false">IF(U626="",0,1)</f>
        <v>0</v>
      </c>
      <c r="AS626" s="8" t="n">
        <f aca="false">IF(AK626="","",IF(MAX($AK$2:$AK$921)=MIN($AK$2:$AK$921),50,ROUND((AK626-MIN($AK$2:$AK$921))/(MAX($AK$2:$AK$921)-MIN($AK$2:$AK$921))*100,2)))</f>
        <v>42.86</v>
      </c>
      <c r="AT626" s="8" t="n">
        <f aca="false">IF(MAX($BC$2:$BC$921)=MIN($BC$2:$BC$921),50,ROUND((BC626-MIN($BC$2:$BC$921))/(MAX($BC$2:$BC$921)-MIN($BC$2:$BC$921))*100,2))</f>
        <v>50</v>
      </c>
      <c r="AU626" s="8" t="n">
        <f aca="false">IF(MAX($BE$2:$BE$921)=MIN($BE$2:$BE$921),50,ROUND((BE626-MIN($BE$2:$BE$921))/(MAX($BE$2:$BE$921)-MIN($BE$2:$BE$921))*100,2))</f>
        <v>66.69</v>
      </c>
      <c r="AV626" s="8" t="n">
        <f aca="false">IF(MAX($AD$2:$AD$921)=MIN($AD$2:$AD$921),50,ROUND((AD626-MIN($AD$2:$AD$921))/(MAX($AD$2:$AD$921)-MIN($AD$2:$AD$921))*100,2))</f>
        <v>5.41</v>
      </c>
      <c r="AW626" s="8" t="n">
        <f aca="false">IF(MAX($AN$2:$AN$921)=MIN($AN$2:$AN$921),50,ROUND((AN626-MIN($AN$2:$AN$921))/(MAX($AN$2:$AN$921)-MIN($AN$2:$AN$921))*100,2))</f>
        <v>51.25</v>
      </c>
      <c r="AX626" s="8" t="n">
        <f aca="false">AQ626*100</f>
        <v>0</v>
      </c>
      <c r="AY626" s="8" t="n">
        <f aca="false">AR626*100</f>
        <v>0</v>
      </c>
      <c r="AZ626" s="8" t="n">
        <f aca="false">IFERROR(ROUND(AS626*Assumptions!$I$6+AW626*Assumptions!$I$7+AT626*Assumptions!$I$8+AU626*Assumptions!$I$9+AV626*Assumptions!$I$10+AX626*Assumptions!$I$11+AY626*Assumptions!$I$12,2),"")</f>
        <v>41.15</v>
      </c>
      <c r="BA626" s="0" t="str">
        <f aca="false">IF(AZ626="","",IF(AZ626&lt;=Assumptions!$I$18,"Below Expectation",IF(AZ626&lt;=Assumptions!$I$19,"Developing",IF(AZ626&lt;=Assumptions!$I$20,"Meets Expectation",IF(AZ626&lt;=Assumptions!$I$21,"Exceeds","Star Performer")))))</f>
        <v>Developing</v>
      </c>
      <c r="BB626" s="0" t="n">
        <f aca="false">IF(AZ626="",0,IF(AZ626&gt;=Assumptions!$I$26,1,0))</f>
        <v>0</v>
      </c>
      <c r="BC626" s="9" t="n">
        <f aca="false">IF(AL626="",2,AL626+2)</f>
        <v>2</v>
      </c>
      <c r="BD626" s="10" t="n">
        <f aca="false">IF(AM626="",ROUND(AVERAGE($AM$2:$AM$921),3),AM626)</f>
        <v>0.577</v>
      </c>
      <c r="BE626" s="9" t="n">
        <f aca="false">1-BD626</f>
        <v>0.423</v>
      </c>
    </row>
    <row r="627" customFormat="false" ht="14.25" hidden="false" customHeight="false" outlineLevel="0" collapsed="false">
      <c r="A627" s="4" t="n">
        <v>747</v>
      </c>
      <c r="B627" s="5" t="n">
        <v>55074187</v>
      </c>
      <c r="C627" s="5" t="s">
        <v>106</v>
      </c>
      <c r="D627" s="5" t="s">
        <v>2264</v>
      </c>
      <c r="E627" s="5" t="s">
        <v>108</v>
      </c>
      <c r="F627" s="5" t="s">
        <v>463</v>
      </c>
      <c r="G627" s="5" t="s">
        <v>464</v>
      </c>
      <c r="H627" s="5" t="s">
        <v>465</v>
      </c>
      <c r="I627" s="5" t="s">
        <v>63</v>
      </c>
      <c r="J627" s="5" t="s">
        <v>112</v>
      </c>
      <c r="K627" s="5" t="s">
        <v>309</v>
      </c>
      <c r="L627" s="6" t="n">
        <v>45132</v>
      </c>
      <c r="M627" s="5" t="s">
        <v>984</v>
      </c>
      <c r="N627" s="6" t="n">
        <v>37233</v>
      </c>
      <c r="O627" s="5" t="s">
        <v>1264</v>
      </c>
      <c r="P627" s="5" t="s">
        <v>1559</v>
      </c>
      <c r="Q627" s="5" t="s">
        <v>271</v>
      </c>
      <c r="R627" s="5" t="s">
        <v>115</v>
      </c>
      <c r="S627" s="5" t="s">
        <v>271</v>
      </c>
      <c r="T627" s="6"/>
      <c r="U627" s="6"/>
      <c r="V627" s="5"/>
      <c r="W627" s="5"/>
      <c r="X627" s="5" t="s">
        <v>631</v>
      </c>
      <c r="Y627" s="5" t="s">
        <v>141</v>
      </c>
      <c r="Z627" s="5" t="s">
        <v>141</v>
      </c>
      <c r="AA627" s="5" t="s">
        <v>2151</v>
      </c>
      <c r="AB627" s="0" t="n">
        <f aca="false">IFERROR(VALUE(R627),0)</f>
        <v>0</v>
      </c>
      <c r="AC627" s="0" t="n">
        <f aca="false">IFERROR(VALUE(M627),"")</f>
        <v>24.6</v>
      </c>
      <c r="AD627" s="0" t="n">
        <f aca="false">IFERROR(VALUE(Q627),"")</f>
        <v>2.1</v>
      </c>
      <c r="AE627" s="0" t="n">
        <f aca="false">IFERROR(VALUE(S627),"")</f>
        <v>2.1</v>
      </c>
      <c r="AF627" s="0" t="str">
        <f aca="false">IF(V627="","",VLOOKUP(V627,Assumptions!$B$6:$C$9,2,FALSE()))</f>
        <v/>
      </c>
      <c r="AG627" s="0" t="str">
        <f aca="false">IF(W627="","",VLOOKUP(W627,Assumptions!$B$6:$C$9,2,FALSE()))</f>
        <v/>
      </c>
      <c r="AH627" s="0" t="n">
        <f aca="false">IF(X627="","",VLOOKUP(X627,Assumptions!$B$6:$C$9,2,FALSE()))</f>
        <v>2</v>
      </c>
      <c r="AI627" s="0" t="n">
        <f aca="false">IF(Y627="","",VLOOKUP(Y627,Assumptions!$B$6:$C$9,2,FALSE()))</f>
        <v>3</v>
      </c>
      <c r="AJ627" s="0" t="n">
        <f aca="false">IF(Z627="","",VLOOKUP(Z627,Assumptions!$B$6:$C$9,2,FALSE()))</f>
        <v>3</v>
      </c>
      <c r="AK627" s="7" t="n">
        <f aca="false">IFERROR(ROUND(AVERAGE(AF627:AJ627),3),"")</f>
        <v>2.667</v>
      </c>
      <c r="AL627" s="7" t="str">
        <f aca="false">IF(OR(AF627="",AJ627=""),"",AJ627-AF627)</f>
        <v/>
      </c>
      <c r="AM627" s="7" t="n">
        <f aca="false">IF(COUNT(AF627:AJ627)&gt;=2,ROUND(_xlfn.STDEV.S(AF627:AJ627),3),"")</f>
        <v>0.577</v>
      </c>
      <c r="AN627" s="7" t="n">
        <f aca="false">ROUND((IF(AF627="",0,AF627)*Assumptions!$F$15)+(IF(AG627="",0,AG627)*Assumptions!$F$16)+(IF(AH627="",0,AH627)*Assumptions!$F$17)+(IF(AI627="",0,AI627)*Assumptions!$F$18)+(IF(AJ627="",0,AJ627)*Assumptions!$F$19),3)</f>
        <v>2.05</v>
      </c>
      <c r="AO627" s="0" t="str">
        <f aca="false">IF(AC627&lt;=20,"",IF(AC627&lt;=Assumptions!$F$6,"20-30",IF(AC627&lt;=Assumptions!$F$7,"30-40",IF(AC627&lt;=Assumptions!$F$8,"40-50",IF(AC627&lt;=Assumptions!$F$9,"50-60",IF(AC627&lt;=Assumptions!$F$10,"60+",""))))))</f>
        <v>20-30</v>
      </c>
      <c r="AP627" s="0" t="str">
        <f aca="false">IFERROR(VLOOKUP(O627,Assumptions!$B$14:$C$26,2,FALSE()),"Other")</f>
        <v>Manager</v>
      </c>
      <c r="AQ627" s="0" t="n">
        <f aca="false">IF(T627="",0,1)</f>
        <v>0</v>
      </c>
      <c r="AR627" s="0" t="n">
        <f aca="false">IF(U627="",0,1)</f>
        <v>0</v>
      </c>
      <c r="AS627" s="8" t="n">
        <f aca="false">IF(AK627="","",IF(MAX($AK$2:$AK$921)=MIN($AK$2:$AK$921),50,ROUND((AK627-MIN($AK$2:$AK$921))/(MAX($AK$2:$AK$921)-MIN($AK$2:$AK$921))*100,2)))</f>
        <v>42.86</v>
      </c>
      <c r="AT627" s="8" t="n">
        <f aca="false">IF(MAX($BC$2:$BC$921)=MIN($BC$2:$BC$921),50,ROUND((BC627-MIN($BC$2:$BC$921))/(MAX($BC$2:$BC$921)-MIN($BC$2:$BC$921))*100,2))</f>
        <v>50</v>
      </c>
      <c r="AU627" s="8" t="n">
        <f aca="false">IF(MAX($BE$2:$BE$921)=MIN($BE$2:$BE$921),50,ROUND((BE627-MIN($BE$2:$BE$921))/(MAX($BE$2:$BE$921)-MIN($BE$2:$BE$921))*100,2))</f>
        <v>66.69</v>
      </c>
      <c r="AV627" s="8" t="n">
        <f aca="false">IF(MAX($AD$2:$AD$921)=MIN($AD$2:$AD$921),50,ROUND((AD627-MIN($AD$2:$AD$921))/(MAX($AD$2:$AD$921)-MIN($AD$2:$AD$921))*100,2))</f>
        <v>5.41</v>
      </c>
      <c r="AW627" s="8" t="n">
        <f aca="false">IF(MAX($AN$2:$AN$921)=MIN($AN$2:$AN$921),50,ROUND((AN627-MIN($AN$2:$AN$921))/(MAX($AN$2:$AN$921)-MIN($AN$2:$AN$921))*100,2))</f>
        <v>51.25</v>
      </c>
      <c r="AX627" s="8" t="n">
        <f aca="false">AQ627*100</f>
        <v>0</v>
      </c>
      <c r="AY627" s="8" t="n">
        <f aca="false">AR627*100</f>
        <v>0</v>
      </c>
      <c r="AZ627" s="8" t="n">
        <f aca="false">IFERROR(ROUND(AS627*Assumptions!$I$6+AW627*Assumptions!$I$7+AT627*Assumptions!$I$8+AU627*Assumptions!$I$9+AV627*Assumptions!$I$10+AX627*Assumptions!$I$11+AY627*Assumptions!$I$12,2),"")</f>
        <v>41.15</v>
      </c>
      <c r="BA627" s="0" t="str">
        <f aca="false">IF(AZ627="","",IF(AZ627&lt;=Assumptions!$I$18,"Below Expectation",IF(AZ627&lt;=Assumptions!$I$19,"Developing",IF(AZ627&lt;=Assumptions!$I$20,"Meets Expectation",IF(AZ627&lt;=Assumptions!$I$21,"Exceeds","Star Performer")))))</f>
        <v>Developing</v>
      </c>
      <c r="BB627" s="0" t="n">
        <f aca="false">IF(AZ627="",0,IF(AZ627&gt;=Assumptions!$I$26,1,0))</f>
        <v>0</v>
      </c>
      <c r="BC627" s="9" t="n">
        <f aca="false">IF(AL627="",2,AL627+2)</f>
        <v>2</v>
      </c>
      <c r="BD627" s="10" t="n">
        <f aca="false">IF(AM627="",ROUND(AVERAGE($AM$2:$AM$921),3),AM627)</f>
        <v>0.577</v>
      </c>
      <c r="BE627" s="9" t="n">
        <f aca="false">1-BD627</f>
        <v>0.423</v>
      </c>
    </row>
    <row r="628" customFormat="false" ht="14.25" hidden="false" customHeight="false" outlineLevel="0" collapsed="false">
      <c r="A628" s="4" t="n">
        <v>750</v>
      </c>
      <c r="B628" s="5" t="n">
        <v>55074198</v>
      </c>
      <c r="C628" s="5" t="s">
        <v>106</v>
      </c>
      <c r="D628" s="5" t="s">
        <v>2265</v>
      </c>
      <c r="E628" s="5" t="s">
        <v>108</v>
      </c>
      <c r="F628" s="5" t="s">
        <v>590</v>
      </c>
      <c r="G628" s="5" t="s">
        <v>589</v>
      </c>
      <c r="H628" s="5" t="s">
        <v>590</v>
      </c>
      <c r="I628" s="5" t="s">
        <v>63</v>
      </c>
      <c r="J628" s="5" t="s">
        <v>112</v>
      </c>
      <c r="K628" s="5" t="s">
        <v>309</v>
      </c>
      <c r="L628" s="6" t="n">
        <v>45132</v>
      </c>
      <c r="M628" s="5" t="s">
        <v>226</v>
      </c>
      <c r="N628" s="6" t="n">
        <v>36795</v>
      </c>
      <c r="O628" s="5" t="s">
        <v>1264</v>
      </c>
      <c r="P628" s="5" t="s">
        <v>1559</v>
      </c>
      <c r="Q628" s="5" t="s">
        <v>271</v>
      </c>
      <c r="R628" s="5" t="s">
        <v>115</v>
      </c>
      <c r="S628" s="5" t="s">
        <v>271</v>
      </c>
      <c r="T628" s="6"/>
      <c r="U628" s="6"/>
      <c r="V628" s="5"/>
      <c r="W628" s="5"/>
      <c r="X628" s="5" t="s">
        <v>631</v>
      </c>
      <c r="Y628" s="5" t="s">
        <v>141</v>
      </c>
      <c r="Z628" s="5" t="s">
        <v>141</v>
      </c>
      <c r="AA628" s="5" t="s">
        <v>2266</v>
      </c>
      <c r="AB628" s="0" t="n">
        <f aca="false">IFERROR(VALUE(R628),0)</f>
        <v>0</v>
      </c>
      <c r="AC628" s="0" t="n">
        <f aca="false">IFERROR(VALUE(M628),"")</f>
        <v>25.8</v>
      </c>
      <c r="AD628" s="0" t="n">
        <f aca="false">IFERROR(VALUE(Q628),"")</f>
        <v>2.1</v>
      </c>
      <c r="AE628" s="0" t="n">
        <f aca="false">IFERROR(VALUE(S628),"")</f>
        <v>2.1</v>
      </c>
      <c r="AF628" s="0" t="str">
        <f aca="false">IF(V628="","",VLOOKUP(V628,Assumptions!$B$6:$C$9,2,FALSE()))</f>
        <v/>
      </c>
      <c r="AG628" s="0" t="str">
        <f aca="false">IF(W628="","",VLOOKUP(W628,Assumptions!$B$6:$C$9,2,FALSE()))</f>
        <v/>
      </c>
      <c r="AH628" s="0" t="n">
        <f aca="false">IF(X628="","",VLOOKUP(X628,Assumptions!$B$6:$C$9,2,FALSE()))</f>
        <v>2</v>
      </c>
      <c r="AI628" s="0" t="n">
        <f aca="false">IF(Y628="","",VLOOKUP(Y628,Assumptions!$B$6:$C$9,2,FALSE()))</f>
        <v>3</v>
      </c>
      <c r="AJ628" s="0" t="n">
        <f aca="false">IF(Z628="","",VLOOKUP(Z628,Assumptions!$B$6:$C$9,2,FALSE()))</f>
        <v>3</v>
      </c>
      <c r="AK628" s="7" t="n">
        <f aca="false">IFERROR(ROUND(AVERAGE(AF628:AJ628),3),"")</f>
        <v>2.667</v>
      </c>
      <c r="AL628" s="7" t="str">
        <f aca="false">IF(OR(AF628="",AJ628=""),"",AJ628-AF628)</f>
        <v/>
      </c>
      <c r="AM628" s="7" t="n">
        <f aca="false">IF(COUNT(AF628:AJ628)&gt;=2,ROUND(_xlfn.STDEV.S(AF628:AJ628),3),"")</f>
        <v>0.577</v>
      </c>
      <c r="AN628" s="7" t="n">
        <f aca="false">ROUND((IF(AF628="",0,AF628)*Assumptions!$F$15)+(IF(AG628="",0,AG628)*Assumptions!$F$16)+(IF(AH628="",0,AH628)*Assumptions!$F$17)+(IF(AI628="",0,AI628)*Assumptions!$F$18)+(IF(AJ628="",0,AJ628)*Assumptions!$F$19),3)</f>
        <v>2.05</v>
      </c>
      <c r="AO628" s="0" t="str">
        <f aca="false">IF(AC628&lt;=20,"",IF(AC628&lt;=Assumptions!$F$6,"20-30",IF(AC628&lt;=Assumptions!$F$7,"30-40",IF(AC628&lt;=Assumptions!$F$8,"40-50",IF(AC628&lt;=Assumptions!$F$9,"50-60",IF(AC628&lt;=Assumptions!$F$10,"60+",""))))))</f>
        <v>20-30</v>
      </c>
      <c r="AP628" s="0" t="str">
        <f aca="false">IFERROR(VLOOKUP(O628,Assumptions!$B$14:$C$26,2,FALSE()),"Other")</f>
        <v>Manager</v>
      </c>
      <c r="AQ628" s="0" t="n">
        <f aca="false">IF(T628="",0,1)</f>
        <v>0</v>
      </c>
      <c r="AR628" s="0" t="n">
        <f aca="false">IF(U628="",0,1)</f>
        <v>0</v>
      </c>
      <c r="AS628" s="8" t="n">
        <f aca="false">IF(AK628="","",IF(MAX($AK$2:$AK$921)=MIN($AK$2:$AK$921),50,ROUND((AK628-MIN($AK$2:$AK$921))/(MAX($AK$2:$AK$921)-MIN($AK$2:$AK$921))*100,2)))</f>
        <v>42.86</v>
      </c>
      <c r="AT628" s="8" t="n">
        <f aca="false">IF(MAX($BC$2:$BC$921)=MIN($BC$2:$BC$921),50,ROUND((BC628-MIN($BC$2:$BC$921))/(MAX($BC$2:$BC$921)-MIN($BC$2:$BC$921))*100,2))</f>
        <v>50</v>
      </c>
      <c r="AU628" s="8" t="n">
        <f aca="false">IF(MAX($BE$2:$BE$921)=MIN($BE$2:$BE$921),50,ROUND((BE628-MIN($BE$2:$BE$921))/(MAX($BE$2:$BE$921)-MIN($BE$2:$BE$921))*100,2))</f>
        <v>66.69</v>
      </c>
      <c r="AV628" s="8" t="n">
        <f aca="false">IF(MAX($AD$2:$AD$921)=MIN($AD$2:$AD$921),50,ROUND((AD628-MIN($AD$2:$AD$921))/(MAX($AD$2:$AD$921)-MIN($AD$2:$AD$921))*100,2))</f>
        <v>5.41</v>
      </c>
      <c r="AW628" s="8" t="n">
        <f aca="false">IF(MAX($AN$2:$AN$921)=MIN($AN$2:$AN$921),50,ROUND((AN628-MIN($AN$2:$AN$921))/(MAX($AN$2:$AN$921)-MIN($AN$2:$AN$921))*100,2))</f>
        <v>51.25</v>
      </c>
      <c r="AX628" s="8" t="n">
        <f aca="false">AQ628*100</f>
        <v>0</v>
      </c>
      <c r="AY628" s="8" t="n">
        <f aca="false">AR628*100</f>
        <v>0</v>
      </c>
      <c r="AZ628" s="8" t="n">
        <f aca="false">IFERROR(ROUND(AS628*Assumptions!$I$6+AW628*Assumptions!$I$7+AT628*Assumptions!$I$8+AU628*Assumptions!$I$9+AV628*Assumptions!$I$10+AX628*Assumptions!$I$11+AY628*Assumptions!$I$12,2),"")</f>
        <v>41.15</v>
      </c>
      <c r="BA628" s="0" t="str">
        <f aca="false">IF(AZ628="","",IF(AZ628&lt;=Assumptions!$I$18,"Below Expectation",IF(AZ628&lt;=Assumptions!$I$19,"Developing",IF(AZ628&lt;=Assumptions!$I$20,"Meets Expectation",IF(AZ628&lt;=Assumptions!$I$21,"Exceeds","Star Performer")))))</f>
        <v>Developing</v>
      </c>
      <c r="BB628" s="0" t="n">
        <f aca="false">IF(AZ628="",0,IF(AZ628&gt;=Assumptions!$I$26,1,0))</f>
        <v>0</v>
      </c>
      <c r="BC628" s="9" t="n">
        <f aca="false">IF(AL628="",2,AL628+2)</f>
        <v>2</v>
      </c>
      <c r="BD628" s="10" t="n">
        <f aca="false">IF(AM628="",ROUND(AVERAGE($AM$2:$AM$921),3),AM628)</f>
        <v>0.577</v>
      </c>
      <c r="BE628" s="9" t="n">
        <f aca="false">1-BD628</f>
        <v>0.423</v>
      </c>
    </row>
    <row r="629" customFormat="false" ht="14.25" hidden="true" customHeight="false" outlineLevel="0" collapsed="false">
      <c r="A629" s="4" t="n">
        <v>380</v>
      </c>
      <c r="B629" s="5" t="n">
        <v>50007264</v>
      </c>
      <c r="C629" s="5" t="s">
        <v>85</v>
      </c>
      <c r="D629" s="5" t="s">
        <v>2267</v>
      </c>
      <c r="E629" s="5" t="s">
        <v>775</v>
      </c>
      <c r="F629" s="5" t="s">
        <v>358</v>
      </c>
      <c r="G629" s="5" t="s">
        <v>357</v>
      </c>
      <c r="H629" s="5" t="s">
        <v>358</v>
      </c>
      <c r="I629" s="5" t="s">
        <v>63</v>
      </c>
      <c r="J629" s="5" t="s">
        <v>76</v>
      </c>
      <c r="K629" s="5" t="s">
        <v>65</v>
      </c>
      <c r="L629" s="6" t="n">
        <v>40308</v>
      </c>
      <c r="M629" s="5" t="s">
        <v>1516</v>
      </c>
      <c r="N629" s="6" t="n">
        <v>27102</v>
      </c>
      <c r="O629" s="5" t="s">
        <v>365</v>
      </c>
      <c r="P629" s="5" t="s">
        <v>365</v>
      </c>
      <c r="Q629" s="5" t="s">
        <v>203</v>
      </c>
      <c r="R629" s="5" t="s">
        <v>1033</v>
      </c>
      <c r="S629" s="5" t="s">
        <v>524</v>
      </c>
      <c r="T629" s="6"/>
      <c r="U629" s="6"/>
      <c r="V629" s="5" t="s">
        <v>631</v>
      </c>
      <c r="W629" s="5" t="s">
        <v>631</v>
      </c>
      <c r="X629" s="5" t="s">
        <v>631</v>
      </c>
      <c r="Y629" s="5" t="s">
        <v>631</v>
      </c>
      <c r="Z629" s="5" t="s">
        <v>631</v>
      </c>
      <c r="AA629" s="5" t="s">
        <v>2268</v>
      </c>
      <c r="AB629" s="0" t="n">
        <f aca="false">IFERROR(VALUE(R629),0)</f>
        <v>12.3</v>
      </c>
      <c r="AC629" s="0" t="n">
        <f aca="false">IFERROR(VALUE(M629),"")</f>
        <v>52.2</v>
      </c>
      <c r="AD629" s="0" t="n">
        <f aca="false">IFERROR(VALUE(Q629),"")</f>
        <v>16</v>
      </c>
      <c r="AE629" s="0" t="n">
        <f aca="false">IFERROR(VALUE(S629),"")</f>
        <v>28.3</v>
      </c>
      <c r="AF629" s="0" t="n">
        <f aca="false">IF(V629="","",VLOOKUP(V629,Assumptions!$B$6:$C$9,2,FALSE()))</f>
        <v>2</v>
      </c>
      <c r="AG629" s="0" t="n">
        <f aca="false">IF(W629="","",VLOOKUP(W629,Assumptions!$B$6:$C$9,2,FALSE()))</f>
        <v>2</v>
      </c>
      <c r="AH629" s="0" t="n">
        <f aca="false">IF(X629="","",VLOOKUP(X629,Assumptions!$B$6:$C$9,2,FALSE()))</f>
        <v>2</v>
      </c>
      <c r="AI629" s="0" t="n">
        <f aca="false">IF(Y629="","",VLOOKUP(Y629,Assumptions!$B$6:$C$9,2,FALSE()))</f>
        <v>2</v>
      </c>
      <c r="AJ629" s="0" t="n">
        <f aca="false">IF(Z629="","",VLOOKUP(Z629,Assumptions!$B$6:$C$9,2,FALSE()))</f>
        <v>2</v>
      </c>
      <c r="AK629" s="7" t="n">
        <f aca="false">IFERROR(ROUND(AVERAGE(AF629:AJ629),3),"")</f>
        <v>2</v>
      </c>
      <c r="AL629" s="7" t="n">
        <f aca="false">IF(OR(AF629="",AJ629=""),"",AJ629-AF629)</f>
        <v>0</v>
      </c>
      <c r="AM629" s="7" t="n">
        <f aca="false">IF(COUNT(AF629:AJ629)&gt;=2,ROUND(_xlfn.STDEV.S(AF629:AJ629),3),"")</f>
        <v>0</v>
      </c>
      <c r="AN629" s="7" t="n">
        <f aca="false">ROUND((IF(AF629="",0,AF629)*Assumptions!$F$15)+(IF(AG629="",0,AG629)*Assumptions!$F$16)+(IF(AH629="",0,AH629)*Assumptions!$F$17)+(IF(AI629="",0,AI629)*Assumptions!$F$18)+(IF(AJ629="",0,AJ629)*Assumptions!$F$19),3)</f>
        <v>2</v>
      </c>
      <c r="AO629" s="0" t="str">
        <f aca="false">IF(AC629&lt;=20,"",IF(AC629&lt;=Assumptions!$F$6,"20-30",IF(AC629&lt;=Assumptions!$F$7,"30-40",IF(AC629&lt;=Assumptions!$F$8,"40-50",IF(AC629&lt;=Assumptions!$F$9,"50-60",IF(AC629&lt;=Assumptions!$F$10,"60+",""))))))</f>
        <v>50-60</v>
      </c>
      <c r="AP629" s="0" t="str">
        <f aca="false">IFERROR(VLOOKUP(O629,Assumptions!$B$14:$C$26,2,FALSE()),"Other")</f>
        <v>Manager</v>
      </c>
      <c r="AQ629" s="0" t="n">
        <f aca="false">IF(T629="",0,1)</f>
        <v>0</v>
      </c>
      <c r="AR629" s="0" t="n">
        <f aca="false">IF(U629="",0,1)</f>
        <v>0</v>
      </c>
      <c r="AS629" s="8" t="n">
        <f aca="false">IF(AK629="","",IF(MAX($AK$2:$AK$921)=MIN($AK$2:$AK$921),50,ROUND((AK629-MIN($AK$2:$AK$921))/(MAX($AK$2:$AK$921)-MIN($AK$2:$AK$921))*100,2)))</f>
        <v>14.27</v>
      </c>
      <c r="AT629" s="8" t="n">
        <f aca="false">IF(MAX($BC$2:$BC$921)=MIN($BC$2:$BC$921),50,ROUND((BC629-MIN($BC$2:$BC$921))/(MAX($BC$2:$BC$921)-MIN($BC$2:$BC$921))*100,2))</f>
        <v>50</v>
      </c>
      <c r="AU629" s="8" t="n">
        <f aca="false">IF(MAX($BE$2:$BE$921)=MIN($BE$2:$BE$921),50,ROUND((BE629-MIN($BE$2:$BE$921))/(MAX($BE$2:$BE$921)-MIN($BE$2:$BE$921))*100,2))</f>
        <v>100</v>
      </c>
      <c r="AV629" s="8" t="n">
        <f aca="false">IF(MAX($AD$2:$AD$921)=MIN($AD$2:$AD$921),50,ROUND((AD629-MIN($AD$2:$AD$921))/(MAX($AD$2:$AD$921)-MIN($AD$2:$AD$921))*100,2))</f>
        <v>43.19</v>
      </c>
      <c r="AW629" s="8" t="n">
        <f aca="false">IF(MAX($AN$2:$AN$921)=MIN($AN$2:$AN$921),50,ROUND((AN629-MIN($AN$2:$AN$921))/(MAX($AN$2:$AN$921)-MIN($AN$2:$AN$921))*100,2))</f>
        <v>50</v>
      </c>
      <c r="AX629" s="8" t="n">
        <f aca="false">AQ629*100</f>
        <v>0</v>
      </c>
      <c r="AY629" s="8" t="n">
        <f aca="false">AR629*100</f>
        <v>0</v>
      </c>
      <c r="AZ629" s="8" t="n">
        <f aca="false">IFERROR(ROUND(AS629*Assumptions!$I$6+AW629*Assumptions!$I$7+AT629*Assumptions!$I$8+AU629*Assumptions!$I$9+AV629*Assumptions!$I$10+AX629*Assumptions!$I$11+AY629*Assumptions!$I$12,2),"")</f>
        <v>41.1</v>
      </c>
      <c r="BA629" s="0" t="str">
        <f aca="false">IF(AZ629="","",IF(AZ629&lt;=Assumptions!$I$18,"Below Expectation",IF(AZ629&lt;=Assumptions!$I$19,"Developing",IF(AZ629&lt;=Assumptions!$I$20,"Meets Expectation",IF(AZ629&lt;=Assumptions!$I$21,"Exceeds","Star Performer")))))</f>
        <v>Developing</v>
      </c>
      <c r="BB629" s="0" t="n">
        <f aca="false">IF(AZ629="",0,IF(AZ629&gt;=Assumptions!$I$26,1,0))</f>
        <v>0</v>
      </c>
      <c r="BC629" s="9" t="n">
        <f aca="false">IF(AL629="",2,AL629+2)</f>
        <v>2</v>
      </c>
      <c r="BD629" s="10" t="n">
        <f aca="false">IF(AM629="",ROUND(AVERAGE($AM$2:$AM$921),3),AM629)</f>
        <v>0</v>
      </c>
      <c r="BE629" s="9" t="n">
        <f aca="false">1-BD629</f>
        <v>1</v>
      </c>
    </row>
    <row r="630" customFormat="false" ht="14.25" hidden="true" customHeight="false" outlineLevel="0" collapsed="false">
      <c r="A630" s="4" t="n">
        <v>554</v>
      </c>
      <c r="B630" s="5" t="n">
        <v>55049395</v>
      </c>
      <c r="C630" s="5" t="s">
        <v>85</v>
      </c>
      <c r="D630" s="5" t="s">
        <v>2269</v>
      </c>
      <c r="E630" s="5" t="s">
        <v>137</v>
      </c>
      <c r="F630" s="5" t="s">
        <v>1382</v>
      </c>
      <c r="G630" s="5" t="s">
        <v>1383</v>
      </c>
      <c r="H630" s="5" t="s">
        <v>1382</v>
      </c>
      <c r="I630" s="5" t="s">
        <v>63</v>
      </c>
      <c r="J630" s="5" t="s">
        <v>76</v>
      </c>
      <c r="K630" s="5" t="s">
        <v>65</v>
      </c>
      <c r="L630" s="6" t="n">
        <v>44665</v>
      </c>
      <c r="M630" s="5" t="s">
        <v>819</v>
      </c>
      <c r="N630" s="6" t="n">
        <v>35307</v>
      </c>
      <c r="O630" s="5" t="s">
        <v>1264</v>
      </c>
      <c r="P630" s="5" t="s">
        <v>1559</v>
      </c>
      <c r="Q630" s="5" t="s">
        <v>1534</v>
      </c>
      <c r="R630" s="5" t="s">
        <v>685</v>
      </c>
      <c r="S630" s="5" t="s">
        <v>1619</v>
      </c>
      <c r="T630" s="6"/>
      <c r="U630" s="6"/>
      <c r="V630" s="5"/>
      <c r="W630" s="5" t="s">
        <v>631</v>
      </c>
      <c r="X630" s="5" t="s">
        <v>631</v>
      </c>
      <c r="Y630" s="5" t="s">
        <v>141</v>
      </c>
      <c r="Z630" s="5" t="s">
        <v>141</v>
      </c>
      <c r="AA630" s="5" t="s">
        <v>2270</v>
      </c>
      <c r="AB630" s="0" t="n">
        <f aca="false">IFERROR(VALUE(R630),0)</f>
        <v>5.1</v>
      </c>
      <c r="AC630" s="0" t="n">
        <f aca="false">IFERROR(VALUE(M630),"")</f>
        <v>29.9</v>
      </c>
      <c r="AD630" s="0" t="n">
        <f aca="false">IFERROR(VALUE(Q630),"")</f>
        <v>4.1</v>
      </c>
      <c r="AE630" s="0" t="n">
        <f aca="false">IFERROR(VALUE(S630),"")</f>
        <v>9.2</v>
      </c>
      <c r="AF630" s="0" t="str">
        <f aca="false">IF(V630="","",VLOOKUP(V630,Assumptions!$B$6:$C$9,2,FALSE()))</f>
        <v/>
      </c>
      <c r="AG630" s="0" t="n">
        <f aca="false">IF(W630="","",VLOOKUP(W630,Assumptions!$B$6:$C$9,2,FALSE()))</f>
        <v>2</v>
      </c>
      <c r="AH630" s="0" t="n">
        <f aca="false">IF(X630="","",VLOOKUP(X630,Assumptions!$B$6:$C$9,2,FALSE()))</f>
        <v>2</v>
      </c>
      <c r="AI630" s="0" t="n">
        <f aca="false">IF(Y630="","",VLOOKUP(Y630,Assumptions!$B$6:$C$9,2,FALSE()))</f>
        <v>3</v>
      </c>
      <c r="AJ630" s="0" t="n">
        <f aca="false">IF(Z630="","",VLOOKUP(Z630,Assumptions!$B$6:$C$9,2,FALSE()))</f>
        <v>3</v>
      </c>
      <c r="AK630" s="7" t="n">
        <f aca="false">IFERROR(ROUND(AVERAGE(AF630:AJ630),3),"")</f>
        <v>2.5</v>
      </c>
      <c r="AL630" s="7" t="str">
        <f aca="false">IF(OR(AF630="",AJ630=""),"",AJ630-AF630)</f>
        <v/>
      </c>
      <c r="AM630" s="7" t="n">
        <f aca="false">IF(COUNT(AF630:AJ630)&gt;=2,ROUND(_xlfn.STDEV.S(AF630:AJ630),3),"")</f>
        <v>0.577</v>
      </c>
      <c r="AN630" s="7" t="n">
        <f aca="false">ROUND((IF(AF630="",0,AF630)*Assumptions!$F$15)+(IF(AG630="",0,AG630)*Assumptions!$F$16)+(IF(AH630="",0,AH630)*Assumptions!$F$17)+(IF(AI630="",0,AI630)*Assumptions!$F$18)+(IF(AJ630="",0,AJ630)*Assumptions!$F$19),3)</f>
        <v>2.35</v>
      </c>
      <c r="AO630" s="0" t="str">
        <f aca="false">IF(AC630&lt;=20,"",IF(AC630&lt;=Assumptions!$F$6,"20-30",IF(AC630&lt;=Assumptions!$F$7,"30-40",IF(AC630&lt;=Assumptions!$F$8,"40-50",IF(AC630&lt;=Assumptions!$F$9,"50-60",IF(AC630&lt;=Assumptions!$F$10,"60+",""))))))</f>
        <v>20-30</v>
      </c>
      <c r="AP630" s="0" t="str">
        <f aca="false">IFERROR(VLOOKUP(O630,Assumptions!$B$14:$C$26,2,FALSE()),"Other")</f>
        <v>Manager</v>
      </c>
      <c r="AQ630" s="0" t="n">
        <f aca="false">IF(T630="",0,1)</f>
        <v>0</v>
      </c>
      <c r="AR630" s="0" t="n">
        <f aca="false">IF(U630="",0,1)</f>
        <v>0</v>
      </c>
      <c r="AS630" s="8" t="n">
        <f aca="false">IF(AK630="","",IF(MAX($AK$2:$AK$921)=MIN($AK$2:$AK$921),50,ROUND((AK630-MIN($AK$2:$AK$921))/(MAX($AK$2:$AK$921)-MIN($AK$2:$AK$921))*100,2)))</f>
        <v>35.71</v>
      </c>
      <c r="AT630" s="8" t="n">
        <f aca="false">IF(MAX($BC$2:$BC$921)=MIN($BC$2:$BC$921),50,ROUND((BC630-MIN($BC$2:$BC$921))/(MAX($BC$2:$BC$921)-MIN($BC$2:$BC$921))*100,2))</f>
        <v>50</v>
      </c>
      <c r="AU630" s="8" t="n">
        <f aca="false">IF(MAX($BE$2:$BE$921)=MIN($BE$2:$BE$921),50,ROUND((BE630-MIN($BE$2:$BE$921))/(MAX($BE$2:$BE$921)-MIN($BE$2:$BE$921))*100,2))</f>
        <v>66.69</v>
      </c>
      <c r="AV630" s="8" t="n">
        <f aca="false">IF(MAX($AD$2:$AD$921)=MIN($AD$2:$AD$921),50,ROUND((AD630-MIN($AD$2:$AD$921))/(MAX($AD$2:$AD$921)-MIN($AD$2:$AD$921))*100,2))</f>
        <v>10.85</v>
      </c>
      <c r="AW630" s="8" t="n">
        <f aca="false">IF(MAX($AN$2:$AN$921)=MIN($AN$2:$AN$921),50,ROUND((AN630-MIN($AN$2:$AN$921))/(MAX($AN$2:$AN$921)-MIN($AN$2:$AN$921))*100,2))</f>
        <v>58.75</v>
      </c>
      <c r="AX630" s="8" t="n">
        <f aca="false">AQ630*100</f>
        <v>0</v>
      </c>
      <c r="AY630" s="8" t="n">
        <f aca="false">AR630*100</f>
        <v>0</v>
      </c>
      <c r="AZ630" s="8" t="n">
        <f aca="false">IFERROR(ROUND(AS630*Assumptions!$I$6+AW630*Assumptions!$I$7+AT630*Assumptions!$I$8+AU630*Assumptions!$I$9+AV630*Assumptions!$I$10+AX630*Assumptions!$I$11+AY630*Assumptions!$I$12,2),"")</f>
        <v>41.05</v>
      </c>
      <c r="BA630" s="0" t="str">
        <f aca="false">IF(AZ630="","",IF(AZ630&lt;=Assumptions!$I$18,"Below Expectation",IF(AZ630&lt;=Assumptions!$I$19,"Developing",IF(AZ630&lt;=Assumptions!$I$20,"Meets Expectation",IF(AZ630&lt;=Assumptions!$I$21,"Exceeds","Star Performer")))))</f>
        <v>Developing</v>
      </c>
      <c r="BB630" s="0" t="n">
        <f aca="false">IF(AZ630="",0,IF(AZ630&gt;=Assumptions!$I$26,1,0))</f>
        <v>0</v>
      </c>
      <c r="BC630" s="9" t="n">
        <f aca="false">IF(AL630="",2,AL630+2)</f>
        <v>2</v>
      </c>
      <c r="BD630" s="10" t="n">
        <f aca="false">IF(AM630="",ROUND(AVERAGE($AM$2:$AM$921),3),AM630)</f>
        <v>0.577</v>
      </c>
      <c r="BE630" s="9" t="n">
        <f aca="false">1-BD630</f>
        <v>0.423</v>
      </c>
    </row>
    <row r="631" customFormat="false" ht="14.25" hidden="true" customHeight="false" outlineLevel="0" collapsed="false">
      <c r="A631" s="4" t="n">
        <v>701</v>
      </c>
      <c r="B631" s="5" t="n">
        <v>55064925</v>
      </c>
      <c r="C631" s="5" t="s">
        <v>149</v>
      </c>
      <c r="D631" s="5" t="s">
        <v>2271</v>
      </c>
      <c r="E631" s="5" t="s">
        <v>919</v>
      </c>
      <c r="F631" s="5" t="s">
        <v>422</v>
      </c>
      <c r="G631" s="5" t="s">
        <v>423</v>
      </c>
      <c r="H631" s="5" t="s">
        <v>424</v>
      </c>
      <c r="I631" s="5" t="s">
        <v>63</v>
      </c>
      <c r="J631" s="5" t="s">
        <v>100</v>
      </c>
      <c r="K631" s="5" t="s">
        <v>65</v>
      </c>
      <c r="L631" s="6" t="n">
        <v>44949</v>
      </c>
      <c r="M631" s="5" t="s">
        <v>82</v>
      </c>
      <c r="N631" s="6" t="n">
        <v>33760</v>
      </c>
      <c r="O631" s="5" t="s">
        <v>332</v>
      </c>
      <c r="P631" s="5" t="s">
        <v>333</v>
      </c>
      <c r="Q631" s="5" t="s">
        <v>768</v>
      </c>
      <c r="R631" s="5" t="s">
        <v>656</v>
      </c>
      <c r="S631" s="5" t="s">
        <v>1188</v>
      </c>
      <c r="T631" s="6"/>
      <c r="U631" s="6"/>
      <c r="V631" s="5"/>
      <c r="W631" s="5"/>
      <c r="X631" s="5" t="s">
        <v>141</v>
      </c>
      <c r="Y631" s="5" t="s">
        <v>141</v>
      </c>
      <c r="Z631" s="5" t="s">
        <v>631</v>
      </c>
      <c r="AA631" s="5" t="s">
        <v>2272</v>
      </c>
      <c r="AB631" s="0" t="n">
        <f aca="false">IFERROR(VALUE(R631),0)</f>
        <v>7.4</v>
      </c>
      <c r="AC631" s="0" t="n">
        <f aca="false">IFERROR(VALUE(M631),"")</f>
        <v>34</v>
      </c>
      <c r="AD631" s="0" t="n">
        <f aca="false">IFERROR(VALUE(Q631),"")</f>
        <v>3.4</v>
      </c>
      <c r="AE631" s="0" t="n">
        <f aca="false">IFERROR(VALUE(S631),"")</f>
        <v>10.8</v>
      </c>
      <c r="AF631" s="0" t="str">
        <f aca="false">IF(V631="","",VLOOKUP(V631,Assumptions!$B$6:$C$9,2,FALSE()))</f>
        <v/>
      </c>
      <c r="AG631" s="0" t="str">
        <f aca="false">IF(W631="","",VLOOKUP(W631,Assumptions!$B$6:$C$9,2,FALSE()))</f>
        <v/>
      </c>
      <c r="AH631" s="0" t="n">
        <f aca="false">IF(X631="","",VLOOKUP(X631,Assumptions!$B$6:$C$9,2,FALSE()))</f>
        <v>3</v>
      </c>
      <c r="AI631" s="0" t="n">
        <f aca="false">IF(Y631="","",VLOOKUP(Y631,Assumptions!$B$6:$C$9,2,FALSE()))</f>
        <v>3</v>
      </c>
      <c r="AJ631" s="0" t="n">
        <f aca="false">IF(Z631="","",VLOOKUP(Z631,Assumptions!$B$6:$C$9,2,FALSE()))</f>
        <v>2</v>
      </c>
      <c r="AK631" s="7" t="n">
        <f aca="false">IFERROR(ROUND(AVERAGE(AF631:AJ631),3),"")</f>
        <v>2.667</v>
      </c>
      <c r="AL631" s="7" t="str">
        <f aca="false">IF(OR(AF631="",AJ631=""),"",AJ631-AF631)</f>
        <v/>
      </c>
      <c r="AM631" s="7" t="n">
        <f aca="false">IF(COUNT(AF631:AJ631)&gt;=2,ROUND(_xlfn.STDEV.S(AF631:AJ631),3),"")</f>
        <v>0.577</v>
      </c>
      <c r="AN631" s="7" t="n">
        <f aca="false">ROUND((IF(AF631="",0,AF631)*Assumptions!$F$15)+(IF(AG631="",0,AG631)*Assumptions!$F$16)+(IF(AH631="",0,AH631)*Assumptions!$F$17)+(IF(AI631="",0,AI631)*Assumptions!$F$18)+(IF(AJ631="",0,AJ631)*Assumptions!$F$19),3)</f>
        <v>1.95</v>
      </c>
      <c r="AO631" s="0" t="str">
        <f aca="false">IF(AC631&lt;=20,"",IF(AC631&lt;=Assumptions!$F$6,"20-30",IF(AC631&lt;=Assumptions!$F$7,"30-40",IF(AC631&lt;=Assumptions!$F$8,"40-50",IF(AC631&lt;=Assumptions!$F$9,"50-60",IF(AC631&lt;=Assumptions!$F$10,"60+",""))))))</f>
        <v>30-40</v>
      </c>
      <c r="AP631" s="0" t="str">
        <f aca="false">IFERROR(VLOOKUP(O631,Assumptions!$B$14:$C$26,2,FALSE()),"Other")</f>
        <v>Manager</v>
      </c>
      <c r="AQ631" s="0" t="n">
        <f aca="false">IF(T631="",0,1)</f>
        <v>0</v>
      </c>
      <c r="AR631" s="0" t="n">
        <f aca="false">IF(U631="",0,1)</f>
        <v>0</v>
      </c>
      <c r="AS631" s="8" t="n">
        <f aca="false">IF(AK631="","",IF(MAX($AK$2:$AK$921)=MIN($AK$2:$AK$921),50,ROUND((AK631-MIN($AK$2:$AK$921))/(MAX($AK$2:$AK$921)-MIN($AK$2:$AK$921))*100,2)))</f>
        <v>42.86</v>
      </c>
      <c r="AT631" s="8" t="n">
        <f aca="false">IF(MAX($BC$2:$BC$921)=MIN($BC$2:$BC$921),50,ROUND((BC631-MIN($BC$2:$BC$921))/(MAX($BC$2:$BC$921)-MIN($BC$2:$BC$921))*100,2))</f>
        <v>50</v>
      </c>
      <c r="AU631" s="8" t="n">
        <f aca="false">IF(MAX($BE$2:$BE$921)=MIN($BE$2:$BE$921),50,ROUND((BE631-MIN($BE$2:$BE$921))/(MAX($BE$2:$BE$921)-MIN($BE$2:$BE$921))*100,2))</f>
        <v>66.69</v>
      </c>
      <c r="AV631" s="8" t="n">
        <f aca="false">IF(MAX($AD$2:$AD$921)=MIN($AD$2:$AD$921),50,ROUND((AD631-MIN($AD$2:$AD$921))/(MAX($AD$2:$AD$921)-MIN($AD$2:$AD$921))*100,2))</f>
        <v>8.94</v>
      </c>
      <c r="AW631" s="8" t="n">
        <f aca="false">IF(MAX($AN$2:$AN$921)=MIN($AN$2:$AN$921),50,ROUND((AN631-MIN($AN$2:$AN$921))/(MAX($AN$2:$AN$921)-MIN($AN$2:$AN$921))*100,2))</f>
        <v>48.75</v>
      </c>
      <c r="AX631" s="8" t="n">
        <f aca="false">AQ631*100</f>
        <v>0</v>
      </c>
      <c r="AY631" s="8" t="n">
        <f aca="false">AR631*100</f>
        <v>0</v>
      </c>
      <c r="AZ631" s="8" t="n">
        <f aca="false">IFERROR(ROUND(AS631*Assumptions!$I$6+AW631*Assumptions!$I$7+AT631*Assumptions!$I$8+AU631*Assumptions!$I$9+AV631*Assumptions!$I$10+AX631*Assumptions!$I$11+AY631*Assumptions!$I$12,2),"")</f>
        <v>41.01</v>
      </c>
      <c r="BA631" s="0" t="str">
        <f aca="false">IF(AZ631="","",IF(AZ631&lt;=Assumptions!$I$18,"Below Expectation",IF(AZ631&lt;=Assumptions!$I$19,"Developing",IF(AZ631&lt;=Assumptions!$I$20,"Meets Expectation",IF(AZ631&lt;=Assumptions!$I$21,"Exceeds","Star Performer")))))</f>
        <v>Developing</v>
      </c>
      <c r="BB631" s="0" t="n">
        <f aca="false">IF(AZ631="",0,IF(AZ631&gt;=Assumptions!$I$26,1,0))</f>
        <v>0</v>
      </c>
      <c r="BC631" s="9" t="n">
        <f aca="false">IF(AL631="",2,AL631+2)</f>
        <v>2</v>
      </c>
      <c r="BD631" s="10" t="n">
        <f aca="false">IF(AM631="",ROUND(AVERAGE($AM$2:$AM$921),3),AM631)</f>
        <v>0.577</v>
      </c>
      <c r="BE631" s="9" t="n">
        <f aca="false">1-BD631</f>
        <v>0.423</v>
      </c>
    </row>
    <row r="632" customFormat="false" ht="14.25" hidden="true" customHeight="false" outlineLevel="0" collapsed="false">
      <c r="A632" s="4" t="n">
        <v>704</v>
      </c>
      <c r="B632" s="5" t="n">
        <v>55065253</v>
      </c>
      <c r="C632" s="5" t="s">
        <v>57</v>
      </c>
      <c r="D632" s="5" t="s">
        <v>2273</v>
      </c>
      <c r="E632" s="5" t="s">
        <v>456</v>
      </c>
      <c r="F632" s="5" t="s">
        <v>608</v>
      </c>
      <c r="G632" s="5" t="s">
        <v>609</v>
      </c>
      <c r="H632" s="5" t="s">
        <v>608</v>
      </c>
      <c r="I632" s="5" t="s">
        <v>63</v>
      </c>
      <c r="J632" s="5" t="s">
        <v>100</v>
      </c>
      <c r="K632" s="5" t="s">
        <v>309</v>
      </c>
      <c r="L632" s="6" t="n">
        <v>44958</v>
      </c>
      <c r="M632" s="5" t="s">
        <v>1610</v>
      </c>
      <c r="N632" s="6" t="n">
        <v>34832</v>
      </c>
      <c r="O632" s="5" t="s">
        <v>365</v>
      </c>
      <c r="P632" s="5" t="s">
        <v>365</v>
      </c>
      <c r="Q632" s="5" t="s">
        <v>768</v>
      </c>
      <c r="R632" s="5" t="s">
        <v>195</v>
      </c>
      <c r="S632" s="5" t="s">
        <v>997</v>
      </c>
      <c r="T632" s="6"/>
      <c r="U632" s="6"/>
      <c r="V632" s="5"/>
      <c r="W632" s="5"/>
      <c r="X632" s="5" t="s">
        <v>141</v>
      </c>
      <c r="Y632" s="5" t="s">
        <v>141</v>
      </c>
      <c r="Z632" s="5" t="s">
        <v>631</v>
      </c>
      <c r="AA632" s="5" t="s">
        <v>2274</v>
      </c>
      <c r="AB632" s="0" t="n">
        <f aca="false">IFERROR(VALUE(R632),0)</f>
        <v>2.7</v>
      </c>
      <c r="AC632" s="0" t="n">
        <f aca="false">IFERROR(VALUE(M632),"")</f>
        <v>31</v>
      </c>
      <c r="AD632" s="0" t="n">
        <f aca="false">IFERROR(VALUE(Q632),"")</f>
        <v>3.4</v>
      </c>
      <c r="AE632" s="0" t="n">
        <f aca="false">IFERROR(VALUE(S632),"")</f>
        <v>5.11</v>
      </c>
      <c r="AF632" s="0" t="str">
        <f aca="false">IF(V632="","",VLOOKUP(V632,Assumptions!$B$6:$C$9,2,FALSE()))</f>
        <v/>
      </c>
      <c r="AG632" s="0" t="str">
        <f aca="false">IF(W632="","",VLOOKUP(W632,Assumptions!$B$6:$C$9,2,FALSE()))</f>
        <v/>
      </c>
      <c r="AH632" s="0" t="n">
        <f aca="false">IF(X632="","",VLOOKUP(X632,Assumptions!$B$6:$C$9,2,FALSE()))</f>
        <v>3</v>
      </c>
      <c r="AI632" s="0" t="n">
        <f aca="false">IF(Y632="","",VLOOKUP(Y632,Assumptions!$B$6:$C$9,2,FALSE()))</f>
        <v>3</v>
      </c>
      <c r="AJ632" s="0" t="n">
        <f aca="false">IF(Z632="","",VLOOKUP(Z632,Assumptions!$B$6:$C$9,2,FALSE()))</f>
        <v>2</v>
      </c>
      <c r="AK632" s="7" t="n">
        <f aca="false">IFERROR(ROUND(AVERAGE(AF632:AJ632),3),"")</f>
        <v>2.667</v>
      </c>
      <c r="AL632" s="7" t="str">
        <f aca="false">IF(OR(AF632="",AJ632=""),"",AJ632-AF632)</f>
        <v/>
      </c>
      <c r="AM632" s="7" t="n">
        <f aca="false">IF(COUNT(AF632:AJ632)&gt;=2,ROUND(_xlfn.STDEV.S(AF632:AJ632),3),"")</f>
        <v>0.577</v>
      </c>
      <c r="AN632" s="7" t="n">
        <f aca="false">ROUND((IF(AF632="",0,AF632)*Assumptions!$F$15)+(IF(AG632="",0,AG632)*Assumptions!$F$16)+(IF(AH632="",0,AH632)*Assumptions!$F$17)+(IF(AI632="",0,AI632)*Assumptions!$F$18)+(IF(AJ632="",0,AJ632)*Assumptions!$F$19),3)</f>
        <v>1.95</v>
      </c>
      <c r="AO632" s="0" t="str">
        <f aca="false">IF(AC632&lt;=20,"",IF(AC632&lt;=Assumptions!$F$6,"20-30",IF(AC632&lt;=Assumptions!$F$7,"30-40",IF(AC632&lt;=Assumptions!$F$8,"40-50",IF(AC632&lt;=Assumptions!$F$9,"50-60",IF(AC632&lt;=Assumptions!$F$10,"60+",""))))))</f>
        <v>30-40</v>
      </c>
      <c r="AP632" s="0" t="str">
        <f aca="false">IFERROR(VLOOKUP(O632,Assumptions!$B$14:$C$26,2,FALSE()),"Other")</f>
        <v>Manager</v>
      </c>
      <c r="AQ632" s="0" t="n">
        <f aca="false">IF(T632="",0,1)</f>
        <v>0</v>
      </c>
      <c r="AR632" s="0" t="n">
        <f aca="false">IF(U632="",0,1)</f>
        <v>0</v>
      </c>
      <c r="AS632" s="8" t="n">
        <f aca="false">IF(AK632="","",IF(MAX($AK$2:$AK$921)=MIN($AK$2:$AK$921),50,ROUND((AK632-MIN($AK$2:$AK$921))/(MAX($AK$2:$AK$921)-MIN($AK$2:$AK$921))*100,2)))</f>
        <v>42.86</v>
      </c>
      <c r="AT632" s="8" t="n">
        <f aca="false">IF(MAX($BC$2:$BC$921)=MIN($BC$2:$BC$921),50,ROUND((BC632-MIN($BC$2:$BC$921))/(MAX($BC$2:$BC$921)-MIN($BC$2:$BC$921))*100,2))</f>
        <v>50</v>
      </c>
      <c r="AU632" s="8" t="n">
        <f aca="false">IF(MAX($BE$2:$BE$921)=MIN($BE$2:$BE$921),50,ROUND((BE632-MIN($BE$2:$BE$921))/(MAX($BE$2:$BE$921)-MIN($BE$2:$BE$921))*100,2))</f>
        <v>66.69</v>
      </c>
      <c r="AV632" s="8" t="n">
        <f aca="false">IF(MAX($AD$2:$AD$921)=MIN($AD$2:$AD$921),50,ROUND((AD632-MIN($AD$2:$AD$921))/(MAX($AD$2:$AD$921)-MIN($AD$2:$AD$921))*100,2))</f>
        <v>8.94</v>
      </c>
      <c r="AW632" s="8" t="n">
        <f aca="false">IF(MAX($AN$2:$AN$921)=MIN($AN$2:$AN$921),50,ROUND((AN632-MIN($AN$2:$AN$921))/(MAX($AN$2:$AN$921)-MIN($AN$2:$AN$921))*100,2))</f>
        <v>48.75</v>
      </c>
      <c r="AX632" s="8" t="n">
        <f aca="false">AQ632*100</f>
        <v>0</v>
      </c>
      <c r="AY632" s="8" t="n">
        <f aca="false">AR632*100</f>
        <v>0</v>
      </c>
      <c r="AZ632" s="8" t="n">
        <f aca="false">IFERROR(ROUND(AS632*Assumptions!$I$6+AW632*Assumptions!$I$7+AT632*Assumptions!$I$8+AU632*Assumptions!$I$9+AV632*Assumptions!$I$10+AX632*Assumptions!$I$11+AY632*Assumptions!$I$12,2),"")</f>
        <v>41.01</v>
      </c>
      <c r="BA632" s="0" t="str">
        <f aca="false">IF(AZ632="","",IF(AZ632&lt;=Assumptions!$I$18,"Below Expectation",IF(AZ632&lt;=Assumptions!$I$19,"Developing",IF(AZ632&lt;=Assumptions!$I$20,"Meets Expectation",IF(AZ632&lt;=Assumptions!$I$21,"Exceeds","Star Performer")))))</f>
        <v>Developing</v>
      </c>
      <c r="BB632" s="0" t="n">
        <f aca="false">IF(AZ632="",0,IF(AZ632&gt;=Assumptions!$I$26,1,0))</f>
        <v>0</v>
      </c>
      <c r="BC632" s="9" t="n">
        <f aca="false">IF(AL632="",2,AL632+2)</f>
        <v>2</v>
      </c>
      <c r="BD632" s="10" t="n">
        <f aca="false">IF(AM632="",ROUND(AVERAGE($AM$2:$AM$921),3),AM632)</f>
        <v>0.577</v>
      </c>
      <c r="BE632" s="9" t="n">
        <f aca="false">1-BD632</f>
        <v>0.423</v>
      </c>
    </row>
    <row r="633" customFormat="false" ht="14.25" hidden="true" customHeight="false" outlineLevel="0" collapsed="false">
      <c r="A633" s="4" t="n">
        <v>708</v>
      </c>
      <c r="B633" s="5" t="n">
        <v>55065801</v>
      </c>
      <c r="C633" s="5" t="s">
        <v>149</v>
      </c>
      <c r="D633" s="5" t="s">
        <v>2275</v>
      </c>
      <c r="E633" s="5" t="s">
        <v>779</v>
      </c>
      <c r="F633" s="5" t="s">
        <v>1399</v>
      </c>
      <c r="G633" s="5" t="s">
        <v>1400</v>
      </c>
      <c r="H633" s="5" t="s">
        <v>1399</v>
      </c>
      <c r="I633" s="5" t="s">
        <v>63</v>
      </c>
      <c r="J633" s="5" t="s">
        <v>100</v>
      </c>
      <c r="K633" s="5" t="s">
        <v>309</v>
      </c>
      <c r="L633" s="6" t="n">
        <v>44970</v>
      </c>
      <c r="M633" s="5" t="s">
        <v>494</v>
      </c>
      <c r="N633" s="6" t="n">
        <v>34526</v>
      </c>
      <c r="O633" s="5" t="s">
        <v>365</v>
      </c>
      <c r="P633" s="5" t="s">
        <v>365</v>
      </c>
      <c r="Q633" s="5" t="s">
        <v>1042</v>
      </c>
      <c r="R633" s="5" t="s">
        <v>1002</v>
      </c>
      <c r="S633" s="5" t="s">
        <v>487</v>
      </c>
      <c r="T633" s="6"/>
      <c r="U633" s="6"/>
      <c r="V633" s="5"/>
      <c r="W633" s="5"/>
      <c r="X633" s="5" t="s">
        <v>141</v>
      </c>
      <c r="Y633" s="5" t="s">
        <v>141</v>
      </c>
      <c r="Z633" s="5" t="s">
        <v>631</v>
      </c>
      <c r="AA633" s="5" t="s">
        <v>2276</v>
      </c>
      <c r="AB633" s="0" t="n">
        <f aca="false">IFERROR(VALUE(R633),0)</f>
        <v>3.1</v>
      </c>
      <c r="AC633" s="0" t="n">
        <f aca="false">IFERROR(VALUE(M633),"")</f>
        <v>31.1</v>
      </c>
      <c r="AD633" s="0" t="n">
        <f aca="false">IFERROR(VALUE(Q633),"")</f>
        <v>3.3</v>
      </c>
      <c r="AE633" s="0" t="n">
        <f aca="false">IFERROR(VALUE(S633),"")</f>
        <v>6.4</v>
      </c>
      <c r="AF633" s="0" t="str">
        <f aca="false">IF(V633="","",VLOOKUP(V633,Assumptions!$B$6:$C$9,2,FALSE()))</f>
        <v/>
      </c>
      <c r="AG633" s="0" t="str">
        <f aca="false">IF(W633="","",VLOOKUP(W633,Assumptions!$B$6:$C$9,2,FALSE()))</f>
        <v/>
      </c>
      <c r="AH633" s="0" t="n">
        <f aca="false">IF(X633="","",VLOOKUP(X633,Assumptions!$B$6:$C$9,2,FALSE()))</f>
        <v>3</v>
      </c>
      <c r="AI633" s="0" t="n">
        <f aca="false">IF(Y633="","",VLOOKUP(Y633,Assumptions!$B$6:$C$9,2,FALSE()))</f>
        <v>3</v>
      </c>
      <c r="AJ633" s="0" t="n">
        <f aca="false">IF(Z633="","",VLOOKUP(Z633,Assumptions!$B$6:$C$9,2,FALSE()))</f>
        <v>2</v>
      </c>
      <c r="AK633" s="7" t="n">
        <f aca="false">IFERROR(ROUND(AVERAGE(AF633:AJ633),3),"")</f>
        <v>2.667</v>
      </c>
      <c r="AL633" s="7" t="str">
        <f aca="false">IF(OR(AF633="",AJ633=""),"",AJ633-AF633)</f>
        <v/>
      </c>
      <c r="AM633" s="7" t="n">
        <f aca="false">IF(COUNT(AF633:AJ633)&gt;=2,ROUND(_xlfn.STDEV.S(AF633:AJ633),3),"")</f>
        <v>0.577</v>
      </c>
      <c r="AN633" s="7" t="n">
        <f aca="false">ROUND((IF(AF633="",0,AF633)*Assumptions!$F$15)+(IF(AG633="",0,AG633)*Assumptions!$F$16)+(IF(AH633="",0,AH633)*Assumptions!$F$17)+(IF(AI633="",0,AI633)*Assumptions!$F$18)+(IF(AJ633="",0,AJ633)*Assumptions!$F$19),3)</f>
        <v>1.95</v>
      </c>
      <c r="AO633" s="0" t="str">
        <f aca="false">IF(AC633&lt;=20,"",IF(AC633&lt;=Assumptions!$F$6,"20-30",IF(AC633&lt;=Assumptions!$F$7,"30-40",IF(AC633&lt;=Assumptions!$F$8,"40-50",IF(AC633&lt;=Assumptions!$F$9,"50-60",IF(AC633&lt;=Assumptions!$F$10,"60+",""))))))</f>
        <v>30-40</v>
      </c>
      <c r="AP633" s="0" t="str">
        <f aca="false">IFERROR(VLOOKUP(O633,Assumptions!$B$14:$C$26,2,FALSE()),"Other")</f>
        <v>Manager</v>
      </c>
      <c r="AQ633" s="0" t="n">
        <f aca="false">IF(T633="",0,1)</f>
        <v>0</v>
      </c>
      <c r="AR633" s="0" t="n">
        <f aca="false">IF(U633="",0,1)</f>
        <v>0</v>
      </c>
      <c r="AS633" s="8" t="n">
        <f aca="false">IF(AK633="","",IF(MAX($AK$2:$AK$921)=MIN($AK$2:$AK$921),50,ROUND((AK633-MIN($AK$2:$AK$921))/(MAX($AK$2:$AK$921)-MIN($AK$2:$AK$921))*100,2)))</f>
        <v>42.86</v>
      </c>
      <c r="AT633" s="8" t="n">
        <f aca="false">IF(MAX($BC$2:$BC$921)=MIN($BC$2:$BC$921),50,ROUND((BC633-MIN($BC$2:$BC$921))/(MAX($BC$2:$BC$921)-MIN($BC$2:$BC$921))*100,2))</f>
        <v>50</v>
      </c>
      <c r="AU633" s="8" t="n">
        <f aca="false">IF(MAX($BE$2:$BE$921)=MIN($BE$2:$BE$921),50,ROUND((BE633-MIN($BE$2:$BE$921))/(MAX($BE$2:$BE$921)-MIN($BE$2:$BE$921))*100,2))</f>
        <v>66.69</v>
      </c>
      <c r="AV633" s="8" t="n">
        <f aca="false">IF(MAX($AD$2:$AD$921)=MIN($AD$2:$AD$921),50,ROUND((AD633-MIN($AD$2:$AD$921))/(MAX($AD$2:$AD$921)-MIN($AD$2:$AD$921))*100,2))</f>
        <v>8.67</v>
      </c>
      <c r="AW633" s="8" t="n">
        <f aca="false">IF(MAX($AN$2:$AN$921)=MIN($AN$2:$AN$921),50,ROUND((AN633-MIN($AN$2:$AN$921))/(MAX($AN$2:$AN$921)-MIN($AN$2:$AN$921))*100,2))</f>
        <v>48.75</v>
      </c>
      <c r="AX633" s="8" t="n">
        <f aca="false">AQ633*100</f>
        <v>0</v>
      </c>
      <c r="AY633" s="8" t="n">
        <f aca="false">AR633*100</f>
        <v>0</v>
      </c>
      <c r="AZ633" s="8" t="n">
        <f aca="false">IFERROR(ROUND(AS633*Assumptions!$I$6+AW633*Assumptions!$I$7+AT633*Assumptions!$I$8+AU633*Assumptions!$I$9+AV633*Assumptions!$I$10+AX633*Assumptions!$I$11+AY633*Assumptions!$I$12,2),"")</f>
        <v>40.98</v>
      </c>
      <c r="BA633" s="0" t="str">
        <f aca="false">IF(AZ633="","",IF(AZ633&lt;=Assumptions!$I$18,"Below Expectation",IF(AZ633&lt;=Assumptions!$I$19,"Developing",IF(AZ633&lt;=Assumptions!$I$20,"Meets Expectation",IF(AZ633&lt;=Assumptions!$I$21,"Exceeds","Star Performer")))))</f>
        <v>Developing</v>
      </c>
      <c r="BB633" s="0" t="n">
        <f aca="false">IF(AZ633="",0,IF(AZ633&gt;=Assumptions!$I$26,1,0))</f>
        <v>0</v>
      </c>
      <c r="BC633" s="9" t="n">
        <f aca="false">IF(AL633="",2,AL633+2)</f>
        <v>2</v>
      </c>
      <c r="BD633" s="10" t="n">
        <f aca="false">IF(AM633="",ROUND(AVERAGE($AM$2:$AM$921),3),AM633)</f>
        <v>0.577</v>
      </c>
      <c r="BE633" s="9" t="n">
        <f aca="false">1-BD633</f>
        <v>0.423</v>
      </c>
    </row>
    <row r="634" customFormat="false" ht="14.25" hidden="true" customHeight="false" outlineLevel="0" collapsed="false">
      <c r="A634" s="4" t="n">
        <v>712</v>
      </c>
      <c r="B634" s="5" t="n">
        <v>55066369</v>
      </c>
      <c r="C634" s="5" t="s">
        <v>149</v>
      </c>
      <c r="D634" s="5" t="s">
        <v>2277</v>
      </c>
      <c r="E634" s="5" t="s">
        <v>718</v>
      </c>
      <c r="F634" s="5" t="s">
        <v>1399</v>
      </c>
      <c r="G634" s="5" t="s">
        <v>1400</v>
      </c>
      <c r="H634" s="5" t="s">
        <v>1399</v>
      </c>
      <c r="I634" s="5" t="s">
        <v>63</v>
      </c>
      <c r="J634" s="5" t="s">
        <v>100</v>
      </c>
      <c r="K634" s="5" t="s">
        <v>65</v>
      </c>
      <c r="L634" s="6" t="n">
        <v>44984</v>
      </c>
      <c r="M634" s="5" t="s">
        <v>2093</v>
      </c>
      <c r="N634" s="6" t="n">
        <v>34019</v>
      </c>
      <c r="O634" s="5" t="s">
        <v>365</v>
      </c>
      <c r="P634" s="5" t="s">
        <v>365</v>
      </c>
      <c r="Q634" s="5" t="s">
        <v>1042</v>
      </c>
      <c r="R634" s="5" t="s">
        <v>997</v>
      </c>
      <c r="S634" s="5" t="s">
        <v>1619</v>
      </c>
      <c r="T634" s="6"/>
      <c r="U634" s="6"/>
      <c r="V634" s="5"/>
      <c r="W634" s="5"/>
      <c r="X634" s="5" t="s">
        <v>141</v>
      </c>
      <c r="Y634" s="5" t="s">
        <v>141</v>
      </c>
      <c r="Z634" s="5" t="s">
        <v>631</v>
      </c>
      <c r="AA634" s="5" t="s">
        <v>2278</v>
      </c>
      <c r="AB634" s="0" t="n">
        <f aca="false">IFERROR(VALUE(R634),0)</f>
        <v>5.11</v>
      </c>
      <c r="AC634" s="0" t="n">
        <f aca="false">IFERROR(VALUE(M634),"")</f>
        <v>33.3</v>
      </c>
      <c r="AD634" s="0" t="n">
        <f aca="false">IFERROR(VALUE(Q634),"")</f>
        <v>3.3</v>
      </c>
      <c r="AE634" s="0" t="n">
        <f aca="false">IFERROR(VALUE(S634),"")</f>
        <v>9.2</v>
      </c>
      <c r="AF634" s="0" t="str">
        <f aca="false">IF(V634="","",VLOOKUP(V634,Assumptions!$B$6:$C$9,2,FALSE()))</f>
        <v/>
      </c>
      <c r="AG634" s="0" t="str">
        <f aca="false">IF(W634="","",VLOOKUP(W634,Assumptions!$B$6:$C$9,2,FALSE()))</f>
        <v/>
      </c>
      <c r="AH634" s="0" t="n">
        <f aca="false">IF(X634="","",VLOOKUP(X634,Assumptions!$B$6:$C$9,2,FALSE()))</f>
        <v>3</v>
      </c>
      <c r="AI634" s="0" t="n">
        <f aca="false">IF(Y634="","",VLOOKUP(Y634,Assumptions!$B$6:$C$9,2,FALSE()))</f>
        <v>3</v>
      </c>
      <c r="AJ634" s="0" t="n">
        <f aca="false">IF(Z634="","",VLOOKUP(Z634,Assumptions!$B$6:$C$9,2,FALSE()))</f>
        <v>2</v>
      </c>
      <c r="AK634" s="7" t="n">
        <f aca="false">IFERROR(ROUND(AVERAGE(AF634:AJ634),3),"")</f>
        <v>2.667</v>
      </c>
      <c r="AL634" s="7" t="str">
        <f aca="false">IF(OR(AF634="",AJ634=""),"",AJ634-AF634)</f>
        <v/>
      </c>
      <c r="AM634" s="7" t="n">
        <f aca="false">IF(COUNT(AF634:AJ634)&gt;=2,ROUND(_xlfn.STDEV.S(AF634:AJ634),3),"")</f>
        <v>0.577</v>
      </c>
      <c r="AN634" s="7" t="n">
        <f aca="false">ROUND((IF(AF634="",0,AF634)*Assumptions!$F$15)+(IF(AG634="",0,AG634)*Assumptions!$F$16)+(IF(AH634="",0,AH634)*Assumptions!$F$17)+(IF(AI634="",0,AI634)*Assumptions!$F$18)+(IF(AJ634="",0,AJ634)*Assumptions!$F$19),3)</f>
        <v>1.95</v>
      </c>
      <c r="AO634" s="0" t="str">
        <f aca="false">IF(AC634&lt;=20,"",IF(AC634&lt;=Assumptions!$F$6,"20-30",IF(AC634&lt;=Assumptions!$F$7,"30-40",IF(AC634&lt;=Assumptions!$F$8,"40-50",IF(AC634&lt;=Assumptions!$F$9,"50-60",IF(AC634&lt;=Assumptions!$F$10,"60+",""))))))</f>
        <v>30-40</v>
      </c>
      <c r="AP634" s="0" t="str">
        <f aca="false">IFERROR(VLOOKUP(O634,Assumptions!$B$14:$C$26,2,FALSE()),"Other")</f>
        <v>Manager</v>
      </c>
      <c r="AQ634" s="0" t="n">
        <f aca="false">IF(T634="",0,1)</f>
        <v>0</v>
      </c>
      <c r="AR634" s="0" t="n">
        <f aca="false">IF(U634="",0,1)</f>
        <v>0</v>
      </c>
      <c r="AS634" s="8" t="n">
        <f aca="false">IF(AK634="","",IF(MAX($AK$2:$AK$921)=MIN($AK$2:$AK$921),50,ROUND((AK634-MIN($AK$2:$AK$921))/(MAX($AK$2:$AK$921)-MIN($AK$2:$AK$921))*100,2)))</f>
        <v>42.86</v>
      </c>
      <c r="AT634" s="8" t="n">
        <f aca="false">IF(MAX($BC$2:$BC$921)=MIN($BC$2:$BC$921),50,ROUND((BC634-MIN($BC$2:$BC$921))/(MAX($BC$2:$BC$921)-MIN($BC$2:$BC$921))*100,2))</f>
        <v>50</v>
      </c>
      <c r="AU634" s="8" t="n">
        <f aca="false">IF(MAX($BE$2:$BE$921)=MIN($BE$2:$BE$921),50,ROUND((BE634-MIN($BE$2:$BE$921))/(MAX($BE$2:$BE$921)-MIN($BE$2:$BE$921))*100,2))</f>
        <v>66.69</v>
      </c>
      <c r="AV634" s="8" t="n">
        <f aca="false">IF(MAX($AD$2:$AD$921)=MIN($AD$2:$AD$921),50,ROUND((AD634-MIN($AD$2:$AD$921))/(MAX($AD$2:$AD$921)-MIN($AD$2:$AD$921))*100,2))</f>
        <v>8.67</v>
      </c>
      <c r="AW634" s="8" t="n">
        <f aca="false">IF(MAX($AN$2:$AN$921)=MIN($AN$2:$AN$921),50,ROUND((AN634-MIN($AN$2:$AN$921))/(MAX($AN$2:$AN$921)-MIN($AN$2:$AN$921))*100,2))</f>
        <v>48.75</v>
      </c>
      <c r="AX634" s="8" t="n">
        <f aca="false">AQ634*100</f>
        <v>0</v>
      </c>
      <c r="AY634" s="8" t="n">
        <f aca="false">AR634*100</f>
        <v>0</v>
      </c>
      <c r="AZ634" s="8" t="n">
        <f aca="false">IFERROR(ROUND(AS634*Assumptions!$I$6+AW634*Assumptions!$I$7+AT634*Assumptions!$I$8+AU634*Assumptions!$I$9+AV634*Assumptions!$I$10+AX634*Assumptions!$I$11+AY634*Assumptions!$I$12,2),"")</f>
        <v>40.98</v>
      </c>
      <c r="BA634" s="0" t="str">
        <f aca="false">IF(AZ634="","",IF(AZ634&lt;=Assumptions!$I$18,"Below Expectation",IF(AZ634&lt;=Assumptions!$I$19,"Developing",IF(AZ634&lt;=Assumptions!$I$20,"Meets Expectation",IF(AZ634&lt;=Assumptions!$I$21,"Exceeds","Star Performer")))))</f>
        <v>Developing</v>
      </c>
      <c r="BB634" s="0" t="n">
        <f aca="false">IF(AZ634="",0,IF(AZ634&gt;=Assumptions!$I$26,1,0))</f>
        <v>0</v>
      </c>
      <c r="BC634" s="9" t="n">
        <f aca="false">IF(AL634="",2,AL634+2)</f>
        <v>2</v>
      </c>
      <c r="BD634" s="10" t="n">
        <f aca="false">IF(AM634="",ROUND(AVERAGE($AM$2:$AM$921),3),AM634)</f>
        <v>0.577</v>
      </c>
      <c r="BE634" s="9" t="n">
        <f aca="false">1-BD634</f>
        <v>0.423</v>
      </c>
    </row>
    <row r="635" customFormat="false" ht="14.25" hidden="false" customHeight="false" outlineLevel="0" collapsed="false">
      <c r="A635" s="4" t="n">
        <v>654</v>
      </c>
      <c r="B635" s="5" t="n">
        <v>55057612</v>
      </c>
      <c r="C635" s="5" t="s">
        <v>106</v>
      </c>
      <c r="D635" s="5" t="s">
        <v>2279</v>
      </c>
      <c r="E635" s="5" t="s">
        <v>108</v>
      </c>
      <c r="F635" s="5" t="s">
        <v>463</v>
      </c>
      <c r="G635" s="5" t="s">
        <v>589</v>
      </c>
      <c r="H635" s="5" t="s">
        <v>590</v>
      </c>
      <c r="I635" s="5" t="s">
        <v>63</v>
      </c>
      <c r="J635" s="5" t="s">
        <v>112</v>
      </c>
      <c r="K635" s="5" t="s">
        <v>309</v>
      </c>
      <c r="L635" s="6" t="n">
        <v>44823</v>
      </c>
      <c r="M635" s="5" t="s">
        <v>2098</v>
      </c>
      <c r="N635" s="6" t="n">
        <v>36850</v>
      </c>
      <c r="O635" s="5" t="s">
        <v>1264</v>
      </c>
      <c r="P635" s="5" t="s">
        <v>1559</v>
      </c>
      <c r="Q635" s="5" t="s">
        <v>445</v>
      </c>
      <c r="R635" s="5" t="s">
        <v>115</v>
      </c>
      <c r="S635" s="5" t="s">
        <v>445</v>
      </c>
      <c r="T635" s="6"/>
      <c r="U635" s="6"/>
      <c r="V635" s="5"/>
      <c r="W635" s="5" t="s">
        <v>631</v>
      </c>
      <c r="X635" s="5" t="s">
        <v>631</v>
      </c>
      <c r="Y635" s="5" t="s">
        <v>141</v>
      </c>
      <c r="Z635" s="5" t="s">
        <v>141</v>
      </c>
      <c r="AA635" s="5" t="s">
        <v>2280</v>
      </c>
      <c r="AB635" s="0" t="n">
        <f aca="false">IFERROR(VALUE(R635),0)</f>
        <v>0</v>
      </c>
      <c r="AC635" s="0" t="n">
        <f aca="false">IFERROR(VALUE(M635),"")</f>
        <v>25.6</v>
      </c>
      <c r="AD635" s="0" t="n">
        <f aca="false">IFERROR(VALUE(Q635),"")</f>
        <v>3.8</v>
      </c>
      <c r="AE635" s="0" t="n">
        <f aca="false">IFERROR(VALUE(S635),"")</f>
        <v>3.8</v>
      </c>
      <c r="AF635" s="0" t="str">
        <f aca="false">IF(V635="","",VLOOKUP(V635,Assumptions!$B$6:$C$9,2,FALSE()))</f>
        <v/>
      </c>
      <c r="AG635" s="0" t="n">
        <f aca="false">IF(W635="","",VLOOKUP(W635,Assumptions!$B$6:$C$9,2,FALSE()))</f>
        <v>2</v>
      </c>
      <c r="AH635" s="0" t="n">
        <f aca="false">IF(X635="","",VLOOKUP(X635,Assumptions!$B$6:$C$9,2,FALSE()))</f>
        <v>2</v>
      </c>
      <c r="AI635" s="0" t="n">
        <f aca="false">IF(Y635="","",VLOOKUP(Y635,Assumptions!$B$6:$C$9,2,FALSE()))</f>
        <v>3</v>
      </c>
      <c r="AJ635" s="0" t="n">
        <f aca="false">IF(Z635="","",VLOOKUP(Z635,Assumptions!$B$6:$C$9,2,FALSE()))</f>
        <v>3</v>
      </c>
      <c r="AK635" s="7" t="n">
        <f aca="false">IFERROR(ROUND(AVERAGE(AF635:AJ635),3),"")</f>
        <v>2.5</v>
      </c>
      <c r="AL635" s="7" t="str">
        <f aca="false">IF(OR(AF635="",AJ635=""),"",AJ635-AF635)</f>
        <v/>
      </c>
      <c r="AM635" s="7" t="n">
        <f aca="false">IF(COUNT(AF635:AJ635)&gt;=2,ROUND(_xlfn.STDEV.S(AF635:AJ635),3),"")</f>
        <v>0.577</v>
      </c>
      <c r="AN635" s="7" t="n">
        <f aca="false">ROUND((IF(AF635="",0,AF635)*Assumptions!$F$15)+(IF(AG635="",0,AG635)*Assumptions!$F$16)+(IF(AH635="",0,AH635)*Assumptions!$F$17)+(IF(AI635="",0,AI635)*Assumptions!$F$18)+(IF(AJ635="",0,AJ635)*Assumptions!$F$19),3)</f>
        <v>2.35</v>
      </c>
      <c r="AO635" s="0" t="str">
        <f aca="false">IF(AC635&lt;=20,"",IF(AC635&lt;=Assumptions!$F$6,"20-30",IF(AC635&lt;=Assumptions!$F$7,"30-40",IF(AC635&lt;=Assumptions!$F$8,"40-50",IF(AC635&lt;=Assumptions!$F$9,"50-60",IF(AC635&lt;=Assumptions!$F$10,"60+",""))))))</f>
        <v>20-30</v>
      </c>
      <c r="AP635" s="0" t="str">
        <f aca="false">IFERROR(VLOOKUP(O635,Assumptions!$B$14:$C$26,2,FALSE()),"Other")</f>
        <v>Manager</v>
      </c>
      <c r="AQ635" s="0" t="n">
        <f aca="false">IF(T635="",0,1)</f>
        <v>0</v>
      </c>
      <c r="AR635" s="0" t="n">
        <f aca="false">IF(U635="",0,1)</f>
        <v>0</v>
      </c>
      <c r="AS635" s="8" t="n">
        <f aca="false">IF(AK635="","",IF(MAX($AK$2:$AK$921)=MIN($AK$2:$AK$921),50,ROUND((AK635-MIN($AK$2:$AK$921))/(MAX($AK$2:$AK$921)-MIN($AK$2:$AK$921))*100,2)))</f>
        <v>35.71</v>
      </c>
      <c r="AT635" s="8" t="n">
        <f aca="false">IF(MAX($BC$2:$BC$921)=MIN($BC$2:$BC$921),50,ROUND((BC635-MIN($BC$2:$BC$921))/(MAX($BC$2:$BC$921)-MIN($BC$2:$BC$921))*100,2))</f>
        <v>50</v>
      </c>
      <c r="AU635" s="8" t="n">
        <f aca="false">IF(MAX($BE$2:$BE$921)=MIN($BE$2:$BE$921),50,ROUND((BE635-MIN($BE$2:$BE$921))/(MAX($BE$2:$BE$921)-MIN($BE$2:$BE$921))*100,2))</f>
        <v>66.69</v>
      </c>
      <c r="AV635" s="8" t="n">
        <f aca="false">IF(MAX($AD$2:$AD$921)=MIN($AD$2:$AD$921),50,ROUND((AD635-MIN($AD$2:$AD$921))/(MAX($AD$2:$AD$921)-MIN($AD$2:$AD$921))*100,2))</f>
        <v>10.03</v>
      </c>
      <c r="AW635" s="8" t="n">
        <f aca="false">IF(MAX($AN$2:$AN$921)=MIN($AN$2:$AN$921),50,ROUND((AN635-MIN($AN$2:$AN$921))/(MAX($AN$2:$AN$921)-MIN($AN$2:$AN$921))*100,2))</f>
        <v>58.75</v>
      </c>
      <c r="AX635" s="8" t="n">
        <f aca="false">AQ635*100</f>
        <v>0</v>
      </c>
      <c r="AY635" s="8" t="n">
        <f aca="false">AR635*100</f>
        <v>0</v>
      </c>
      <c r="AZ635" s="8" t="n">
        <f aca="false">IFERROR(ROUND(AS635*Assumptions!$I$6+AW635*Assumptions!$I$7+AT635*Assumptions!$I$8+AU635*Assumptions!$I$9+AV635*Assumptions!$I$10+AX635*Assumptions!$I$11+AY635*Assumptions!$I$12,2),"")</f>
        <v>40.97</v>
      </c>
      <c r="BA635" s="0" t="str">
        <f aca="false">IF(AZ635="","",IF(AZ635&lt;=Assumptions!$I$18,"Below Expectation",IF(AZ635&lt;=Assumptions!$I$19,"Developing",IF(AZ635&lt;=Assumptions!$I$20,"Meets Expectation",IF(AZ635&lt;=Assumptions!$I$21,"Exceeds","Star Performer")))))</f>
        <v>Developing</v>
      </c>
      <c r="BB635" s="0" t="n">
        <f aca="false">IF(AZ635="",0,IF(AZ635&gt;=Assumptions!$I$26,1,0))</f>
        <v>0</v>
      </c>
      <c r="BC635" s="9" t="n">
        <f aca="false">IF(AL635="",2,AL635+2)</f>
        <v>2</v>
      </c>
      <c r="BD635" s="10" t="n">
        <f aca="false">IF(AM635="",ROUND(AVERAGE($AM$2:$AM$921),3),AM635)</f>
        <v>0.577</v>
      </c>
      <c r="BE635" s="9" t="n">
        <f aca="false">1-BD635</f>
        <v>0.423</v>
      </c>
    </row>
    <row r="636" customFormat="false" ht="14.25" hidden="true" customHeight="false" outlineLevel="0" collapsed="false">
      <c r="A636" s="4" t="n">
        <v>662</v>
      </c>
      <c r="B636" s="5" t="n">
        <v>55058035</v>
      </c>
      <c r="C636" s="5" t="s">
        <v>85</v>
      </c>
      <c r="D636" s="5" t="s">
        <v>2281</v>
      </c>
      <c r="E636" s="5" t="s">
        <v>339</v>
      </c>
      <c r="F636" s="5" t="s">
        <v>590</v>
      </c>
      <c r="G636" s="5" t="s">
        <v>589</v>
      </c>
      <c r="H636" s="5" t="s">
        <v>590</v>
      </c>
      <c r="I636" s="5" t="s">
        <v>63</v>
      </c>
      <c r="J636" s="5" t="s">
        <v>76</v>
      </c>
      <c r="K636" s="5" t="s">
        <v>309</v>
      </c>
      <c r="L636" s="6" t="n">
        <v>44830</v>
      </c>
      <c r="M636" s="5" t="s">
        <v>532</v>
      </c>
      <c r="N636" s="6" t="n">
        <v>37104</v>
      </c>
      <c r="O636" s="5" t="s">
        <v>1264</v>
      </c>
      <c r="P636" s="5" t="s">
        <v>1559</v>
      </c>
      <c r="Q636" s="5" t="s">
        <v>445</v>
      </c>
      <c r="R636" s="5" t="s">
        <v>115</v>
      </c>
      <c r="S636" s="5" t="s">
        <v>445</v>
      </c>
      <c r="T636" s="6"/>
      <c r="U636" s="6"/>
      <c r="V636" s="5"/>
      <c r="W636" s="5" t="s">
        <v>631</v>
      </c>
      <c r="X636" s="5" t="s">
        <v>631</v>
      </c>
      <c r="Y636" s="5" t="s">
        <v>141</v>
      </c>
      <c r="Z636" s="5" t="s">
        <v>141</v>
      </c>
      <c r="AA636" s="5" t="s">
        <v>2282</v>
      </c>
      <c r="AB636" s="0" t="n">
        <f aca="false">IFERROR(VALUE(R636),0)</f>
        <v>0</v>
      </c>
      <c r="AC636" s="0" t="n">
        <f aca="false">IFERROR(VALUE(M636),"")</f>
        <v>24.1</v>
      </c>
      <c r="AD636" s="0" t="n">
        <f aca="false">IFERROR(VALUE(Q636),"")</f>
        <v>3.8</v>
      </c>
      <c r="AE636" s="0" t="n">
        <f aca="false">IFERROR(VALUE(S636),"")</f>
        <v>3.8</v>
      </c>
      <c r="AF636" s="0" t="str">
        <f aca="false">IF(V636="","",VLOOKUP(V636,Assumptions!$B$6:$C$9,2,FALSE()))</f>
        <v/>
      </c>
      <c r="AG636" s="0" t="n">
        <f aca="false">IF(W636="","",VLOOKUP(W636,Assumptions!$B$6:$C$9,2,FALSE()))</f>
        <v>2</v>
      </c>
      <c r="AH636" s="0" t="n">
        <f aca="false">IF(X636="","",VLOOKUP(X636,Assumptions!$B$6:$C$9,2,FALSE()))</f>
        <v>2</v>
      </c>
      <c r="AI636" s="0" t="n">
        <f aca="false">IF(Y636="","",VLOOKUP(Y636,Assumptions!$B$6:$C$9,2,FALSE()))</f>
        <v>3</v>
      </c>
      <c r="AJ636" s="0" t="n">
        <f aca="false">IF(Z636="","",VLOOKUP(Z636,Assumptions!$B$6:$C$9,2,FALSE()))</f>
        <v>3</v>
      </c>
      <c r="AK636" s="7" t="n">
        <f aca="false">IFERROR(ROUND(AVERAGE(AF636:AJ636),3),"")</f>
        <v>2.5</v>
      </c>
      <c r="AL636" s="7" t="str">
        <f aca="false">IF(OR(AF636="",AJ636=""),"",AJ636-AF636)</f>
        <v/>
      </c>
      <c r="AM636" s="7" t="n">
        <f aca="false">IF(COUNT(AF636:AJ636)&gt;=2,ROUND(_xlfn.STDEV.S(AF636:AJ636),3),"")</f>
        <v>0.577</v>
      </c>
      <c r="AN636" s="7" t="n">
        <f aca="false">ROUND((IF(AF636="",0,AF636)*Assumptions!$F$15)+(IF(AG636="",0,AG636)*Assumptions!$F$16)+(IF(AH636="",0,AH636)*Assumptions!$F$17)+(IF(AI636="",0,AI636)*Assumptions!$F$18)+(IF(AJ636="",0,AJ636)*Assumptions!$F$19),3)</f>
        <v>2.35</v>
      </c>
      <c r="AO636" s="0" t="str">
        <f aca="false">IF(AC636&lt;=20,"",IF(AC636&lt;=Assumptions!$F$6,"20-30",IF(AC636&lt;=Assumptions!$F$7,"30-40",IF(AC636&lt;=Assumptions!$F$8,"40-50",IF(AC636&lt;=Assumptions!$F$9,"50-60",IF(AC636&lt;=Assumptions!$F$10,"60+",""))))))</f>
        <v>20-30</v>
      </c>
      <c r="AP636" s="0" t="str">
        <f aca="false">IFERROR(VLOOKUP(O636,Assumptions!$B$14:$C$26,2,FALSE()),"Other")</f>
        <v>Manager</v>
      </c>
      <c r="AQ636" s="0" t="n">
        <f aca="false">IF(T636="",0,1)</f>
        <v>0</v>
      </c>
      <c r="AR636" s="0" t="n">
        <f aca="false">IF(U636="",0,1)</f>
        <v>0</v>
      </c>
      <c r="AS636" s="8" t="n">
        <f aca="false">IF(AK636="","",IF(MAX($AK$2:$AK$921)=MIN($AK$2:$AK$921),50,ROUND((AK636-MIN($AK$2:$AK$921))/(MAX($AK$2:$AK$921)-MIN($AK$2:$AK$921))*100,2)))</f>
        <v>35.71</v>
      </c>
      <c r="AT636" s="8" t="n">
        <f aca="false">IF(MAX($BC$2:$BC$921)=MIN($BC$2:$BC$921),50,ROUND((BC636-MIN($BC$2:$BC$921))/(MAX($BC$2:$BC$921)-MIN($BC$2:$BC$921))*100,2))</f>
        <v>50</v>
      </c>
      <c r="AU636" s="8" t="n">
        <f aca="false">IF(MAX($BE$2:$BE$921)=MIN($BE$2:$BE$921),50,ROUND((BE636-MIN($BE$2:$BE$921))/(MAX($BE$2:$BE$921)-MIN($BE$2:$BE$921))*100,2))</f>
        <v>66.69</v>
      </c>
      <c r="AV636" s="8" t="n">
        <f aca="false">IF(MAX($AD$2:$AD$921)=MIN($AD$2:$AD$921),50,ROUND((AD636-MIN($AD$2:$AD$921))/(MAX($AD$2:$AD$921)-MIN($AD$2:$AD$921))*100,2))</f>
        <v>10.03</v>
      </c>
      <c r="AW636" s="8" t="n">
        <f aca="false">IF(MAX($AN$2:$AN$921)=MIN($AN$2:$AN$921),50,ROUND((AN636-MIN($AN$2:$AN$921))/(MAX($AN$2:$AN$921)-MIN($AN$2:$AN$921))*100,2))</f>
        <v>58.75</v>
      </c>
      <c r="AX636" s="8" t="n">
        <f aca="false">AQ636*100</f>
        <v>0</v>
      </c>
      <c r="AY636" s="8" t="n">
        <f aca="false">AR636*100</f>
        <v>0</v>
      </c>
      <c r="AZ636" s="8" t="n">
        <f aca="false">IFERROR(ROUND(AS636*Assumptions!$I$6+AW636*Assumptions!$I$7+AT636*Assumptions!$I$8+AU636*Assumptions!$I$9+AV636*Assumptions!$I$10+AX636*Assumptions!$I$11+AY636*Assumptions!$I$12,2),"")</f>
        <v>40.97</v>
      </c>
      <c r="BA636" s="0" t="str">
        <f aca="false">IF(AZ636="","",IF(AZ636&lt;=Assumptions!$I$18,"Below Expectation",IF(AZ636&lt;=Assumptions!$I$19,"Developing",IF(AZ636&lt;=Assumptions!$I$20,"Meets Expectation",IF(AZ636&lt;=Assumptions!$I$21,"Exceeds","Star Performer")))))</f>
        <v>Developing</v>
      </c>
      <c r="BB636" s="0" t="n">
        <f aca="false">IF(AZ636="",0,IF(AZ636&gt;=Assumptions!$I$26,1,0))</f>
        <v>0</v>
      </c>
      <c r="BC636" s="9" t="n">
        <f aca="false">IF(AL636="",2,AL636+2)</f>
        <v>2</v>
      </c>
      <c r="BD636" s="10" t="n">
        <f aca="false">IF(AM636="",ROUND(AVERAGE($AM$2:$AM$921),3),AM636)</f>
        <v>0.577</v>
      </c>
      <c r="BE636" s="9" t="n">
        <f aca="false">1-BD636</f>
        <v>0.423</v>
      </c>
    </row>
    <row r="637" customFormat="false" ht="14.25" hidden="false" customHeight="false" outlineLevel="0" collapsed="false">
      <c r="A637" s="4" t="n">
        <v>663</v>
      </c>
      <c r="B637" s="5" t="n">
        <v>55058041</v>
      </c>
      <c r="C637" s="5" t="s">
        <v>106</v>
      </c>
      <c r="D637" s="5" t="s">
        <v>2283</v>
      </c>
      <c r="E637" s="5" t="s">
        <v>108</v>
      </c>
      <c r="F637" s="5" t="s">
        <v>463</v>
      </c>
      <c r="G637" s="5" t="s">
        <v>589</v>
      </c>
      <c r="H637" s="5" t="s">
        <v>590</v>
      </c>
      <c r="I637" s="5" t="s">
        <v>63</v>
      </c>
      <c r="J637" s="5" t="s">
        <v>112</v>
      </c>
      <c r="K637" s="5" t="s">
        <v>65</v>
      </c>
      <c r="L637" s="6" t="n">
        <v>44830</v>
      </c>
      <c r="M637" s="5" t="s">
        <v>1733</v>
      </c>
      <c r="N637" s="6" t="n">
        <v>36498</v>
      </c>
      <c r="O637" s="5" t="s">
        <v>1264</v>
      </c>
      <c r="P637" s="5" t="s">
        <v>1559</v>
      </c>
      <c r="Q637" s="5" t="s">
        <v>445</v>
      </c>
      <c r="R637" s="5" t="s">
        <v>115</v>
      </c>
      <c r="S637" s="5" t="s">
        <v>445</v>
      </c>
      <c r="T637" s="6"/>
      <c r="U637" s="6"/>
      <c r="V637" s="5"/>
      <c r="W637" s="5" t="s">
        <v>631</v>
      </c>
      <c r="X637" s="5" t="s">
        <v>631</v>
      </c>
      <c r="Y637" s="5" t="s">
        <v>141</v>
      </c>
      <c r="Z637" s="5" t="s">
        <v>141</v>
      </c>
      <c r="AA637" s="5" t="s">
        <v>2284</v>
      </c>
      <c r="AB637" s="0" t="n">
        <f aca="false">IFERROR(VALUE(R637),0)</f>
        <v>0</v>
      </c>
      <c r="AC637" s="0" t="n">
        <f aca="false">IFERROR(VALUE(M637),"")</f>
        <v>26.6</v>
      </c>
      <c r="AD637" s="0" t="n">
        <f aca="false">IFERROR(VALUE(Q637),"")</f>
        <v>3.8</v>
      </c>
      <c r="AE637" s="0" t="n">
        <f aca="false">IFERROR(VALUE(S637),"")</f>
        <v>3.8</v>
      </c>
      <c r="AF637" s="0" t="str">
        <f aca="false">IF(V637="","",VLOOKUP(V637,Assumptions!$B$6:$C$9,2,FALSE()))</f>
        <v/>
      </c>
      <c r="AG637" s="0" t="n">
        <f aca="false">IF(W637="","",VLOOKUP(W637,Assumptions!$B$6:$C$9,2,FALSE()))</f>
        <v>2</v>
      </c>
      <c r="AH637" s="0" t="n">
        <f aca="false">IF(X637="","",VLOOKUP(X637,Assumptions!$B$6:$C$9,2,FALSE()))</f>
        <v>2</v>
      </c>
      <c r="AI637" s="0" t="n">
        <f aca="false">IF(Y637="","",VLOOKUP(Y637,Assumptions!$B$6:$C$9,2,FALSE()))</f>
        <v>3</v>
      </c>
      <c r="AJ637" s="0" t="n">
        <f aca="false">IF(Z637="","",VLOOKUP(Z637,Assumptions!$B$6:$C$9,2,FALSE()))</f>
        <v>3</v>
      </c>
      <c r="AK637" s="7" t="n">
        <f aca="false">IFERROR(ROUND(AVERAGE(AF637:AJ637),3),"")</f>
        <v>2.5</v>
      </c>
      <c r="AL637" s="7" t="str">
        <f aca="false">IF(OR(AF637="",AJ637=""),"",AJ637-AF637)</f>
        <v/>
      </c>
      <c r="AM637" s="7" t="n">
        <f aca="false">IF(COUNT(AF637:AJ637)&gt;=2,ROUND(_xlfn.STDEV.S(AF637:AJ637),3),"")</f>
        <v>0.577</v>
      </c>
      <c r="AN637" s="7" t="n">
        <f aca="false">ROUND((IF(AF637="",0,AF637)*Assumptions!$F$15)+(IF(AG637="",0,AG637)*Assumptions!$F$16)+(IF(AH637="",0,AH637)*Assumptions!$F$17)+(IF(AI637="",0,AI637)*Assumptions!$F$18)+(IF(AJ637="",0,AJ637)*Assumptions!$F$19),3)</f>
        <v>2.35</v>
      </c>
      <c r="AO637" s="0" t="str">
        <f aca="false">IF(AC637&lt;=20,"",IF(AC637&lt;=Assumptions!$F$6,"20-30",IF(AC637&lt;=Assumptions!$F$7,"30-40",IF(AC637&lt;=Assumptions!$F$8,"40-50",IF(AC637&lt;=Assumptions!$F$9,"50-60",IF(AC637&lt;=Assumptions!$F$10,"60+",""))))))</f>
        <v>20-30</v>
      </c>
      <c r="AP637" s="0" t="str">
        <f aca="false">IFERROR(VLOOKUP(O637,Assumptions!$B$14:$C$26,2,FALSE()),"Other")</f>
        <v>Manager</v>
      </c>
      <c r="AQ637" s="0" t="n">
        <f aca="false">IF(T637="",0,1)</f>
        <v>0</v>
      </c>
      <c r="AR637" s="0" t="n">
        <f aca="false">IF(U637="",0,1)</f>
        <v>0</v>
      </c>
      <c r="AS637" s="8" t="n">
        <f aca="false">IF(AK637="","",IF(MAX($AK$2:$AK$921)=MIN($AK$2:$AK$921),50,ROUND((AK637-MIN($AK$2:$AK$921))/(MAX($AK$2:$AK$921)-MIN($AK$2:$AK$921))*100,2)))</f>
        <v>35.71</v>
      </c>
      <c r="AT637" s="8" t="n">
        <f aca="false">IF(MAX($BC$2:$BC$921)=MIN($BC$2:$BC$921),50,ROUND((BC637-MIN($BC$2:$BC$921))/(MAX($BC$2:$BC$921)-MIN($BC$2:$BC$921))*100,2))</f>
        <v>50</v>
      </c>
      <c r="AU637" s="8" t="n">
        <f aca="false">IF(MAX($BE$2:$BE$921)=MIN($BE$2:$BE$921),50,ROUND((BE637-MIN($BE$2:$BE$921))/(MAX($BE$2:$BE$921)-MIN($BE$2:$BE$921))*100,2))</f>
        <v>66.69</v>
      </c>
      <c r="AV637" s="8" t="n">
        <f aca="false">IF(MAX($AD$2:$AD$921)=MIN($AD$2:$AD$921),50,ROUND((AD637-MIN($AD$2:$AD$921))/(MAX($AD$2:$AD$921)-MIN($AD$2:$AD$921))*100,2))</f>
        <v>10.03</v>
      </c>
      <c r="AW637" s="8" t="n">
        <f aca="false">IF(MAX($AN$2:$AN$921)=MIN($AN$2:$AN$921),50,ROUND((AN637-MIN($AN$2:$AN$921))/(MAX($AN$2:$AN$921)-MIN($AN$2:$AN$921))*100,2))</f>
        <v>58.75</v>
      </c>
      <c r="AX637" s="8" t="n">
        <f aca="false">AQ637*100</f>
        <v>0</v>
      </c>
      <c r="AY637" s="8" t="n">
        <f aca="false">AR637*100</f>
        <v>0</v>
      </c>
      <c r="AZ637" s="8" t="n">
        <f aca="false">IFERROR(ROUND(AS637*Assumptions!$I$6+AW637*Assumptions!$I$7+AT637*Assumptions!$I$8+AU637*Assumptions!$I$9+AV637*Assumptions!$I$10+AX637*Assumptions!$I$11+AY637*Assumptions!$I$12,2),"")</f>
        <v>40.97</v>
      </c>
      <c r="BA637" s="0" t="str">
        <f aca="false">IF(AZ637="","",IF(AZ637&lt;=Assumptions!$I$18,"Below Expectation",IF(AZ637&lt;=Assumptions!$I$19,"Developing",IF(AZ637&lt;=Assumptions!$I$20,"Meets Expectation",IF(AZ637&lt;=Assumptions!$I$21,"Exceeds","Star Performer")))))</f>
        <v>Developing</v>
      </c>
      <c r="BB637" s="0" t="n">
        <f aca="false">IF(AZ637="",0,IF(AZ637&gt;=Assumptions!$I$26,1,0))</f>
        <v>0</v>
      </c>
      <c r="BC637" s="9" t="n">
        <f aca="false">IF(AL637="",2,AL637+2)</f>
        <v>2</v>
      </c>
      <c r="BD637" s="10" t="n">
        <f aca="false">IF(AM637="",ROUND(AVERAGE($AM$2:$AM$921),3),AM637)</f>
        <v>0.577</v>
      </c>
      <c r="BE637" s="9" t="n">
        <f aca="false">1-BD637</f>
        <v>0.423</v>
      </c>
    </row>
    <row r="638" customFormat="false" ht="14.25" hidden="true" customHeight="false" outlineLevel="0" collapsed="false">
      <c r="A638" s="4" t="n">
        <v>668</v>
      </c>
      <c r="B638" s="5" t="n">
        <v>55058580</v>
      </c>
      <c r="C638" s="5" t="s">
        <v>858</v>
      </c>
      <c r="D638" s="5" t="s">
        <v>2285</v>
      </c>
      <c r="E638" s="5" t="s">
        <v>860</v>
      </c>
      <c r="F638" s="5" t="s">
        <v>2048</v>
      </c>
      <c r="G638" s="5" t="s">
        <v>2049</v>
      </c>
      <c r="H638" s="5" t="s">
        <v>2050</v>
      </c>
      <c r="I638" s="5" t="s">
        <v>63</v>
      </c>
      <c r="J638" s="5" t="s">
        <v>100</v>
      </c>
      <c r="K638" s="5" t="s">
        <v>309</v>
      </c>
      <c r="L638" s="6" t="n">
        <v>44837</v>
      </c>
      <c r="M638" s="5" t="s">
        <v>584</v>
      </c>
      <c r="N638" s="6" t="n">
        <v>36519</v>
      </c>
      <c r="O638" s="5" t="s">
        <v>585</v>
      </c>
      <c r="P638" s="5" t="s">
        <v>586</v>
      </c>
      <c r="Q638" s="5" t="s">
        <v>445</v>
      </c>
      <c r="R638" s="5" t="s">
        <v>115</v>
      </c>
      <c r="S638" s="5" t="s">
        <v>445</v>
      </c>
      <c r="T638" s="6"/>
      <c r="U638" s="6"/>
      <c r="V638" s="5"/>
      <c r="W638" s="5" t="s">
        <v>631</v>
      </c>
      <c r="X638" s="5" t="s">
        <v>631</v>
      </c>
      <c r="Y638" s="5" t="s">
        <v>141</v>
      </c>
      <c r="Z638" s="5" t="s">
        <v>141</v>
      </c>
      <c r="AA638" s="5" t="s">
        <v>2286</v>
      </c>
      <c r="AB638" s="0" t="n">
        <f aca="false">IFERROR(VALUE(R638),0)</f>
        <v>0</v>
      </c>
      <c r="AC638" s="0" t="n">
        <f aca="false">IFERROR(VALUE(M638),"")</f>
        <v>26.5</v>
      </c>
      <c r="AD638" s="0" t="n">
        <f aca="false">IFERROR(VALUE(Q638),"")</f>
        <v>3.8</v>
      </c>
      <c r="AE638" s="0" t="n">
        <f aca="false">IFERROR(VALUE(S638),"")</f>
        <v>3.8</v>
      </c>
      <c r="AF638" s="0" t="str">
        <f aca="false">IF(V638="","",VLOOKUP(V638,Assumptions!$B$6:$C$9,2,FALSE()))</f>
        <v/>
      </c>
      <c r="AG638" s="0" t="n">
        <f aca="false">IF(W638="","",VLOOKUP(W638,Assumptions!$B$6:$C$9,2,FALSE()))</f>
        <v>2</v>
      </c>
      <c r="AH638" s="0" t="n">
        <f aca="false">IF(X638="","",VLOOKUP(X638,Assumptions!$B$6:$C$9,2,FALSE()))</f>
        <v>2</v>
      </c>
      <c r="AI638" s="0" t="n">
        <f aca="false">IF(Y638="","",VLOOKUP(Y638,Assumptions!$B$6:$C$9,2,FALSE()))</f>
        <v>3</v>
      </c>
      <c r="AJ638" s="0" t="n">
        <f aca="false">IF(Z638="","",VLOOKUP(Z638,Assumptions!$B$6:$C$9,2,FALSE()))</f>
        <v>3</v>
      </c>
      <c r="AK638" s="7" t="n">
        <f aca="false">IFERROR(ROUND(AVERAGE(AF638:AJ638),3),"")</f>
        <v>2.5</v>
      </c>
      <c r="AL638" s="7" t="str">
        <f aca="false">IF(OR(AF638="",AJ638=""),"",AJ638-AF638)</f>
        <v/>
      </c>
      <c r="AM638" s="7" t="n">
        <f aca="false">IF(COUNT(AF638:AJ638)&gt;=2,ROUND(_xlfn.STDEV.S(AF638:AJ638),3),"")</f>
        <v>0.577</v>
      </c>
      <c r="AN638" s="7" t="n">
        <f aca="false">ROUND((IF(AF638="",0,AF638)*Assumptions!$F$15)+(IF(AG638="",0,AG638)*Assumptions!$F$16)+(IF(AH638="",0,AH638)*Assumptions!$F$17)+(IF(AI638="",0,AI638)*Assumptions!$F$18)+(IF(AJ638="",0,AJ638)*Assumptions!$F$19),3)</f>
        <v>2.35</v>
      </c>
      <c r="AO638" s="0" t="str">
        <f aca="false">IF(AC638&lt;=20,"",IF(AC638&lt;=Assumptions!$F$6,"20-30",IF(AC638&lt;=Assumptions!$F$7,"30-40",IF(AC638&lt;=Assumptions!$F$8,"40-50",IF(AC638&lt;=Assumptions!$F$9,"50-60",IF(AC638&lt;=Assumptions!$F$10,"60+",""))))))</f>
        <v>20-30</v>
      </c>
      <c r="AP638" s="0" t="str">
        <f aca="false">IFERROR(VLOOKUP(O638,Assumptions!$B$14:$C$26,2,FALSE()),"Other")</f>
        <v>Manager</v>
      </c>
      <c r="AQ638" s="0" t="n">
        <f aca="false">IF(T638="",0,1)</f>
        <v>0</v>
      </c>
      <c r="AR638" s="0" t="n">
        <f aca="false">IF(U638="",0,1)</f>
        <v>0</v>
      </c>
      <c r="AS638" s="8" t="n">
        <f aca="false">IF(AK638="","",IF(MAX($AK$2:$AK$921)=MIN($AK$2:$AK$921),50,ROUND((AK638-MIN($AK$2:$AK$921))/(MAX($AK$2:$AK$921)-MIN($AK$2:$AK$921))*100,2)))</f>
        <v>35.71</v>
      </c>
      <c r="AT638" s="8" t="n">
        <f aca="false">IF(MAX($BC$2:$BC$921)=MIN($BC$2:$BC$921),50,ROUND((BC638-MIN($BC$2:$BC$921))/(MAX($BC$2:$BC$921)-MIN($BC$2:$BC$921))*100,2))</f>
        <v>50</v>
      </c>
      <c r="AU638" s="8" t="n">
        <f aca="false">IF(MAX($BE$2:$BE$921)=MIN($BE$2:$BE$921),50,ROUND((BE638-MIN($BE$2:$BE$921))/(MAX($BE$2:$BE$921)-MIN($BE$2:$BE$921))*100,2))</f>
        <v>66.69</v>
      </c>
      <c r="AV638" s="8" t="n">
        <f aca="false">IF(MAX($AD$2:$AD$921)=MIN($AD$2:$AD$921),50,ROUND((AD638-MIN($AD$2:$AD$921))/(MAX($AD$2:$AD$921)-MIN($AD$2:$AD$921))*100,2))</f>
        <v>10.03</v>
      </c>
      <c r="AW638" s="8" t="n">
        <f aca="false">IF(MAX($AN$2:$AN$921)=MIN($AN$2:$AN$921),50,ROUND((AN638-MIN($AN$2:$AN$921))/(MAX($AN$2:$AN$921)-MIN($AN$2:$AN$921))*100,2))</f>
        <v>58.75</v>
      </c>
      <c r="AX638" s="8" t="n">
        <f aca="false">AQ638*100</f>
        <v>0</v>
      </c>
      <c r="AY638" s="8" t="n">
        <f aca="false">AR638*100</f>
        <v>0</v>
      </c>
      <c r="AZ638" s="8" t="n">
        <f aca="false">IFERROR(ROUND(AS638*Assumptions!$I$6+AW638*Assumptions!$I$7+AT638*Assumptions!$I$8+AU638*Assumptions!$I$9+AV638*Assumptions!$I$10+AX638*Assumptions!$I$11+AY638*Assumptions!$I$12,2),"")</f>
        <v>40.97</v>
      </c>
      <c r="BA638" s="0" t="str">
        <f aca="false">IF(AZ638="","",IF(AZ638&lt;=Assumptions!$I$18,"Below Expectation",IF(AZ638&lt;=Assumptions!$I$19,"Developing",IF(AZ638&lt;=Assumptions!$I$20,"Meets Expectation",IF(AZ638&lt;=Assumptions!$I$21,"Exceeds","Star Performer")))))</f>
        <v>Developing</v>
      </c>
      <c r="BB638" s="0" t="n">
        <f aca="false">IF(AZ638="",0,IF(AZ638&gt;=Assumptions!$I$26,1,0))</f>
        <v>0</v>
      </c>
      <c r="BC638" s="9" t="n">
        <f aca="false">IF(AL638="",2,AL638+2)</f>
        <v>2</v>
      </c>
      <c r="BD638" s="10" t="n">
        <f aca="false">IF(AM638="",ROUND(AVERAGE($AM$2:$AM$921),3),AM638)</f>
        <v>0.577</v>
      </c>
      <c r="BE638" s="9" t="n">
        <f aca="false">1-BD638</f>
        <v>0.423</v>
      </c>
    </row>
    <row r="639" customFormat="false" ht="14.25" hidden="true" customHeight="false" outlineLevel="0" collapsed="false">
      <c r="A639" s="4" t="n">
        <v>903</v>
      </c>
      <c r="B639" s="5" t="n">
        <v>55141740</v>
      </c>
      <c r="C639" s="5" t="s">
        <v>149</v>
      </c>
      <c r="D639" s="5" t="s">
        <v>2287</v>
      </c>
      <c r="E639" s="5" t="s">
        <v>151</v>
      </c>
      <c r="F639" s="5" t="s">
        <v>2288</v>
      </c>
      <c r="G639" s="5" t="s">
        <v>2289</v>
      </c>
      <c r="H639" s="5" t="s">
        <v>2290</v>
      </c>
      <c r="I639" s="5" t="s">
        <v>63</v>
      </c>
      <c r="J639" s="5" t="s">
        <v>100</v>
      </c>
      <c r="K639" s="5" t="s">
        <v>309</v>
      </c>
      <c r="L639" s="6" t="n">
        <v>45666</v>
      </c>
      <c r="M639" s="5" t="s">
        <v>998</v>
      </c>
      <c r="N639" s="6" t="n">
        <v>36287</v>
      </c>
      <c r="O639" s="5" t="s">
        <v>585</v>
      </c>
      <c r="P639" s="5" t="s">
        <v>586</v>
      </c>
      <c r="Q639" s="5" t="s">
        <v>472</v>
      </c>
      <c r="R639" s="5" t="s">
        <v>164</v>
      </c>
      <c r="S639" s="5" t="s">
        <v>1297</v>
      </c>
      <c r="T639" s="6"/>
      <c r="U639" s="6"/>
      <c r="V639" s="5"/>
      <c r="W639" s="5"/>
      <c r="X639" s="5"/>
      <c r="Y639" s="5"/>
      <c r="Z639" s="5" t="s">
        <v>141</v>
      </c>
      <c r="AA639" s="5" t="s">
        <v>2291</v>
      </c>
      <c r="AB639" s="0" t="n">
        <f aca="false">IFERROR(VALUE(R639),0)</f>
        <v>3.5</v>
      </c>
      <c r="AC639" s="0" t="n">
        <f aca="false">IFERROR(VALUE(M639),"")</f>
        <v>27.1</v>
      </c>
      <c r="AD639" s="0" t="n">
        <f aca="false">IFERROR(VALUE(Q639),"")</f>
        <v>1.4</v>
      </c>
      <c r="AE639" s="0" t="n">
        <f aca="false">IFERROR(VALUE(S639),"")</f>
        <v>4.9</v>
      </c>
      <c r="AF639" s="0" t="str">
        <f aca="false">IF(V639="","",VLOOKUP(V639,Assumptions!$B$6:$C$9,2,FALSE()))</f>
        <v/>
      </c>
      <c r="AG639" s="0" t="str">
        <f aca="false">IF(W639="","",VLOOKUP(W639,Assumptions!$B$6:$C$9,2,FALSE()))</f>
        <v/>
      </c>
      <c r="AH639" s="0" t="str">
        <f aca="false">IF(X639="","",VLOOKUP(X639,Assumptions!$B$6:$C$9,2,FALSE()))</f>
        <v/>
      </c>
      <c r="AI639" s="0" t="str">
        <f aca="false">IF(Y639="","",VLOOKUP(Y639,Assumptions!$B$6:$C$9,2,FALSE()))</f>
        <v/>
      </c>
      <c r="AJ639" s="0" t="n">
        <f aca="false">IF(Z639="","",VLOOKUP(Z639,Assumptions!$B$6:$C$9,2,FALSE()))</f>
        <v>3</v>
      </c>
      <c r="AK639" s="7" t="n">
        <f aca="false">IFERROR(ROUND(AVERAGE(AF639:AJ639),3),"")</f>
        <v>3</v>
      </c>
      <c r="AL639" s="7" t="str">
        <f aca="false">IF(OR(AF639="",AJ639=""),"",AJ639-AF639)</f>
        <v/>
      </c>
      <c r="AM639" s="7" t="str">
        <f aca="false">IF(COUNT(AF639:AJ639)&gt;=2,ROUND(_xlfn.STDEV.S(AF639:AJ639),3),"")</f>
        <v/>
      </c>
      <c r="AN639" s="7" t="n">
        <f aca="false">ROUND((IF(AF639="",0,AF639)*Assumptions!$F$15)+(IF(AG639="",0,AG639)*Assumptions!$F$16)+(IF(AH639="",0,AH639)*Assumptions!$F$17)+(IF(AI639="",0,AI639)*Assumptions!$F$18)+(IF(AJ639="",0,AJ639)*Assumptions!$F$19),3)</f>
        <v>0.9</v>
      </c>
      <c r="AO639" s="0" t="str">
        <f aca="false">IF(AC639&lt;=20,"",IF(AC639&lt;=Assumptions!$F$6,"20-30",IF(AC639&lt;=Assumptions!$F$7,"30-40",IF(AC639&lt;=Assumptions!$F$8,"40-50",IF(AC639&lt;=Assumptions!$F$9,"50-60",IF(AC639&lt;=Assumptions!$F$10,"60+",""))))))</f>
        <v>20-30</v>
      </c>
      <c r="AP639" s="0" t="str">
        <f aca="false">IFERROR(VLOOKUP(O639,Assumptions!$B$14:$C$26,2,FALSE()),"Other")</f>
        <v>Manager</v>
      </c>
      <c r="AQ639" s="0" t="n">
        <f aca="false">IF(T639="",0,1)</f>
        <v>0</v>
      </c>
      <c r="AR639" s="0" t="n">
        <f aca="false">IF(U639="",0,1)</f>
        <v>0</v>
      </c>
      <c r="AS639" s="8" t="n">
        <f aca="false">IF(AK639="","",IF(MAX($AK$2:$AK$921)=MIN($AK$2:$AK$921),50,ROUND((AK639-MIN($AK$2:$AK$921))/(MAX($AK$2:$AK$921)-MIN($AK$2:$AK$921))*100,2)))</f>
        <v>57.14</v>
      </c>
      <c r="AT639" s="8" t="n">
        <f aca="false">IF(MAX($BC$2:$BC$921)=MIN($BC$2:$BC$921),50,ROUND((BC639-MIN($BC$2:$BC$921))/(MAX($BC$2:$BC$921)-MIN($BC$2:$BC$921))*100,2))</f>
        <v>50</v>
      </c>
      <c r="AU639" s="8" t="n">
        <f aca="false">IF(MAX($BE$2:$BE$921)=MIN($BE$2:$BE$921),50,ROUND((BE639-MIN($BE$2:$BE$921))/(MAX($BE$2:$BE$921)-MIN($BE$2:$BE$921))*100,2))</f>
        <v>75.4</v>
      </c>
      <c r="AV639" s="8" t="n">
        <f aca="false">IF(MAX($AD$2:$AD$921)=MIN($AD$2:$AD$921),50,ROUND((AD639-MIN($AD$2:$AD$921))/(MAX($AD$2:$AD$921)-MIN($AD$2:$AD$921))*100,2))</f>
        <v>3.51</v>
      </c>
      <c r="AW639" s="8" t="n">
        <f aca="false">IF(MAX($AN$2:$AN$921)=MIN($AN$2:$AN$921),50,ROUND((AN639-MIN($AN$2:$AN$921))/(MAX($AN$2:$AN$921)-MIN($AN$2:$AN$921))*100,2))</f>
        <v>22.5</v>
      </c>
      <c r="AX639" s="8" t="n">
        <f aca="false">AQ639*100</f>
        <v>0</v>
      </c>
      <c r="AY639" s="8" t="n">
        <f aca="false">AR639*100</f>
        <v>0</v>
      </c>
      <c r="AZ639" s="8" t="n">
        <f aca="false">IFERROR(ROUND(AS639*Assumptions!$I$6+AW639*Assumptions!$I$7+AT639*Assumptions!$I$8+AU639*Assumptions!$I$9+AV639*Assumptions!$I$10+AX639*Assumptions!$I$11+AY639*Assumptions!$I$12,2),"")</f>
        <v>40.8</v>
      </c>
      <c r="BA639" s="0" t="str">
        <f aca="false">IF(AZ639="","",IF(AZ639&lt;=Assumptions!$I$18,"Below Expectation",IF(AZ639&lt;=Assumptions!$I$19,"Developing",IF(AZ639&lt;=Assumptions!$I$20,"Meets Expectation",IF(AZ639&lt;=Assumptions!$I$21,"Exceeds","Star Performer")))))</f>
        <v>Developing</v>
      </c>
      <c r="BB639" s="0" t="n">
        <f aca="false">IF(AZ639="",0,IF(AZ639&gt;=Assumptions!$I$26,1,0))</f>
        <v>0</v>
      </c>
      <c r="BC639" s="9" t="n">
        <f aca="false">IF(AL639="",2,AL639+2)</f>
        <v>2</v>
      </c>
      <c r="BD639" s="9" t="n">
        <f aca="false">IF(AM639="",ROUND(AVERAGE($AM$2:$AM$921),3),AM639)</f>
        <v>0.426</v>
      </c>
      <c r="BE639" s="9" t="n">
        <f aca="false">1-BD639</f>
        <v>0.574</v>
      </c>
    </row>
    <row r="640" customFormat="false" ht="14.25" hidden="true" customHeight="false" outlineLevel="0" collapsed="false">
      <c r="A640" s="4" t="n">
        <v>611</v>
      </c>
      <c r="B640" s="5" t="n">
        <v>55054307</v>
      </c>
      <c r="C640" s="5" t="s">
        <v>858</v>
      </c>
      <c r="D640" s="5" t="s">
        <v>2292</v>
      </c>
      <c r="E640" s="5" t="s">
        <v>1423</v>
      </c>
      <c r="F640" s="5" t="s">
        <v>590</v>
      </c>
      <c r="G640" s="5" t="s">
        <v>589</v>
      </c>
      <c r="H640" s="5" t="s">
        <v>590</v>
      </c>
      <c r="I640" s="5" t="s">
        <v>63</v>
      </c>
      <c r="J640" s="5" t="s">
        <v>100</v>
      </c>
      <c r="K640" s="5" t="s">
        <v>309</v>
      </c>
      <c r="L640" s="6" t="n">
        <v>44763</v>
      </c>
      <c r="M640" s="5" t="s">
        <v>988</v>
      </c>
      <c r="N640" s="6" t="n">
        <v>36164</v>
      </c>
      <c r="O640" s="5" t="s">
        <v>1264</v>
      </c>
      <c r="P640" s="5" t="s">
        <v>1559</v>
      </c>
      <c r="Q640" s="5" t="s">
        <v>591</v>
      </c>
      <c r="R640" s="5" t="s">
        <v>115</v>
      </c>
      <c r="S640" s="5" t="s">
        <v>591</v>
      </c>
      <c r="T640" s="6"/>
      <c r="U640" s="6"/>
      <c r="V640" s="5"/>
      <c r="W640" s="5" t="s">
        <v>631</v>
      </c>
      <c r="X640" s="5" t="s">
        <v>631</v>
      </c>
      <c r="Y640" s="5" t="s">
        <v>141</v>
      </c>
      <c r="Z640" s="5" t="s">
        <v>141</v>
      </c>
      <c r="AA640" s="5" t="s">
        <v>2293</v>
      </c>
      <c r="AB640" s="0" t="n">
        <f aca="false">IFERROR(VALUE(R640),0)</f>
        <v>0</v>
      </c>
      <c r="AC640" s="0" t="n">
        <f aca="false">IFERROR(VALUE(M640),"")</f>
        <v>27.5</v>
      </c>
      <c r="AD640" s="0" t="n">
        <f aca="false">IFERROR(VALUE(Q640),"")</f>
        <v>3.1</v>
      </c>
      <c r="AE640" s="0" t="n">
        <f aca="false">IFERROR(VALUE(S640),"")</f>
        <v>3.1</v>
      </c>
      <c r="AF640" s="0" t="str">
        <f aca="false">IF(V640="","",VLOOKUP(V640,Assumptions!$B$6:$C$9,2,FALSE()))</f>
        <v/>
      </c>
      <c r="AG640" s="0" t="n">
        <f aca="false">IF(W640="","",VLOOKUP(W640,Assumptions!$B$6:$C$9,2,FALSE()))</f>
        <v>2</v>
      </c>
      <c r="AH640" s="0" t="n">
        <f aca="false">IF(X640="","",VLOOKUP(X640,Assumptions!$B$6:$C$9,2,FALSE()))</f>
        <v>2</v>
      </c>
      <c r="AI640" s="0" t="n">
        <f aca="false">IF(Y640="","",VLOOKUP(Y640,Assumptions!$B$6:$C$9,2,FALSE()))</f>
        <v>3</v>
      </c>
      <c r="AJ640" s="0" t="n">
        <f aca="false">IF(Z640="","",VLOOKUP(Z640,Assumptions!$B$6:$C$9,2,FALSE()))</f>
        <v>3</v>
      </c>
      <c r="AK640" s="7" t="n">
        <f aca="false">IFERROR(ROUND(AVERAGE(AF640:AJ640),3),"")</f>
        <v>2.5</v>
      </c>
      <c r="AL640" s="7" t="str">
        <f aca="false">IF(OR(AF640="",AJ640=""),"",AJ640-AF640)</f>
        <v/>
      </c>
      <c r="AM640" s="7" t="n">
        <f aca="false">IF(COUNT(AF640:AJ640)&gt;=2,ROUND(_xlfn.STDEV.S(AF640:AJ640),3),"")</f>
        <v>0.577</v>
      </c>
      <c r="AN640" s="7" t="n">
        <f aca="false">ROUND((IF(AF640="",0,AF640)*Assumptions!$F$15)+(IF(AG640="",0,AG640)*Assumptions!$F$16)+(IF(AH640="",0,AH640)*Assumptions!$F$17)+(IF(AI640="",0,AI640)*Assumptions!$F$18)+(IF(AJ640="",0,AJ640)*Assumptions!$F$19),3)</f>
        <v>2.35</v>
      </c>
      <c r="AO640" s="0" t="str">
        <f aca="false">IF(AC640&lt;=20,"",IF(AC640&lt;=Assumptions!$F$6,"20-30",IF(AC640&lt;=Assumptions!$F$7,"30-40",IF(AC640&lt;=Assumptions!$F$8,"40-50",IF(AC640&lt;=Assumptions!$F$9,"50-60",IF(AC640&lt;=Assumptions!$F$10,"60+",""))))))</f>
        <v>20-30</v>
      </c>
      <c r="AP640" s="0" t="str">
        <f aca="false">IFERROR(VLOOKUP(O640,Assumptions!$B$14:$C$26,2,FALSE()),"Other")</f>
        <v>Manager</v>
      </c>
      <c r="AQ640" s="0" t="n">
        <f aca="false">IF(T640="",0,1)</f>
        <v>0</v>
      </c>
      <c r="AR640" s="0" t="n">
        <f aca="false">IF(U640="",0,1)</f>
        <v>0</v>
      </c>
      <c r="AS640" s="8" t="n">
        <f aca="false">IF(AK640="","",IF(MAX($AK$2:$AK$921)=MIN($AK$2:$AK$921),50,ROUND((AK640-MIN($AK$2:$AK$921))/(MAX($AK$2:$AK$921)-MIN($AK$2:$AK$921))*100,2)))</f>
        <v>35.71</v>
      </c>
      <c r="AT640" s="8" t="n">
        <f aca="false">IF(MAX($BC$2:$BC$921)=MIN($BC$2:$BC$921),50,ROUND((BC640-MIN($BC$2:$BC$921))/(MAX($BC$2:$BC$921)-MIN($BC$2:$BC$921))*100,2))</f>
        <v>50</v>
      </c>
      <c r="AU640" s="8" t="n">
        <f aca="false">IF(MAX($BE$2:$BE$921)=MIN($BE$2:$BE$921),50,ROUND((BE640-MIN($BE$2:$BE$921))/(MAX($BE$2:$BE$921)-MIN($BE$2:$BE$921))*100,2))</f>
        <v>66.69</v>
      </c>
      <c r="AV640" s="8" t="n">
        <f aca="false">IF(MAX($AD$2:$AD$921)=MIN($AD$2:$AD$921),50,ROUND((AD640-MIN($AD$2:$AD$921))/(MAX($AD$2:$AD$921)-MIN($AD$2:$AD$921))*100,2))</f>
        <v>8.13</v>
      </c>
      <c r="AW640" s="8" t="n">
        <f aca="false">IF(MAX($AN$2:$AN$921)=MIN($AN$2:$AN$921),50,ROUND((AN640-MIN($AN$2:$AN$921))/(MAX($AN$2:$AN$921)-MIN($AN$2:$AN$921))*100,2))</f>
        <v>58.75</v>
      </c>
      <c r="AX640" s="8" t="n">
        <f aca="false">AQ640*100</f>
        <v>0</v>
      </c>
      <c r="AY640" s="8" t="n">
        <f aca="false">AR640*100</f>
        <v>0</v>
      </c>
      <c r="AZ640" s="8" t="n">
        <f aca="false">IFERROR(ROUND(AS640*Assumptions!$I$6+AW640*Assumptions!$I$7+AT640*Assumptions!$I$8+AU640*Assumptions!$I$9+AV640*Assumptions!$I$10+AX640*Assumptions!$I$11+AY640*Assumptions!$I$12,2),"")</f>
        <v>40.78</v>
      </c>
      <c r="BA640" s="0" t="str">
        <f aca="false">IF(AZ640="","",IF(AZ640&lt;=Assumptions!$I$18,"Below Expectation",IF(AZ640&lt;=Assumptions!$I$19,"Developing",IF(AZ640&lt;=Assumptions!$I$20,"Meets Expectation",IF(AZ640&lt;=Assumptions!$I$21,"Exceeds","Star Performer")))))</f>
        <v>Developing</v>
      </c>
      <c r="BB640" s="0" t="n">
        <f aca="false">IF(AZ640="",0,IF(AZ640&gt;=Assumptions!$I$26,1,0))</f>
        <v>0</v>
      </c>
      <c r="BC640" s="9" t="n">
        <f aca="false">IF(AL640="",2,AL640+2)</f>
        <v>2</v>
      </c>
      <c r="BD640" s="10" t="n">
        <f aca="false">IF(AM640="",ROUND(AVERAGE($AM$2:$AM$921),3),AM640)</f>
        <v>0.577</v>
      </c>
      <c r="BE640" s="9" t="n">
        <f aca="false">1-BD640</f>
        <v>0.423</v>
      </c>
    </row>
    <row r="641" customFormat="false" ht="14.25" hidden="true" customHeight="false" outlineLevel="0" collapsed="false">
      <c r="A641" s="4" t="n">
        <v>487</v>
      </c>
      <c r="B641" s="5" t="n">
        <v>55043462</v>
      </c>
      <c r="C641" s="5" t="s">
        <v>57</v>
      </c>
      <c r="D641" s="5" t="s">
        <v>2294</v>
      </c>
      <c r="E641" s="5" t="s">
        <v>208</v>
      </c>
      <c r="F641" s="5" t="s">
        <v>608</v>
      </c>
      <c r="G641" s="5" t="s">
        <v>609</v>
      </c>
      <c r="H641" s="5" t="s">
        <v>608</v>
      </c>
      <c r="I641" s="5" t="s">
        <v>63</v>
      </c>
      <c r="J641" s="5" t="s">
        <v>100</v>
      </c>
      <c r="K641" s="5" t="s">
        <v>65</v>
      </c>
      <c r="L641" s="6" t="n">
        <v>44475</v>
      </c>
      <c r="M641" s="5" t="s">
        <v>744</v>
      </c>
      <c r="N641" s="6" t="n">
        <v>29874</v>
      </c>
      <c r="O641" s="5" t="s">
        <v>365</v>
      </c>
      <c r="P641" s="5" t="s">
        <v>365</v>
      </c>
      <c r="Q641" s="5" t="s">
        <v>496</v>
      </c>
      <c r="R641" s="5" t="s">
        <v>1489</v>
      </c>
      <c r="S641" s="5" t="s">
        <v>2295</v>
      </c>
      <c r="T641" s="6"/>
      <c r="U641" s="6"/>
      <c r="V641" s="5" t="s">
        <v>631</v>
      </c>
      <c r="W641" s="5" t="s">
        <v>631</v>
      </c>
      <c r="X641" s="5" t="s">
        <v>141</v>
      </c>
      <c r="Y641" s="5" t="s">
        <v>141</v>
      </c>
      <c r="Z641" s="5" t="s">
        <v>631</v>
      </c>
      <c r="AA641" s="5" t="s">
        <v>2296</v>
      </c>
      <c r="AB641" s="0" t="n">
        <f aca="false">IFERROR(VALUE(R641),0)</f>
        <v>12</v>
      </c>
      <c r="AC641" s="0" t="n">
        <f aca="false">IFERROR(VALUE(M641),"")</f>
        <v>44.7</v>
      </c>
      <c r="AD641" s="0" t="n">
        <f aca="false">IFERROR(VALUE(Q641),"")</f>
        <v>4.8</v>
      </c>
      <c r="AE641" s="0" t="n">
        <f aca="false">IFERROR(VALUE(S641),"")</f>
        <v>16.8</v>
      </c>
      <c r="AF641" s="0" t="n">
        <f aca="false">IF(V641="","",VLOOKUP(V641,Assumptions!$B$6:$C$9,2,FALSE()))</f>
        <v>2</v>
      </c>
      <c r="AG641" s="0" t="n">
        <f aca="false">IF(W641="","",VLOOKUP(W641,Assumptions!$B$6:$C$9,2,FALSE()))</f>
        <v>2</v>
      </c>
      <c r="AH641" s="0" t="n">
        <f aca="false">IF(X641="","",VLOOKUP(X641,Assumptions!$B$6:$C$9,2,FALSE()))</f>
        <v>3</v>
      </c>
      <c r="AI641" s="0" t="n">
        <f aca="false">IF(Y641="","",VLOOKUP(Y641,Assumptions!$B$6:$C$9,2,FALSE()))</f>
        <v>3</v>
      </c>
      <c r="AJ641" s="0" t="n">
        <f aca="false">IF(Z641="","",VLOOKUP(Z641,Assumptions!$B$6:$C$9,2,FALSE()))</f>
        <v>2</v>
      </c>
      <c r="AK641" s="7" t="n">
        <f aca="false">IFERROR(ROUND(AVERAGE(AF641:AJ641),3),"")</f>
        <v>2.4</v>
      </c>
      <c r="AL641" s="7" t="n">
        <f aca="false">IF(OR(AF641="",AJ641=""),"",AJ641-AF641)</f>
        <v>0</v>
      </c>
      <c r="AM641" s="7" t="n">
        <f aca="false">IF(COUNT(AF641:AJ641)&gt;=2,ROUND(_xlfn.STDEV.S(AF641:AJ641),3),"")</f>
        <v>0.548</v>
      </c>
      <c r="AN641" s="7" t="n">
        <f aca="false">ROUND((IF(AF641="",0,AF641)*Assumptions!$F$15)+(IF(AG641="",0,AG641)*Assumptions!$F$16)+(IF(AH641="",0,AH641)*Assumptions!$F$17)+(IF(AI641="",0,AI641)*Assumptions!$F$18)+(IF(AJ641="",0,AJ641)*Assumptions!$F$19),3)</f>
        <v>2.45</v>
      </c>
      <c r="AO641" s="0" t="str">
        <f aca="false">IF(AC641&lt;=20,"",IF(AC641&lt;=Assumptions!$F$6,"20-30",IF(AC641&lt;=Assumptions!$F$7,"30-40",IF(AC641&lt;=Assumptions!$F$8,"40-50",IF(AC641&lt;=Assumptions!$F$9,"50-60",IF(AC641&lt;=Assumptions!$F$10,"60+",""))))))</f>
        <v>40-50</v>
      </c>
      <c r="AP641" s="0" t="str">
        <f aca="false">IFERROR(VLOOKUP(O641,Assumptions!$B$14:$C$26,2,FALSE()),"Other")</f>
        <v>Manager</v>
      </c>
      <c r="AQ641" s="0" t="n">
        <f aca="false">IF(T641="",0,1)</f>
        <v>0</v>
      </c>
      <c r="AR641" s="0" t="n">
        <f aca="false">IF(U641="",0,1)</f>
        <v>0</v>
      </c>
      <c r="AS641" s="8" t="n">
        <f aca="false">IF(AK641="","",IF(MAX($AK$2:$AK$921)=MIN($AK$2:$AK$921),50,ROUND((AK641-MIN($AK$2:$AK$921))/(MAX($AK$2:$AK$921)-MIN($AK$2:$AK$921))*100,2)))</f>
        <v>31.42</v>
      </c>
      <c r="AT641" s="8" t="n">
        <f aca="false">IF(MAX($BC$2:$BC$921)=MIN($BC$2:$BC$921),50,ROUND((BC641-MIN($BC$2:$BC$921))/(MAX($BC$2:$BC$921)-MIN($BC$2:$BC$921))*100,2))</f>
        <v>50</v>
      </c>
      <c r="AU641" s="8" t="n">
        <f aca="false">IF(MAX($BE$2:$BE$921)=MIN($BE$2:$BE$921),50,ROUND((BE641-MIN($BE$2:$BE$921))/(MAX($BE$2:$BE$921)-MIN($BE$2:$BE$921))*100,2))</f>
        <v>68.36</v>
      </c>
      <c r="AV641" s="8" t="n">
        <f aca="false">IF(MAX($AD$2:$AD$921)=MIN($AD$2:$AD$921),50,ROUND((AD641-MIN($AD$2:$AD$921))/(MAX($AD$2:$AD$921)-MIN($AD$2:$AD$921))*100,2))</f>
        <v>12.75</v>
      </c>
      <c r="AW641" s="8" t="n">
        <f aca="false">IF(MAX($AN$2:$AN$921)=MIN($AN$2:$AN$921),50,ROUND((AN641-MIN($AN$2:$AN$921))/(MAX($AN$2:$AN$921)-MIN($AN$2:$AN$921))*100,2))</f>
        <v>61.25</v>
      </c>
      <c r="AX641" s="8" t="n">
        <f aca="false">AQ641*100</f>
        <v>0</v>
      </c>
      <c r="AY641" s="8" t="n">
        <f aca="false">AR641*100</f>
        <v>0</v>
      </c>
      <c r="AZ641" s="8" t="n">
        <f aca="false">IFERROR(ROUND(AS641*Assumptions!$I$6+AW641*Assumptions!$I$7+AT641*Assumptions!$I$8+AU641*Assumptions!$I$9+AV641*Assumptions!$I$10+AX641*Assumptions!$I$11+AY641*Assumptions!$I$12,2),"")</f>
        <v>40.71</v>
      </c>
      <c r="BA641" s="0" t="str">
        <f aca="false">IF(AZ641="","",IF(AZ641&lt;=Assumptions!$I$18,"Below Expectation",IF(AZ641&lt;=Assumptions!$I$19,"Developing",IF(AZ641&lt;=Assumptions!$I$20,"Meets Expectation",IF(AZ641&lt;=Assumptions!$I$21,"Exceeds","Star Performer")))))</f>
        <v>Developing</v>
      </c>
      <c r="BB641" s="0" t="n">
        <f aca="false">IF(AZ641="",0,IF(AZ641&gt;=Assumptions!$I$26,1,0))</f>
        <v>0</v>
      </c>
      <c r="BC641" s="9" t="n">
        <f aca="false">IF(AL641="",2,AL641+2)</f>
        <v>2</v>
      </c>
      <c r="BD641" s="10" t="n">
        <f aca="false">IF(AM641="",ROUND(AVERAGE($AM$2:$AM$921),3),AM641)</f>
        <v>0.548</v>
      </c>
      <c r="BE641" s="9" t="n">
        <f aca="false">1-BD641</f>
        <v>0.452</v>
      </c>
    </row>
    <row r="642" customFormat="false" ht="14.25" hidden="true" customHeight="false" outlineLevel="0" collapsed="false">
      <c r="A642" s="4" t="n">
        <v>222</v>
      </c>
      <c r="B642" s="5" t="n">
        <v>10057911</v>
      </c>
      <c r="C642" s="5" t="s">
        <v>57</v>
      </c>
      <c r="D642" s="5" t="s">
        <v>2297</v>
      </c>
      <c r="E642" s="5" t="s">
        <v>500</v>
      </c>
      <c r="F642" s="5" t="s">
        <v>608</v>
      </c>
      <c r="G642" s="5" t="s">
        <v>609</v>
      </c>
      <c r="H642" s="5" t="s">
        <v>608</v>
      </c>
      <c r="I642" s="5" t="s">
        <v>63</v>
      </c>
      <c r="J642" s="5" t="s">
        <v>100</v>
      </c>
      <c r="K642" s="5" t="s">
        <v>65</v>
      </c>
      <c r="L642" s="6" t="n">
        <v>42835</v>
      </c>
      <c r="M642" s="5" t="s">
        <v>926</v>
      </c>
      <c r="N642" s="6" t="n">
        <v>32780</v>
      </c>
      <c r="O642" s="5" t="s">
        <v>365</v>
      </c>
      <c r="P642" s="5" t="s">
        <v>365</v>
      </c>
      <c r="Q642" s="5" t="s">
        <v>444</v>
      </c>
      <c r="R642" s="5" t="s">
        <v>352</v>
      </c>
      <c r="S642" s="5" t="s">
        <v>734</v>
      </c>
      <c r="T642" s="6"/>
      <c r="U642" s="6"/>
      <c r="V642" s="5" t="s">
        <v>141</v>
      </c>
      <c r="W642" s="5" t="s">
        <v>141</v>
      </c>
      <c r="X642" s="5" t="s">
        <v>141</v>
      </c>
      <c r="Y642" s="5" t="s">
        <v>631</v>
      </c>
      <c r="Z642" s="5" t="s">
        <v>631</v>
      </c>
      <c r="AA642" s="5" t="s">
        <v>2298</v>
      </c>
      <c r="AB642" s="0" t="n">
        <f aca="false">IFERROR(VALUE(R642),0)</f>
        <v>4.6</v>
      </c>
      <c r="AC642" s="0" t="n">
        <f aca="false">IFERROR(VALUE(M642),"")</f>
        <v>36.8</v>
      </c>
      <c r="AD642" s="0" t="n">
        <f aca="false">IFERROR(VALUE(Q642),"")</f>
        <v>9.1</v>
      </c>
      <c r="AE642" s="0" t="n">
        <f aca="false">IFERROR(VALUE(S642),"")</f>
        <v>13.7</v>
      </c>
      <c r="AF642" s="0" t="n">
        <f aca="false">IF(V642="","",VLOOKUP(V642,Assumptions!$B$6:$C$9,2,FALSE()))</f>
        <v>3</v>
      </c>
      <c r="AG642" s="0" t="n">
        <f aca="false">IF(W642="","",VLOOKUP(W642,Assumptions!$B$6:$C$9,2,FALSE()))</f>
        <v>3</v>
      </c>
      <c r="AH642" s="0" t="n">
        <f aca="false">IF(X642="","",VLOOKUP(X642,Assumptions!$B$6:$C$9,2,FALSE()))</f>
        <v>3</v>
      </c>
      <c r="AI642" s="0" t="n">
        <f aca="false">IF(Y642="","",VLOOKUP(Y642,Assumptions!$B$6:$C$9,2,FALSE()))</f>
        <v>2</v>
      </c>
      <c r="AJ642" s="0" t="n">
        <f aca="false">IF(Z642="","",VLOOKUP(Z642,Assumptions!$B$6:$C$9,2,FALSE()))</f>
        <v>2</v>
      </c>
      <c r="AK642" s="7" t="n">
        <f aca="false">IFERROR(ROUND(AVERAGE(AF642:AJ642),3),"")</f>
        <v>2.6</v>
      </c>
      <c r="AL642" s="7" t="n">
        <f aca="false">IF(OR(AF642="",AJ642=""),"",AJ642-AF642)</f>
        <v>-1</v>
      </c>
      <c r="AM642" s="7" t="n">
        <f aca="false">IF(COUNT(AF642:AJ642)&gt;=2,ROUND(_xlfn.STDEV.S(AF642:AJ642),3),"")</f>
        <v>0.548</v>
      </c>
      <c r="AN642" s="7" t="n">
        <f aca="false">ROUND((IF(AF642="",0,AF642)*Assumptions!$F$15)+(IF(AG642="",0,AG642)*Assumptions!$F$16)+(IF(AH642="",0,AH642)*Assumptions!$F$17)+(IF(AI642="",0,AI642)*Assumptions!$F$18)+(IF(AJ642="",0,AJ642)*Assumptions!$F$19),3)</f>
        <v>2.45</v>
      </c>
      <c r="AO642" s="0" t="str">
        <f aca="false">IF(AC642&lt;=20,"",IF(AC642&lt;=Assumptions!$F$6,"20-30",IF(AC642&lt;=Assumptions!$F$7,"30-40",IF(AC642&lt;=Assumptions!$F$8,"40-50",IF(AC642&lt;=Assumptions!$F$9,"50-60",IF(AC642&lt;=Assumptions!$F$10,"60+",""))))))</f>
        <v>30-40</v>
      </c>
      <c r="AP642" s="0" t="str">
        <f aca="false">IFERROR(VLOOKUP(O642,Assumptions!$B$14:$C$26,2,FALSE()),"Other")</f>
        <v>Manager</v>
      </c>
      <c r="AQ642" s="0" t="n">
        <f aca="false">IF(T642="",0,1)</f>
        <v>0</v>
      </c>
      <c r="AR642" s="0" t="n">
        <f aca="false">IF(U642="",0,1)</f>
        <v>0</v>
      </c>
      <c r="AS642" s="8" t="n">
        <f aca="false">IF(AK642="","",IF(MAX($AK$2:$AK$921)=MIN($AK$2:$AK$921),50,ROUND((AK642-MIN($AK$2:$AK$921))/(MAX($AK$2:$AK$921)-MIN($AK$2:$AK$921))*100,2)))</f>
        <v>39.99</v>
      </c>
      <c r="AT642" s="8" t="n">
        <f aca="false">IF(MAX($BC$2:$BC$921)=MIN($BC$2:$BC$921),50,ROUND((BC642-MIN($BC$2:$BC$921))/(MAX($BC$2:$BC$921)-MIN($BC$2:$BC$921))*100,2))</f>
        <v>25</v>
      </c>
      <c r="AU642" s="8" t="n">
        <f aca="false">IF(MAX($BE$2:$BE$921)=MIN($BE$2:$BE$921),50,ROUND((BE642-MIN($BE$2:$BE$921))/(MAX($BE$2:$BE$921)-MIN($BE$2:$BE$921))*100,2))</f>
        <v>68.36</v>
      </c>
      <c r="AV642" s="8" t="n">
        <f aca="false">IF(MAX($AD$2:$AD$921)=MIN($AD$2:$AD$921),50,ROUND((AD642-MIN($AD$2:$AD$921))/(MAX($AD$2:$AD$921)-MIN($AD$2:$AD$921))*100,2))</f>
        <v>24.44</v>
      </c>
      <c r="AW642" s="8" t="n">
        <f aca="false">IF(MAX($AN$2:$AN$921)=MIN($AN$2:$AN$921),50,ROUND((AN642-MIN($AN$2:$AN$921))/(MAX($AN$2:$AN$921)-MIN($AN$2:$AN$921))*100,2))</f>
        <v>61.25</v>
      </c>
      <c r="AX642" s="8" t="n">
        <f aca="false">AQ642*100</f>
        <v>0</v>
      </c>
      <c r="AY642" s="8" t="n">
        <f aca="false">AR642*100</f>
        <v>0</v>
      </c>
      <c r="AZ642" s="8" t="n">
        <f aca="false">IFERROR(ROUND(AS642*Assumptions!$I$6+AW642*Assumptions!$I$7+AT642*Assumptions!$I$8+AU642*Assumptions!$I$9+AV642*Assumptions!$I$10+AX642*Assumptions!$I$11+AY642*Assumptions!$I$12,2),"")</f>
        <v>40.7</v>
      </c>
      <c r="BA642" s="0" t="str">
        <f aca="false">IF(AZ642="","",IF(AZ642&lt;=Assumptions!$I$18,"Below Expectation",IF(AZ642&lt;=Assumptions!$I$19,"Developing",IF(AZ642&lt;=Assumptions!$I$20,"Meets Expectation",IF(AZ642&lt;=Assumptions!$I$21,"Exceeds","Star Performer")))))</f>
        <v>Developing</v>
      </c>
      <c r="BB642" s="0" t="n">
        <f aca="false">IF(AZ642="",0,IF(AZ642&gt;=Assumptions!$I$26,1,0))</f>
        <v>0</v>
      </c>
      <c r="BC642" s="9" t="n">
        <f aca="false">IF(AL642="",2,AL642+2)</f>
        <v>1</v>
      </c>
      <c r="BD642" s="10" t="n">
        <f aca="false">IF(AM642="",ROUND(AVERAGE($AM$2:$AM$921),3),AM642)</f>
        <v>0.548</v>
      </c>
      <c r="BE642" s="9" t="n">
        <f aca="false">1-BD642</f>
        <v>0.452</v>
      </c>
    </row>
    <row r="643" customFormat="false" ht="14.25" hidden="true" customHeight="false" outlineLevel="0" collapsed="false">
      <c r="A643" s="4" t="n">
        <v>326</v>
      </c>
      <c r="B643" s="5" t="n">
        <v>10091591</v>
      </c>
      <c r="C643" s="5" t="s">
        <v>526</v>
      </c>
      <c r="D643" s="5" t="s">
        <v>2299</v>
      </c>
      <c r="E643" s="5" t="s">
        <v>558</v>
      </c>
      <c r="F643" s="5" t="s">
        <v>258</v>
      </c>
      <c r="G643" s="5" t="s">
        <v>259</v>
      </c>
      <c r="H643" s="5" t="s">
        <v>260</v>
      </c>
      <c r="I643" s="5" t="s">
        <v>63</v>
      </c>
      <c r="J643" s="5" t="s">
        <v>100</v>
      </c>
      <c r="K643" s="5" t="s">
        <v>65</v>
      </c>
      <c r="L643" s="6" t="n">
        <v>44894</v>
      </c>
      <c r="M643" s="5" t="s">
        <v>417</v>
      </c>
      <c r="N643" s="6" t="n">
        <v>31999</v>
      </c>
      <c r="O643" s="5" t="s">
        <v>262</v>
      </c>
      <c r="P643" s="5" t="s">
        <v>263</v>
      </c>
      <c r="Q643" s="5" t="s">
        <v>468</v>
      </c>
      <c r="R643" s="5" t="s">
        <v>1387</v>
      </c>
      <c r="S643" s="5" t="s">
        <v>336</v>
      </c>
      <c r="T643" s="6"/>
      <c r="U643" s="6"/>
      <c r="V643" s="5"/>
      <c r="W643" s="5" t="s">
        <v>631</v>
      </c>
      <c r="X643" s="5" t="s">
        <v>141</v>
      </c>
      <c r="Y643" s="5" t="s">
        <v>631</v>
      </c>
      <c r="Z643" s="5" t="s">
        <v>141</v>
      </c>
      <c r="AA643" s="5" t="s">
        <v>2300</v>
      </c>
      <c r="AB643" s="0" t="n">
        <f aca="false">IFERROR(VALUE(R643),0)</f>
        <v>11.4</v>
      </c>
      <c r="AC643" s="0" t="n">
        <f aca="false">IFERROR(VALUE(M643),"")</f>
        <v>38.9</v>
      </c>
      <c r="AD643" s="0" t="n">
        <f aca="false">IFERROR(VALUE(Q643),"")</f>
        <v>3.6</v>
      </c>
      <c r="AE643" s="0" t="n">
        <f aca="false">IFERROR(VALUE(S643),"")</f>
        <v>14.1</v>
      </c>
      <c r="AF643" s="0" t="str">
        <f aca="false">IF(V643="","",VLOOKUP(V643,Assumptions!$B$6:$C$9,2,FALSE()))</f>
        <v/>
      </c>
      <c r="AG643" s="0" t="n">
        <f aca="false">IF(W643="","",VLOOKUP(W643,Assumptions!$B$6:$C$9,2,FALSE()))</f>
        <v>2</v>
      </c>
      <c r="AH643" s="0" t="n">
        <f aca="false">IF(X643="","",VLOOKUP(X643,Assumptions!$B$6:$C$9,2,FALSE()))</f>
        <v>3</v>
      </c>
      <c r="AI643" s="0" t="n">
        <f aca="false">IF(Y643="","",VLOOKUP(Y643,Assumptions!$B$6:$C$9,2,FALSE()))</f>
        <v>2</v>
      </c>
      <c r="AJ643" s="0" t="n">
        <f aca="false">IF(Z643="","",VLOOKUP(Z643,Assumptions!$B$6:$C$9,2,FALSE()))</f>
        <v>3</v>
      </c>
      <c r="AK643" s="7" t="n">
        <f aca="false">IFERROR(ROUND(AVERAGE(AF643:AJ643),3),"")</f>
        <v>2.5</v>
      </c>
      <c r="AL643" s="7" t="str">
        <f aca="false">IF(OR(AF643="",AJ643=""),"",AJ643-AF643)</f>
        <v/>
      </c>
      <c r="AM643" s="7" t="n">
        <f aca="false">IF(COUNT(AF643:AJ643)&gt;=2,ROUND(_xlfn.STDEV.S(AF643:AJ643),3),"")</f>
        <v>0.577</v>
      </c>
      <c r="AN643" s="7" t="n">
        <f aca="false">ROUND((IF(AF643="",0,AF643)*Assumptions!$F$15)+(IF(AG643="",0,AG643)*Assumptions!$F$16)+(IF(AH643="",0,AH643)*Assumptions!$F$17)+(IF(AI643="",0,AI643)*Assumptions!$F$18)+(IF(AJ643="",0,AJ643)*Assumptions!$F$19),3)</f>
        <v>2.3</v>
      </c>
      <c r="AO643" s="0" t="str">
        <f aca="false">IF(AC643&lt;=20,"",IF(AC643&lt;=Assumptions!$F$6,"20-30",IF(AC643&lt;=Assumptions!$F$7,"30-40",IF(AC643&lt;=Assumptions!$F$8,"40-50",IF(AC643&lt;=Assumptions!$F$9,"50-60",IF(AC643&lt;=Assumptions!$F$10,"60+",""))))))</f>
        <v>30-40</v>
      </c>
      <c r="AP643" s="0" t="str">
        <f aca="false">IFERROR(VLOOKUP(O643,Assumptions!$B$14:$C$26,2,FALSE()),"Other")</f>
        <v>Manager</v>
      </c>
      <c r="AQ643" s="0" t="n">
        <f aca="false">IF(T643="",0,1)</f>
        <v>0</v>
      </c>
      <c r="AR643" s="0" t="n">
        <f aca="false">IF(U643="",0,1)</f>
        <v>0</v>
      </c>
      <c r="AS643" s="8" t="n">
        <f aca="false">IF(AK643="","",IF(MAX($AK$2:$AK$921)=MIN($AK$2:$AK$921),50,ROUND((AK643-MIN($AK$2:$AK$921))/(MAX($AK$2:$AK$921)-MIN($AK$2:$AK$921))*100,2)))</f>
        <v>35.71</v>
      </c>
      <c r="AT643" s="8" t="n">
        <f aca="false">IF(MAX($BC$2:$BC$921)=MIN($BC$2:$BC$921),50,ROUND((BC643-MIN($BC$2:$BC$921))/(MAX($BC$2:$BC$921)-MIN($BC$2:$BC$921))*100,2))</f>
        <v>50</v>
      </c>
      <c r="AU643" s="8" t="n">
        <f aca="false">IF(MAX($BE$2:$BE$921)=MIN($BE$2:$BE$921),50,ROUND((BE643-MIN($BE$2:$BE$921))/(MAX($BE$2:$BE$921)-MIN($BE$2:$BE$921))*100,2))</f>
        <v>66.69</v>
      </c>
      <c r="AV643" s="8" t="n">
        <f aca="false">IF(MAX($AD$2:$AD$921)=MIN($AD$2:$AD$921),50,ROUND((AD643-MIN($AD$2:$AD$921))/(MAX($AD$2:$AD$921)-MIN($AD$2:$AD$921))*100,2))</f>
        <v>9.49</v>
      </c>
      <c r="AW643" s="8" t="n">
        <f aca="false">IF(MAX($AN$2:$AN$921)=MIN($AN$2:$AN$921),50,ROUND((AN643-MIN($AN$2:$AN$921))/(MAX($AN$2:$AN$921)-MIN($AN$2:$AN$921))*100,2))</f>
        <v>57.5</v>
      </c>
      <c r="AX643" s="8" t="n">
        <f aca="false">AQ643*100</f>
        <v>0</v>
      </c>
      <c r="AY643" s="8" t="n">
        <f aca="false">AR643*100</f>
        <v>0</v>
      </c>
      <c r="AZ643" s="8" t="n">
        <f aca="false">IFERROR(ROUND(AS643*Assumptions!$I$6+AW643*Assumptions!$I$7+AT643*Assumptions!$I$8+AU643*Assumptions!$I$9+AV643*Assumptions!$I$10+AX643*Assumptions!$I$11+AY643*Assumptions!$I$12,2),"")</f>
        <v>40.67</v>
      </c>
      <c r="BA643" s="0" t="str">
        <f aca="false">IF(AZ643="","",IF(AZ643&lt;=Assumptions!$I$18,"Below Expectation",IF(AZ643&lt;=Assumptions!$I$19,"Developing",IF(AZ643&lt;=Assumptions!$I$20,"Meets Expectation",IF(AZ643&lt;=Assumptions!$I$21,"Exceeds","Star Performer")))))</f>
        <v>Developing</v>
      </c>
      <c r="BB643" s="0" t="n">
        <f aca="false">IF(AZ643="",0,IF(AZ643&gt;=Assumptions!$I$26,1,0))</f>
        <v>0</v>
      </c>
      <c r="BC643" s="9" t="n">
        <f aca="false">IF(AL643="",2,AL643+2)</f>
        <v>2</v>
      </c>
      <c r="BD643" s="10" t="n">
        <f aca="false">IF(AM643="",ROUND(AVERAGE($AM$2:$AM$921),3),AM643)</f>
        <v>0.577</v>
      </c>
      <c r="BE643" s="9" t="n">
        <f aca="false">1-BD643</f>
        <v>0.423</v>
      </c>
    </row>
    <row r="644" customFormat="false" ht="14.25" hidden="true" customHeight="false" outlineLevel="0" collapsed="false">
      <c r="A644" s="4" t="n">
        <v>421</v>
      </c>
      <c r="B644" s="5" t="n">
        <v>50010174</v>
      </c>
      <c r="C644" s="5" t="s">
        <v>57</v>
      </c>
      <c r="D644" s="5" t="s">
        <v>2301</v>
      </c>
      <c r="E644" s="5" t="s">
        <v>96</v>
      </c>
      <c r="F644" s="5" t="s">
        <v>608</v>
      </c>
      <c r="G644" s="5" t="s">
        <v>609</v>
      </c>
      <c r="H644" s="5" t="s">
        <v>608</v>
      </c>
      <c r="I644" s="5" t="s">
        <v>63</v>
      </c>
      <c r="J644" s="5" t="s">
        <v>100</v>
      </c>
      <c r="K644" s="5" t="s">
        <v>65</v>
      </c>
      <c r="L644" s="6" t="n">
        <v>40969</v>
      </c>
      <c r="M644" s="5" t="s">
        <v>1424</v>
      </c>
      <c r="N644" s="6" t="n">
        <v>28105</v>
      </c>
      <c r="O644" s="5" t="s">
        <v>365</v>
      </c>
      <c r="P644" s="5" t="s">
        <v>365</v>
      </c>
      <c r="Q644" s="5" t="s">
        <v>696</v>
      </c>
      <c r="R644" s="5" t="s">
        <v>446</v>
      </c>
      <c r="S644" s="5" t="s">
        <v>1223</v>
      </c>
      <c r="T644" s="6"/>
      <c r="U644" s="6"/>
      <c r="V644" s="5" t="s">
        <v>631</v>
      </c>
      <c r="W644" s="5" t="s">
        <v>631</v>
      </c>
      <c r="X644" s="5" t="s">
        <v>631</v>
      </c>
      <c r="Y644" s="5" t="s">
        <v>631</v>
      </c>
      <c r="Z644" s="5" t="s">
        <v>631</v>
      </c>
      <c r="AA644" s="5" t="s">
        <v>2302</v>
      </c>
      <c r="AB644" s="0" t="n">
        <f aca="false">IFERROR(VALUE(R644),0)</f>
        <v>12.9</v>
      </c>
      <c r="AC644" s="0" t="n">
        <f aca="false">IFERROR(VALUE(M644),"")</f>
        <v>49.5</v>
      </c>
      <c r="AD644" s="0" t="n">
        <f aca="false">IFERROR(VALUE(Q644),"")</f>
        <v>14.3</v>
      </c>
      <c r="AE644" s="0" t="n">
        <f aca="false">IFERROR(VALUE(S644),"")</f>
        <v>27</v>
      </c>
      <c r="AF644" s="0" t="n">
        <f aca="false">IF(V644="","",VLOOKUP(V644,Assumptions!$B$6:$C$9,2,FALSE()))</f>
        <v>2</v>
      </c>
      <c r="AG644" s="0" t="n">
        <f aca="false">IF(W644="","",VLOOKUP(W644,Assumptions!$B$6:$C$9,2,FALSE()))</f>
        <v>2</v>
      </c>
      <c r="AH644" s="0" t="n">
        <f aca="false">IF(X644="","",VLOOKUP(X644,Assumptions!$B$6:$C$9,2,FALSE()))</f>
        <v>2</v>
      </c>
      <c r="AI644" s="0" t="n">
        <f aca="false">IF(Y644="","",VLOOKUP(Y644,Assumptions!$B$6:$C$9,2,FALSE()))</f>
        <v>2</v>
      </c>
      <c r="AJ644" s="0" t="n">
        <f aca="false">IF(Z644="","",VLOOKUP(Z644,Assumptions!$B$6:$C$9,2,FALSE()))</f>
        <v>2</v>
      </c>
      <c r="AK644" s="7" t="n">
        <f aca="false">IFERROR(ROUND(AVERAGE(AF644:AJ644),3),"")</f>
        <v>2</v>
      </c>
      <c r="AL644" s="7" t="n">
        <f aca="false">IF(OR(AF644="",AJ644=""),"",AJ644-AF644)</f>
        <v>0</v>
      </c>
      <c r="AM644" s="7" t="n">
        <f aca="false">IF(COUNT(AF644:AJ644)&gt;=2,ROUND(_xlfn.STDEV.S(AF644:AJ644),3),"")</f>
        <v>0</v>
      </c>
      <c r="AN644" s="7" t="n">
        <f aca="false">ROUND((IF(AF644="",0,AF644)*Assumptions!$F$15)+(IF(AG644="",0,AG644)*Assumptions!$F$16)+(IF(AH644="",0,AH644)*Assumptions!$F$17)+(IF(AI644="",0,AI644)*Assumptions!$F$18)+(IF(AJ644="",0,AJ644)*Assumptions!$F$19),3)</f>
        <v>2</v>
      </c>
      <c r="AO644" s="0" t="str">
        <f aca="false">IF(AC644&lt;=20,"",IF(AC644&lt;=Assumptions!$F$6,"20-30",IF(AC644&lt;=Assumptions!$F$7,"30-40",IF(AC644&lt;=Assumptions!$F$8,"40-50",IF(AC644&lt;=Assumptions!$F$9,"50-60",IF(AC644&lt;=Assumptions!$F$10,"60+",""))))))</f>
        <v>40-50</v>
      </c>
      <c r="AP644" s="0" t="str">
        <f aca="false">IFERROR(VLOOKUP(O644,Assumptions!$B$14:$C$26,2,FALSE()),"Other")</f>
        <v>Manager</v>
      </c>
      <c r="AQ644" s="0" t="n">
        <f aca="false">IF(T644="",0,1)</f>
        <v>0</v>
      </c>
      <c r="AR644" s="0" t="n">
        <f aca="false">IF(U644="",0,1)</f>
        <v>0</v>
      </c>
      <c r="AS644" s="8" t="n">
        <f aca="false">IF(AK644="","",IF(MAX($AK$2:$AK$921)=MIN($AK$2:$AK$921),50,ROUND((AK644-MIN($AK$2:$AK$921))/(MAX($AK$2:$AK$921)-MIN($AK$2:$AK$921))*100,2)))</f>
        <v>14.27</v>
      </c>
      <c r="AT644" s="8" t="n">
        <f aca="false">IF(MAX($BC$2:$BC$921)=MIN($BC$2:$BC$921),50,ROUND((BC644-MIN($BC$2:$BC$921))/(MAX($BC$2:$BC$921)-MIN($BC$2:$BC$921))*100,2))</f>
        <v>50</v>
      </c>
      <c r="AU644" s="8" t="n">
        <f aca="false">IF(MAX($BE$2:$BE$921)=MIN($BE$2:$BE$921),50,ROUND((BE644-MIN($BE$2:$BE$921))/(MAX($BE$2:$BE$921)-MIN($BE$2:$BE$921))*100,2))</f>
        <v>100</v>
      </c>
      <c r="AV644" s="8" t="n">
        <f aca="false">IF(MAX($AD$2:$AD$921)=MIN($AD$2:$AD$921),50,ROUND((AD644-MIN($AD$2:$AD$921))/(MAX($AD$2:$AD$921)-MIN($AD$2:$AD$921))*100,2))</f>
        <v>38.57</v>
      </c>
      <c r="AW644" s="8" t="n">
        <f aca="false">IF(MAX($AN$2:$AN$921)=MIN($AN$2:$AN$921),50,ROUND((AN644-MIN($AN$2:$AN$921))/(MAX($AN$2:$AN$921)-MIN($AN$2:$AN$921))*100,2))</f>
        <v>50</v>
      </c>
      <c r="AX644" s="8" t="n">
        <f aca="false">AQ644*100</f>
        <v>0</v>
      </c>
      <c r="AY644" s="8" t="n">
        <f aca="false">AR644*100</f>
        <v>0</v>
      </c>
      <c r="AZ644" s="8" t="n">
        <f aca="false">IFERROR(ROUND(AS644*Assumptions!$I$6+AW644*Assumptions!$I$7+AT644*Assumptions!$I$8+AU644*Assumptions!$I$9+AV644*Assumptions!$I$10+AX644*Assumptions!$I$11+AY644*Assumptions!$I$12,2),"")</f>
        <v>40.64</v>
      </c>
      <c r="BA644" s="0" t="str">
        <f aca="false">IF(AZ644="","",IF(AZ644&lt;=Assumptions!$I$18,"Below Expectation",IF(AZ644&lt;=Assumptions!$I$19,"Developing",IF(AZ644&lt;=Assumptions!$I$20,"Meets Expectation",IF(AZ644&lt;=Assumptions!$I$21,"Exceeds","Star Performer")))))</f>
        <v>Developing</v>
      </c>
      <c r="BB644" s="0" t="n">
        <f aca="false">IF(AZ644="",0,IF(AZ644&gt;=Assumptions!$I$26,1,0))</f>
        <v>0</v>
      </c>
      <c r="BC644" s="9" t="n">
        <f aca="false">IF(AL644="",2,AL644+2)</f>
        <v>2</v>
      </c>
      <c r="BD644" s="10" t="n">
        <f aca="false">IF(AM644="",ROUND(AVERAGE($AM$2:$AM$921),3),AM644)</f>
        <v>0</v>
      </c>
      <c r="BE644" s="9" t="n">
        <f aca="false">1-BD644</f>
        <v>1</v>
      </c>
    </row>
    <row r="645" customFormat="false" ht="14.25" hidden="true" customHeight="false" outlineLevel="0" collapsed="false">
      <c r="A645" s="4" t="n">
        <v>693</v>
      </c>
      <c r="B645" s="5" t="n">
        <v>55062734</v>
      </c>
      <c r="C645" s="5" t="s">
        <v>858</v>
      </c>
      <c r="D645" s="5" t="s">
        <v>2303</v>
      </c>
      <c r="E645" s="5" t="s">
        <v>1080</v>
      </c>
      <c r="F645" s="5" t="s">
        <v>1765</v>
      </c>
      <c r="G645" s="5" t="s">
        <v>1766</v>
      </c>
      <c r="H645" s="5" t="s">
        <v>1765</v>
      </c>
      <c r="I645" s="5" t="s">
        <v>63</v>
      </c>
      <c r="J645" s="5" t="s">
        <v>100</v>
      </c>
      <c r="K645" s="5" t="s">
        <v>65</v>
      </c>
      <c r="L645" s="6" t="n">
        <v>44909</v>
      </c>
      <c r="M645" s="5" t="s">
        <v>485</v>
      </c>
      <c r="N645" s="6" t="n">
        <v>33067</v>
      </c>
      <c r="O645" s="5" t="s">
        <v>332</v>
      </c>
      <c r="P645" s="5" t="s">
        <v>333</v>
      </c>
      <c r="Q645" s="5" t="s">
        <v>164</v>
      </c>
      <c r="R645" s="5" t="s">
        <v>444</v>
      </c>
      <c r="S645" s="5" t="s">
        <v>1245</v>
      </c>
      <c r="T645" s="6"/>
      <c r="U645" s="6"/>
      <c r="V645" s="5"/>
      <c r="W645" s="5" t="s">
        <v>631</v>
      </c>
      <c r="X645" s="5" t="s">
        <v>141</v>
      </c>
      <c r="Y645" s="5" t="s">
        <v>631</v>
      </c>
      <c r="Z645" s="5" t="s">
        <v>141</v>
      </c>
      <c r="AA645" s="5" t="s">
        <v>2304</v>
      </c>
      <c r="AB645" s="0" t="n">
        <f aca="false">IFERROR(VALUE(R645),0)</f>
        <v>9.1</v>
      </c>
      <c r="AC645" s="0" t="n">
        <f aca="false">IFERROR(VALUE(M645),"")</f>
        <v>35.1</v>
      </c>
      <c r="AD645" s="0" t="n">
        <f aca="false">IFERROR(VALUE(Q645),"")</f>
        <v>3.5</v>
      </c>
      <c r="AE645" s="0" t="n">
        <f aca="false">IFERROR(VALUE(S645),"")</f>
        <v>12.6</v>
      </c>
      <c r="AF645" s="0" t="str">
        <f aca="false">IF(V645="","",VLOOKUP(V645,Assumptions!$B$6:$C$9,2,FALSE()))</f>
        <v/>
      </c>
      <c r="AG645" s="0" t="n">
        <f aca="false">IF(W645="","",VLOOKUP(W645,Assumptions!$B$6:$C$9,2,FALSE()))</f>
        <v>2</v>
      </c>
      <c r="AH645" s="0" t="n">
        <f aca="false">IF(X645="","",VLOOKUP(X645,Assumptions!$B$6:$C$9,2,FALSE()))</f>
        <v>3</v>
      </c>
      <c r="AI645" s="0" t="n">
        <f aca="false">IF(Y645="","",VLOOKUP(Y645,Assumptions!$B$6:$C$9,2,FALSE()))</f>
        <v>2</v>
      </c>
      <c r="AJ645" s="0" t="n">
        <f aca="false">IF(Z645="","",VLOOKUP(Z645,Assumptions!$B$6:$C$9,2,FALSE()))</f>
        <v>3</v>
      </c>
      <c r="AK645" s="7" t="n">
        <f aca="false">IFERROR(ROUND(AVERAGE(AF645:AJ645),3),"")</f>
        <v>2.5</v>
      </c>
      <c r="AL645" s="7" t="str">
        <f aca="false">IF(OR(AF645="",AJ645=""),"",AJ645-AF645)</f>
        <v/>
      </c>
      <c r="AM645" s="7" t="n">
        <f aca="false">IF(COUNT(AF645:AJ645)&gt;=2,ROUND(_xlfn.STDEV.S(AF645:AJ645),3),"")</f>
        <v>0.577</v>
      </c>
      <c r="AN645" s="7" t="n">
        <f aca="false">ROUND((IF(AF645="",0,AF645)*Assumptions!$F$15)+(IF(AG645="",0,AG645)*Assumptions!$F$16)+(IF(AH645="",0,AH645)*Assumptions!$F$17)+(IF(AI645="",0,AI645)*Assumptions!$F$18)+(IF(AJ645="",0,AJ645)*Assumptions!$F$19),3)</f>
        <v>2.3</v>
      </c>
      <c r="AO645" s="0" t="str">
        <f aca="false">IF(AC645&lt;=20,"",IF(AC645&lt;=Assumptions!$F$6,"20-30",IF(AC645&lt;=Assumptions!$F$7,"30-40",IF(AC645&lt;=Assumptions!$F$8,"40-50",IF(AC645&lt;=Assumptions!$F$9,"50-60",IF(AC645&lt;=Assumptions!$F$10,"60+",""))))))</f>
        <v>30-40</v>
      </c>
      <c r="AP645" s="0" t="str">
        <f aca="false">IFERROR(VLOOKUP(O645,Assumptions!$B$14:$C$26,2,FALSE()),"Other")</f>
        <v>Manager</v>
      </c>
      <c r="AQ645" s="0" t="n">
        <f aca="false">IF(T645="",0,1)</f>
        <v>0</v>
      </c>
      <c r="AR645" s="0" t="n">
        <f aca="false">IF(U645="",0,1)</f>
        <v>0</v>
      </c>
      <c r="AS645" s="8" t="n">
        <f aca="false">IF(AK645="","",IF(MAX($AK$2:$AK$921)=MIN($AK$2:$AK$921),50,ROUND((AK645-MIN($AK$2:$AK$921))/(MAX($AK$2:$AK$921)-MIN($AK$2:$AK$921))*100,2)))</f>
        <v>35.71</v>
      </c>
      <c r="AT645" s="8" t="n">
        <f aca="false">IF(MAX($BC$2:$BC$921)=MIN($BC$2:$BC$921),50,ROUND((BC645-MIN($BC$2:$BC$921))/(MAX($BC$2:$BC$921)-MIN($BC$2:$BC$921))*100,2))</f>
        <v>50</v>
      </c>
      <c r="AU645" s="8" t="n">
        <f aca="false">IF(MAX($BE$2:$BE$921)=MIN($BE$2:$BE$921),50,ROUND((BE645-MIN($BE$2:$BE$921))/(MAX($BE$2:$BE$921)-MIN($BE$2:$BE$921))*100,2))</f>
        <v>66.69</v>
      </c>
      <c r="AV645" s="8" t="n">
        <f aca="false">IF(MAX($AD$2:$AD$921)=MIN($AD$2:$AD$921),50,ROUND((AD645-MIN($AD$2:$AD$921))/(MAX($AD$2:$AD$921)-MIN($AD$2:$AD$921))*100,2))</f>
        <v>9.21</v>
      </c>
      <c r="AW645" s="8" t="n">
        <f aca="false">IF(MAX($AN$2:$AN$921)=MIN($AN$2:$AN$921),50,ROUND((AN645-MIN($AN$2:$AN$921))/(MAX($AN$2:$AN$921)-MIN($AN$2:$AN$921))*100,2))</f>
        <v>57.5</v>
      </c>
      <c r="AX645" s="8" t="n">
        <f aca="false">AQ645*100</f>
        <v>0</v>
      </c>
      <c r="AY645" s="8" t="n">
        <f aca="false">AR645*100</f>
        <v>0</v>
      </c>
      <c r="AZ645" s="8" t="n">
        <f aca="false">IFERROR(ROUND(AS645*Assumptions!$I$6+AW645*Assumptions!$I$7+AT645*Assumptions!$I$8+AU645*Assumptions!$I$9+AV645*Assumptions!$I$10+AX645*Assumptions!$I$11+AY645*Assumptions!$I$12,2),"")</f>
        <v>40.64</v>
      </c>
      <c r="BA645" s="0" t="str">
        <f aca="false">IF(AZ645="","",IF(AZ645&lt;=Assumptions!$I$18,"Below Expectation",IF(AZ645&lt;=Assumptions!$I$19,"Developing",IF(AZ645&lt;=Assumptions!$I$20,"Meets Expectation",IF(AZ645&lt;=Assumptions!$I$21,"Exceeds","Star Performer")))))</f>
        <v>Developing</v>
      </c>
      <c r="BB645" s="0" t="n">
        <f aca="false">IF(AZ645="",0,IF(AZ645&gt;=Assumptions!$I$26,1,0))</f>
        <v>0</v>
      </c>
      <c r="BC645" s="9" t="n">
        <f aca="false">IF(AL645="",2,AL645+2)</f>
        <v>2</v>
      </c>
      <c r="BD645" s="10" t="n">
        <f aca="false">IF(AM645="",ROUND(AVERAGE($AM$2:$AM$921),3),AM645)</f>
        <v>0.577</v>
      </c>
      <c r="BE645" s="9" t="n">
        <f aca="false">1-BD645</f>
        <v>0.423</v>
      </c>
    </row>
    <row r="646" customFormat="false" ht="14.25" hidden="true" customHeight="false" outlineLevel="0" collapsed="false">
      <c r="A646" s="4" t="n">
        <v>528</v>
      </c>
      <c r="B646" s="5" t="n">
        <v>55046540</v>
      </c>
      <c r="C646" s="5" t="s">
        <v>85</v>
      </c>
      <c r="D646" s="5" t="s">
        <v>2305</v>
      </c>
      <c r="E646" s="5" t="s">
        <v>751</v>
      </c>
      <c r="F646" s="5" t="s">
        <v>1848</v>
      </c>
      <c r="G646" s="5" t="s">
        <v>1849</v>
      </c>
      <c r="H646" s="5" t="s">
        <v>1848</v>
      </c>
      <c r="I646" s="5" t="s">
        <v>63</v>
      </c>
      <c r="J646" s="5" t="s">
        <v>76</v>
      </c>
      <c r="K646" s="5" t="s">
        <v>65</v>
      </c>
      <c r="L646" s="6" t="n">
        <v>44593</v>
      </c>
      <c r="M646" s="5" t="s">
        <v>998</v>
      </c>
      <c r="N646" s="6" t="n">
        <v>36276</v>
      </c>
      <c r="O646" s="5" t="s">
        <v>1264</v>
      </c>
      <c r="P646" s="5" t="s">
        <v>1559</v>
      </c>
      <c r="Q646" s="5" t="s">
        <v>545</v>
      </c>
      <c r="R646" s="5" t="s">
        <v>115</v>
      </c>
      <c r="S646" s="5" t="s">
        <v>545</v>
      </c>
      <c r="T646" s="6"/>
      <c r="U646" s="6"/>
      <c r="V646" s="5"/>
      <c r="W646" s="5" t="s">
        <v>631</v>
      </c>
      <c r="X646" s="5" t="s">
        <v>141</v>
      </c>
      <c r="Y646" s="5" t="s">
        <v>141</v>
      </c>
      <c r="Z646" s="5" t="s">
        <v>631</v>
      </c>
      <c r="AA646" s="5" t="s">
        <v>2306</v>
      </c>
      <c r="AB646" s="0" t="n">
        <f aca="false">IFERROR(VALUE(R646),0)</f>
        <v>0</v>
      </c>
      <c r="AC646" s="0" t="n">
        <f aca="false">IFERROR(VALUE(M646),"")</f>
        <v>27.1</v>
      </c>
      <c r="AD646" s="0" t="n">
        <f aca="false">IFERROR(VALUE(Q646),"")</f>
        <v>4.4</v>
      </c>
      <c r="AE646" s="0" t="n">
        <f aca="false">IFERROR(VALUE(S646),"")</f>
        <v>4.4</v>
      </c>
      <c r="AF646" s="0" t="str">
        <f aca="false">IF(V646="","",VLOOKUP(V646,Assumptions!$B$6:$C$9,2,FALSE()))</f>
        <v/>
      </c>
      <c r="AG646" s="0" t="n">
        <f aca="false">IF(W646="","",VLOOKUP(W646,Assumptions!$B$6:$C$9,2,FALSE()))</f>
        <v>2</v>
      </c>
      <c r="AH646" s="0" t="n">
        <f aca="false">IF(X646="","",VLOOKUP(X646,Assumptions!$B$6:$C$9,2,FALSE()))</f>
        <v>3</v>
      </c>
      <c r="AI646" s="0" t="n">
        <f aca="false">IF(Y646="","",VLOOKUP(Y646,Assumptions!$B$6:$C$9,2,FALSE()))</f>
        <v>3</v>
      </c>
      <c r="AJ646" s="0" t="n">
        <f aca="false">IF(Z646="","",VLOOKUP(Z646,Assumptions!$B$6:$C$9,2,FALSE()))</f>
        <v>2</v>
      </c>
      <c r="AK646" s="7" t="n">
        <f aca="false">IFERROR(ROUND(AVERAGE(AF646:AJ646),3),"")</f>
        <v>2.5</v>
      </c>
      <c r="AL646" s="7" t="str">
        <f aca="false">IF(OR(AF646="",AJ646=""),"",AJ646-AF646)</f>
        <v/>
      </c>
      <c r="AM646" s="7" t="n">
        <f aca="false">IF(COUNT(AF646:AJ646)&gt;=2,ROUND(_xlfn.STDEV.S(AF646:AJ646),3),"")</f>
        <v>0.577</v>
      </c>
      <c r="AN646" s="7" t="n">
        <f aca="false">ROUND((IF(AF646="",0,AF646)*Assumptions!$F$15)+(IF(AG646="",0,AG646)*Assumptions!$F$16)+(IF(AH646="",0,AH646)*Assumptions!$F$17)+(IF(AI646="",0,AI646)*Assumptions!$F$18)+(IF(AJ646="",0,AJ646)*Assumptions!$F$19),3)</f>
        <v>2.25</v>
      </c>
      <c r="AO646" s="0" t="str">
        <f aca="false">IF(AC646&lt;=20,"",IF(AC646&lt;=Assumptions!$F$6,"20-30",IF(AC646&lt;=Assumptions!$F$7,"30-40",IF(AC646&lt;=Assumptions!$F$8,"40-50",IF(AC646&lt;=Assumptions!$F$9,"50-60",IF(AC646&lt;=Assumptions!$F$10,"60+",""))))))</f>
        <v>20-30</v>
      </c>
      <c r="AP646" s="0" t="str">
        <f aca="false">IFERROR(VLOOKUP(O646,Assumptions!$B$14:$C$26,2,FALSE()),"Other")</f>
        <v>Manager</v>
      </c>
      <c r="AQ646" s="0" t="n">
        <f aca="false">IF(T646="",0,1)</f>
        <v>0</v>
      </c>
      <c r="AR646" s="0" t="n">
        <f aca="false">IF(U646="",0,1)</f>
        <v>0</v>
      </c>
      <c r="AS646" s="8" t="n">
        <f aca="false">IF(AK646="","",IF(MAX($AK$2:$AK$921)=MIN($AK$2:$AK$921),50,ROUND((AK646-MIN($AK$2:$AK$921))/(MAX($AK$2:$AK$921)-MIN($AK$2:$AK$921))*100,2)))</f>
        <v>35.71</v>
      </c>
      <c r="AT646" s="8" t="n">
        <f aca="false">IF(MAX($BC$2:$BC$921)=MIN($BC$2:$BC$921),50,ROUND((BC646-MIN($BC$2:$BC$921))/(MAX($BC$2:$BC$921)-MIN($BC$2:$BC$921))*100,2))</f>
        <v>50</v>
      </c>
      <c r="AU646" s="8" t="n">
        <f aca="false">IF(MAX($BE$2:$BE$921)=MIN($BE$2:$BE$921),50,ROUND((BE646-MIN($BE$2:$BE$921))/(MAX($BE$2:$BE$921)-MIN($BE$2:$BE$921))*100,2))</f>
        <v>66.69</v>
      </c>
      <c r="AV646" s="8" t="n">
        <f aca="false">IF(MAX($AD$2:$AD$921)=MIN($AD$2:$AD$921),50,ROUND((AD646-MIN($AD$2:$AD$921))/(MAX($AD$2:$AD$921)-MIN($AD$2:$AD$921))*100,2))</f>
        <v>11.66</v>
      </c>
      <c r="AW646" s="8" t="n">
        <f aca="false">IF(MAX($AN$2:$AN$921)=MIN($AN$2:$AN$921),50,ROUND((AN646-MIN($AN$2:$AN$921))/(MAX($AN$2:$AN$921)-MIN($AN$2:$AN$921))*100,2))</f>
        <v>56.25</v>
      </c>
      <c r="AX646" s="8" t="n">
        <f aca="false">AQ646*100</f>
        <v>0</v>
      </c>
      <c r="AY646" s="8" t="n">
        <f aca="false">AR646*100</f>
        <v>0</v>
      </c>
      <c r="AZ646" s="8" t="n">
        <f aca="false">IFERROR(ROUND(AS646*Assumptions!$I$6+AW646*Assumptions!$I$7+AT646*Assumptions!$I$8+AU646*Assumptions!$I$9+AV646*Assumptions!$I$10+AX646*Assumptions!$I$11+AY646*Assumptions!$I$12,2),"")</f>
        <v>40.63</v>
      </c>
      <c r="BA646" s="0" t="str">
        <f aca="false">IF(AZ646="","",IF(AZ646&lt;=Assumptions!$I$18,"Below Expectation",IF(AZ646&lt;=Assumptions!$I$19,"Developing",IF(AZ646&lt;=Assumptions!$I$20,"Meets Expectation",IF(AZ646&lt;=Assumptions!$I$21,"Exceeds","Star Performer")))))</f>
        <v>Developing</v>
      </c>
      <c r="BB646" s="0" t="n">
        <f aca="false">IF(AZ646="",0,IF(AZ646&gt;=Assumptions!$I$26,1,0))</f>
        <v>0</v>
      </c>
      <c r="BC646" s="9" t="n">
        <f aca="false">IF(AL646="",2,AL646+2)</f>
        <v>2</v>
      </c>
      <c r="BD646" s="10" t="n">
        <f aca="false">IF(AM646="",ROUND(AVERAGE($AM$2:$AM$921),3),AM646)</f>
        <v>0.577</v>
      </c>
      <c r="BE646" s="9" t="n">
        <f aca="false">1-BD646</f>
        <v>0.423</v>
      </c>
    </row>
    <row r="647" customFormat="false" ht="14.25" hidden="true" customHeight="false" outlineLevel="0" collapsed="false">
      <c r="A647" s="4" t="n">
        <v>536</v>
      </c>
      <c r="B647" s="5" t="n">
        <v>55047163</v>
      </c>
      <c r="C647" s="5" t="s">
        <v>85</v>
      </c>
      <c r="D647" s="5" t="s">
        <v>2307</v>
      </c>
      <c r="E647" s="5" t="s">
        <v>315</v>
      </c>
      <c r="F647" s="5" t="s">
        <v>602</v>
      </c>
      <c r="G647" s="5" t="s">
        <v>603</v>
      </c>
      <c r="H647" s="5" t="s">
        <v>602</v>
      </c>
      <c r="I647" s="5" t="s">
        <v>63</v>
      </c>
      <c r="J647" s="5" t="s">
        <v>76</v>
      </c>
      <c r="K647" s="5" t="s">
        <v>65</v>
      </c>
      <c r="L647" s="6" t="n">
        <v>44608</v>
      </c>
      <c r="M647" s="5" t="s">
        <v>926</v>
      </c>
      <c r="N647" s="6" t="n">
        <v>32787</v>
      </c>
      <c r="O647" s="5" t="s">
        <v>365</v>
      </c>
      <c r="P647" s="5" t="s">
        <v>365</v>
      </c>
      <c r="Q647" s="5" t="s">
        <v>1407</v>
      </c>
      <c r="R647" s="5" t="s">
        <v>1776</v>
      </c>
      <c r="S647" s="5" t="s">
        <v>341</v>
      </c>
      <c r="T647" s="6"/>
      <c r="U647" s="6"/>
      <c r="V647" s="5"/>
      <c r="W647" s="5" t="s">
        <v>631</v>
      </c>
      <c r="X647" s="5" t="s">
        <v>141</v>
      </c>
      <c r="Y647" s="5" t="s">
        <v>141</v>
      </c>
      <c r="Z647" s="5" t="s">
        <v>631</v>
      </c>
      <c r="AA647" s="5" t="s">
        <v>2308</v>
      </c>
      <c r="AB647" s="0" t="n">
        <f aca="false">IFERROR(VALUE(R647),0)</f>
        <v>7.7</v>
      </c>
      <c r="AC647" s="0" t="n">
        <f aca="false">IFERROR(VALUE(M647),"")</f>
        <v>36.8</v>
      </c>
      <c r="AD647" s="0" t="n">
        <f aca="false">IFERROR(VALUE(Q647),"")</f>
        <v>4.3</v>
      </c>
      <c r="AE647" s="0" t="n">
        <f aca="false">IFERROR(VALUE(S647),"")</f>
        <v>11.1</v>
      </c>
      <c r="AF647" s="0" t="str">
        <f aca="false">IF(V647="","",VLOOKUP(V647,Assumptions!$B$6:$C$9,2,FALSE()))</f>
        <v/>
      </c>
      <c r="AG647" s="0" t="n">
        <f aca="false">IF(W647="","",VLOOKUP(W647,Assumptions!$B$6:$C$9,2,FALSE()))</f>
        <v>2</v>
      </c>
      <c r="AH647" s="0" t="n">
        <f aca="false">IF(X647="","",VLOOKUP(X647,Assumptions!$B$6:$C$9,2,FALSE()))</f>
        <v>3</v>
      </c>
      <c r="AI647" s="0" t="n">
        <f aca="false">IF(Y647="","",VLOOKUP(Y647,Assumptions!$B$6:$C$9,2,FALSE()))</f>
        <v>3</v>
      </c>
      <c r="AJ647" s="0" t="n">
        <f aca="false">IF(Z647="","",VLOOKUP(Z647,Assumptions!$B$6:$C$9,2,FALSE()))</f>
        <v>2</v>
      </c>
      <c r="AK647" s="7" t="n">
        <f aca="false">IFERROR(ROUND(AVERAGE(AF647:AJ647),3),"")</f>
        <v>2.5</v>
      </c>
      <c r="AL647" s="7" t="str">
        <f aca="false">IF(OR(AF647="",AJ647=""),"",AJ647-AF647)</f>
        <v/>
      </c>
      <c r="AM647" s="7" t="n">
        <f aca="false">IF(COUNT(AF647:AJ647)&gt;=2,ROUND(_xlfn.STDEV.S(AF647:AJ647),3),"")</f>
        <v>0.577</v>
      </c>
      <c r="AN647" s="7" t="n">
        <f aca="false">ROUND((IF(AF647="",0,AF647)*Assumptions!$F$15)+(IF(AG647="",0,AG647)*Assumptions!$F$16)+(IF(AH647="",0,AH647)*Assumptions!$F$17)+(IF(AI647="",0,AI647)*Assumptions!$F$18)+(IF(AJ647="",0,AJ647)*Assumptions!$F$19),3)</f>
        <v>2.25</v>
      </c>
      <c r="AO647" s="0" t="str">
        <f aca="false">IF(AC647&lt;=20,"",IF(AC647&lt;=Assumptions!$F$6,"20-30",IF(AC647&lt;=Assumptions!$F$7,"30-40",IF(AC647&lt;=Assumptions!$F$8,"40-50",IF(AC647&lt;=Assumptions!$F$9,"50-60",IF(AC647&lt;=Assumptions!$F$10,"60+",""))))))</f>
        <v>30-40</v>
      </c>
      <c r="AP647" s="0" t="str">
        <f aca="false">IFERROR(VLOOKUP(O647,Assumptions!$B$14:$C$26,2,FALSE()),"Other")</f>
        <v>Manager</v>
      </c>
      <c r="AQ647" s="0" t="n">
        <f aca="false">IF(T647="",0,1)</f>
        <v>0</v>
      </c>
      <c r="AR647" s="0" t="n">
        <f aca="false">IF(U647="",0,1)</f>
        <v>0</v>
      </c>
      <c r="AS647" s="8" t="n">
        <f aca="false">IF(AK647="","",IF(MAX($AK$2:$AK$921)=MIN($AK$2:$AK$921),50,ROUND((AK647-MIN($AK$2:$AK$921))/(MAX($AK$2:$AK$921)-MIN($AK$2:$AK$921))*100,2)))</f>
        <v>35.71</v>
      </c>
      <c r="AT647" s="8" t="n">
        <f aca="false">IF(MAX($BC$2:$BC$921)=MIN($BC$2:$BC$921),50,ROUND((BC647-MIN($BC$2:$BC$921))/(MAX($BC$2:$BC$921)-MIN($BC$2:$BC$921))*100,2))</f>
        <v>50</v>
      </c>
      <c r="AU647" s="8" t="n">
        <f aca="false">IF(MAX($BE$2:$BE$921)=MIN($BE$2:$BE$921),50,ROUND((BE647-MIN($BE$2:$BE$921))/(MAX($BE$2:$BE$921)-MIN($BE$2:$BE$921))*100,2))</f>
        <v>66.69</v>
      </c>
      <c r="AV647" s="8" t="n">
        <f aca="false">IF(MAX($AD$2:$AD$921)=MIN($AD$2:$AD$921),50,ROUND((AD647-MIN($AD$2:$AD$921))/(MAX($AD$2:$AD$921)-MIN($AD$2:$AD$921))*100,2))</f>
        <v>11.39</v>
      </c>
      <c r="AW647" s="8" t="n">
        <f aca="false">IF(MAX($AN$2:$AN$921)=MIN($AN$2:$AN$921),50,ROUND((AN647-MIN($AN$2:$AN$921))/(MAX($AN$2:$AN$921)-MIN($AN$2:$AN$921))*100,2))</f>
        <v>56.25</v>
      </c>
      <c r="AX647" s="8" t="n">
        <f aca="false">AQ647*100</f>
        <v>0</v>
      </c>
      <c r="AY647" s="8" t="n">
        <f aca="false">AR647*100</f>
        <v>0</v>
      </c>
      <c r="AZ647" s="8" t="n">
        <f aca="false">IFERROR(ROUND(AS647*Assumptions!$I$6+AW647*Assumptions!$I$7+AT647*Assumptions!$I$8+AU647*Assumptions!$I$9+AV647*Assumptions!$I$10+AX647*Assumptions!$I$11+AY647*Assumptions!$I$12,2),"")</f>
        <v>40.61</v>
      </c>
      <c r="BA647" s="0" t="str">
        <f aca="false">IF(AZ647="","",IF(AZ647&lt;=Assumptions!$I$18,"Below Expectation",IF(AZ647&lt;=Assumptions!$I$19,"Developing",IF(AZ647&lt;=Assumptions!$I$20,"Meets Expectation",IF(AZ647&lt;=Assumptions!$I$21,"Exceeds","Star Performer")))))</f>
        <v>Developing</v>
      </c>
      <c r="BB647" s="0" t="n">
        <f aca="false">IF(AZ647="",0,IF(AZ647&gt;=Assumptions!$I$26,1,0))</f>
        <v>0</v>
      </c>
      <c r="BC647" s="9" t="n">
        <f aca="false">IF(AL647="",2,AL647+2)</f>
        <v>2</v>
      </c>
      <c r="BD647" s="10" t="n">
        <f aca="false">IF(AM647="",ROUND(AVERAGE($AM$2:$AM$921),3),AM647)</f>
        <v>0.577</v>
      </c>
      <c r="BE647" s="9" t="n">
        <f aca="false">1-BD647</f>
        <v>0.423</v>
      </c>
    </row>
    <row r="648" customFormat="false" ht="14.25" hidden="true" customHeight="false" outlineLevel="0" collapsed="false">
      <c r="A648" s="4" t="n">
        <v>548</v>
      </c>
      <c r="B648" s="5" t="n">
        <v>55048991</v>
      </c>
      <c r="C648" s="5" t="s">
        <v>85</v>
      </c>
      <c r="D648" s="5" t="s">
        <v>2309</v>
      </c>
      <c r="E648" s="5" t="s">
        <v>137</v>
      </c>
      <c r="F648" s="5" t="s">
        <v>1382</v>
      </c>
      <c r="G648" s="5" t="s">
        <v>1383</v>
      </c>
      <c r="H648" s="5" t="s">
        <v>1382</v>
      </c>
      <c r="I648" s="5" t="s">
        <v>63</v>
      </c>
      <c r="J648" s="5" t="s">
        <v>76</v>
      </c>
      <c r="K648" s="5" t="s">
        <v>309</v>
      </c>
      <c r="L648" s="6" t="n">
        <v>44655</v>
      </c>
      <c r="M648" s="5" t="s">
        <v>1513</v>
      </c>
      <c r="N648" s="6" t="n">
        <v>36635</v>
      </c>
      <c r="O648" s="5" t="s">
        <v>1264</v>
      </c>
      <c r="P648" s="5" t="s">
        <v>1559</v>
      </c>
      <c r="Q648" s="5" t="s">
        <v>554</v>
      </c>
      <c r="R648" s="5" t="s">
        <v>115</v>
      </c>
      <c r="S648" s="5" t="s">
        <v>554</v>
      </c>
      <c r="T648" s="6"/>
      <c r="U648" s="6"/>
      <c r="V648" s="5"/>
      <c r="W648" s="5" t="s">
        <v>141</v>
      </c>
      <c r="X648" s="5" t="s">
        <v>631</v>
      </c>
      <c r="Y648" s="5" t="s">
        <v>631</v>
      </c>
      <c r="Z648" s="5" t="s">
        <v>141</v>
      </c>
      <c r="AA648" s="5" t="s">
        <v>2310</v>
      </c>
      <c r="AB648" s="0" t="n">
        <f aca="false">IFERROR(VALUE(R648),0)</f>
        <v>0</v>
      </c>
      <c r="AC648" s="0" t="n">
        <f aca="false">IFERROR(VALUE(M648),"")</f>
        <v>26.1</v>
      </c>
      <c r="AD648" s="0" t="n">
        <f aca="false">IFERROR(VALUE(Q648),"")</f>
        <v>4.2</v>
      </c>
      <c r="AE648" s="0" t="n">
        <f aca="false">IFERROR(VALUE(S648),"")</f>
        <v>4.2</v>
      </c>
      <c r="AF648" s="0" t="str">
        <f aca="false">IF(V648="","",VLOOKUP(V648,Assumptions!$B$6:$C$9,2,FALSE()))</f>
        <v/>
      </c>
      <c r="AG648" s="0" t="n">
        <f aca="false">IF(W648="","",VLOOKUP(W648,Assumptions!$B$6:$C$9,2,FALSE()))</f>
        <v>3</v>
      </c>
      <c r="AH648" s="0" t="n">
        <f aca="false">IF(X648="","",VLOOKUP(X648,Assumptions!$B$6:$C$9,2,FALSE()))</f>
        <v>2</v>
      </c>
      <c r="AI648" s="0" t="n">
        <f aca="false">IF(Y648="","",VLOOKUP(Y648,Assumptions!$B$6:$C$9,2,FALSE()))</f>
        <v>2</v>
      </c>
      <c r="AJ648" s="0" t="n">
        <f aca="false">IF(Z648="","",VLOOKUP(Z648,Assumptions!$B$6:$C$9,2,FALSE()))</f>
        <v>3</v>
      </c>
      <c r="AK648" s="7" t="n">
        <f aca="false">IFERROR(ROUND(AVERAGE(AF648:AJ648),3),"")</f>
        <v>2.5</v>
      </c>
      <c r="AL648" s="7" t="str">
        <f aca="false">IF(OR(AF648="",AJ648=""),"",AJ648-AF648)</f>
        <v/>
      </c>
      <c r="AM648" s="7" t="n">
        <f aca="false">IF(COUNT(AF648:AJ648)&gt;=2,ROUND(_xlfn.STDEV.S(AF648:AJ648),3),"")</f>
        <v>0.577</v>
      </c>
      <c r="AN648" s="7" t="n">
        <f aca="false">ROUND((IF(AF648="",0,AF648)*Assumptions!$F$15)+(IF(AG648="",0,AG648)*Assumptions!$F$16)+(IF(AH648="",0,AH648)*Assumptions!$F$17)+(IF(AI648="",0,AI648)*Assumptions!$F$18)+(IF(AJ648="",0,AJ648)*Assumptions!$F$19),3)</f>
        <v>2.25</v>
      </c>
      <c r="AO648" s="0" t="str">
        <f aca="false">IF(AC648&lt;=20,"",IF(AC648&lt;=Assumptions!$F$6,"20-30",IF(AC648&lt;=Assumptions!$F$7,"30-40",IF(AC648&lt;=Assumptions!$F$8,"40-50",IF(AC648&lt;=Assumptions!$F$9,"50-60",IF(AC648&lt;=Assumptions!$F$10,"60+",""))))))</f>
        <v>20-30</v>
      </c>
      <c r="AP648" s="0" t="str">
        <f aca="false">IFERROR(VLOOKUP(O648,Assumptions!$B$14:$C$26,2,FALSE()),"Other")</f>
        <v>Manager</v>
      </c>
      <c r="AQ648" s="0" t="n">
        <f aca="false">IF(T648="",0,1)</f>
        <v>0</v>
      </c>
      <c r="AR648" s="0" t="n">
        <f aca="false">IF(U648="",0,1)</f>
        <v>0</v>
      </c>
      <c r="AS648" s="8" t="n">
        <f aca="false">IF(AK648="","",IF(MAX($AK$2:$AK$921)=MIN($AK$2:$AK$921),50,ROUND((AK648-MIN($AK$2:$AK$921))/(MAX($AK$2:$AK$921)-MIN($AK$2:$AK$921))*100,2)))</f>
        <v>35.71</v>
      </c>
      <c r="AT648" s="8" t="n">
        <f aca="false">IF(MAX($BC$2:$BC$921)=MIN($BC$2:$BC$921),50,ROUND((BC648-MIN($BC$2:$BC$921))/(MAX($BC$2:$BC$921)-MIN($BC$2:$BC$921))*100,2))</f>
        <v>50</v>
      </c>
      <c r="AU648" s="8" t="n">
        <f aca="false">IF(MAX($BE$2:$BE$921)=MIN($BE$2:$BE$921),50,ROUND((BE648-MIN($BE$2:$BE$921))/(MAX($BE$2:$BE$921)-MIN($BE$2:$BE$921))*100,2))</f>
        <v>66.69</v>
      </c>
      <c r="AV648" s="8" t="n">
        <f aca="false">IF(MAX($AD$2:$AD$921)=MIN($AD$2:$AD$921),50,ROUND((AD648-MIN($AD$2:$AD$921))/(MAX($AD$2:$AD$921)-MIN($AD$2:$AD$921))*100,2))</f>
        <v>11.12</v>
      </c>
      <c r="AW648" s="8" t="n">
        <f aca="false">IF(MAX($AN$2:$AN$921)=MIN($AN$2:$AN$921),50,ROUND((AN648-MIN($AN$2:$AN$921))/(MAX($AN$2:$AN$921)-MIN($AN$2:$AN$921))*100,2))</f>
        <v>56.25</v>
      </c>
      <c r="AX648" s="8" t="n">
        <f aca="false">AQ648*100</f>
        <v>0</v>
      </c>
      <c r="AY648" s="8" t="n">
        <f aca="false">AR648*100</f>
        <v>0</v>
      </c>
      <c r="AZ648" s="8" t="n">
        <f aca="false">IFERROR(ROUND(AS648*Assumptions!$I$6+AW648*Assumptions!$I$7+AT648*Assumptions!$I$8+AU648*Assumptions!$I$9+AV648*Assumptions!$I$10+AX648*Assumptions!$I$11+AY648*Assumptions!$I$12,2),"")</f>
        <v>40.58</v>
      </c>
      <c r="BA648" s="0" t="str">
        <f aca="false">IF(AZ648="","",IF(AZ648&lt;=Assumptions!$I$18,"Below Expectation",IF(AZ648&lt;=Assumptions!$I$19,"Developing",IF(AZ648&lt;=Assumptions!$I$20,"Meets Expectation",IF(AZ648&lt;=Assumptions!$I$21,"Exceeds","Star Performer")))))</f>
        <v>Developing</v>
      </c>
      <c r="BB648" s="0" t="n">
        <f aca="false">IF(AZ648="",0,IF(AZ648&gt;=Assumptions!$I$26,1,0))</f>
        <v>0</v>
      </c>
      <c r="BC648" s="9" t="n">
        <f aca="false">IF(AL648="",2,AL648+2)</f>
        <v>2</v>
      </c>
      <c r="BD648" s="10" t="n">
        <f aca="false">IF(AM648="",ROUND(AVERAGE($AM$2:$AM$921),3),AM648)</f>
        <v>0.577</v>
      </c>
      <c r="BE648" s="9" t="n">
        <f aca="false">1-BD648</f>
        <v>0.423</v>
      </c>
    </row>
    <row r="649" customFormat="false" ht="14.25" hidden="true" customHeight="false" outlineLevel="0" collapsed="false">
      <c r="A649" s="4" t="n">
        <v>573</v>
      </c>
      <c r="B649" s="5" t="n">
        <v>55052235</v>
      </c>
      <c r="C649" s="5" t="s">
        <v>57</v>
      </c>
      <c r="D649" s="5" t="s">
        <v>2311</v>
      </c>
      <c r="E649" s="5" t="s">
        <v>252</v>
      </c>
      <c r="F649" s="5" t="s">
        <v>608</v>
      </c>
      <c r="G649" s="5" t="s">
        <v>609</v>
      </c>
      <c r="H649" s="5" t="s">
        <v>608</v>
      </c>
      <c r="I649" s="5" t="s">
        <v>63</v>
      </c>
      <c r="J649" s="5" t="s">
        <v>100</v>
      </c>
      <c r="K649" s="5" t="s">
        <v>309</v>
      </c>
      <c r="L649" s="6" t="n">
        <v>44728</v>
      </c>
      <c r="M649" s="5" t="s">
        <v>813</v>
      </c>
      <c r="N649" s="6" t="n">
        <v>34278</v>
      </c>
      <c r="O649" s="5" t="s">
        <v>365</v>
      </c>
      <c r="P649" s="5" t="s">
        <v>365</v>
      </c>
      <c r="Q649" s="5" t="s">
        <v>345</v>
      </c>
      <c r="R649" s="5" t="s">
        <v>768</v>
      </c>
      <c r="S649" s="5" t="s">
        <v>723</v>
      </c>
      <c r="T649" s="6"/>
      <c r="U649" s="6"/>
      <c r="V649" s="5"/>
      <c r="W649" s="5" t="s">
        <v>631</v>
      </c>
      <c r="X649" s="5" t="s">
        <v>141</v>
      </c>
      <c r="Y649" s="5" t="s">
        <v>631</v>
      </c>
      <c r="Z649" s="5" t="s">
        <v>141</v>
      </c>
      <c r="AA649" s="5" t="s">
        <v>2312</v>
      </c>
      <c r="AB649" s="0" t="n">
        <f aca="false">IFERROR(VALUE(R649),0)</f>
        <v>3.4</v>
      </c>
      <c r="AC649" s="0" t="n">
        <f aca="false">IFERROR(VALUE(M649),"")</f>
        <v>32.7</v>
      </c>
      <c r="AD649" s="0" t="n">
        <f aca="false">IFERROR(VALUE(Q649),"")</f>
        <v>3.11</v>
      </c>
      <c r="AE649" s="0" t="n">
        <f aca="false">IFERROR(VALUE(S649),"")</f>
        <v>7.3</v>
      </c>
      <c r="AF649" s="0" t="str">
        <f aca="false">IF(V649="","",VLOOKUP(V649,Assumptions!$B$6:$C$9,2,FALSE()))</f>
        <v/>
      </c>
      <c r="AG649" s="0" t="n">
        <f aca="false">IF(W649="","",VLOOKUP(W649,Assumptions!$B$6:$C$9,2,FALSE()))</f>
        <v>2</v>
      </c>
      <c r="AH649" s="0" t="n">
        <f aca="false">IF(X649="","",VLOOKUP(X649,Assumptions!$B$6:$C$9,2,FALSE()))</f>
        <v>3</v>
      </c>
      <c r="AI649" s="0" t="n">
        <f aca="false">IF(Y649="","",VLOOKUP(Y649,Assumptions!$B$6:$C$9,2,FALSE()))</f>
        <v>2</v>
      </c>
      <c r="AJ649" s="0" t="n">
        <f aca="false">IF(Z649="","",VLOOKUP(Z649,Assumptions!$B$6:$C$9,2,FALSE()))</f>
        <v>3</v>
      </c>
      <c r="AK649" s="7" t="n">
        <f aca="false">IFERROR(ROUND(AVERAGE(AF649:AJ649),3),"")</f>
        <v>2.5</v>
      </c>
      <c r="AL649" s="7" t="str">
        <f aca="false">IF(OR(AF649="",AJ649=""),"",AJ649-AF649)</f>
        <v/>
      </c>
      <c r="AM649" s="7" t="n">
        <f aca="false">IF(COUNT(AF649:AJ649)&gt;=2,ROUND(_xlfn.STDEV.S(AF649:AJ649),3),"")</f>
        <v>0.577</v>
      </c>
      <c r="AN649" s="7" t="n">
        <f aca="false">ROUND((IF(AF649="",0,AF649)*Assumptions!$F$15)+(IF(AG649="",0,AG649)*Assumptions!$F$16)+(IF(AH649="",0,AH649)*Assumptions!$F$17)+(IF(AI649="",0,AI649)*Assumptions!$F$18)+(IF(AJ649="",0,AJ649)*Assumptions!$F$19),3)</f>
        <v>2.3</v>
      </c>
      <c r="AO649" s="0" t="str">
        <f aca="false">IF(AC649&lt;=20,"",IF(AC649&lt;=Assumptions!$F$6,"20-30",IF(AC649&lt;=Assumptions!$F$7,"30-40",IF(AC649&lt;=Assumptions!$F$8,"40-50",IF(AC649&lt;=Assumptions!$F$9,"50-60",IF(AC649&lt;=Assumptions!$F$10,"60+",""))))))</f>
        <v>30-40</v>
      </c>
      <c r="AP649" s="0" t="str">
        <f aca="false">IFERROR(VLOOKUP(O649,Assumptions!$B$14:$C$26,2,FALSE()),"Other")</f>
        <v>Manager</v>
      </c>
      <c r="AQ649" s="0" t="n">
        <f aca="false">IF(T649="",0,1)</f>
        <v>0</v>
      </c>
      <c r="AR649" s="0" t="n">
        <f aca="false">IF(U649="",0,1)</f>
        <v>0</v>
      </c>
      <c r="AS649" s="8" t="n">
        <f aca="false">IF(AK649="","",IF(MAX($AK$2:$AK$921)=MIN($AK$2:$AK$921),50,ROUND((AK649-MIN($AK$2:$AK$921))/(MAX($AK$2:$AK$921)-MIN($AK$2:$AK$921))*100,2)))</f>
        <v>35.71</v>
      </c>
      <c r="AT649" s="8" t="n">
        <f aca="false">IF(MAX($BC$2:$BC$921)=MIN($BC$2:$BC$921),50,ROUND((BC649-MIN($BC$2:$BC$921))/(MAX($BC$2:$BC$921)-MIN($BC$2:$BC$921))*100,2))</f>
        <v>50</v>
      </c>
      <c r="AU649" s="8" t="n">
        <f aca="false">IF(MAX($BE$2:$BE$921)=MIN($BE$2:$BE$921),50,ROUND((BE649-MIN($BE$2:$BE$921))/(MAX($BE$2:$BE$921)-MIN($BE$2:$BE$921))*100,2))</f>
        <v>66.69</v>
      </c>
      <c r="AV649" s="8" t="n">
        <f aca="false">IF(MAX($AD$2:$AD$921)=MIN($AD$2:$AD$921),50,ROUND((AD649-MIN($AD$2:$AD$921))/(MAX($AD$2:$AD$921)-MIN($AD$2:$AD$921))*100,2))</f>
        <v>8.15</v>
      </c>
      <c r="AW649" s="8" t="n">
        <f aca="false">IF(MAX($AN$2:$AN$921)=MIN($AN$2:$AN$921),50,ROUND((AN649-MIN($AN$2:$AN$921))/(MAX($AN$2:$AN$921)-MIN($AN$2:$AN$921))*100,2))</f>
        <v>57.5</v>
      </c>
      <c r="AX649" s="8" t="n">
        <f aca="false">AQ649*100</f>
        <v>0</v>
      </c>
      <c r="AY649" s="8" t="n">
        <f aca="false">AR649*100</f>
        <v>0</v>
      </c>
      <c r="AZ649" s="8" t="n">
        <f aca="false">IFERROR(ROUND(AS649*Assumptions!$I$6+AW649*Assumptions!$I$7+AT649*Assumptions!$I$8+AU649*Assumptions!$I$9+AV649*Assumptions!$I$10+AX649*Assumptions!$I$11+AY649*Assumptions!$I$12,2),"")</f>
        <v>40.53</v>
      </c>
      <c r="BA649" s="0" t="str">
        <f aca="false">IF(AZ649="","",IF(AZ649&lt;=Assumptions!$I$18,"Below Expectation",IF(AZ649&lt;=Assumptions!$I$19,"Developing",IF(AZ649&lt;=Assumptions!$I$20,"Meets Expectation",IF(AZ649&lt;=Assumptions!$I$21,"Exceeds","Star Performer")))))</f>
        <v>Developing</v>
      </c>
      <c r="BB649" s="0" t="n">
        <f aca="false">IF(AZ649="",0,IF(AZ649&gt;=Assumptions!$I$26,1,0))</f>
        <v>0</v>
      </c>
      <c r="BC649" s="9" t="n">
        <f aca="false">IF(AL649="",2,AL649+2)</f>
        <v>2</v>
      </c>
      <c r="BD649" s="10" t="n">
        <f aca="false">IF(AM649="",ROUND(AVERAGE($AM$2:$AM$921),3),AM649)</f>
        <v>0.577</v>
      </c>
      <c r="BE649" s="9" t="n">
        <f aca="false">1-BD649</f>
        <v>0.423</v>
      </c>
    </row>
    <row r="650" customFormat="false" ht="14.25" hidden="true" customHeight="false" outlineLevel="0" collapsed="false">
      <c r="A650" s="4" t="n">
        <v>601</v>
      </c>
      <c r="B650" s="5" t="n">
        <v>55052467</v>
      </c>
      <c r="C650" s="5" t="s">
        <v>57</v>
      </c>
      <c r="D650" s="5" t="s">
        <v>2313</v>
      </c>
      <c r="E650" s="5" t="s">
        <v>456</v>
      </c>
      <c r="F650" s="5" t="s">
        <v>1353</v>
      </c>
      <c r="G650" s="5" t="s">
        <v>1354</v>
      </c>
      <c r="H650" s="5" t="s">
        <v>1355</v>
      </c>
      <c r="I650" s="5" t="s">
        <v>63</v>
      </c>
      <c r="J650" s="5" t="s">
        <v>100</v>
      </c>
      <c r="K650" s="5" t="s">
        <v>65</v>
      </c>
      <c r="L650" s="6" t="n">
        <v>44732</v>
      </c>
      <c r="M650" s="5" t="s">
        <v>1967</v>
      </c>
      <c r="N650" s="6" t="n">
        <v>31599</v>
      </c>
      <c r="O650" s="5" t="s">
        <v>585</v>
      </c>
      <c r="P650" s="5" t="s">
        <v>586</v>
      </c>
      <c r="Q650" s="5" t="s">
        <v>345</v>
      </c>
      <c r="R650" s="5" t="s">
        <v>271</v>
      </c>
      <c r="S650" s="5" t="s">
        <v>426</v>
      </c>
      <c r="T650" s="6"/>
      <c r="U650" s="6"/>
      <c r="V650" s="5"/>
      <c r="W650" s="5" t="s">
        <v>631</v>
      </c>
      <c r="X650" s="5" t="s">
        <v>141</v>
      </c>
      <c r="Y650" s="5" t="s">
        <v>631</v>
      </c>
      <c r="Z650" s="5" t="s">
        <v>141</v>
      </c>
      <c r="AA650" s="5" t="s">
        <v>2314</v>
      </c>
      <c r="AB650" s="0" t="n">
        <f aca="false">IFERROR(VALUE(R650),0)</f>
        <v>2.1</v>
      </c>
      <c r="AC650" s="0" t="n">
        <f aca="false">IFERROR(VALUE(M650),"")</f>
        <v>39.11</v>
      </c>
      <c r="AD650" s="0" t="n">
        <f aca="false">IFERROR(VALUE(Q650),"")</f>
        <v>3.11</v>
      </c>
      <c r="AE650" s="0" t="n">
        <f aca="false">IFERROR(VALUE(S650),"")</f>
        <v>6.9</v>
      </c>
      <c r="AF650" s="0" t="str">
        <f aca="false">IF(V650="","",VLOOKUP(V650,Assumptions!$B$6:$C$9,2,FALSE()))</f>
        <v/>
      </c>
      <c r="AG650" s="0" t="n">
        <f aca="false">IF(W650="","",VLOOKUP(W650,Assumptions!$B$6:$C$9,2,FALSE()))</f>
        <v>2</v>
      </c>
      <c r="AH650" s="0" t="n">
        <f aca="false">IF(X650="","",VLOOKUP(X650,Assumptions!$B$6:$C$9,2,FALSE()))</f>
        <v>3</v>
      </c>
      <c r="AI650" s="0" t="n">
        <f aca="false">IF(Y650="","",VLOOKUP(Y650,Assumptions!$B$6:$C$9,2,FALSE()))</f>
        <v>2</v>
      </c>
      <c r="AJ650" s="0" t="n">
        <f aca="false">IF(Z650="","",VLOOKUP(Z650,Assumptions!$B$6:$C$9,2,FALSE()))</f>
        <v>3</v>
      </c>
      <c r="AK650" s="7" t="n">
        <f aca="false">IFERROR(ROUND(AVERAGE(AF650:AJ650),3),"")</f>
        <v>2.5</v>
      </c>
      <c r="AL650" s="7" t="str">
        <f aca="false">IF(OR(AF650="",AJ650=""),"",AJ650-AF650)</f>
        <v/>
      </c>
      <c r="AM650" s="7" t="n">
        <f aca="false">IF(COUNT(AF650:AJ650)&gt;=2,ROUND(_xlfn.STDEV.S(AF650:AJ650),3),"")</f>
        <v>0.577</v>
      </c>
      <c r="AN650" s="7" t="n">
        <f aca="false">ROUND((IF(AF650="",0,AF650)*Assumptions!$F$15)+(IF(AG650="",0,AG650)*Assumptions!$F$16)+(IF(AH650="",0,AH650)*Assumptions!$F$17)+(IF(AI650="",0,AI650)*Assumptions!$F$18)+(IF(AJ650="",0,AJ650)*Assumptions!$F$19),3)</f>
        <v>2.3</v>
      </c>
      <c r="AO650" s="0" t="str">
        <f aca="false">IF(AC650&lt;=20,"",IF(AC650&lt;=Assumptions!$F$6,"20-30",IF(AC650&lt;=Assumptions!$F$7,"30-40",IF(AC650&lt;=Assumptions!$F$8,"40-50",IF(AC650&lt;=Assumptions!$F$9,"50-60",IF(AC650&lt;=Assumptions!$F$10,"60+",""))))))</f>
        <v>30-40</v>
      </c>
      <c r="AP650" s="0" t="str">
        <f aca="false">IFERROR(VLOOKUP(O650,Assumptions!$B$14:$C$26,2,FALSE()),"Other")</f>
        <v>Manager</v>
      </c>
      <c r="AQ650" s="0" t="n">
        <f aca="false">IF(T650="",0,1)</f>
        <v>0</v>
      </c>
      <c r="AR650" s="0" t="n">
        <f aca="false">IF(U650="",0,1)</f>
        <v>0</v>
      </c>
      <c r="AS650" s="8" t="n">
        <f aca="false">IF(AK650="","",IF(MAX($AK$2:$AK$921)=MIN($AK$2:$AK$921),50,ROUND((AK650-MIN($AK$2:$AK$921))/(MAX($AK$2:$AK$921)-MIN($AK$2:$AK$921))*100,2)))</f>
        <v>35.71</v>
      </c>
      <c r="AT650" s="8" t="n">
        <f aca="false">IF(MAX($BC$2:$BC$921)=MIN($BC$2:$BC$921),50,ROUND((BC650-MIN($BC$2:$BC$921))/(MAX($BC$2:$BC$921)-MIN($BC$2:$BC$921))*100,2))</f>
        <v>50</v>
      </c>
      <c r="AU650" s="8" t="n">
        <f aca="false">IF(MAX($BE$2:$BE$921)=MIN($BE$2:$BE$921),50,ROUND((BE650-MIN($BE$2:$BE$921))/(MAX($BE$2:$BE$921)-MIN($BE$2:$BE$921))*100,2))</f>
        <v>66.69</v>
      </c>
      <c r="AV650" s="8" t="n">
        <f aca="false">IF(MAX($AD$2:$AD$921)=MIN($AD$2:$AD$921),50,ROUND((AD650-MIN($AD$2:$AD$921))/(MAX($AD$2:$AD$921)-MIN($AD$2:$AD$921))*100,2))</f>
        <v>8.15</v>
      </c>
      <c r="AW650" s="8" t="n">
        <f aca="false">IF(MAX($AN$2:$AN$921)=MIN($AN$2:$AN$921),50,ROUND((AN650-MIN($AN$2:$AN$921))/(MAX($AN$2:$AN$921)-MIN($AN$2:$AN$921))*100,2))</f>
        <v>57.5</v>
      </c>
      <c r="AX650" s="8" t="n">
        <f aca="false">AQ650*100</f>
        <v>0</v>
      </c>
      <c r="AY650" s="8" t="n">
        <f aca="false">AR650*100</f>
        <v>0</v>
      </c>
      <c r="AZ650" s="8" t="n">
        <f aca="false">IFERROR(ROUND(AS650*Assumptions!$I$6+AW650*Assumptions!$I$7+AT650*Assumptions!$I$8+AU650*Assumptions!$I$9+AV650*Assumptions!$I$10+AX650*Assumptions!$I$11+AY650*Assumptions!$I$12,2),"")</f>
        <v>40.53</v>
      </c>
      <c r="BA650" s="0" t="str">
        <f aca="false">IF(AZ650="","",IF(AZ650&lt;=Assumptions!$I$18,"Below Expectation",IF(AZ650&lt;=Assumptions!$I$19,"Developing",IF(AZ650&lt;=Assumptions!$I$20,"Meets Expectation",IF(AZ650&lt;=Assumptions!$I$21,"Exceeds","Star Performer")))))</f>
        <v>Developing</v>
      </c>
      <c r="BB650" s="0" t="n">
        <f aca="false">IF(AZ650="",0,IF(AZ650&gt;=Assumptions!$I$26,1,0))</f>
        <v>0</v>
      </c>
      <c r="BC650" s="9" t="n">
        <f aca="false">IF(AL650="",2,AL650+2)</f>
        <v>2</v>
      </c>
      <c r="BD650" s="10" t="n">
        <f aca="false">IF(AM650="",ROUND(AVERAGE($AM$2:$AM$921),3),AM650)</f>
        <v>0.577</v>
      </c>
      <c r="BE650" s="9" t="n">
        <f aca="false">1-BD650</f>
        <v>0.423</v>
      </c>
    </row>
    <row r="651" customFormat="false" ht="14.25" hidden="false" customHeight="false" outlineLevel="0" collapsed="false">
      <c r="A651" s="4" t="n">
        <v>608</v>
      </c>
      <c r="B651" s="5" t="n">
        <v>55053376</v>
      </c>
      <c r="C651" s="5" t="s">
        <v>106</v>
      </c>
      <c r="D651" s="5" t="s">
        <v>2315</v>
      </c>
      <c r="E651" s="5" t="s">
        <v>108</v>
      </c>
      <c r="F651" s="5" t="s">
        <v>463</v>
      </c>
      <c r="G651" s="5" t="s">
        <v>464</v>
      </c>
      <c r="H651" s="5" t="s">
        <v>465</v>
      </c>
      <c r="I651" s="5" t="s">
        <v>63</v>
      </c>
      <c r="J651" s="5" t="s">
        <v>112</v>
      </c>
      <c r="K651" s="5" t="s">
        <v>309</v>
      </c>
      <c r="L651" s="6" t="n">
        <v>44746</v>
      </c>
      <c r="M651" s="5" t="s">
        <v>1242</v>
      </c>
      <c r="N651" s="6" t="n">
        <v>36190</v>
      </c>
      <c r="O651" s="5" t="s">
        <v>585</v>
      </c>
      <c r="P651" s="5" t="s">
        <v>586</v>
      </c>
      <c r="Q651" s="5" t="s">
        <v>345</v>
      </c>
      <c r="R651" s="5" t="s">
        <v>92</v>
      </c>
      <c r="S651" s="5" t="s">
        <v>545</v>
      </c>
      <c r="T651" s="6"/>
      <c r="U651" s="6"/>
      <c r="V651" s="5"/>
      <c r="W651" s="5" t="s">
        <v>631</v>
      </c>
      <c r="X651" s="5" t="s">
        <v>141</v>
      </c>
      <c r="Y651" s="5" t="s">
        <v>631</v>
      </c>
      <c r="Z651" s="5" t="s">
        <v>141</v>
      </c>
      <c r="AA651" s="5" t="s">
        <v>2316</v>
      </c>
      <c r="AB651" s="0" t="n">
        <f aca="false">IFERROR(VALUE(R651),0)</f>
        <v>0.5</v>
      </c>
      <c r="AC651" s="0" t="n">
        <f aca="false">IFERROR(VALUE(M651),"")</f>
        <v>27.4</v>
      </c>
      <c r="AD651" s="0" t="n">
        <f aca="false">IFERROR(VALUE(Q651),"")</f>
        <v>3.11</v>
      </c>
      <c r="AE651" s="0" t="n">
        <f aca="false">IFERROR(VALUE(S651),"")</f>
        <v>4.4</v>
      </c>
      <c r="AF651" s="0" t="str">
        <f aca="false">IF(V651="","",VLOOKUP(V651,Assumptions!$B$6:$C$9,2,FALSE()))</f>
        <v/>
      </c>
      <c r="AG651" s="0" t="n">
        <f aca="false">IF(W651="","",VLOOKUP(W651,Assumptions!$B$6:$C$9,2,FALSE()))</f>
        <v>2</v>
      </c>
      <c r="AH651" s="0" t="n">
        <f aca="false">IF(X651="","",VLOOKUP(X651,Assumptions!$B$6:$C$9,2,FALSE()))</f>
        <v>3</v>
      </c>
      <c r="AI651" s="0" t="n">
        <f aca="false">IF(Y651="","",VLOOKUP(Y651,Assumptions!$B$6:$C$9,2,FALSE()))</f>
        <v>2</v>
      </c>
      <c r="AJ651" s="0" t="n">
        <f aca="false">IF(Z651="","",VLOOKUP(Z651,Assumptions!$B$6:$C$9,2,FALSE()))</f>
        <v>3</v>
      </c>
      <c r="AK651" s="7" t="n">
        <f aca="false">IFERROR(ROUND(AVERAGE(AF651:AJ651),3),"")</f>
        <v>2.5</v>
      </c>
      <c r="AL651" s="7" t="str">
        <f aca="false">IF(OR(AF651="",AJ651=""),"",AJ651-AF651)</f>
        <v/>
      </c>
      <c r="AM651" s="7" t="n">
        <f aca="false">IF(COUNT(AF651:AJ651)&gt;=2,ROUND(_xlfn.STDEV.S(AF651:AJ651),3),"")</f>
        <v>0.577</v>
      </c>
      <c r="AN651" s="7" t="n">
        <f aca="false">ROUND((IF(AF651="",0,AF651)*Assumptions!$F$15)+(IF(AG651="",0,AG651)*Assumptions!$F$16)+(IF(AH651="",0,AH651)*Assumptions!$F$17)+(IF(AI651="",0,AI651)*Assumptions!$F$18)+(IF(AJ651="",0,AJ651)*Assumptions!$F$19),3)</f>
        <v>2.3</v>
      </c>
      <c r="AO651" s="0" t="str">
        <f aca="false">IF(AC651&lt;=20,"",IF(AC651&lt;=Assumptions!$F$6,"20-30",IF(AC651&lt;=Assumptions!$F$7,"30-40",IF(AC651&lt;=Assumptions!$F$8,"40-50",IF(AC651&lt;=Assumptions!$F$9,"50-60",IF(AC651&lt;=Assumptions!$F$10,"60+",""))))))</f>
        <v>20-30</v>
      </c>
      <c r="AP651" s="0" t="str">
        <f aca="false">IFERROR(VLOOKUP(O651,Assumptions!$B$14:$C$26,2,FALSE()),"Other")</f>
        <v>Manager</v>
      </c>
      <c r="AQ651" s="0" t="n">
        <f aca="false">IF(T651="",0,1)</f>
        <v>0</v>
      </c>
      <c r="AR651" s="0" t="n">
        <f aca="false">IF(U651="",0,1)</f>
        <v>0</v>
      </c>
      <c r="AS651" s="8" t="n">
        <f aca="false">IF(AK651="","",IF(MAX($AK$2:$AK$921)=MIN($AK$2:$AK$921),50,ROUND((AK651-MIN($AK$2:$AK$921))/(MAX($AK$2:$AK$921)-MIN($AK$2:$AK$921))*100,2)))</f>
        <v>35.71</v>
      </c>
      <c r="AT651" s="8" t="n">
        <f aca="false">IF(MAX($BC$2:$BC$921)=MIN($BC$2:$BC$921),50,ROUND((BC651-MIN($BC$2:$BC$921))/(MAX($BC$2:$BC$921)-MIN($BC$2:$BC$921))*100,2))</f>
        <v>50</v>
      </c>
      <c r="AU651" s="8" t="n">
        <f aca="false">IF(MAX($BE$2:$BE$921)=MIN($BE$2:$BE$921),50,ROUND((BE651-MIN($BE$2:$BE$921))/(MAX($BE$2:$BE$921)-MIN($BE$2:$BE$921))*100,2))</f>
        <v>66.69</v>
      </c>
      <c r="AV651" s="8" t="n">
        <f aca="false">IF(MAX($AD$2:$AD$921)=MIN($AD$2:$AD$921),50,ROUND((AD651-MIN($AD$2:$AD$921))/(MAX($AD$2:$AD$921)-MIN($AD$2:$AD$921))*100,2))</f>
        <v>8.15</v>
      </c>
      <c r="AW651" s="8" t="n">
        <f aca="false">IF(MAX($AN$2:$AN$921)=MIN($AN$2:$AN$921),50,ROUND((AN651-MIN($AN$2:$AN$921))/(MAX($AN$2:$AN$921)-MIN($AN$2:$AN$921))*100,2))</f>
        <v>57.5</v>
      </c>
      <c r="AX651" s="8" t="n">
        <f aca="false">AQ651*100</f>
        <v>0</v>
      </c>
      <c r="AY651" s="8" t="n">
        <f aca="false">AR651*100</f>
        <v>0</v>
      </c>
      <c r="AZ651" s="8" t="n">
        <f aca="false">IFERROR(ROUND(AS651*Assumptions!$I$6+AW651*Assumptions!$I$7+AT651*Assumptions!$I$8+AU651*Assumptions!$I$9+AV651*Assumptions!$I$10+AX651*Assumptions!$I$11+AY651*Assumptions!$I$12,2),"")</f>
        <v>40.53</v>
      </c>
      <c r="BA651" s="0" t="str">
        <f aca="false">IF(AZ651="","",IF(AZ651&lt;=Assumptions!$I$18,"Below Expectation",IF(AZ651&lt;=Assumptions!$I$19,"Developing",IF(AZ651&lt;=Assumptions!$I$20,"Meets Expectation",IF(AZ651&lt;=Assumptions!$I$21,"Exceeds","Star Performer")))))</f>
        <v>Developing</v>
      </c>
      <c r="BB651" s="0" t="n">
        <f aca="false">IF(AZ651="",0,IF(AZ651&gt;=Assumptions!$I$26,1,0))</f>
        <v>0</v>
      </c>
      <c r="BC651" s="9" t="n">
        <f aca="false">IF(AL651="",2,AL651+2)</f>
        <v>2</v>
      </c>
      <c r="BD651" s="10" t="n">
        <f aca="false">IF(AM651="",ROUND(AVERAGE($AM$2:$AM$921),3),AM651)</f>
        <v>0.577</v>
      </c>
      <c r="BE651" s="9" t="n">
        <f aca="false">1-BD651</f>
        <v>0.423</v>
      </c>
    </row>
    <row r="652" customFormat="false" ht="14.25" hidden="true" customHeight="false" outlineLevel="0" collapsed="false">
      <c r="A652" s="4" t="n">
        <v>570</v>
      </c>
      <c r="B652" s="5" t="n">
        <v>55051552</v>
      </c>
      <c r="C652" s="5" t="s">
        <v>57</v>
      </c>
      <c r="D652" s="5" t="s">
        <v>2317</v>
      </c>
      <c r="E652" s="5" t="s">
        <v>514</v>
      </c>
      <c r="F652" s="5" t="s">
        <v>608</v>
      </c>
      <c r="G652" s="5" t="s">
        <v>609</v>
      </c>
      <c r="H652" s="5" t="s">
        <v>608</v>
      </c>
      <c r="I652" s="5" t="s">
        <v>63</v>
      </c>
      <c r="J652" s="5" t="s">
        <v>100</v>
      </c>
      <c r="K652" s="5" t="s">
        <v>65</v>
      </c>
      <c r="L652" s="6" t="n">
        <v>44715</v>
      </c>
      <c r="M652" s="5" t="s">
        <v>852</v>
      </c>
      <c r="N652" s="6" t="n">
        <v>33057</v>
      </c>
      <c r="O652" s="5" t="s">
        <v>365</v>
      </c>
      <c r="P652" s="5" t="s">
        <v>365</v>
      </c>
      <c r="Q652" s="5" t="s">
        <v>287</v>
      </c>
      <c r="R652" s="5" t="s">
        <v>701</v>
      </c>
      <c r="S652" s="5" t="s">
        <v>497</v>
      </c>
      <c r="T652" s="6"/>
      <c r="U652" s="6"/>
      <c r="V652" s="5"/>
      <c r="W652" s="5" t="s">
        <v>631</v>
      </c>
      <c r="X652" s="5" t="s">
        <v>141</v>
      </c>
      <c r="Y652" s="5" t="s">
        <v>141</v>
      </c>
      <c r="Z652" s="5" t="s">
        <v>631</v>
      </c>
      <c r="AA652" s="5" t="s">
        <v>2318</v>
      </c>
      <c r="AB652" s="0" t="n">
        <f aca="false">IFERROR(VALUE(R652),0)</f>
        <v>6.11</v>
      </c>
      <c r="AC652" s="0" t="n">
        <f aca="false">IFERROR(VALUE(M652),"")</f>
        <v>35.11</v>
      </c>
      <c r="AD652" s="0" t="n">
        <f aca="false">IFERROR(VALUE(Q652),"")</f>
        <v>4</v>
      </c>
      <c r="AE652" s="0" t="n">
        <f aca="false">IFERROR(VALUE(S652),"")</f>
        <v>10.11</v>
      </c>
      <c r="AF652" s="0" t="str">
        <f aca="false">IF(V652="","",VLOOKUP(V652,Assumptions!$B$6:$C$9,2,FALSE()))</f>
        <v/>
      </c>
      <c r="AG652" s="0" t="n">
        <f aca="false">IF(W652="","",VLOOKUP(W652,Assumptions!$B$6:$C$9,2,FALSE()))</f>
        <v>2</v>
      </c>
      <c r="AH652" s="0" t="n">
        <f aca="false">IF(X652="","",VLOOKUP(X652,Assumptions!$B$6:$C$9,2,FALSE()))</f>
        <v>3</v>
      </c>
      <c r="AI652" s="0" t="n">
        <f aca="false">IF(Y652="","",VLOOKUP(Y652,Assumptions!$B$6:$C$9,2,FALSE()))</f>
        <v>3</v>
      </c>
      <c r="AJ652" s="0" t="n">
        <f aca="false">IF(Z652="","",VLOOKUP(Z652,Assumptions!$B$6:$C$9,2,FALSE()))</f>
        <v>2</v>
      </c>
      <c r="AK652" s="7" t="n">
        <f aca="false">IFERROR(ROUND(AVERAGE(AF652:AJ652),3),"")</f>
        <v>2.5</v>
      </c>
      <c r="AL652" s="7" t="str">
        <f aca="false">IF(OR(AF652="",AJ652=""),"",AJ652-AF652)</f>
        <v/>
      </c>
      <c r="AM652" s="7" t="n">
        <f aca="false">IF(COUNT(AF652:AJ652)&gt;=2,ROUND(_xlfn.STDEV.S(AF652:AJ652),3),"")</f>
        <v>0.577</v>
      </c>
      <c r="AN652" s="7" t="n">
        <f aca="false">ROUND((IF(AF652="",0,AF652)*Assumptions!$F$15)+(IF(AG652="",0,AG652)*Assumptions!$F$16)+(IF(AH652="",0,AH652)*Assumptions!$F$17)+(IF(AI652="",0,AI652)*Assumptions!$F$18)+(IF(AJ652="",0,AJ652)*Assumptions!$F$19),3)</f>
        <v>2.25</v>
      </c>
      <c r="AO652" s="0" t="str">
        <f aca="false">IF(AC652&lt;=20,"",IF(AC652&lt;=Assumptions!$F$6,"20-30",IF(AC652&lt;=Assumptions!$F$7,"30-40",IF(AC652&lt;=Assumptions!$F$8,"40-50",IF(AC652&lt;=Assumptions!$F$9,"50-60",IF(AC652&lt;=Assumptions!$F$10,"60+",""))))))</f>
        <v>30-40</v>
      </c>
      <c r="AP652" s="0" t="str">
        <f aca="false">IFERROR(VLOOKUP(O652,Assumptions!$B$14:$C$26,2,FALSE()),"Other")</f>
        <v>Manager</v>
      </c>
      <c r="AQ652" s="0" t="n">
        <f aca="false">IF(T652="",0,1)</f>
        <v>0</v>
      </c>
      <c r="AR652" s="0" t="n">
        <f aca="false">IF(U652="",0,1)</f>
        <v>0</v>
      </c>
      <c r="AS652" s="8" t="n">
        <f aca="false">IF(AK652="","",IF(MAX($AK$2:$AK$921)=MIN($AK$2:$AK$921),50,ROUND((AK652-MIN($AK$2:$AK$921))/(MAX($AK$2:$AK$921)-MIN($AK$2:$AK$921))*100,2)))</f>
        <v>35.71</v>
      </c>
      <c r="AT652" s="8" t="n">
        <f aca="false">IF(MAX($BC$2:$BC$921)=MIN($BC$2:$BC$921),50,ROUND((BC652-MIN($BC$2:$BC$921))/(MAX($BC$2:$BC$921)-MIN($BC$2:$BC$921))*100,2))</f>
        <v>50</v>
      </c>
      <c r="AU652" s="8" t="n">
        <f aca="false">IF(MAX($BE$2:$BE$921)=MIN($BE$2:$BE$921),50,ROUND((BE652-MIN($BE$2:$BE$921))/(MAX($BE$2:$BE$921)-MIN($BE$2:$BE$921))*100,2))</f>
        <v>66.69</v>
      </c>
      <c r="AV652" s="8" t="n">
        <f aca="false">IF(MAX($AD$2:$AD$921)=MIN($AD$2:$AD$921),50,ROUND((AD652-MIN($AD$2:$AD$921))/(MAX($AD$2:$AD$921)-MIN($AD$2:$AD$921))*100,2))</f>
        <v>10.57</v>
      </c>
      <c r="AW652" s="8" t="n">
        <f aca="false">IF(MAX($AN$2:$AN$921)=MIN($AN$2:$AN$921),50,ROUND((AN652-MIN($AN$2:$AN$921))/(MAX($AN$2:$AN$921)-MIN($AN$2:$AN$921))*100,2))</f>
        <v>56.25</v>
      </c>
      <c r="AX652" s="8" t="n">
        <f aca="false">AQ652*100</f>
        <v>0</v>
      </c>
      <c r="AY652" s="8" t="n">
        <f aca="false">AR652*100</f>
        <v>0</v>
      </c>
      <c r="AZ652" s="8" t="n">
        <f aca="false">IFERROR(ROUND(AS652*Assumptions!$I$6+AW652*Assumptions!$I$7+AT652*Assumptions!$I$8+AU652*Assumptions!$I$9+AV652*Assumptions!$I$10+AX652*Assumptions!$I$11+AY652*Assumptions!$I$12,2),"")</f>
        <v>40.52</v>
      </c>
      <c r="BA652" s="0" t="str">
        <f aca="false">IF(AZ652="","",IF(AZ652&lt;=Assumptions!$I$18,"Below Expectation",IF(AZ652&lt;=Assumptions!$I$19,"Developing",IF(AZ652&lt;=Assumptions!$I$20,"Meets Expectation",IF(AZ652&lt;=Assumptions!$I$21,"Exceeds","Star Performer")))))</f>
        <v>Developing</v>
      </c>
      <c r="BB652" s="0" t="n">
        <f aca="false">IF(AZ652="",0,IF(AZ652&gt;=Assumptions!$I$26,1,0))</f>
        <v>0</v>
      </c>
      <c r="BC652" s="9" t="n">
        <f aca="false">IF(AL652="",2,AL652+2)</f>
        <v>2</v>
      </c>
      <c r="BD652" s="10" t="n">
        <f aca="false">IF(AM652="",ROUND(AVERAGE($AM$2:$AM$921),3),AM652)</f>
        <v>0.577</v>
      </c>
      <c r="BE652" s="9" t="n">
        <f aca="false">1-BD652</f>
        <v>0.423</v>
      </c>
    </row>
    <row r="653" customFormat="false" ht="14.25" hidden="true" customHeight="false" outlineLevel="0" collapsed="false">
      <c r="A653" s="4" t="n">
        <v>652</v>
      </c>
      <c r="B653" s="5" t="n">
        <v>55056911</v>
      </c>
      <c r="C653" s="5" t="s">
        <v>85</v>
      </c>
      <c r="D653" s="5" t="s">
        <v>2319</v>
      </c>
      <c r="E653" s="5" t="s">
        <v>235</v>
      </c>
      <c r="F653" s="5" t="s">
        <v>1848</v>
      </c>
      <c r="G653" s="5" t="s">
        <v>1849</v>
      </c>
      <c r="H653" s="5" t="s">
        <v>1848</v>
      </c>
      <c r="I653" s="5" t="s">
        <v>63</v>
      </c>
      <c r="J653" s="5" t="s">
        <v>76</v>
      </c>
      <c r="K653" s="5" t="s">
        <v>309</v>
      </c>
      <c r="L653" s="6" t="n">
        <v>44809</v>
      </c>
      <c r="M653" s="5" t="s">
        <v>1223</v>
      </c>
      <c r="N653" s="6" t="n">
        <v>36313</v>
      </c>
      <c r="O653" s="5" t="s">
        <v>1264</v>
      </c>
      <c r="P653" s="5" t="s">
        <v>1559</v>
      </c>
      <c r="Q653" s="5" t="s">
        <v>231</v>
      </c>
      <c r="R653" s="5" t="s">
        <v>115</v>
      </c>
      <c r="S653" s="5" t="s">
        <v>231</v>
      </c>
      <c r="T653" s="6"/>
      <c r="U653" s="6"/>
      <c r="V653" s="5"/>
      <c r="W653" s="5" t="s">
        <v>631</v>
      </c>
      <c r="X653" s="5" t="s">
        <v>141</v>
      </c>
      <c r="Y653" s="5" t="s">
        <v>141</v>
      </c>
      <c r="Z653" s="5" t="s">
        <v>631</v>
      </c>
      <c r="AA653" s="5" t="s">
        <v>2320</v>
      </c>
      <c r="AB653" s="0" t="n">
        <f aca="false">IFERROR(VALUE(R653),0)</f>
        <v>0</v>
      </c>
      <c r="AC653" s="0" t="n">
        <f aca="false">IFERROR(VALUE(M653),"")</f>
        <v>27</v>
      </c>
      <c r="AD653" s="0" t="n">
        <f aca="false">IFERROR(VALUE(Q653),"")</f>
        <v>3.9</v>
      </c>
      <c r="AE653" s="0" t="n">
        <f aca="false">IFERROR(VALUE(S653),"")</f>
        <v>3.9</v>
      </c>
      <c r="AF653" s="0" t="str">
        <f aca="false">IF(V653="","",VLOOKUP(V653,Assumptions!$B$6:$C$9,2,FALSE()))</f>
        <v/>
      </c>
      <c r="AG653" s="0" t="n">
        <f aca="false">IF(W653="","",VLOOKUP(W653,Assumptions!$B$6:$C$9,2,FALSE()))</f>
        <v>2</v>
      </c>
      <c r="AH653" s="0" t="n">
        <f aca="false">IF(X653="","",VLOOKUP(X653,Assumptions!$B$6:$C$9,2,FALSE()))</f>
        <v>3</v>
      </c>
      <c r="AI653" s="0" t="n">
        <f aca="false">IF(Y653="","",VLOOKUP(Y653,Assumptions!$B$6:$C$9,2,FALSE()))</f>
        <v>3</v>
      </c>
      <c r="AJ653" s="0" t="n">
        <f aca="false">IF(Z653="","",VLOOKUP(Z653,Assumptions!$B$6:$C$9,2,FALSE()))</f>
        <v>2</v>
      </c>
      <c r="AK653" s="7" t="n">
        <f aca="false">IFERROR(ROUND(AVERAGE(AF653:AJ653),3),"")</f>
        <v>2.5</v>
      </c>
      <c r="AL653" s="7" t="str">
        <f aca="false">IF(OR(AF653="",AJ653=""),"",AJ653-AF653)</f>
        <v/>
      </c>
      <c r="AM653" s="7" t="n">
        <f aca="false">IF(COUNT(AF653:AJ653)&gt;=2,ROUND(_xlfn.STDEV.S(AF653:AJ653),3),"")</f>
        <v>0.577</v>
      </c>
      <c r="AN653" s="7" t="n">
        <f aca="false">ROUND((IF(AF653="",0,AF653)*Assumptions!$F$15)+(IF(AG653="",0,AG653)*Assumptions!$F$16)+(IF(AH653="",0,AH653)*Assumptions!$F$17)+(IF(AI653="",0,AI653)*Assumptions!$F$18)+(IF(AJ653="",0,AJ653)*Assumptions!$F$19),3)</f>
        <v>2.25</v>
      </c>
      <c r="AO653" s="0" t="str">
        <f aca="false">IF(AC653&lt;=20,"",IF(AC653&lt;=Assumptions!$F$6,"20-30",IF(AC653&lt;=Assumptions!$F$7,"30-40",IF(AC653&lt;=Assumptions!$F$8,"40-50",IF(AC653&lt;=Assumptions!$F$9,"50-60",IF(AC653&lt;=Assumptions!$F$10,"60+",""))))))</f>
        <v>20-30</v>
      </c>
      <c r="AP653" s="0" t="str">
        <f aca="false">IFERROR(VLOOKUP(O653,Assumptions!$B$14:$C$26,2,FALSE()),"Other")</f>
        <v>Manager</v>
      </c>
      <c r="AQ653" s="0" t="n">
        <f aca="false">IF(T653="",0,1)</f>
        <v>0</v>
      </c>
      <c r="AR653" s="0" t="n">
        <f aca="false">IF(U653="",0,1)</f>
        <v>0</v>
      </c>
      <c r="AS653" s="8" t="n">
        <f aca="false">IF(AK653="","",IF(MAX($AK$2:$AK$921)=MIN($AK$2:$AK$921),50,ROUND((AK653-MIN($AK$2:$AK$921))/(MAX($AK$2:$AK$921)-MIN($AK$2:$AK$921))*100,2)))</f>
        <v>35.71</v>
      </c>
      <c r="AT653" s="8" t="n">
        <f aca="false">IF(MAX($BC$2:$BC$921)=MIN($BC$2:$BC$921),50,ROUND((BC653-MIN($BC$2:$BC$921))/(MAX($BC$2:$BC$921)-MIN($BC$2:$BC$921))*100,2))</f>
        <v>50</v>
      </c>
      <c r="AU653" s="8" t="n">
        <f aca="false">IF(MAX($BE$2:$BE$921)=MIN($BE$2:$BE$921),50,ROUND((BE653-MIN($BE$2:$BE$921))/(MAX($BE$2:$BE$921)-MIN($BE$2:$BE$921))*100,2))</f>
        <v>66.69</v>
      </c>
      <c r="AV653" s="8" t="n">
        <f aca="false">IF(MAX($AD$2:$AD$921)=MIN($AD$2:$AD$921),50,ROUND((AD653-MIN($AD$2:$AD$921))/(MAX($AD$2:$AD$921)-MIN($AD$2:$AD$921))*100,2))</f>
        <v>10.3</v>
      </c>
      <c r="AW653" s="8" t="n">
        <f aca="false">IF(MAX($AN$2:$AN$921)=MIN($AN$2:$AN$921),50,ROUND((AN653-MIN($AN$2:$AN$921))/(MAX($AN$2:$AN$921)-MIN($AN$2:$AN$921))*100,2))</f>
        <v>56.25</v>
      </c>
      <c r="AX653" s="8" t="n">
        <f aca="false">AQ653*100</f>
        <v>0</v>
      </c>
      <c r="AY653" s="8" t="n">
        <f aca="false">AR653*100</f>
        <v>0</v>
      </c>
      <c r="AZ653" s="8" t="n">
        <f aca="false">IFERROR(ROUND(AS653*Assumptions!$I$6+AW653*Assumptions!$I$7+AT653*Assumptions!$I$8+AU653*Assumptions!$I$9+AV653*Assumptions!$I$10+AX653*Assumptions!$I$11+AY653*Assumptions!$I$12,2),"")</f>
        <v>40.5</v>
      </c>
      <c r="BA653" s="0" t="str">
        <f aca="false">IF(AZ653="","",IF(AZ653&lt;=Assumptions!$I$18,"Below Expectation",IF(AZ653&lt;=Assumptions!$I$19,"Developing",IF(AZ653&lt;=Assumptions!$I$20,"Meets Expectation",IF(AZ653&lt;=Assumptions!$I$21,"Exceeds","Star Performer")))))</f>
        <v>Developing</v>
      </c>
      <c r="BB653" s="0" t="n">
        <f aca="false">IF(AZ653="",0,IF(AZ653&gt;=Assumptions!$I$26,1,0))</f>
        <v>0</v>
      </c>
      <c r="BC653" s="9" t="n">
        <f aca="false">IF(AL653="",2,AL653+2)</f>
        <v>2</v>
      </c>
      <c r="BD653" s="10" t="n">
        <f aca="false">IF(AM653="",ROUND(AVERAGE($AM$2:$AM$921),3),AM653)</f>
        <v>0.577</v>
      </c>
      <c r="BE653" s="9" t="n">
        <f aca="false">1-BD653</f>
        <v>0.423</v>
      </c>
    </row>
    <row r="654" customFormat="false" ht="14.25" hidden="true" customHeight="false" outlineLevel="0" collapsed="false">
      <c r="A654" s="4" t="n">
        <v>135</v>
      </c>
      <c r="B654" s="5" t="n">
        <v>10043068</v>
      </c>
      <c r="C654" s="5" t="s">
        <v>57</v>
      </c>
      <c r="D654" s="5" t="s">
        <v>2321</v>
      </c>
      <c r="E654" s="5" t="s">
        <v>208</v>
      </c>
      <c r="F654" s="5" t="s">
        <v>387</v>
      </c>
      <c r="G654" s="5" t="s">
        <v>388</v>
      </c>
      <c r="H654" s="5" t="s">
        <v>387</v>
      </c>
      <c r="I654" s="5" t="s">
        <v>63</v>
      </c>
      <c r="J654" s="5" t="s">
        <v>100</v>
      </c>
      <c r="K654" s="5" t="s">
        <v>65</v>
      </c>
      <c r="L654" s="6" t="n">
        <v>41764</v>
      </c>
      <c r="M654" s="5" t="s">
        <v>2322</v>
      </c>
      <c r="N654" s="6" t="n">
        <v>32102</v>
      </c>
      <c r="O654" s="5" t="s">
        <v>332</v>
      </c>
      <c r="P654" s="5" t="s">
        <v>333</v>
      </c>
      <c r="Q654" s="5" t="s">
        <v>686</v>
      </c>
      <c r="R654" s="5" t="s">
        <v>164</v>
      </c>
      <c r="S654" s="5" t="s">
        <v>383</v>
      </c>
      <c r="T654" s="6"/>
      <c r="U654" s="6" t="n">
        <v>44470</v>
      </c>
      <c r="V654" s="5" t="s">
        <v>141</v>
      </c>
      <c r="W654" s="5" t="s">
        <v>631</v>
      </c>
      <c r="X654" s="5" t="s">
        <v>631</v>
      </c>
      <c r="Y654" s="5" t="s">
        <v>631</v>
      </c>
      <c r="Z654" s="5" t="s">
        <v>631</v>
      </c>
      <c r="AA654" s="5" t="s">
        <v>2323</v>
      </c>
      <c r="AB654" s="0" t="n">
        <f aca="false">IFERROR(VALUE(R654),0)</f>
        <v>3.5</v>
      </c>
      <c r="AC654" s="0" t="n">
        <f aca="false">IFERROR(VALUE(M654),"")</f>
        <v>38.6</v>
      </c>
      <c r="AD654" s="0" t="n">
        <f aca="false">IFERROR(VALUE(Q654),"")</f>
        <v>12.1</v>
      </c>
      <c r="AE654" s="0" t="n">
        <f aca="false">IFERROR(VALUE(S654),"")</f>
        <v>15.6</v>
      </c>
      <c r="AF654" s="0" t="n">
        <f aca="false">IF(V654="","",VLOOKUP(V654,Assumptions!$B$6:$C$9,2,FALSE()))</f>
        <v>3</v>
      </c>
      <c r="AG654" s="0" t="n">
        <f aca="false">IF(W654="","",VLOOKUP(W654,Assumptions!$B$6:$C$9,2,FALSE()))</f>
        <v>2</v>
      </c>
      <c r="AH654" s="0" t="n">
        <f aca="false">IF(X654="","",VLOOKUP(X654,Assumptions!$B$6:$C$9,2,FALSE()))</f>
        <v>2</v>
      </c>
      <c r="AI654" s="0" t="n">
        <f aca="false">IF(Y654="","",VLOOKUP(Y654,Assumptions!$B$6:$C$9,2,FALSE()))</f>
        <v>2</v>
      </c>
      <c r="AJ654" s="0" t="n">
        <f aca="false">IF(Z654="","",VLOOKUP(Z654,Assumptions!$B$6:$C$9,2,FALSE()))</f>
        <v>2</v>
      </c>
      <c r="AK654" s="7" t="n">
        <f aca="false">IFERROR(ROUND(AVERAGE(AF654:AJ654),3),"")</f>
        <v>2.2</v>
      </c>
      <c r="AL654" s="7" t="n">
        <f aca="false">IF(OR(AF654="",AJ654=""),"",AJ654-AF654)</f>
        <v>-1</v>
      </c>
      <c r="AM654" s="7" t="n">
        <f aca="false">IF(COUNT(AF654:AJ654)&gt;=2,ROUND(_xlfn.STDEV.S(AF654:AJ654),3),"")</f>
        <v>0.447</v>
      </c>
      <c r="AN654" s="7" t="n">
        <f aca="false">ROUND((IF(AF654="",0,AF654)*Assumptions!$F$15)+(IF(AG654="",0,AG654)*Assumptions!$F$16)+(IF(AH654="",0,AH654)*Assumptions!$F$17)+(IF(AI654="",0,AI654)*Assumptions!$F$18)+(IF(AJ654="",0,AJ654)*Assumptions!$F$19),3)</f>
        <v>2.1</v>
      </c>
      <c r="AO654" s="0" t="str">
        <f aca="false">IF(AC654&lt;=20,"",IF(AC654&lt;=Assumptions!$F$6,"20-30",IF(AC654&lt;=Assumptions!$F$7,"30-40",IF(AC654&lt;=Assumptions!$F$8,"40-50",IF(AC654&lt;=Assumptions!$F$9,"50-60",IF(AC654&lt;=Assumptions!$F$10,"60+",""))))))</f>
        <v>30-40</v>
      </c>
      <c r="AP654" s="0" t="str">
        <f aca="false">IFERROR(VLOOKUP(O654,Assumptions!$B$14:$C$26,2,FALSE()),"Other")</f>
        <v>Manager</v>
      </c>
      <c r="AQ654" s="0" t="n">
        <f aca="false">IF(T654="",0,1)</f>
        <v>0</v>
      </c>
      <c r="AR654" s="0" t="n">
        <f aca="false">IF(U654="",0,1)</f>
        <v>1</v>
      </c>
      <c r="AS654" s="8" t="n">
        <f aca="false">IF(AK654="","",IF(MAX($AK$2:$AK$921)=MIN($AK$2:$AK$921),50,ROUND((AK654-MIN($AK$2:$AK$921))/(MAX($AK$2:$AK$921)-MIN($AK$2:$AK$921))*100,2)))</f>
        <v>22.85</v>
      </c>
      <c r="AT654" s="8" t="n">
        <f aca="false">IF(MAX($BC$2:$BC$921)=MIN($BC$2:$BC$921),50,ROUND((BC654-MIN($BC$2:$BC$921))/(MAX($BC$2:$BC$921)-MIN($BC$2:$BC$921))*100,2))</f>
        <v>25</v>
      </c>
      <c r="AU654" s="8" t="n">
        <f aca="false">IF(MAX($BE$2:$BE$921)=MIN($BE$2:$BE$921),50,ROUND((BE654-MIN($BE$2:$BE$921))/(MAX($BE$2:$BE$921)-MIN($BE$2:$BE$921))*100,2))</f>
        <v>74.19</v>
      </c>
      <c r="AV654" s="8" t="n">
        <f aca="false">IF(MAX($AD$2:$AD$921)=MIN($AD$2:$AD$921),50,ROUND((AD654-MIN($AD$2:$AD$921))/(MAX($AD$2:$AD$921)-MIN($AD$2:$AD$921))*100,2))</f>
        <v>32.59</v>
      </c>
      <c r="AW654" s="8" t="n">
        <f aca="false">IF(MAX($AN$2:$AN$921)=MIN($AN$2:$AN$921),50,ROUND((AN654-MIN($AN$2:$AN$921))/(MAX($AN$2:$AN$921)-MIN($AN$2:$AN$921))*100,2))</f>
        <v>52.5</v>
      </c>
      <c r="AX654" s="8" t="n">
        <f aca="false">AQ654*100</f>
        <v>0</v>
      </c>
      <c r="AY654" s="8" t="n">
        <f aca="false">AR654*100</f>
        <v>100</v>
      </c>
      <c r="AZ654" s="8" t="n">
        <f aca="false">IFERROR(ROUND(AS654*Assumptions!$I$6+AW654*Assumptions!$I$7+AT654*Assumptions!$I$8+AU654*Assumptions!$I$9+AV654*Assumptions!$I$10+AX654*Assumptions!$I$11+AY654*Assumptions!$I$12,2),"")</f>
        <v>40.49</v>
      </c>
      <c r="BA654" s="0" t="str">
        <f aca="false">IF(AZ654="","",IF(AZ654&lt;=Assumptions!$I$18,"Below Expectation",IF(AZ654&lt;=Assumptions!$I$19,"Developing",IF(AZ654&lt;=Assumptions!$I$20,"Meets Expectation",IF(AZ654&lt;=Assumptions!$I$21,"Exceeds","Star Performer")))))</f>
        <v>Developing</v>
      </c>
      <c r="BB654" s="0" t="n">
        <f aca="false">IF(AZ654="",0,IF(AZ654&gt;=Assumptions!$I$26,1,0))</f>
        <v>0</v>
      </c>
      <c r="BC654" s="9" t="n">
        <f aca="false">IF(AL654="",2,AL654+2)</f>
        <v>1</v>
      </c>
      <c r="BD654" s="10" t="n">
        <f aca="false">IF(AM654="",ROUND(AVERAGE($AM$2:$AM$921),3),AM654)</f>
        <v>0.447</v>
      </c>
      <c r="BE654" s="9" t="n">
        <f aca="false">1-BD654</f>
        <v>0.553</v>
      </c>
    </row>
    <row r="655" customFormat="false" ht="14.25" hidden="false" customHeight="false" outlineLevel="0" collapsed="false">
      <c r="A655" s="4" t="n">
        <v>657</v>
      </c>
      <c r="B655" s="5" t="n">
        <v>55057780</v>
      </c>
      <c r="C655" s="5" t="s">
        <v>106</v>
      </c>
      <c r="D655" s="5" t="s">
        <v>2324</v>
      </c>
      <c r="E655" s="5" t="s">
        <v>108</v>
      </c>
      <c r="F655" s="5" t="s">
        <v>463</v>
      </c>
      <c r="G655" s="5" t="s">
        <v>484</v>
      </c>
      <c r="H655" s="5" t="s">
        <v>483</v>
      </c>
      <c r="I655" s="5" t="s">
        <v>63</v>
      </c>
      <c r="J655" s="5" t="s">
        <v>112</v>
      </c>
      <c r="K655" s="5" t="s">
        <v>65</v>
      </c>
      <c r="L655" s="6" t="n">
        <v>44826</v>
      </c>
      <c r="M655" s="5" t="s">
        <v>2093</v>
      </c>
      <c r="N655" s="6" t="n">
        <v>34025</v>
      </c>
      <c r="O655" s="5" t="s">
        <v>365</v>
      </c>
      <c r="P655" s="5" t="s">
        <v>365</v>
      </c>
      <c r="Q655" s="5" t="s">
        <v>445</v>
      </c>
      <c r="R655" s="5" t="s">
        <v>847</v>
      </c>
      <c r="S655" s="5" t="s">
        <v>502</v>
      </c>
      <c r="T655" s="6"/>
      <c r="U655" s="6"/>
      <c r="V655" s="5"/>
      <c r="W655" s="5" t="s">
        <v>631</v>
      </c>
      <c r="X655" s="5" t="s">
        <v>141</v>
      </c>
      <c r="Y655" s="5" t="s">
        <v>141</v>
      </c>
      <c r="Z655" s="5" t="s">
        <v>631</v>
      </c>
      <c r="AA655" s="5" t="s">
        <v>2325</v>
      </c>
      <c r="AB655" s="0" t="n">
        <f aca="false">IFERROR(VALUE(R655),0)</f>
        <v>7.5</v>
      </c>
      <c r="AC655" s="0" t="n">
        <f aca="false">IFERROR(VALUE(M655),"")</f>
        <v>33.3</v>
      </c>
      <c r="AD655" s="0" t="n">
        <f aca="false">IFERROR(VALUE(Q655),"")</f>
        <v>3.8</v>
      </c>
      <c r="AE655" s="0" t="n">
        <f aca="false">IFERROR(VALUE(S655),"")</f>
        <v>11.1</v>
      </c>
      <c r="AF655" s="0" t="str">
        <f aca="false">IF(V655="","",VLOOKUP(V655,Assumptions!$B$6:$C$9,2,FALSE()))</f>
        <v/>
      </c>
      <c r="AG655" s="0" t="n">
        <f aca="false">IF(W655="","",VLOOKUP(W655,Assumptions!$B$6:$C$9,2,FALSE()))</f>
        <v>2</v>
      </c>
      <c r="AH655" s="0" t="n">
        <f aca="false">IF(X655="","",VLOOKUP(X655,Assumptions!$B$6:$C$9,2,FALSE()))</f>
        <v>3</v>
      </c>
      <c r="AI655" s="0" t="n">
        <f aca="false">IF(Y655="","",VLOOKUP(Y655,Assumptions!$B$6:$C$9,2,FALSE()))</f>
        <v>3</v>
      </c>
      <c r="AJ655" s="0" t="n">
        <f aca="false">IF(Z655="","",VLOOKUP(Z655,Assumptions!$B$6:$C$9,2,FALSE()))</f>
        <v>2</v>
      </c>
      <c r="AK655" s="7" t="n">
        <f aca="false">IFERROR(ROUND(AVERAGE(AF655:AJ655),3),"")</f>
        <v>2.5</v>
      </c>
      <c r="AL655" s="7" t="str">
        <f aca="false">IF(OR(AF655="",AJ655=""),"",AJ655-AF655)</f>
        <v/>
      </c>
      <c r="AM655" s="7" t="n">
        <f aca="false">IF(COUNT(AF655:AJ655)&gt;=2,ROUND(_xlfn.STDEV.S(AF655:AJ655),3),"")</f>
        <v>0.577</v>
      </c>
      <c r="AN655" s="7" t="n">
        <f aca="false">ROUND((IF(AF655="",0,AF655)*Assumptions!$F$15)+(IF(AG655="",0,AG655)*Assumptions!$F$16)+(IF(AH655="",0,AH655)*Assumptions!$F$17)+(IF(AI655="",0,AI655)*Assumptions!$F$18)+(IF(AJ655="",0,AJ655)*Assumptions!$F$19),3)</f>
        <v>2.25</v>
      </c>
      <c r="AO655" s="0" t="str">
        <f aca="false">IF(AC655&lt;=20,"",IF(AC655&lt;=Assumptions!$F$6,"20-30",IF(AC655&lt;=Assumptions!$F$7,"30-40",IF(AC655&lt;=Assumptions!$F$8,"40-50",IF(AC655&lt;=Assumptions!$F$9,"50-60",IF(AC655&lt;=Assumptions!$F$10,"60+",""))))))</f>
        <v>30-40</v>
      </c>
      <c r="AP655" s="0" t="str">
        <f aca="false">IFERROR(VLOOKUP(O655,Assumptions!$B$14:$C$26,2,FALSE()),"Other")</f>
        <v>Manager</v>
      </c>
      <c r="AQ655" s="0" t="n">
        <f aca="false">IF(T655="",0,1)</f>
        <v>0</v>
      </c>
      <c r="AR655" s="0" t="n">
        <f aca="false">IF(U655="",0,1)</f>
        <v>0</v>
      </c>
      <c r="AS655" s="8" t="n">
        <f aca="false">IF(AK655="","",IF(MAX($AK$2:$AK$921)=MIN($AK$2:$AK$921),50,ROUND((AK655-MIN($AK$2:$AK$921))/(MAX($AK$2:$AK$921)-MIN($AK$2:$AK$921))*100,2)))</f>
        <v>35.71</v>
      </c>
      <c r="AT655" s="8" t="n">
        <f aca="false">IF(MAX($BC$2:$BC$921)=MIN($BC$2:$BC$921),50,ROUND((BC655-MIN($BC$2:$BC$921))/(MAX($BC$2:$BC$921)-MIN($BC$2:$BC$921))*100,2))</f>
        <v>50</v>
      </c>
      <c r="AU655" s="8" t="n">
        <f aca="false">IF(MAX($BE$2:$BE$921)=MIN($BE$2:$BE$921),50,ROUND((BE655-MIN($BE$2:$BE$921))/(MAX($BE$2:$BE$921)-MIN($BE$2:$BE$921))*100,2))</f>
        <v>66.69</v>
      </c>
      <c r="AV655" s="8" t="n">
        <f aca="false">IF(MAX($AD$2:$AD$921)=MIN($AD$2:$AD$921),50,ROUND((AD655-MIN($AD$2:$AD$921))/(MAX($AD$2:$AD$921)-MIN($AD$2:$AD$921))*100,2))</f>
        <v>10.03</v>
      </c>
      <c r="AW655" s="8" t="n">
        <f aca="false">IF(MAX($AN$2:$AN$921)=MIN($AN$2:$AN$921),50,ROUND((AN655-MIN($AN$2:$AN$921))/(MAX($AN$2:$AN$921)-MIN($AN$2:$AN$921))*100,2))</f>
        <v>56.25</v>
      </c>
      <c r="AX655" s="8" t="n">
        <f aca="false">AQ655*100</f>
        <v>0</v>
      </c>
      <c r="AY655" s="8" t="n">
        <f aca="false">AR655*100</f>
        <v>0</v>
      </c>
      <c r="AZ655" s="8" t="n">
        <f aca="false">IFERROR(ROUND(AS655*Assumptions!$I$6+AW655*Assumptions!$I$7+AT655*Assumptions!$I$8+AU655*Assumptions!$I$9+AV655*Assumptions!$I$10+AX655*Assumptions!$I$11+AY655*Assumptions!$I$12,2),"")</f>
        <v>40.47</v>
      </c>
      <c r="BA655" s="0" t="str">
        <f aca="false">IF(AZ655="","",IF(AZ655&lt;=Assumptions!$I$18,"Below Expectation",IF(AZ655&lt;=Assumptions!$I$19,"Developing",IF(AZ655&lt;=Assumptions!$I$20,"Meets Expectation",IF(AZ655&lt;=Assumptions!$I$21,"Exceeds","Star Performer")))))</f>
        <v>Developing</v>
      </c>
      <c r="BB655" s="0" t="n">
        <f aca="false">IF(AZ655="",0,IF(AZ655&gt;=Assumptions!$I$26,1,0))</f>
        <v>0</v>
      </c>
      <c r="BC655" s="9" t="n">
        <f aca="false">IF(AL655="",2,AL655+2)</f>
        <v>2</v>
      </c>
      <c r="BD655" s="10" t="n">
        <f aca="false">IF(AM655="",ROUND(AVERAGE($AM$2:$AM$921),3),AM655)</f>
        <v>0.577</v>
      </c>
      <c r="BE655" s="9" t="n">
        <f aca="false">1-BD655</f>
        <v>0.423</v>
      </c>
    </row>
    <row r="656" customFormat="false" ht="14.25" hidden="true" customHeight="false" outlineLevel="0" collapsed="false">
      <c r="A656" s="4" t="n">
        <v>659</v>
      </c>
      <c r="B656" s="5" t="n">
        <v>55058030</v>
      </c>
      <c r="C656" s="5"/>
      <c r="D656" s="5" t="s">
        <v>2326</v>
      </c>
      <c r="E656" s="5" t="s">
        <v>1092</v>
      </c>
      <c r="F656" s="5" t="s">
        <v>590</v>
      </c>
      <c r="G656" s="5" t="s">
        <v>589</v>
      </c>
      <c r="H656" s="5" t="s">
        <v>590</v>
      </c>
      <c r="I656" s="5" t="s">
        <v>63</v>
      </c>
      <c r="J656" s="5" t="s">
        <v>76</v>
      </c>
      <c r="K656" s="5" t="s">
        <v>309</v>
      </c>
      <c r="L656" s="6" t="n">
        <v>44830</v>
      </c>
      <c r="M656" s="5" t="s">
        <v>1425</v>
      </c>
      <c r="N656" s="6" t="n">
        <v>36322</v>
      </c>
      <c r="O656" s="5" t="s">
        <v>1264</v>
      </c>
      <c r="P656" s="5" t="s">
        <v>1559</v>
      </c>
      <c r="Q656" s="5" t="s">
        <v>445</v>
      </c>
      <c r="R656" s="5" t="s">
        <v>643</v>
      </c>
      <c r="S656" s="5" t="s">
        <v>523</v>
      </c>
      <c r="T656" s="6"/>
      <c r="U656" s="6"/>
      <c r="V656" s="5"/>
      <c r="W656" s="5" t="s">
        <v>631</v>
      </c>
      <c r="X656" s="5" t="s">
        <v>141</v>
      </c>
      <c r="Y656" s="5" t="s">
        <v>141</v>
      </c>
      <c r="Z656" s="5" t="s">
        <v>631</v>
      </c>
      <c r="AA656" s="5" t="s">
        <v>2327</v>
      </c>
      <c r="AB656" s="0" t="n">
        <f aca="false">IFERROR(VALUE(R656),0)</f>
        <v>1.2</v>
      </c>
      <c r="AC656" s="0" t="n">
        <f aca="false">IFERROR(VALUE(M656),"")</f>
        <v>26.11</v>
      </c>
      <c r="AD656" s="0" t="n">
        <f aca="false">IFERROR(VALUE(Q656),"")</f>
        <v>3.8</v>
      </c>
      <c r="AE656" s="0" t="n">
        <f aca="false">IFERROR(VALUE(S656),"")</f>
        <v>4.1</v>
      </c>
      <c r="AF656" s="0" t="str">
        <f aca="false">IF(V656="","",VLOOKUP(V656,Assumptions!$B$6:$C$9,2,FALSE()))</f>
        <v/>
      </c>
      <c r="AG656" s="0" t="n">
        <f aca="false">IF(W656="","",VLOOKUP(W656,Assumptions!$B$6:$C$9,2,FALSE()))</f>
        <v>2</v>
      </c>
      <c r="AH656" s="0" t="n">
        <f aca="false">IF(X656="","",VLOOKUP(X656,Assumptions!$B$6:$C$9,2,FALSE()))</f>
        <v>3</v>
      </c>
      <c r="AI656" s="0" t="n">
        <f aca="false">IF(Y656="","",VLOOKUP(Y656,Assumptions!$B$6:$C$9,2,FALSE()))</f>
        <v>3</v>
      </c>
      <c r="AJ656" s="0" t="n">
        <f aca="false">IF(Z656="","",VLOOKUP(Z656,Assumptions!$B$6:$C$9,2,FALSE()))</f>
        <v>2</v>
      </c>
      <c r="AK656" s="7" t="n">
        <f aca="false">IFERROR(ROUND(AVERAGE(AF656:AJ656),3),"")</f>
        <v>2.5</v>
      </c>
      <c r="AL656" s="7" t="str">
        <f aca="false">IF(OR(AF656="",AJ656=""),"",AJ656-AF656)</f>
        <v/>
      </c>
      <c r="AM656" s="7" t="n">
        <f aca="false">IF(COUNT(AF656:AJ656)&gt;=2,ROUND(_xlfn.STDEV.S(AF656:AJ656),3),"")</f>
        <v>0.577</v>
      </c>
      <c r="AN656" s="7" t="n">
        <f aca="false">ROUND((IF(AF656="",0,AF656)*Assumptions!$F$15)+(IF(AG656="",0,AG656)*Assumptions!$F$16)+(IF(AH656="",0,AH656)*Assumptions!$F$17)+(IF(AI656="",0,AI656)*Assumptions!$F$18)+(IF(AJ656="",0,AJ656)*Assumptions!$F$19),3)</f>
        <v>2.25</v>
      </c>
      <c r="AO656" s="0" t="str">
        <f aca="false">IF(AC656&lt;=20,"",IF(AC656&lt;=Assumptions!$F$6,"20-30",IF(AC656&lt;=Assumptions!$F$7,"30-40",IF(AC656&lt;=Assumptions!$F$8,"40-50",IF(AC656&lt;=Assumptions!$F$9,"50-60",IF(AC656&lt;=Assumptions!$F$10,"60+",""))))))</f>
        <v>20-30</v>
      </c>
      <c r="AP656" s="0" t="str">
        <f aca="false">IFERROR(VLOOKUP(O656,Assumptions!$B$14:$C$26,2,FALSE()),"Other")</f>
        <v>Manager</v>
      </c>
      <c r="AQ656" s="0" t="n">
        <f aca="false">IF(T656="",0,1)</f>
        <v>0</v>
      </c>
      <c r="AR656" s="0" t="n">
        <f aca="false">IF(U656="",0,1)</f>
        <v>0</v>
      </c>
      <c r="AS656" s="8" t="n">
        <f aca="false">IF(AK656="","",IF(MAX($AK$2:$AK$921)=MIN($AK$2:$AK$921),50,ROUND((AK656-MIN($AK$2:$AK$921))/(MAX($AK$2:$AK$921)-MIN($AK$2:$AK$921))*100,2)))</f>
        <v>35.71</v>
      </c>
      <c r="AT656" s="8" t="n">
        <f aca="false">IF(MAX($BC$2:$BC$921)=MIN($BC$2:$BC$921),50,ROUND((BC656-MIN($BC$2:$BC$921))/(MAX($BC$2:$BC$921)-MIN($BC$2:$BC$921))*100,2))</f>
        <v>50</v>
      </c>
      <c r="AU656" s="8" t="n">
        <f aca="false">IF(MAX($BE$2:$BE$921)=MIN($BE$2:$BE$921),50,ROUND((BE656-MIN($BE$2:$BE$921))/(MAX($BE$2:$BE$921)-MIN($BE$2:$BE$921))*100,2))</f>
        <v>66.69</v>
      </c>
      <c r="AV656" s="8" t="n">
        <f aca="false">IF(MAX($AD$2:$AD$921)=MIN($AD$2:$AD$921),50,ROUND((AD656-MIN($AD$2:$AD$921))/(MAX($AD$2:$AD$921)-MIN($AD$2:$AD$921))*100,2))</f>
        <v>10.03</v>
      </c>
      <c r="AW656" s="8" t="n">
        <f aca="false">IF(MAX($AN$2:$AN$921)=MIN($AN$2:$AN$921),50,ROUND((AN656-MIN($AN$2:$AN$921))/(MAX($AN$2:$AN$921)-MIN($AN$2:$AN$921))*100,2))</f>
        <v>56.25</v>
      </c>
      <c r="AX656" s="8" t="n">
        <f aca="false">AQ656*100</f>
        <v>0</v>
      </c>
      <c r="AY656" s="8" t="n">
        <f aca="false">AR656*100</f>
        <v>0</v>
      </c>
      <c r="AZ656" s="8" t="n">
        <f aca="false">IFERROR(ROUND(AS656*Assumptions!$I$6+AW656*Assumptions!$I$7+AT656*Assumptions!$I$8+AU656*Assumptions!$I$9+AV656*Assumptions!$I$10+AX656*Assumptions!$I$11+AY656*Assumptions!$I$12,2),"")</f>
        <v>40.47</v>
      </c>
      <c r="BA656" s="0" t="str">
        <f aca="false">IF(AZ656="","",IF(AZ656&lt;=Assumptions!$I$18,"Below Expectation",IF(AZ656&lt;=Assumptions!$I$19,"Developing",IF(AZ656&lt;=Assumptions!$I$20,"Meets Expectation",IF(AZ656&lt;=Assumptions!$I$21,"Exceeds","Star Performer")))))</f>
        <v>Developing</v>
      </c>
      <c r="BB656" s="0" t="n">
        <f aca="false">IF(AZ656="",0,IF(AZ656&gt;=Assumptions!$I$26,1,0))</f>
        <v>0</v>
      </c>
      <c r="BC656" s="9" t="n">
        <f aca="false">IF(AL656="",2,AL656+2)</f>
        <v>2</v>
      </c>
      <c r="BD656" s="10" t="n">
        <f aca="false">IF(AM656="",ROUND(AVERAGE($AM$2:$AM$921),3),AM656)</f>
        <v>0.577</v>
      </c>
      <c r="BE656" s="9" t="n">
        <f aca="false">1-BD656</f>
        <v>0.423</v>
      </c>
    </row>
    <row r="657" customFormat="false" ht="14.25" hidden="true" customHeight="false" outlineLevel="0" collapsed="false">
      <c r="A657" s="4" t="n">
        <v>672</v>
      </c>
      <c r="B657" s="5" t="n">
        <v>55059440</v>
      </c>
      <c r="C657" s="5" t="s">
        <v>85</v>
      </c>
      <c r="D657" s="5" t="s">
        <v>2328</v>
      </c>
      <c r="E657" s="5" t="s">
        <v>235</v>
      </c>
      <c r="F657" s="5" t="s">
        <v>2136</v>
      </c>
      <c r="G657" s="5" t="s">
        <v>2137</v>
      </c>
      <c r="H657" s="5" t="s">
        <v>2136</v>
      </c>
      <c r="I657" s="5" t="s">
        <v>63</v>
      </c>
      <c r="J657" s="5" t="s">
        <v>76</v>
      </c>
      <c r="K657" s="5" t="s">
        <v>309</v>
      </c>
      <c r="L657" s="6" t="n">
        <v>44851</v>
      </c>
      <c r="M657" s="5" t="s">
        <v>916</v>
      </c>
      <c r="N657" s="6" t="n">
        <v>36947</v>
      </c>
      <c r="O657" s="5" t="s">
        <v>1264</v>
      </c>
      <c r="P657" s="5" t="s">
        <v>1559</v>
      </c>
      <c r="Q657" s="5" t="s">
        <v>335</v>
      </c>
      <c r="R657" s="5" t="s">
        <v>115</v>
      </c>
      <c r="S657" s="5" t="s">
        <v>335</v>
      </c>
      <c r="T657" s="6"/>
      <c r="U657" s="6"/>
      <c r="V657" s="5"/>
      <c r="W657" s="5" t="s">
        <v>631</v>
      </c>
      <c r="X657" s="5" t="s">
        <v>141</v>
      </c>
      <c r="Y657" s="5" t="s">
        <v>141</v>
      </c>
      <c r="Z657" s="5" t="s">
        <v>631</v>
      </c>
      <c r="AA657" s="5" t="s">
        <v>2329</v>
      </c>
      <c r="AB657" s="0" t="n">
        <f aca="false">IFERROR(VALUE(R657),0)</f>
        <v>0</v>
      </c>
      <c r="AC657" s="0" t="n">
        <f aca="false">IFERROR(VALUE(M657),"")</f>
        <v>25.3</v>
      </c>
      <c r="AD657" s="0" t="n">
        <f aca="false">IFERROR(VALUE(Q657),"")</f>
        <v>3.7</v>
      </c>
      <c r="AE657" s="0" t="n">
        <f aca="false">IFERROR(VALUE(S657),"")</f>
        <v>3.7</v>
      </c>
      <c r="AF657" s="0" t="str">
        <f aca="false">IF(V657="","",VLOOKUP(V657,Assumptions!$B$6:$C$9,2,FALSE()))</f>
        <v/>
      </c>
      <c r="AG657" s="0" t="n">
        <f aca="false">IF(W657="","",VLOOKUP(W657,Assumptions!$B$6:$C$9,2,FALSE()))</f>
        <v>2</v>
      </c>
      <c r="AH657" s="0" t="n">
        <f aca="false">IF(X657="","",VLOOKUP(X657,Assumptions!$B$6:$C$9,2,FALSE()))</f>
        <v>3</v>
      </c>
      <c r="AI657" s="0" t="n">
        <f aca="false">IF(Y657="","",VLOOKUP(Y657,Assumptions!$B$6:$C$9,2,FALSE()))</f>
        <v>3</v>
      </c>
      <c r="AJ657" s="0" t="n">
        <f aca="false">IF(Z657="","",VLOOKUP(Z657,Assumptions!$B$6:$C$9,2,FALSE()))</f>
        <v>2</v>
      </c>
      <c r="AK657" s="7" t="n">
        <f aca="false">IFERROR(ROUND(AVERAGE(AF657:AJ657),3),"")</f>
        <v>2.5</v>
      </c>
      <c r="AL657" s="7" t="str">
        <f aca="false">IF(OR(AF657="",AJ657=""),"",AJ657-AF657)</f>
        <v/>
      </c>
      <c r="AM657" s="7" t="n">
        <f aca="false">IF(COUNT(AF657:AJ657)&gt;=2,ROUND(_xlfn.STDEV.S(AF657:AJ657),3),"")</f>
        <v>0.577</v>
      </c>
      <c r="AN657" s="7" t="n">
        <f aca="false">ROUND((IF(AF657="",0,AF657)*Assumptions!$F$15)+(IF(AG657="",0,AG657)*Assumptions!$F$16)+(IF(AH657="",0,AH657)*Assumptions!$F$17)+(IF(AI657="",0,AI657)*Assumptions!$F$18)+(IF(AJ657="",0,AJ657)*Assumptions!$F$19),3)</f>
        <v>2.25</v>
      </c>
      <c r="AO657" s="0" t="str">
        <f aca="false">IF(AC657&lt;=20,"",IF(AC657&lt;=Assumptions!$F$6,"20-30",IF(AC657&lt;=Assumptions!$F$7,"30-40",IF(AC657&lt;=Assumptions!$F$8,"40-50",IF(AC657&lt;=Assumptions!$F$9,"50-60",IF(AC657&lt;=Assumptions!$F$10,"60+",""))))))</f>
        <v>20-30</v>
      </c>
      <c r="AP657" s="0" t="str">
        <f aca="false">IFERROR(VLOOKUP(O657,Assumptions!$B$14:$C$26,2,FALSE()),"Other")</f>
        <v>Manager</v>
      </c>
      <c r="AQ657" s="0" t="n">
        <f aca="false">IF(T657="",0,1)</f>
        <v>0</v>
      </c>
      <c r="AR657" s="0" t="n">
        <f aca="false">IF(U657="",0,1)</f>
        <v>0</v>
      </c>
      <c r="AS657" s="8" t="n">
        <f aca="false">IF(AK657="","",IF(MAX($AK$2:$AK$921)=MIN($AK$2:$AK$921),50,ROUND((AK657-MIN($AK$2:$AK$921))/(MAX($AK$2:$AK$921)-MIN($AK$2:$AK$921))*100,2)))</f>
        <v>35.71</v>
      </c>
      <c r="AT657" s="8" t="n">
        <f aca="false">IF(MAX($BC$2:$BC$921)=MIN($BC$2:$BC$921),50,ROUND((BC657-MIN($BC$2:$BC$921))/(MAX($BC$2:$BC$921)-MIN($BC$2:$BC$921))*100,2))</f>
        <v>50</v>
      </c>
      <c r="AU657" s="8" t="n">
        <f aca="false">IF(MAX($BE$2:$BE$921)=MIN($BE$2:$BE$921),50,ROUND((BE657-MIN($BE$2:$BE$921))/(MAX($BE$2:$BE$921)-MIN($BE$2:$BE$921))*100,2))</f>
        <v>66.69</v>
      </c>
      <c r="AV657" s="8" t="n">
        <f aca="false">IF(MAX($AD$2:$AD$921)=MIN($AD$2:$AD$921),50,ROUND((AD657-MIN($AD$2:$AD$921))/(MAX($AD$2:$AD$921)-MIN($AD$2:$AD$921))*100,2))</f>
        <v>9.76</v>
      </c>
      <c r="AW657" s="8" t="n">
        <f aca="false">IF(MAX($AN$2:$AN$921)=MIN($AN$2:$AN$921),50,ROUND((AN657-MIN($AN$2:$AN$921))/(MAX($AN$2:$AN$921)-MIN($AN$2:$AN$921))*100,2))</f>
        <v>56.25</v>
      </c>
      <c r="AX657" s="8" t="n">
        <f aca="false">AQ657*100</f>
        <v>0</v>
      </c>
      <c r="AY657" s="8" t="n">
        <f aca="false">AR657*100</f>
        <v>0</v>
      </c>
      <c r="AZ657" s="8" t="n">
        <f aca="false">IFERROR(ROUND(AS657*Assumptions!$I$6+AW657*Assumptions!$I$7+AT657*Assumptions!$I$8+AU657*Assumptions!$I$9+AV657*Assumptions!$I$10+AX657*Assumptions!$I$11+AY657*Assumptions!$I$12,2),"")</f>
        <v>40.44</v>
      </c>
      <c r="BA657" s="0" t="str">
        <f aca="false">IF(AZ657="","",IF(AZ657&lt;=Assumptions!$I$18,"Below Expectation",IF(AZ657&lt;=Assumptions!$I$19,"Developing",IF(AZ657&lt;=Assumptions!$I$20,"Meets Expectation",IF(AZ657&lt;=Assumptions!$I$21,"Exceeds","Star Performer")))))</f>
        <v>Developing</v>
      </c>
      <c r="BB657" s="0" t="n">
        <f aca="false">IF(AZ657="",0,IF(AZ657&gt;=Assumptions!$I$26,1,0))</f>
        <v>0</v>
      </c>
      <c r="BC657" s="9" t="n">
        <f aca="false">IF(AL657="",2,AL657+2)</f>
        <v>2</v>
      </c>
      <c r="BD657" s="10" t="n">
        <f aca="false">IF(AM657="",ROUND(AVERAGE($AM$2:$AM$921),3),AM657)</f>
        <v>0.577</v>
      </c>
      <c r="BE657" s="9" t="n">
        <f aca="false">1-BD657</f>
        <v>0.423</v>
      </c>
    </row>
    <row r="658" customFormat="false" ht="14.25" hidden="true" customHeight="false" outlineLevel="0" collapsed="false">
      <c r="A658" s="4" t="n">
        <v>680</v>
      </c>
      <c r="B658" s="5" t="n">
        <v>55059492</v>
      </c>
      <c r="C658" s="5" t="s">
        <v>57</v>
      </c>
      <c r="D658" s="5" t="s">
        <v>2330</v>
      </c>
      <c r="E658" s="5" t="s">
        <v>252</v>
      </c>
      <c r="F658" s="5" t="s">
        <v>1770</v>
      </c>
      <c r="G658" s="5" t="s">
        <v>1771</v>
      </c>
      <c r="H658" s="5" t="s">
        <v>1770</v>
      </c>
      <c r="I658" s="5" t="s">
        <v>63</v>
      </c>
      <c r="J658" s="5" t="s">
        <v>100</v>
      </c>
      <c r="K658" s="5" t="s">
        <v>309</v>
      </c>
      <c r="L658" s="6" t="n">
        <v>44851</v>
      </c>
      <c r="M658" s="5" t="s">
        <v>165</v>
      </c>
      <c r="N658" s="6" t="n">
        <v>37047</v>
      </c>
      <c r="O658" s="5" t="s">
        <v>1264</v>
      </c>
      <c r="P658" s="5" t="s">
        <v>1559</v>
      </c>
      <c r="Q658" s="5" t="s">
        <v>335</v>
      </c>
      <c r="R658" s="5" t="s">
        <v>115</v>
      </c>
      <c r="S658" s="5" t="s">
        <v>335</v>
      </c>
      <c r="T658" s="6"/>
      <c r="U658" s="6"/>
      <c r="V658" s="5"/>
      <c r="W658" s="5" t="s">
        <v>631</v>
      </c>
      <c r="X658" s="5" t="s">
        <v>141</v>
      </c>
      <c r="Y658" s="5" t="s">
        <v>141</v>
      </c>
      <c r="Z658" s="5" t="s">
        <v>631</v>
      </c>
      <c r="AA658" s="5" t="s">
        <v>2331</v>
      </c>
      <c r="AB658" s="0" t="n">
        <f aca="false">IFERROR(VALUE(R658),0)</f>
        <v>0</v>
      </c>
      <c r="AC658" s="0" t="n">
        <f aca="false">IFERROR(VALUE(M658),"")</f>
        <v>25</v>
      </c>
      <c r="AD658" s="0" t="n">
        <f aca="false">IFERROR(VALUE(Q658),"")</f>
        <v>3.7</v>
      </c>
      <c r="AE658" s="0" t="n">
        <f aca="false">IFERROR(VALUE(S658),"")</f>
        <v>3.7</v>
      </c>
      <c r="AF658" s="0" t="str">
        <f aca="false">IF(V658="","",VLOOKUP(V658,Assumptions!$B$6:$C$9,2,FALSE()))</f>
        <v/>
      </c>
      <c r="AG658" s="0" t="n">
        <f aca="false">IF(W658="","",VLOOKUP(W658,Assumptions!$B$6:$C$9,2,FALSE()))</f>
        <v>2</v>
      </c>
      <c r="AH658" s="0" t="n">
        <f aca="false">IF(X658="","",VLOOKUP(X658,Assumptions!$B$6:$C$9,2,FALSE()))</f>
        <v>3</v>
      </c>
      <c r="AI658" s="0" t="n">
        <f aca="false">IF(Y658="","",VLOOKUP(Y658,Assumptions!$B$6:$C$9,2,FALSE()))</f>
        <v>3</v>
      </c>
      <c r="AJ658" s="0" t="n">
        <f aca="false">IF(Z658="","",VLOOKUP(Z658,Assumptions!$B$6:$C$9,2,FALSE()))</f>
        <v>2</v>
      </c>
      <c r="AK658" s="7" t="n">
        <f aca="false">IFERROR(ROUND(AVERAGE(AF658:AJ658),3),"")</f>
        <v>2.5</v>
      </c>
      <c r="AL658" s="7" t="str">
        <f aca="false">IF(OR(AF658="",AJ658=""),"",AJ658-AF658)</f>
        <v/>
      </c>
      <c r="AM658" s="7" t="n">
        <f aca="false">IF(COUNT(AF658:AJ658)&gt;=2,ROUND(_xlfn.STDEV.S(AF658:AJ658),3),"")</f>
        <v>0.577</v>
      </c>
      <c r="AN658" s="7" t="n">
        <f aca="false">ROUND((IF(AF658="",0,AF658)*Assumptions!$F$15)+(IF(AG658="",0,AG658)*Assumptions!$F$16)+(IF(AH658="",0,AH658)*Assumptions!$F$17)+(IF(AI658="",0,AI658)*Assumptions!$F$18)+(IF(AJ658="",0,AJ658)*Assumptions!$F$19),3)</f>
        <v>2.25</v>
      </c>
      <c r="AO658" s="0" t="str">
        <f aca="false">IF(AC658&lt;=20,"",IF(AC658&lt;=Assumptions!$F$6,"20-30",IF(AC658&lt;=Assumptions!$F$7,"30-40",IF(AC658&lt;=Assumptions!$F$8,"40-50",IF(AC658&lt;=Assumptions!$F$9,"50-60",IF(AC658&lt;=Assumptions!$F$10,"60+",""))))))</f>
        <v>20-30</v>
      </c>
      <c r="AP658" s="0" t="str">
        <f aca="false">IFERROR(VLOOKUP(O658,Assumptions!$B$14:$C$26,2,FALSE()),"Other")</f>
        <v>Manager</v>
      </c>
      <c r="AQ658" s="0" t="n">
        <f aca="false">IF(T658="",0,1)</f>
        <v>0</v>
      </c>
      <c r="AR658" s="0" t="n">
        <f aca="false">IF(U658="",0,1)</f>
        <v>0</v>
      </c>
      <c r="AS658" s="8" t="n">
        <f aca="false">IF(AK658="","",IF(MAX($AK$2:$AK$921)=MIN($AK$2:$AK$921),50,ROUND((AK658-MIN($AK$2:$AK$921))/(MAX($AK$2:$AK$921)-MIN($AK$2:$AK$921))*100,2)))</f>
        <v>35.71</v>
      </c>
      <c r="AT658" s="8" t="n">
        <f aca="false">IF(MAX($BC$2:$BC$921)=MIN($BC$2:$BC$921),50,ROUND((BC658-MIN($BC$2:$BC$921))/(MAX($BC$2:$BC$921)-MIN($BC$2:$BC$921))*100,2))</f>
        <v>50</v>
      </c>
      <c r="AU658" s="8" t="n">
        <f aca="false">IF(MAX($BE$2:$BE$921)=MIN($BE$2:$BE$921),50,ROUND((BE658-MIN($BE$2:$BE$921))/(MAX($BE$2:$BE$921)-MIN($BE$2:$BE$921))*100,2))</f>
        <v>66.69</v>
      </c>
      <c r="AV658" s="8" t="n">
        <f aca="false">IF(MAX($AD$2:$AD$921)=MIN($AD$2:$AD$921),50,ROUND((AD658-MIN($AD$2:$AD$921))/(MAX($AD$2:$AD$921)-MIN($AD$2:$AD$921))*100,2))</f>
        <v>9.76</v>
      </c>
      <c r="AW658" s="8" t="n">
        <f aca="false">IF(MAX($AN$2:$AN$921)=MIN($AN$2:$AN$921),50,ROUND((AN658-MIN($AN$2:$AN$921))/(MAX($AN$2:$AN$921)-MIN($AN$2:$AN$921))*100,2))</f>
        <v>56.25</v>
      </c>
      <c r="AX658" s="8" t="n">
        <f aca="false">AQ658*100</f>
        <v>0</v>
      </c>
      <c r="AY658" s="8" t="n">
        <f aca="false">AR658*100</f>
        <v>0</v>
      </c>
      <c r="AZ658" s="8" t="n">
        <f aca="false">IFERROR(ROUND(AS658*Assumptions!$I$6+AW658*Assumptions!$I$7+AT658*Assumptions!$I$8+AU658*Assumptions!$I$9+AV658*Assumptions!$I$10+AX658*Assumptions!$I$11+AY658*Assumptions!$I$12,2),"")</f>
        <v>40.44</v>
      </c>
      <c r="BA658" s="0" t="str">
        <f aca="false">IF(AZ658="","",IF(AZ658&lt;=Assumptions!$I$18,"Below Expectation",IF(AZ658&lt;=Assumptions!$I$19,"Developing",IF(AZ658&lt;=Assumptions!$I$20,"Meets Expectation",IF(AZ658&lt;=Assumptions!$I$21,"Exceeds","Star Performer")))))</f>
        <v>Developing</v>
      </c>
      <c r="BB658" s="0" t="n">
        <f aca="false">IF(AZ658="",0,IF(AZ658&gt;=Assumptions!$I$26,1,0))</f>
        <v>0</v>
      </c>
      <c r="BC658" s="9" t="n">
        <f aca="false">IF(AL658="",2,AL658+2)</f>
        <v>2</v>
      </c>
      <c r="BD658" s="10" t="n">
        <f aca="false">IF(AM658="",ROUND(AVERAGE($AM$2:$AM$921),3),AM658)</f>
        <v>0.577</v>
      </c>
      <c r="BE658" s="9" t="n">
        <f aca="false">1-BD658</f>
        <v>0.423</v>
      </c>
    </row>
    <row r="659" customFormat="false" ht="14.25" hidden="true" customHeight="false" outlineLevel="0" collapsed="false">
      <c r="A659" s="4" t="n">
        <v>690</v>
      </c>
      <c r="B659" s="5" t="n">
        <v>55060865</v>
      </c>
      <c r="C659" s="5" t="s">
        <v>858</v>
      </c>
      <c r="D659" s="5" t="s">
        <v>2332</v>
      </c>
      <c r="E659" s="5" t="s">
        <v>1080</v>
      </c>
      <c r="F659" s="5" t="s">
        <v>267</v>
      </c>
      <c r="G659" s="5" t="s">
        <v>268</v>
      </c>
      <c r="H659" s="5" t="s">
        <v>267</v>
      </c>
      <c r="I659" s="5" t="s">
        <v>63</v>
      </c>
      <c r="J659" s="5" t="s">
        <v>100</v>
      </c>
      <c r="K659" s="5" t="s">
        <v>65</v>
      </c>
      <c r="L659" s="6" t="n">
        <v>44875</v>
      </c>
      <c r="M659" s="5" t="s">
        <v>829</v>
      </c>
      <c r="N659" s="6" t="n">
        <v>31283</v>
      </c>
      <c r="O659" s="5" t="s">
        <v>262</v>
      </c>
      <c r="P659" s="5" t="s">
        <v>263</v>
      </c>
      <c r="Q659" s="5" t="s">
        <v>468</v>
      </c>
      <c r="R659" s="5" t="s">
        <v>1232</v>
      </c>
      <c r="S659" s="5" t="s">
        <v>664</v>
      </c>
      <c r="T659" s="6"/>
      <c r="U659" s="6"/>
      <c r="V659" s="5"/>
      <c r="W659" s="5" t="s">
        <v>631</v>
      </c>
      <c r="X659" s="5" t="s">
        <v>141</v>
      </c>
      <c r="Y659" s="5" t="s">
        <v>141</v>
      </c>
      <c r="Z659" s="5" t="s">
        <v>631</v>
      </c>
      <c r="AA659" s="5" t="s">
        <v>2333</v>
      </c>
      <c r="AB659" s="0" t="n">
        <f aca="false">IFERROR(VALUE(R659),0)</f>
        <v>13</v>
      </c>
      <c r="AC659" s="0" t="n">
        <f aca="false">IFERROR(VALUE(M659),"")</f>
        <v>40.9</v>
      </c>
      <c r="AD659" s="0" t="n">
        <f aca="false">IFERROR(VALUE(Q659),"")</f>
        <v>3.6</v>
      </c>
      <c r="AE659" s="0" t="n">
        <f aca="false">IFERROR(VALUE(S659),"")</f>
        <v>16.6</v>
      </c>
      <c r="AF659" s="0" t="str">
        <f aca="false">IF(V659="","",VLOOKUP(V659,Assumptions!$B$6:$C$9,2,FALSE()))</f>
        <v/>
      </c>
      <c r="AG659" s="0" t="n">
        <f aca="false">IF(W659="","",VLOOKUP(W659,Assumptions!$B$6:$C$9,2,FALSE()))</f>
        <v>2</v>
      </c>
      <c r="AH659" s="0" t="n">
        <f aca="false">IF(X659="","",VLOOKUP(X659,Assumptions!$B$6:$C$9,2,FALSE()))</f>
        <v>3</v>
      </c>
      <c r="AI659" s="0" t="n">
        <f aca="false">IF(Y659="","",VLOOKUP(Y659,Assumptions!$B$6:$C$9,2,FALSE()))</f>
        <v>3</v>
      </c>
      <c r="AJ659" s="0" t="n">
        <f aca="false">IF(Z659="","",VLOOKUP(Z659,Assumptions!$B$6:$C$9,2,FALSE()))</f>
        <v>2</v>
      </c>
      <c r="AK659" s="7" t="n">
        <f aca="false">IFERROR(ROUND(AVERAGE(AF659:AJ659),3),"")</f>
        <v>2.5</v>
      </c>
      <c r="AL659" s="7" t="str">
        <f aca="false">IF(OR(AF659="",AJ659=""),"",AJ659-AF659)</f>
        <v/>
      </c>
      <c r="AM659" s="7" t="n">
        <f aca="false">IF(COUNT(AF659:AJ659)&gt;=2,ROUND(_xlfn.STDEV.S(AF659:AJ659),3),"")</f>
        <v>0.577</v>
      </c>
      <c r="AN659" s="7" t="n">
        <f aca="false">ROUND((IF(AF659="",0,AF659)*Assumptions!$F$15)+(IF(AG659="",0,AG659)*Assumptions!$F$16)+(IF(AH659="",0,AH659)*Assumptions!$F$17)+(IF(AI659="",0,AI659)*Assumptions!$F$18)+(IF(AJ659="",0,AJ659)*Assumptions!$F$19),3)</f>
        <v>2.25</v>
      </c>
      <c r="AO659" s="0" t="str">
        <f aca="false">IF(AC659&lt;=20,"",IF(AC659&lt;=Assumptions!$F$6,"20-30",IF(AC659&lt;=Assumptions!$F$7,"30-40",IF(AC659&lt;=Assumptions!$F$8,"40-50",IF(AC659&lt;=Assumptions!$F$9,"50-60",IF(AC659&lt;=Assumptions!$F$10,"60+",""))))))</f>
        <v>40-50</v>
      </c>
      <c r="AP659" s="0" t="str">
        <f aca="false">IFERROR(VLOOKUP(O659,Assumptions!$B$14:$C$26,2,FALSE()),"Other")</f>
        <v>Manager</v>
      </c>
      <c r="AQ659" s="0" t="n">
        <f aca="false">IF(T659="",0,1)</f>
        <v>0</v>
      </c>
      <c r="AR659" s="0" t="n">
        <f aca="false">IF(U659="",0,1)</f>
        <v>0</v>
      </c>
      <c r="AS659" s="8" t="n">
        <f aca="false">IF(AK659="","",IF(MAX($AK$2:$AK$921)=MIN($AK$2:$AK$921),50,ROUND((AK659-MIN($AK$2:$AK$921))/(MAX($AK$2:$AK$921)-MIN($AK$2:$AK$921))*100,2)))</f>
        <v>35.71</v>
      </c>
      <c r="AT659" s="8" t="n">
        <f aca="false">IF(MAX($BC$2:$BC$921)=MIN($BC$2:$BC$921),50,ROUND((BC659-MIN($BC$2:$BC$921))/(MAX($BC$2:$BC$921)-MIN($BC$2:$BC$921))*100,2))</f>
        <v>50</v>
      </c>
      <c r="AU659" s="8" t="n">
        <f aca="false">IF(MAX($BE$2:$BE$921)=MIN($BE$2:$BE$921),50,ROUND((BE659-MIN($BE$2:$BE$921))/(MAX($BE$2:$BE$921)-MIN($BE$2:$BE$921))*100,2))</f>
        <v>66.69</v>
      </c>
      <c r="AV659" s="8" t="n">
        <f aca="false">IF(MAX($AD$2:$AD$921)=MIN($AD$2:$AD$921),50,ROUND((AD659-MIN($AD$2:$AD$921))/(MAX($AD$2:$AD$921)-MIN($AD$2:$AD$921))*100,2))</f>
        <v>9.49</v>
      </c>
      <c r="AW659" s="8" t="n">
        <f aca="false">IF(MAX($AN$2:$AN$921)=MIN($AN$2:$AN$921),50,ROUND((AN659-MIN($AN$2:$AN$921))/(MAX($AN$2:$AN$921)-MIN($AN$2:$AN$921))*100,2))</f>
        <v>56.25</v>
      </c>
      <c r="AX659" s="8" t="n">
        <f aca="false">AQ659*100</f>
        <v>0</v>
      </c>
      <c r="AY659" s="8" t="n">
        <f aca="false">AR659*100</f>
        <v>0</v>
      </c>
      <c r="AZ659" s="8" t="n">
        <f aca="false">IFERROR(ROUND(AS659*Assumptions!$I$6+AW659*Assumptions!$I$7+AT659*Assumptions!$I$8+AU659*Assumptions!$I$9+AV659*Assumptions!$I$10+AX659*Assumptions!$I$11+AY659*Assumptions!$I$12,2),"")</f>
        <v>40.42</v>
      </c>
      <c r="BA659" s="0" t="str">
        <f aca="false">IF(AZ659="","",IF(AZ659&lt;=Assumptions!$I$18,"Below Expectation",IF(AZ659&lt;=Assumptions!$I$19,"Developing",IF(AZ659&lt;=Assumptions!$I$20,"Meets Expectation",IF(AZ659&lt;=Assumptions!$I$21,"Exceeds","Star Performer")))))</f>
        <v>Developing</v>
      </c>
      <c r="BB659" s="0" t="n">
        <f aca="false">IF(AZ659="",0,IF(AZ659&gt;=Assumptions!$I$26,1,0))</f>
        <v>0</v>
      </c>
      <c r="BC659" s="9" t="n">
        <f aca="false">IF(AL659="",2,AL659+2)</f>
        <v>2</v>
      </c>
      <c r="BD659" s="10" t="n">
        <f aca="false">IF(AM659="",ROUND(AVERAGE($AM$2:$AM$921),3),AM659)</f>
        <v>0.577</v>
      </c>
      <c r="BE659" s="9" t="n">
        <f aca="false">1-BD659</f>
        <v>0.423</v>
      </c>
    </row>
    <row r="660" customFormat="false" ht="14.25" hidden="true" customHeight="false" outlineLevel="0" collapsed="false">
      <c r="A660" s="4" t="n">
        <v>270</v>
      </c>
      <c r="B660" s="5" t="n">
        <v>10067874</v>
      </c>
      <c r="C660" s="5" t="s">
        <v>858</v>
      </c>
      <c r="D660" s="5" t="s">
        <v>2334</v>
      </c>
      <c r="E660" s="5" t="s">
        <v>1423</v>
      </c>
      <c r="F660" s="5" t="s">
        <v>861</v>
      </c>
      <c r="G660" s="5" t="s">
        <v>862</v>
      </c>
      <c r="H660" s="5" t="s">
        <v>861</v>
      </c>
      <c r="I660" s="5" t="s">
        <v>63</v>
      </c>
      <c r="J660" s="5" t="s">
        <v>100</v>
      </c>
      <c r="K660" s="5" t="s">
        <v>65</v>
      </c>
      <c r="L660" s="6" t="n">
        <v>43577</v>
      </c>
      <c r="M660" s="5" t="s">
        <v>1967</v>
      </c>
      <c r="N660" s="6" t="n">
        <v>31583</v>
      </c>
      <c r="O660" s="5" t="s">
        <v>365</v>
      </c>
      <c r="P660" s="5" t="s">
        <v>365</v>
      </c>
      <c r="Q660" s="5" t="s">
        <v>439</v>
      </c>
      <c r="R660" s="5" t="s">
        <v>847</v>
      </c>
      <c r="S660" s="5" t="s">
        <v>218</v>
      </c>
      <c r="T660" s="6"/>
      <c r="U660" s="6"/>
      <c r="V660" s="5" t="s">
        <v>141</v>
      </c>
      <c r="W660" s="5" t="s">
        <v>141</v>
      </c>
      <c r="X660" s="5" t="s">
        <v>631</v>
      </c>
      <c r="Y660" s="5" t="s">
        <v>141</v>
      </c>
      <c r="Z660" s="5" t="s">
        <v>631</v>
      </c>
      <c r="AA660" s="5" t="s">
        <v>2335</v>
      </c>
      <c r="AB660" s="0" t="n">
        <f aca="false">IFERROR(VALUE(R660),0)</f>
        <v>7.5</v>
      </c>
      <c r="AC660" s="0" t="n">
        <f aca="false">IFERROR(VALUE(M660),"")</f>
        <v>39.11</v>
      </c>
      <c r="AD660" s="0" t="n">
        <f aca="false">IFERROR(VALUE(Q660),"")</f>
        <v>7.1</v>
      </c>
      <c r="AE660" s="0" t="n">
        <f aca="false">IFERROR(VALUE(S660),"")</f>
        <v>14.6</v>
      </c>
      <c r="AF660" s="0" t="n">
        <f aca="false">IF(V660="","",VLOOKUP(V660,Assumptions!$B$6:$C$9,2,FALSE()))</f>
        <v>3</v>
      </c>
      <c r="AG660" s="0" t="n">
        <f aca="false">IF(W660="","",VLOOKUP(W660,Assumptions!$B$6:$C$9,2,FALSE()))</f>
        <v>3</v>
      </c>
      <c r="AH660" s="0" t="n">
        <f aca="false">IF(X660="","",VLOOKUP(X660,Assumptions!$B$6:$C$9,2,FALSE()))</f>
        <v>2</v>
      </c>
      <c r="AI660" s="0" t="n">
        <f aca="false">IF(Y660="","",VLOOKUP(Y660,Assumptions!$B$6:$C$9,2,FALSE()))</f>
        <v>3</v>
      </c>
      <c r="AJ660" s="0" t="n">
        <f aca="false">IF(Z660="","",VLOOKUP(Z660,Assumptions!$B$6:$C$9,2,FALSE()))</f>
        <v>2</v>
      </c>
      <c r="AK660" s="7" t="n">
        <f aca="false">IFERROR(ROUND(AVERAGE(AF660:AJ660),3),"")</f>
        <v>2.6</v>
      </c>
      <c r="AL660" s="7" t="n">
        <f aca="false">IF(OR(AF660="",AJ660=""),"",AJ660-AF660)</f>
        <v>-1</v>
      </c>
      <c r="AM660" s="7" t="n">
        <f aca="false">IF(COUNT(AF660:AJ660)&gt;=2,ROUND(_xlfn.STDEV.S(AF660:AJ660),3),"")</f>
        <v>0.548</v>
      </c>
      <c r="AN660" s="7" t="n">
        <f aca="false">ROUND((IF(AF660="",0,AF660)*Assumptions!$F$15)+(IF(AG660="",0,AG660)*Assumptions!$F$16)+(IF(AH660="",0,AH660)*Assumptions!$F$17)+(IF(AI660="",0,AI660)*Assumptions!$F$18)+(IF(AJ660="",0,AJ660)*Assumptions!$F$19),3)</f>
        <v>2.5</v>
      </c>
      <c r="AO660" s="0" t="str">
        <f aca="false">IF(AC660&lt;=20,"",IF(AC660&lt;=Assumptions!$F$6,"20-30",IF(AC660&lt;=Assumptions!$F$7,"30-40",IF(AC660&lt;=Assumptions!$F$8,"40-50",IF(AC660&lt;=Assumptions!$F$9,"50-60",IF(AC660&lt;=Assumptions!$F$10,"60+",""))))))</f>
        <v>30-40</v>
      </c>
      <c r="AP660" s="0" t="str">
        <f aca="false">IFERROR(VLOOKUP(O660,Assumptions!$B$14:$C$26,2,FALSE()),"Other")</f>
        <v>Manager</v>
      </c>
      <c r="AQ660" s="0" t="n">
        <f aca="false">IF(T660="",0,1)</f>
        <v>0</v>
      </c>
      <c r="AR660" s="0" t="n">
        <f aca="false">IF(U660="",0,1)</f>
        <v>0</v>
      </c>
      <c r="AS660" s="8" t="n">
        <f aca="false">IF(AK660="","",IF(MAX($AK$2:$AK$921)=MIN($AK$2:$AK$921),50,ROUND((AK660-MIN($AK$2:$AK$921))/(MAX($AK$2:$AK$921)-MIN($AK$2:$AK$921))*100,2)))</f>
        <v>39.99</v>
      </c>
      <c r="AT660" s="8" t="n">
        <f aca="false">IF(MAX($BC$2:$BC$921)=MIN($BC$2:$BC$921),50,ROUND((BC660-MIN($BC$2:$BC$921))/(MAX($BC$2:$BC$921)-MIN($BC$2:$BC$921))*100,2))</f>
        <v>25</v>
      </c>
      <c r="AU660" s="8" t="n">
        <f aca="false">IF(MAX($BE$2:$BE$921)=MIN($BE$2:$BE$921),50,ROUND((BE660-MIN($BE$2:$BE$921))/(MAX($BE$2:$BE$921)-MIN($BE$2:$BE$921))*100,2))</f>
        <v>68.36</v>
      </c>
      <c r="AV660" s="8" t="n">
        <f aca="false">IF(MAX($AD$2:$AD$921)=MIN($AD$2:$AD$921),50,ROUND((AD660-MIN($AD$2:$AD$921))/(MAX($AD$2:$AD$921)-MIN($AD$2:$AD$921))*100,2))</f>
        <v>19</v>
      </c>
      <c r="AW660" s="8" t="n">
        <f aca="false">IF(MAX($AN$2:$AN$921)=MIN($AN$2:$AN$921),50,ROUND((AN660-MIN($AN$2:$AN$921))/(MAX($AN$2:$AN$921)-MIN($AN$2:$AN$921))*100,2))</f>
        <v>62.5</v>
      </c>
      <c r="AX660" s="8" t="n">
        <f aca="false">AQ660*100</f>
        <v>0</v>
      </c>
      <c r="AY660" s="8" t="n">
        <f aca="false">AR660*100</f>
        <v>0</v>
      </c>
      <c r="AZ660" s="8" t="n">
        <f aca="false">IFERROR(ROUND(AS660*Assumptions!$I$6+AW660*Assumptions!$I$7+AT660*Assumptions!$I$8+AU660*Assumptions!$I$9+AV660*Assumptions!$I$10+AX660*Assumptions!$I$11+AY660*Assumptions!$I$12,2),"")</f>
        <v>40.4</v>
      </c>
      <c r="BA660" s="0" t="str">
        <f aca="false">IF(AZ660="","",IF(AZ660&lt;=Assumptions!$I$18,"Below Expectation",IF(AZ660&lt;=Assumptions!$I$19,"Developing",IF(AZ660&lt;=Assumptions!$I$20,"Meets Expectation",IF(AZ660&lt;=Assumptions!$I$21,"Exceeds","Star Performer")))))</f>
        <v>Developing</v>
      </c>
      <c r="BB660" s="0" t="n">
        <f aca="false">IF(AZ660="",0,IF(AZ660&gt;=Assumptions!$I$26,1,0))</f>
        <v>0</v>
      </c>
      <c r="BC660" s="9" t="n">
        <f aca="false">IF(AL660="",2,AL660+2)</f>
        <v>1</v>
      </c>
      <c r="BD660" s="10" t="n">
        <f aca="false">IF(AM660="",ROUND(AVERAGE($AM$2:$AM$921),3),AM660)</f>
        <v>0.548</v>
      </c>
      <c r="BE660" s="9" t="n">
        <f aca="false">1-BD660</f>
        <v>0.452</v>
      </c>
    </row>
    <row r="661" customFormat="false" ht="14.25" hidden="true" customHeight="false" outlineLevel="0" collapsed="false">
      <c r="A661" s="4" t="n">
        <v>635</v>
      </c>
      <c r="B661" s="5" t="n">
        <v>55055511</v>
      </c>
      <c r="C661" s="5" t="s">
        <v>85</v>
      </c>
      <c r="D661" s="5" t="s">
        <v>2336</v>
      </c>
      <c r="E661" s="5" t="s">
        <v>185</v>
      </c>
      <c r="F661" s="5" t="s">
        <v>1382</v>
      </c>
      <c r="G661" s="5" t="s">
        <v>1383</v>
      </c>
      <c r="H661" s="5" t="s">
        <v>1382</v>
      </c>
      <c r="I661" s="5" t="s">
        <v>63</v>
      </c>
      <c r="J661" s="5" t="s">
        <v>76</v>
      </c>
      <c r="K661" s="5" t="s">
        <v>309</v>
      </c>
      <c r="L661" s="6" t="n">
        <v>44777</v>
      </c>
      <c r="M661" s="5" t="s">
        <v>2337</v>
      </c>
      <c r="N661" s="6" t="n">
        <v>36878</v>
      </c>
      <c r="O661" s="5" t="s">
        <v>1264</v>
      </c>
      <c r="P661" s="5" t="s">
        <v>1559</v>
      </c>
      <c r="Q661" s="5" t="s">
        <v>591</v>
      </c>
      <c r="R661" s="5" t="s">
        <v>115</v>
      </c>
      <c r="S661" s="5" t="s">
        <v>591</v>
      </c>
      <c r="T661" s="6"/>
      <c r="U661" s="6"/>
      <c r="V661" s="5"/>
      <c r="W661" s="5" t="s">
        <v>631</v>
      </c>
      <c r="X661" s="5" t="s">
        <v>141</v>
      </c>
      <c r="Y661" s="5" t="s">
        <v>141</v>
      </c>
      <c r="Z661" s="5" t="s">
        <v>631</v>
      </c>
      <c r="AA661" s="5" t="s">
        <v>1870</v>
      </c>
      <c r="AB661" s="0" t="n">
        <f aca="false">IFERROR(VALUE(R661),0)</f>
        <v>0</v>
      </c>
      <c r="AC661" s="0" t="n">
        <f aca="false">IFERROR(VALUE(M661),"")</f>
        <v>25.5</v>
      </c>
      <c r="AD661" s="0" t="n">
        <f aca="false">IFERROR(VALUE(Q661),"")</f>
        <v>3.1</v>
      </c>
      <c r="AE661" s="0" t="n">
        <f aca="false">IFERROR(VALUE(S661),"")</f>
        <v>3.1</v>
      </c>
      <c r="AF661" s="0" t="str">
        <f aca="false">IF(V661="","",VLOOKUP(V661,Assumptions!$B$6:$C$9,2,FALSE()))</f>
        <v/>
      </c>
      <c r="AG661" s="0" t="n">
        <f aca="false">IF(W661="","",VLOOKUP(W661,Assumptions!$B$6:$C$9,2,FALSE()))</f>
        <v>2</v>
      </c>
      <c r="AH661" s="0" t="n">
        <f aca="false">IF(X661="","",VLOOKUP(X661,Assumptions!$B$6:$C$9,2,FALSE()))</f>
        <v>3</v>
      </c>
      <c r="AI661" s="0" t="n">
        <f aca="false">IF(Y661="","",VLOOKUP(Y661,Assumptions!$B$6:$C$9,2,FALSE()))</f>
        <v>3</v>
      </c>
      <c r="AJ661" s="0" t="n">
        <f aca="false">IF(Z661="","",VLOOKUP(Z661,Assumptions!$B$6:$C$9,2,FALSE()))</f>
        <v>2</v>
      </c>
      <c r="AK661" s="7" t="n">
        <f aca="false">IFERROR(ROUND(AVERAGE(AF661:AJ661),3),"")</f>
        <v>2.5</v>
      </c>
      <c r="AL661" s="7" t="str">
        <f aca="false">IF(OR(AF661="",AJ661=""),"",AJ661-AF661)</f>
        <v/>
      </c>
      <c r="AM661" s="7" t="n">
        <f aca="false">IF(COUNT(AF661:AJ661)&gt;=2,ROUND(_xlfn.STDEV.S(AF661:AJ661),3),"")</f>
        <v>0.577</v>
      </c>
      <c r="AN661" s="7" t="n">
        <f aca="false">ROUND((IF(AF661="",0,AF661)*Assumptions!$F$15)+(IF(AG661="",0,AG661)*Assumptions!$F$16)+(IF(AH661="",0,AH661)*Assumptions!$F$17)+(IF(AI661="",0,AI661)*Assumptions!$F$18)+(IF(AJ661="",0,AJ661)*Assumptions!$F$19),3)</f>
        <v>2.25</v>
      </c>
      <c r="AO661" s="0" t="str">
        <f aca="false">IF(AC661&lt;=20,"",IF(AC661&lt;=Assumptions!$F$6,"20-30",IF(AC661&lt;=Assumptions!$F$7,"30-40",IF(AC661&lt;=Assumptions!$F$8,"40-50",IF(AC661&lt;=Assumptions!$F$9,"50-60",IF(AC661&lt;=Assumptions!$F$10,"60+",""))))))</f>
        <v>20-30</v>
      </c>
      <c r="AP661" s="0" t="str">
        <f aca="false">IFERROR(VLOOKUP(O661,Assumptions!$B$14:$C$26,2,FALSE()),"Other")</f>
        <v>Manager</v>
      </c>
      <c r="AQ661" s="0" t="n">
        <f aca="false">IF(T661="",0,1)</f>
        <v>0</v>
      </c>
      <c r="AR661" s="0" t="n">
        <f aca="false">IF(U661="",0,1)</f>
        <v>0</v>
      </c>
      <c r="AS661" s="8" t="n">
        <f aca="false">IF(AK661="","",IF(MAX($AK$2:$AK$921)=MIN($AK$2:$AK$921),50,ROUND((AK661-MIN($AK$2:$AK$921))/(MAX($AK$2:$AK$921)-MIN($AK$2:$AK$921))*100,2)))</f>
        <v>35.71</v>
      </c>
      <c r="AT661" s="8" t="n">
        <f aca="false">IF(MAX($BC$2:$BC$921)=MIN($BC$2:$BC$921),50,ROUND((BC661-MIN($BC$2:$BC$921))/(MAX($BC$2:$BC$921)-MIN($BC$2:$BC$921))*100,2))</f>
        <v>50</v>
      </c>
      <c r="AU661" s="8" t="n">
        <f aca="false">IF(MAX($BE$2:$BE$921)=MIN($BE$2:$BE$921),50,ROUND((BE661-MIN($BE$2:$BE$921))/(MAX($BE$2:$BE$921)-MIN($BE$2:$BE$921))*100,2))</f>
        <v>66.69</v>
      </c>
      <c r="AV661" s="8" t="n">
        <f aca="false">IF(MAX($AD$2:$AD$921)=MIN($AD$2:$AD$921),50,ROUND((AD661-MIN($AD$2:$AD$921))/(MAX($AD$2:$AD$921)-MIN($AD$2:$AD$921))*100,2))</f>
        <v>8.13</v>
      </c>
      <c r="AW661" s="8" t="n">
        <f aca="false">IF(MAX($AN$2:$AN$921)=MIN($AN$2:$AN$921),50,ROUND((AN661-MIN($AN$2:$AN$921))/(MAX($AN$2:$AN$921)-MIN($AN$2:$AN$921))*100,2))</f>
        <v>56.25</v>
      </c>
      <c r="AX661" s="8" t="n">
        <f aca="false">AQ661*100</f>
        <v>0</v>
      </c>
      <c r="AY661" s="8" t="n">
        <f aca="false">AR661*100</f>
        <v>0</v>
      </c>
      <c r="AZ661" s="8" t="n">
        <f aca="false">IFERROR(ROUND(AS661*Assumptions!$I$6+AW661*Assumptions!$I$7+AT661*Assumptions!$I$8+AU661*Assumptions!$I$9+AV661*Assumptions!$I$10+AX661*Assumptions!$I$11+AY661*Assumptions!$I$12,2),"")</f>
        <v>40.28</v>
      </c>
      <c r="BA661" s="0" t="str">
        <f aca="false">IF(AZ661="","",IF(AZ661&lt;=Assumptions!$I$18,"Below Expectation",IF(AZ661&lt;=Assumptions!$I$19,"Developing",IF(AZ661&lt;=Assumptions!$I$20,"Meets Expectation",IF(AZ661&lt;=Assumptions!$I$21,"Exceeds","Star Performer")))))</f>
        <v>Developing</v>
      </c>
      <c r="BB661" s="0" t="n">
        <f aca="false">IF(AZ661="",0,IF(AZ661&gt;=Assumptions!$I$26,1,0))</f>
        <v>0</v>
      </c>
      <c r="BC661" s="9" t="n">
        <f aca="false">IF(AL661="",2,AL661+2)</f>
        <v>2</v>
      </c>
      <c r="BD661" s="10" t="n">
        <f aca="false">IF(AM661="",ROUND(AVERAGE($AM$2:$AM$921),3),AM661)</f>
        <v>0.577</v>
      </c>
      <c r="BE661" s="9" t="n">
        <f aca="false">1-BD661</f>
        <v>0.423</v>
      </c>
    </row>
    <row r="662" customFormat="false" ht="14.25" hidden="true" customHeight="false" outlineLevel="0" collapsed="false">
      <c r="A662" s="4" t="n">
        <v>484</v>
      </c>
      <c r="B662" s="5" t="n">
        <v>55043278</v>
      </c>
      <c r="C662" s="5" t="s">
        <v>85</v>
      </c>
      <c r="D662" s="5" t="s">
        <v>2338</v>
      </c>
      <c r="E662" s="5" t="s">
        <v>144</v>
      </c>
      <c r="F662" s="5" t="s">
        <v>380</v>
      </c>
      <c r="G662" s="5" t="s">
        <v>379</v>
      </c>
      <c r="H662" s="5" t="s">
        <v>380</v>
      </c>
      <c r="I662" s="5" t="s">
        <v>63</v>
      </c>
      <c r="J662" s="5" t="s">
        <v>76</v>
      </c>
      <c r="K662" s="5" t="s">
        <v>65</v>
      </c>
      <c r="L662" s="6" t="n">
        <v>44468</v>
      </c>
      <c r="M662" s="5" t="s">
        <v>2339</v>
      </c>
      <c r="N662" s="6" t="n">
        <v>27475</v>
      </c>
      <c r="O662" s="5" t="s">
        <v>332</v>
      </c>
      <c r="P662" s="5" t="s">
        <v>333</v>
      </c>
      <c r="Q662" s="5" t="s">
        <v>496</v>
      </c>
      <c r="R662" s="5" t="s">
        <v>540</v>
      </c>
      <c r="S662" s="5" t="s">
        <v>988</v>
      </c>
      <c r="T662" s="6"/>
      <c r="U662" s="6"/>
      <c r="V662" s="5" t="s">
        <v>631</v>
      </c>
      <c r="W662" s="5" t="s">
        <v>141</v>
      </c>
      <c r="X662" s="5" t="s">
        <v>141</v>
      </c>
      <c r="Y662" s="5" t="s">
        <v>631</v>
      </c>
      <c r="Z662" s="5" t="s">
        <v>631</v>
      </c>
      <c r="AA662" s="5" t="s">
        <v>2340</v>
      </c>
      <c r="AB662" s="0" t="n">
        <f aca="false">IFERROR(VALUE(R662),0)</f>
        <v>22.9</v>
      </c>
      <c r="AC662" s="0" t="n">
        <f aca="false">IFERROR(VALUE(M662),"")</f>
        <v>51.2</v>
      </c>
      <c r="AD662" s="0" t="n">
        <f aca="false">IFERROR(VALUE(Q662),"")</f>
        <v>4.8</v>
      </c>
      <c r="AE662" s="0" t="n">
        <f aca="false">IFERROR(VALUE(S662),"")</f>
        <v>27.5</v>
      </c>
      <c r="AF662" s="0" t="n">
        <f aca="false">IF(V662="","",VLOOKUP(V662,Assumptions!$B$6:$C$9,2,FALSE()))</f>
        <v>2</v>
      </c>
      <c r="AG662" s="0" t="n">
        <f aca="false">IF(W662="","",VLOOKUP(W662,Assumptions!$B$6:$C$9,2,FALSE()))</f>
        <v>3</v>
      </c>
      <c r="AH662" s="0" t="n">
        <f aca="false">IF(X662="","",VLOOKUP(X662,Assumptions!$B$6:$C$9,2,FALSE()))</f>
        <v>3</v>
      </c>
      <c r="AI662" s="0" t="n">
        <f aca="false">IF(Y662="","",VLOOKUP(Y662,Assumptions!$B$6:$C$9,2,FALSE()))</f>
        <v>2</v>
      </c>
      <c r="AJ662" s="0" t="n">
        <f aca="false">IF(Z662="","",VLOOKUP(Z662,Assumptions!$B$6:$C$9,2,FALSE()))</f>
        <v>2</v>
      </c>
      <c r="AK662" s="7" t="n">
        <f aca="false">IFERROR(ROUND(AVERAGE(AF662:AJ662),3),"")</f>
        <v>2.4</v>
      </c>
      <c r="AL662" s="7" t="n">
        <f aca="false">IF(OR(AF662="",AJ662=""),"",AJ662-AF662)</f>
        <v>0</v>
      </c>
      <c r="AM662" s="7" t="n">
        <f aca="false">IF(COUNT(AF662:AJ662)&gt;=2,ROUND(_xlfn.STDEV.S(AF662:AJ662),3),"")</f>
        <v>0.548</v>
      </c>
      <c r="AN662" s="7" t="n">
        <f aca="false">ROUND((IF(AF662="",0,AF662)*Assumptions!$F$15)+(IF(AG662="",0,AG662)*Assumptions!$F$16)+(IF(AH662="",0,AH662)*Assumptions!$F$17)+(IF(AI662="",0,AI662)*Assumptions!$F$18)+(IF(AJ662="",0,AJ662)*Assumptions!$F$19),3)</f>
        <v>2.35</v>
      </c>
      <c r="AO662" s="0" t="str">
        <f aca="false">IF(AC662&lt;=20,"",IF(AC662&lt;=Assumptions!$F$6,"20-30",IF(AC662&lt;=Assumptions!$F$7,"30-40",IF(AC662&lt;=Assumptions!$F$8,"40-50",IF(AC662&lt;=Assumptions!$F$9,"50-60",IF(AC662&lt;=Assumptions!$F$10,"60+",""))))))</f>
        <v>50-60</v>
      </c>
      <c r="AP662" s="0" t="str">
        <f aca="false">IFERROR(VLOOKUP(O662,Assumptions!$B$14:$C$26,2,FALSE()),"Other")</f>
        <v>Manager</v>
      </c>
      <c r="AQ662" s="0" t="n">
        <f aca="false">IF(T662="",0,1)</f>
        <v>0</v>
      </c>
      <c r="AR662" s="0" t="n">
        <f aca="false">IF(U662="",0,1)</f>
        <v>0</v>
      </c>
      <c r="AS662" s="8" t="n">
        <f aca="false">IF(AK662="","",IF(MAX($AK$2:$AK$921)=MIN($AK$2:$AK$921),50,ROUND((AK662-MIN($AK$2:$AK$921))/(MAX($AK$2:$AK$921)-MIN($AK$2:$AK$921))*100,2)))</f>
        <v>31.42</v>
      </c>
      <c r="AT662" s="8" t="n">
        <f aca="false">IF(MAX($BC$2:$BC$921)=MIN($BC$2:$BC$921),50,ROUND((BC662-MIN($BC$2:$BC$921))/(MAX($BC$2:$BC$921)-MIN($BC$2:$BC$921))*100,2))</f>
        <v>50</v>
      </c>
      <c r="AU662" s="8" t="n">
        <f aca="false">IF(MAX($BE$2:$BE$921)=MIN($BE$2:$BE$921),50,ROUND((BE662-MIN($BE$2:$BE$921))/(MAX($BE$2:$BE$921)-MIN($BE$2:$BE$921))*100,2))</f>
        <v>68.36</v>
      </c>
      <c r="AV662" s="8" t="n">
        <f aca="false">IF(MAX($AD$2:$AD$921)=MIN($AD$2:$AD$921),50,ROUND((AD662-MIN($AD$2:$AD$921))/(MAX($AD$2:$AD$921)-MIN($AD$2:$AD$921))*100,2))</f>
        <v>12.75</v>
      </c>
      <c r="AW662" s="8" t="n">
        <f aca="false">IF(MAX($AN$2:$AN$921)=MIN($AN$2:$AN$921),50,ROUND((AN662-MIN($AN$2:$AN$921))/(MAX($AN$2:$AN$921)-MIN($AN$2:$AN$921))*100,2))</f>
        <v>58.75</v>
      </c>
      <c r="AX662" s="8" t="n">
        <f aca="false">AQ662*100</f>
        <v>0</v>
      </c>
      <c r="AY662" s="8" t="n">
        <f aca="false">AR662*100</f>
        <v>0</v>
      </c>
      <c r="AZ662" s="8" t="n">
        <f aca="false">IFERROR(ROUND(AS662*Assumptions!$I$6+AW662*Assumptions!$I$7+AT662*Assumptions!$I$8+AU662*Assumptions!$I$9+AV662*Assumptions!$I$10+AX662*Assumptions!$I$11+AY662*Assumptions!$I$12,2),"")</f>
        <v>40.21</v>
      </c>
      <c r="BA662" s="0" t="str">
        <f aca="false">IF(AZ662="","",IF(AZ662&lt;=Assumptions!$I$18,"Below Expectation",IF(AZ662&lt;=Assumptions!$I$19,"Developing",IF(AZ662&lt;=Assumptions!$I$20,"Meets Expectation",IF(AZ662&lt;=Assumptions!$I$21,"Exceeds","Star Performer")))))</f>
        <v>Developing</v>
      </c>
      <c r="BB662" s="0" t="n">
        <f aca="false">IF(AZ662="",0,IF(AZ662&gt;=Assumptions!$I$26,1,0))</f>
        <v>0</v>
      </c>
      <c r="BC662" s="9" t="n">
        <f aca="false">IF(AL662="",2,AL662+2)</f>
        <v>2</v>
      </c>
      <c r="BD662" s="10" t="n">
        <f aca="false">IF(AM662="",ROUND(AVERAGE($AM$2:$AM$921),3),AM662)</f>
        <v>0.548</v>
      </c>
      <c r="BE662" s="9" t="n">
        <f aca="false">1-BD662</f>
        <v>0.452</v>
      </c>
    </row>
    <row r="663" customFormat="false" ht="14.25" hidden="true" customHeight="false" outlineLevel="0" collapsed="false">
      <c r="A663" s="4" t="n">
        <v>489</v>
      </c>
      <c r="B663" s="5" t="n">
        <v>55043500</v>
      </c>
      <c r="C663" s="5" t="s">
        <v>57</v>
      </c>
      <c r="D663" s="5" t="s">
        <v>2341</v>
      </c>
      <c r="E663" s="5" t="s">
        <v>456</v>
      </c>
      <c r="F663" s="5" t="s">
        <v>608</v>
      </c>
      <c r="G663" s="5" t="s">
        <v>609</v>
      </c>
      <c r="H663" s="5" t="s">
        <v>608</v>
      </c>
      <c r="I663" s="5" t="s">
        <v>63</v>
      </c>
      <c r="J663" s="5" t="s">
        <v>100</v>
      </c>
      <c r="K663" s="5" t="s">
        <v>65</v>
      </c>
      <c r="L663" s="6" t="n">
        <v>44476</v>
      </c>
      <c r="M663" s="5" t="s">
        <v>247</v>
      </c>
      <c r="N663" s="6" t="n">
        <v>32569</v>
      </c>
      <c r="O663" s="5" t="s">
        <v>365</v>
      </c>
      <c r="P663" s="5" t="s">
        <v>365</v>
      </c>
      <c r="Q663" s="5" t="s">
        <v>496</v>
      </c>
      <c r="R663" s="5" t="s">
        <v>726</v>
      </c>
      <c r="S663" s="5" t="s">
        <v>399</v>
      </c>
      <c r="T663" s="6"/>
      <c r="U663" s="6"/>
      <c r="V663" s="5" t="s">
        <v>631</v>
      </c>
      <c r="W663" s="5" t="s">
        <v>141</v>
      </c>
      <c r="X663" s="5" t="s">
        <v>141</v>
      </c>
      <c r="Y663" s="5" t="s">
        <v>631</v>
      </c>
      <c r="Z663" s="5" t="s">
        <v>631</v>
      </c>
      <c r="AA663" s="5" t="s">
        <v>2342</v>
      </c>
      <c r="AB663" s="0" t="n">
        <f aca="false">IFERROR(VALUE(R663),0)</f>
        <v>5.5</v>
      </c>
      <c r="AC663" s="0" t="n">
        <f aca="false">IFERROR(VALUE(M663),"")</f>
        <v>37.3</v>
      </c>
      <c r="AD663" s="0" t="n">
        <f aca="false">IFERROR(VALUE(Q663),"")</f>
        <v>4.8</v>
      </c>
      <c r="AE663" s="0" t="n">
        <f aca="false">IFERROR(VALUE(S663),"")</f>
        <v>10.1</v>
      </c>
      <c r="AF663" s="0" t="n">
        <f aca="false">IF(V663="","",VLOOKUP(V663,Assumptions!$B$6:$C$9,2,FALSE()))</f>
        <v>2</v>
      </c>
      <c r="AG663" s="0" t="n">
        <f aca="false">IF(W663="","",VLOOKUP(W663,Assumptions!$B$6:$C$9,2,FALSE()))</f>
        <v>3</v>
      </c>
      <c r="AH663" s="0" t="n">
        <f aca="false">IF(X663="","",VLOOKUP(X663,Assumptions!$B$6:$C$9,2,FALSE()))</f>
        <v>3</v>
      </c>
      <c r="AI663" s="0" t="n">
        <f aca="false">IF(Y663="","",VLOOKUP(Y663,Assumptions!$B$6:$C$9,2,FALSE()))</f>
        <v>2</v>
      </c>
      <c r="AJ663" s="0" t="n">
        <f aca="false">IF(Z663="","",VLOOKUP(Z663,Assumptions!$B$6:$C$9,2,FALSE()))</f>
        <v>2</v>
      </c>
      <c r="AK663" s="7" t="n">
        <f aca="false">IFERROR(ROUND(AVERAGE(AF663:AJ663),3),"")</f>
        <v>2.4</v>
      </c>
      <c r="AL663" s="7" t="n">
        <f aca="false">IF(OR(AF663="",AJ663=""),"",AJ663-AF663)</f>
        <v>0</v>
      </c>
      <c r="AM663" s="7" t="n">
        <f aca="false">IF(COUNT(AF663:AJ663)&gt;=2,ROUND(_xlfn.STDEV.S(AF663:AJ663),3),"")</f>
        <v>0.548</v>
      </c>
      <c r="AN663" s="7" t="n">
        <f aca="false">ROUND((IF(AF663="",0,AF663)*Assumptions!$F$15)+(IF(AG663="",0,AG663)*Assumptions!$F$16)+(IF(AH663="",0,AH663)*Assumptions!$F$17)+(IF(AI663="",0,AI663)*Assumptions!$F$18)+(IF(AJ663="",0,AJ663)*Assumptions!$F$19),3)</f>
        <v>2.35</v>
      </c>
      <c r="AO663" s="0" t="str">
        <f aca="false">IF(AC663&lt;=20,"",IF(AC663&lt;=Assumptions!$F$6,"20-30",IF(AC663&lt;=Assumptions!$F$7,"30-40",IF(AC663&lt;=Assumptions!$F$8,"40-50",IF(AC663&lt;=Assumptions!$F$9,"50-60",IF(AC663&lt;=Assumptions!$F$10,"60+",""))))))</f>
        <v>30-40</v>
      </c>
      <c r="AP663" s="0" t="str">
        <f aca="false">IFERROR(VLOOKUP(O663,Assumptions!$B$14:$C$26,2,FALSE()),"Other")</f>
        <v>Manager</v>
      </c>
      <c r="AQ663" s="0" t="n">
        <f aca="false">IF(T663="",0,1)</f>
        <v>0</v>
      </c>
      <c r="AR663" s="0" t="n">
        <f aca="false">IF(U663="",0,1)</f>
        <v>0</v>
      </c>
      <c r="AS663" s="8" t="n">
        <f aca="false">IF(AK663="","",IF(MAX($AK$2:$AK$921)=MIN($AK$2:$AK$921),50,ROUND((AK663-MIN($AK$2:$AK$921))/(MAX($AK$2:$AK$921)-MIN($AK$2:$AK$921))*100,2)))</f>
        <v>31.42</v>
      </c>
      <c r="AT663" s="8" t="n">
        <f aca="false">IF(MAX($BC$2:$BC$921)=MIN($BC$2:$BC$921),50,ROUND((BC663-MIN($BC$2:$BC$921))/(MAX($BC$2:$BC$921)-MIN($BC$2:$BC$921))*100,2))</f>
        <v>50</v>
      </c>
      <c r="AU663" s="8" t="n">
        <f aca="false">IF(MAX($BE$2:$BE$921)=MIN($BE$2:$BE$921),50,ROUND((BE663-MIN($BE$2:$BE$921))/(MAX($BE$2:$BE$921)-MIN($BE$2:$BE$921))*100,2))</f>
        <v>68.36</v>
      </c>
      <c r="AV663" s="8" t="n">
        <f aca="false">IF(MAX($AD$2:$AD$921)=MIN($AD$2:$AD$921),50,ROUND((AD663-MIN($AD$2:$AD$921))/(MAX($AD$2:$AD$921)-MIN($AD$2:$AD$921))*100,2))</f>
        <v>12.75</v>
      </c>
      <c r="AW663" s="8" t="n">
        <f aca="false">IF(MAX($AN$2:$AN$921)=MIN($AN$2:$AN$921),50,ROUND((AN663-MIN($AN$2:$AN$921))/(MAX($AN$2:$AN$921)-MIN($AN$2:$AN$921))*100,2))</f>
        <v>58.75</v>
      </c>
      <c r="AX663" s="8" t="n">
        <f aca="false">AQ663*100</f>
        <v>0</v>
      </c>
      <c r="AY663" s="8" t="n">
        <f aca="false">AR663*100</f>
        <v>0</v>
      </c>
      <c r="AZ663" s="8" t="n">
        <f aca="false">IFERROR(ROUND(AS663*Assumptions!$I$6+AW663*Assumptions!$I$7+AT663*Assumptions!$I$8+AU663*Assumptions!$I$9+AV663*Assumptions!$I$10+AX663*Assumptions!$I$11+AY663*Assumptions!$I$12,2),"")</f>
        <v>40.21</v>
      </c>
      <c r="BA663" s="0" t="str">
        <f aca="false">IF(AZ663="","",IF(AZ663&lt;=Assumptions!$I$18,"Below Expectation",IF(AZ663&lt;=Assumptions!$I$19,"Developing",IF(AZ663&lt;=Assumptions!$I$20,"Meets Expectation",IF(AZ663&lt;=Assumptions!$I$21,"Exceeds","Star Performer")))))</f>
        <v>Developing</v>
      </c>
      <c r="BB663" s="0" t="n">
        <f aca="false">IF(AZ663="",0,IF(AZ663&gt;=Assumptions!$I$26,1,0))</f>
        <v>0</v>
      </c>
      <c r="BC663" s="9" t="n">
        <f aca="false">IF(AL663="",2,AL663+2)</f>
        <v>2</v>
      </c>
      <c r="BD663" s="10" t="n">
        <f aca="false">IF(AM663="",ROUND(AVERAGE($AM$2:$AM$921),3),AM663)</f>
        <v>0.548</v>
      </c>
      <c r="BE663" s="9" t="n">
        <f aca="false">1-BD663</f>
        <v>0.452</v>
      </c>
    </row>
    <row r="664" customFormat="false" ht="14.25" hidden="true" customHeight="false" outlineLevel="0" collapsed="false">
      <c r="A664" s="4" t="n">
        <v>124</v>
      </c>
      <c r="B664" s="5" t="n">
        <v>10040445</v>
      </c>
      <c r="C664" s="5" t="s">
        <v>85</v>
      </c>
      <c r="D664" s="5" t="s">
        <v>2343</v>
      </c>
      <c r="E664" s="5" t="s">
        <v>315</v>
      </c>
      <c r="F664" s="5" t="s">
        <v>602</v>
      </c>
      <c r="G664" s="5" t="s">
        <v>603</v>
      </c>
      <c r="H664" s="5" t="s">
        <v>602</v>
      </c>
      <c r="I664" s="5" t="s">
        <v>63</v>
      </c>
      <c r="J664" s="5" t="s">
        <v>76</v>
      </c>
      <c r="K664" s="5" t="s">
        <v>309</v>
      </c>
      <c r="L664" s="6" t="n">
        <v>41603</v>
      </c>
      <c r="M664" s="5" t="s">
        <v>1967</v>
      </c>
      <c r="N664" s="6" t="n">
        <v>31581</v>
      </c>
      <c r="O664" s="5" t="s">
        <v>365</v>
      </c>
      <c r="P664" s="5" t="s">
        <v>365</v>
      </c>
      <c r="Q664" s="5" t="s">
        <v>1245</v>
      </c>
      <c r="R664" s="5" t="s">
        <v>591</v>
      </c>
      <c r="S664" s="5" t="s">
        <v>652</v>
      </c>
      <c r="T664" s="6"/>
      <c r="U664" s="6"/>
      <c r="V664" s="5" t="s">
        <v>631</v>
      </c>
      <c r="W664" s="5" t="s">
        <v>631</v>
      </c>
      <c r="X664" s="5" t="s">
        <v>631</v>
      </c>
      <c r="Y664" s="5" t="s">
        <v>631</v>
      </c>
      <c r="Z664" s="5" t="s">
        <v>631</v>
      </c>
      <c r="AA664" s="5" t="s">
        <v>2344</v>
      </c>
      <c r="AB664" s="0" t="n">
        <f aca="false">IFERROR(VALUE(R664),0)</f>
        <v>3.1</v>
      </c>
      <c r="AC664" s="0" t="n">
        <f aca="false">IFERROR(VALUE(M664),"")</f>
        <v>39.11</v>
      </c>
      <c r="AD664" s="0" t="n">
        <f aca="false">IFERROR(VALUE(Q664),"")</f>
        <v>12.6</v>
      </c>
      <c r="AE664" s="0" t="n">
        <f aca="false">IFERROR(VALUE(S664),"")</f>
        <v>16.4</v>
      </c>
      <c r="AF664" s="0" t="n">
        <f aca="false">IF(V664="","",VLOOKUP(V664,Assumptions!$B$6:$C$9,2,FALSE()))</f>
        <v>2</v>
      </c>
      <c r="AG664" s="0" t="n">
        <f aca="false">IF(W664="","",VLOOKUP(W664,Assumptions!$B$6:$C$9,2,FALSE()))</f>
        <v>2</v>
      </c>
      <c r="AH664" s="0" t="n">
        <f aca="false">IF(X664="","",VLOOKUP(X664,Assumptions!$B$6:$C$9,2,FALSE()))</f>
        <v>2</v>
      </c>
      <c r="AI664" s="0" t="n">
        <f aca="false">IF(Y664="","",VLOOKUP(Y664,Assumptions!$B$6:$C$9,2,FALSE()))</f>
        <v>2</v>
      </c>
      <c r="AJ664" s="0" t="n">
        <f aca="false">IF(Z664="","",VLOOKUP(Z664,Assumptions!$B$6:$C$9,2,FALSE()))</f>
        <v>2</v>
      </c>
      <c r="AK664" s="7" t="n">
        <f aca="false">IFERROR(ROUND(AVERAGE(AF664:AJ664),3),"")</f>
        <v>2</v>
      </c>
      <c r="AL664" s="7" t="n">
        <f aca="false">IF(OR(AF664="",AJ664=""),"",AJ664-AF664)</f>
        <v>0</v>
      </c>
      <c r="AM664" s="7" t="n">
        <f aca="false">IF(COUNT(AF664:AJ664)&gt;=2,ROUND(_xlfn.STDEV.S(AF664:AJ664),3),"")</f>
        <v>0</v>
      </c>
      <c r="AN664" s="7" t="n">
        <f aca="false">ROUND((IF(AF664="",0,AF664)*Assumptions!$F$15)+(IF(AG664="",0,AG664)*Assumptions!$F$16)+(IF(AH664="",0,AH664)*Assumptions!$F$17)+(IF(AI664="",0,AI664)*Assumptions!$F$18)+(IF(AJ664="",0,AJ664)*Assumptions!$F$19),3)</f>
        <v>2</v>
      </c>
      <c r="AO664" s="0" t="str">
        <f aca="false">IF(AC664&lt;=20,"",IF(AC664&lt;=Assumptions!$F$6,"20-30",IF(AC664&lt;=Assumptions!$F$7,"30-40",IF(AC664&lt;=Assumptions!$F$8,"40-50",IF(AC664&lt;=Assumptions!$F$9,"50-60",IF(AC664&lt;=Assumptions!$F$10,"60+",""))))))</f>
        <v>30-40</v>
      </c>
      <c r="AP664" s="0" t="str">
        <f aca="false">IFERROR(VLOOKUP(O664,Assumptions!$B$14:$C$26,2,FALSE()),"Other")</f>
        <v>Manager</v>
      </c>
      <c r="AQ664" s="0" t="n">
        <f aca="false">IF(T664="",0,1)</f>
        <v>0</v>
      </c>
      <c r="AR664" s="0" t="n">
        <f aca="false">IF(U664="",0,1)</f>
        <v>0</v>
      </c>
      <c r="AS664" s="8" t="n">
        <f aca="false">IF(AK664="","",IF(MAX($AK$2:$AK$921)=MIN($AK$2:$AK$921),50,ROUND((AK664-MIN($AK$2:$AK$921))/(MAX($AK$2:$AK$921)-MIN($AK$2:$AK$921))*100,2)))</f>
        <v>14.27</v>
      </c>
      <c r="AT664" s="8" t="n">
        <f aca="false">IF(MAX($BC$2:$BC$921)=MIN($BC$2:$BC$921),50,ROUND((BC664-MIN($BC$2:$BC$921))/(MAX($BC$2:$BC$921)-MIN($BC$2:$BC$921))*100,2))</f>
        <v>50</v>
      </c>
      <c r="AU664" s="8" t="n">
        <f aca="false">IF(MAX($BE$2:$BE$921)=MIN($BE$2:$BE$921),50,ROUND((BE664-MIN($BE$2:$BE$921))/(MAX($BE$2:$BE$921)-MIN($BE$2:$BE$921))*100,2))</f>
        <v>100</v>
      </c>
      <c r="AV664" s="8" t="n">
        <f aca="false">IF(MAX($AD$2:$AD$921)=MIN($AD$2:$AD$921),50,ROUND((AD664-MIN($AD$2:$AD$921))/(MAX($AD$2:$AD$921)-MIN($AD$2:$AD$921))*100,2))</f>
        <v>33.95</v>
      </c>
      <c r="AW664" s="8" t="n">
        <f aca="false">IF(MAX($AN$2:$AN$921)=MIN($AN$2:$AN$921),50,ROUND((AN664-MIN($AN$2:$AN$921))/(MAX($AN$2:$AN$921)-MIN($AN$2:$AN$921))*100,2))</f>
        <v>50</v>
      </c>
      <c r="AX664" s="8" t="n">
        <f aca="false">AQ664*100</f>
        <v>0</v>
      </c>
      <c r="AY664" s="8" t="n">
        <f aca="false">AR664*100</f>
        <v>0</v>
      </c>
      <c r="AZ664" s="8" t="n">
        <f aca="false">IFERROR(ROUND(AS664*Assumptions!$I$6+AW664*Assumptions!$I$7+AT664*Assumptions!$I$8+AU664*Assumptions!$I$9+AV664*Assumptions!$I$10+AX664*Assumptions!$I$11+AY664*Assumptions!$I$12,2),"")</f>
        <v>40.18</v>
      </c>
      <c r="BA664" s="0" t="str">
        <f aca="false">IF(AZ664="","",IF(AZ664&lt;=Assumptions!$I$18,"Below Expectation",IF(AZ664&lt;=Assumptions!$I$19,"Developing",IF(AZ664&lt;=Assumptions!$I$20,"Meets Expectation",IF(AZ664&lt;=Assumptions!$I$21,"Exceeds","Star Performer")))))</f>
        <v>Developing</v>
      </c>
      <c r="BB664" s="0" t="n">
        <f aca="false">IF(AZ664="",0,IF(AZ664&gt;=Assumptions!$I$26,1,0))</f>
        <v>0</v>
      </c>
      <c r="BC664" s="9" t="n">
        <f aca="false">IF(AL664="",2,AL664+2)</f>
        <v>2</v>
      </c>
      <c r="BD664" s="10" t="n">
        <f aca="false">IF(AM664="",ROUND(AVERAGE($AM$2:$AM$921),3),AM664)</f>
        <v>0</v>
      </c>
      <c r="BE664" s="9" t="n">
        <f aca="false">1-BD664</f>
        <v>1</v>
      </c>
    </row>
    <row r="665" customFormat="false" ht="14.25" hidden="true" customHeight="false" outlineLevel="0" collapsed="false">
      <c r="A665" s="4" t="n">
        <v>272</v>
      </c>
      <c r="B665" s="5" t="n">
        <v>10067929</v>
      </c>
      <c r="C665" s="5" t="s">
        <v>858</v>
      </c>
      <c r="D665" s="5" t="s">
        <v>2345</v>
      </c>
      <c r="E665" s="5" t="s">
        <v>1176</v>
      </c>
      <c r="F665" s="5" t="s">
        <v>861</v>
      </c>
      <c r="G665" s="5" t="s">
        <v>862</v>
      </c>
      <c r="H665" s="5" t="s">
        <v>861</v>
      </c>
      <c r="I665" s="5" t="s">
        <v>63</v>
      </c>
      <c r="J665" s="5" t="s">
        <v>100</v>
      </c>
      <c r="K665" s="5" t="s">
        <v>65</v>
      </c>
      <c r="L665" s="6" t="n">
        <v>43585</v>
      </c>
      <c r="M665" s="5" t="s">
        <v>684</v>
      </c>
      <c r="N665" s="6" t="n">
        <v>33302</v>
      </c>
      <c r="O665" s="5" t="s">
        <v>365</v>
      </c>
      <c r="P665" s="5" t="s">
        <v>365</v>
      </c>
      <c r="Q665" s="5" t="s">
        <v>439</v>
      </c>
      <c r="R665" s="5" t="s">
        <v>629</v>
      </c>
      <c r="S665" s="5" t="s">
        <v>1619</v>
      </c>
      <c r="T665" s="6"/>
      <c r="U665" s="6"/>
      <c r="V665" s="5" t="s">
        <v>141</v>
      </c>
      <c r="W665" s="5" t="s">
        <v>141</v>
      </c>
      <c r="X665" s="5" t="s">
        <v>141</v>
      </c>
      <c r="Y665" s="5" t="s">
        <v>631</v>
      </c>
      <c r="Z665" s="5" t="s">
        <v>631</v>
      </c>
      <c r="AA665" s="5" t="s">
        <v>2346</v>
      </c>
      <c r="AB665" s="0" t="n">
        <f aca="false">IFERROR(VALUE(R665),0)</f>
        <v>2.1</v>
      </c>
      <c r="AC665" s="0" t="n">
        <f aca="false">IFERROR(VALUE(M665),"")</f>
        <v>35.3</v>
      </c>
      <c r="AD665" s="0" t="n">
        <f aca="false">IFERROR(VALUE(Q665),"")</f>
        <v>7.1</v>
      </c>
      <c r="AE665" s="0" t="n">
        <f aca="false">IFERROR(VALUE(S665),"")</f>
        <v>9.2</v>
      </c>
      <c r="AF665" s="0" t="n">
        <f aca="false">IF(V665="","",VLOOKUP(V665,Assumptions!$B$6:$C$9,2,FALSE()))</f>
        <v>3</v>
      </c>
      <c r="AG665" s="0" t="n">
        <f aca="false">IF(W665="","",VLOOKUP(W665,Assumptions!$B$6:$C$9,2,FALSE()))</f>
        <v>3</v>
      </c>
      <c r="AH665" s="0" t="n">
        <f aca="false">IF(X665="","",VLOOKUP(X665,Assumptions!$B$6:$C$9,2,FALSE()))</f>
        <v>3</v>
      </c>
      <c r="AI665" s="0" t="n">
        <f aca="false">IF(Y665="","",VLOOKUP(Y665,Assumptions!$B$6:$C$9,2,FALSE()))</f>
        <v>2</v>
      </c>
      <c r="AJ665" s="0" t="n">
        <f aca="false">IF(Z665="","",VLOOKUP(Z665,Assumptions!$B$6:$C$9,2,FALSE()))</f>
        <v>2</v>
      </c>
      <c r="AK665" s="7" t="n">
        <f aca="false">IFERROR(ROUND(AVERAGE(AF665:AJ665),3),"")</f>
        <v>2.6</v>
      </c>
      <c r="AL665" s="7" t="n">
        <f aca="false">IF(OR(AF665="",AJ665=""),"",AJ665-AF665)</f>
        <v>-1</v>
      </c>
      <c r="AM665" s="7" t="n">
        <f aca="false">IF(COUNT(AF665:AJ665)&gt;=2,ROUND(_xlfn.STDEV.S(AF665:AJ665),3),"")</f>
        <v>0.548</v>
      </c>
      <c r="AN665" s="7" t="n">
        <f aca="false">ROUND((IF(AF665="",0,AF665)*Assumptions!$F$15)+(IF(AG665="",0,AG665)*Assumptions!$F$16)+(IF(AH665="",0,AH665)*Assumptions!$F$17)+(IF(AI665="",0,AI665)*Assumptions!$F$18)+(IF(AJ665="",0,AJ665)*Assumptions!$F$19),3)</f>
        <v>2.45</v>
      </c>
      <c r="AO665" s="0" t="str">
        <f aca="false">IF(AC665&lt;=20,"",IF(AC665&lt;=Assumptions!$F$6,"20-30",IF(AC665&lt;=Assumptions!$F$7,"30-40",IF(AC665&lt;=Assumptions!$F$8,"40-50",IF(AC665&lt;=Assumptions!$F$9,"50-60",IF(AC665&lt;=Assumptions!$F$10,"60+",""))))))</f>
        <v>30-40</v>
      </c>
      <c r="AP665" s="0" t="str">
        <f aca="false">IFERROR(VLOOKUP(O665,Assumptions!$B$14:$C$26,2,FALSE()),"Other")</f>
        <v>Manager</v>
      </c>
      <c r="AQ665" s="0" t="n">
        <f aca="false">IF(T665="",0,1)</f>
        <v>0</v>
      </c>
      <c r="AR665" s="0" t="n">
        <f aca="false">IF(U665="",0,1)</f>
        <v>0</v>
      </c>
      <c r="AS665" s="8" t="n">
        <f aca="false">IF(AK665="","",IF(MAX($AK$2:$AK$921)=MIN($AK$2:$AK$921),50,ROUND((AK665-MIN($AK$2:$AK$921))/(MAX($AK$2:$AK$921)-MIN($AK$2:$AK$921))*100,2)))</f>
        <v>39.99</v>
      </c>
      <c r="AT665" s="8" t="n">
        <f aca="false">IF(MAX($BC$2:$BC$921)=MIN($BC$2:$BC$921),50,ROUND((BC665-MIN($BC$2:$BC$921))/(MAX($BC$2:$BC$921)-MIN($BC$2:$BC$921))*100,2))</f>
        <v>25</v>
      </c>
      <c r="AU665" s="8" t="n">
        <f aca="false">IF(MAX($BE$2:$BE$921)=MIN($BE$2:$BE$921),50,ROUND((BE665-MIN($BE$2:$BE$921))/(MAX($BE$2:$BE$921)-MIN($BE$2:$BE$921))*100,2))</f>
        <v>68.36</v>
      </c>
      <c r="AV665" s="8" t="n">
        <f aca="false">IF(MAX($AD$2:$AD$921)=MIN($AD$2:$AD$921),50,ROUND((AD665-MIN($AD$2:$AD$921))/(MAX($AD$2:$AD$921)-MIN($AD$2:$AD$921))*100,2))</f>
        <v>19</v>
      </c>
      <c r="AW665" s="8" t="n">
        <f aca="false">IF(MAX($AN$2:$AN$921)=MIN($AN$2:$AN$921),50,ROUND((AN665-MIN($AN$2:$AN$921))/(MAX($AN$2:$AN$921)-MIN($AN$2:$AN$921))*100,2))</f>
        <v>61.25</v>
      </c>
      <c r="AX665" s="8" t="n">
        <f aca="false">AQ665*100</f>
        <v>0</v>
      </c>
      <c r="AY665" s="8" t="n">
        <f aca="false">AR665*100</f>
        <v>0</v>
      </c>
      <c r="AZ665" s="8" t="n">
        <f aca="false">IFERROR(ROUND(AS665*Assumptions!$I$6+AW665*Assumptions!$I$7+AT665*Assumptions!$I$8+AU665*Assumptions!$I$9+AV665*Assumptions!$I$10+AX665*Assumptions!$I$11+AY665*Assumptions!$I$12,2),"")</f>
        <v>40.15</v>
      </c>
      <c r="BA665" s="0" t="str">
        <f aca="false">IF(AZ665="","",IF(AZ665&lt;=Assumptions!$I$18,"Below Expectation",IF(AZ665&lt;=Assumptions!$I$19,"Developing",IF(AZ665&lt;=Assumptions!$I$20,"Meets Expectation",IF(AZ665&lt;=Assumptions!$I$21,"Exceeds","Star Performer")))))</f>
        <v>Developing</v>
      </c>
      <c r="BB665" s="0" t="n">
        <f aca="false">IF(AZ665="",0,IF(AZ665&gt;=Assumptions!$I$26,1,0))</f>
        <v>0</v>
      </c>
      <c r="BC665" s="9" t="n">
        <f aca="false">IF(AL665="",2,AL665+2)</f>
        <v>1</v>
      </c>
      <c r="BD665" s="10" t="n">
        <f aca="false">IF(AM665="",ROUND(AVERAGE($AM$2:$AM$921),3),AM665)</f>
        <v>0.548</v>
      </c>
      <c r="BE665" s="9" t="n">
        <f aca="false">1-BD665</f>
        <v>0.452</v>
      </c>
    </row>
    <row r="666" customFormat="false" ht="14.25" hidden="true" customHeight="false" outlineLevel="0" collapsed="false">
      <c r="A666" s="4" t="n">
        <v>94</v>
      </c>
      <c r="B666" s="5" t="n">
        <v>10026909</v>
      </c>
      <c r="C666" s="5" t="s">
        <v>57</v>
      </c>
      <c r="D666" s="5" t="s">
        <v>2347</v>
      </c>
      <c r="E666" s="5" t="s">
        <v>299</v>
      </c>
      <c r="F666" s="5" t="s">
        <v>387</v>
      </c>
      <c r="G666" s="5" t="s">
        <v>388</v>
      </c>
      <c r="H666" s="5" t="s">
        <v>387</v>
      </c>
      <c r="I666" s="5" t="s">
        <v>63</v>
      </c>
      <c r="J666" s="5" t="s">
        <v>100</v>
      </c>
      <c r="K666" s="5" t="s">
        <v>65</v>
      </c>
      <c r="L666" s="6" t="n">
        <v>39539</v>
      </c>
      <c r="M666" s="5" t="s">
        <v>886</v>
      </c>
      <c r="N666" s="6" t="n">
        <v>27987</v>
      </c>
      <c r="O666" s="5" t="s">
        <v>332</v>
      </c>
      <c r="P666" s="5" t="s">
        <v>333</v>
      </c>
      <c r="Q666" s="5" t="s">
        <v>930</v>
      </c>
      <c r="R666" s="5" t="s">
        <v>360</v>
      </c>
      <c r="S666" s="5" t="s">
        <v>1551</v>
      </c>
      <c r="T666" s="6"/>
      <c r="U666" s="6"/>
      <c r="V666" s="5" t="s">
        <v>141</v>
      </c>
      <c r="W666" s="5" t="s">
        <v>631</v>
      </c>
      <c r="X666" s="5" t="s">
        <v>631</v>
      </c>
      <c r="Y666" s="5" t="s">
        <v>141</v>
      </c>
      <c r="Z666" s="5" t="s">
        <v>631</v>
      </c>
      <c r="AA666" s="5" t="s">
        <v>2348</v>
      </c>
      <c r="AB666" s="0" t="n">
        <f aca="false">IFERROR(VALUE(R666),0)</f>
        <v>10.7</v>
      </c>
      <c r="AC666" s="0" t="n">
        <f aca="false">IFERROR(VALUE(M666),"")</f>
        <v>49.9</v>
      </c>
      <c r="AD666" s="0" t="n">
        <f aca="false">IFERROR(VALUE(Q666),"")</f>
        <v>18.2</v>
      </c>
      <c r="AE666" s="0" t="n">
        <f aca="false">IFERROR(VALUE(S666),"")</f>
        <v>28.9</v>
      </c>
      <c r="AF666" s="0" t="n">
        <f aca="false">IF(V666="","",VLOOKUP(V666,Assumptions!$B$6:$C$9,2,FALSE()))</f>
        <v>3</v>
      </c>
      <c r="AG666" s="0" t="n">
        <f aca="false">IF(W666="","",VLOOKUP(W666,Assumptions!$B$6:$C$9,2,FALSE()))</f>
        <v>2</v>
      </c>
      <c r="AH666" s="0" t="n">
        <f aca="false">IF(X666="","",VLOOKUP(X666,Assumptions!$B$6:$C$9,2,FALSE()))</f>
        <v>2</v>
      </c>
      <c r="AI666" s="0" t="n">
        <f aca="false">IF(Y666="","",VLOOKUP(Y666,Assumptions!$B$6:$C$9,2,FALSE()))</f>
        <v>3</v>
      </c>
      <c r="AJ666" s="0" t="n">
        <f aca="false">IF(Z666="","",VLOOKUP(Z666,Assumptions!$B$6:$C$9,2,FALSE()))</f>
        <v>2</v>
      </c>
      <c r="AK666" s="7" t="n">
        <f aca="false">IFERROR(ROUND(AVERAGE(AF666:AJ666),3),"")</f>
        <v>2.4</v>
      </c>
      <c r="AL666" s="7" t="n">
        <f aca="false">IF(OR(AF666="",AJ666=""),"",AJ666-AF666)</f>
        <v>-1</v>
      </c>
      <c r="AM666" s="7" t="n">
        <f aca="false">IF(COUNT(AF666:AJ666)&gt;=2,ROUND(_xlfn.STDEV.S(AF666:AJ666),3),"")</f>
        <v>0.548</v>
      </c>
      <c r="AN666" s="7" t="n">
        <f aca="false">ROUND((IF(AF666="",0,AF666)*Assumptions!$F$15)+(IF(AG666="",0,AG666)*Assumptions!$F$16)+(IF(AH666="",0,AH666)*Assumptions!$F$17)+(IF(AI666="",0,AI666)*Assumptions!$F$18)+(IF(AJ666="",0,AJ666)*Assumptions!$F$19),3)</f>
        <v>2.35</v>
      </c>
      <c r="AO666" s="0" t="str">
        <f aca="false">IF(AC666&lt;=20,"",IF(AC666&lt;=Assumptions!$F$6,"20-30",IF(AC666&lt;=Assumptions!$F$7,"30-40",IF(AC666&lt;=Assumptions!$F$8,"40-50",IF(AC666&lt;=Assumptions!$F$9,"50-60",IF(AC666&lt;=Assumptions!$F$10,"60+",""))))))</f>
        <v>40-50</v>
      </c>
      <c r="AP666" s="0" t="str">
        <f aca="false">IFERROR(VLOOKUP(O666,Assumptions!$B$14:$C$26,2,FALSE()),"Other")</f>
        <v>Manager</v>
      </c>
      <c r="AQ666" s="0" t="n">
        <f aca="false">IF(T666="",0,1)</f>
        <v>0</v>
      </c>
      <c r="AR666" s="0" t="n">
        <f aca="false">IF(U666="",0,1)</f>
        <v>0</v>
      </c>
      <c r="AS666" s="8" t="n">
        <f aca="false">IF(AK666="","",IF(MAX($AK$2:$AK$921)=MIN($AK$2:$AK$921),50,ROUND((AK666-MIN($AK$2:$AK$921))/(MAX($AK$2:$AK$921)-MIN($AK$2:$AK$921))*100,2)))</f>
        <v>31.42</v>
      </c>
      <c r="AT666" s="8" t="n">
        <f aca="false">IF(MAX($BC$2:$BC$921)=MIN($BC$2:$BC$921),50,ROUND((BC666-MIN($BC$2:$BC$921))/(MAX($BC$2:$BC$921)-MIN($BC$2:$BC$921))*100,2))</f>
        <v>25</v>
      </c>
      <c r="AU666" s="8" t="n">
        <f aca="false">IF(MAX($BE$2:$BE$921)=MIN($BE$2:$BE$921),50,ROUND((BE666-MIN($BE$2:$BE$921))/(MAX($BE$2:$BE$921)-MIN($BE$2:$BE$921))*100,2))</f>
        <v>68.36</v>
      </c>
      <c r="AV666" s="8" t="n">
        <f aca="false">IF(MAX($AD$2:$AD$921)=MIN($AD$2:$AD$921),50,ROUND((AD666-MIN($AD$2:$AD$921))/(MAX($AD$2:$AD$921)-MIN($AD$2:$AD$921))*100,2))</f>
        <v>49.17</v>
      </c>
      <c r="AW666" s="8" t="n">
        <f aca="false">IF(MAX($AN$2:$AN$921)=MIN($AN$2:$AN$921),50,ROUND((AN666-MIN($AN$2:$AN$921))/(MAX($AN$2:$AN$921)-MIN($AN$2:$AN$921))*100,2))</f>
        <v>58.75</v>
      </c>
      <c r="AX666" s="8" t="n">
        <f aca="false">AQ666*100</f>
        <v>0</v>
      </c>
      <c r="AY666" s="8" t="n">
        <f aca="false">AR666*100</f>
        <v>0</v>
      </c>
      <c r="AZ666" s="8" t="n">
        <f aca="false">IFERROR(ROUND(AS666*Assumptions!$I$6+AW666*Assumptions!$I$7+AT666*Assumptions!$I$8+AU666*Assumptions!$I$9+AV666*Assumptions!$I$10+AX666*Assumptions!$I$11+AY666*Assumptions!$I$12,2),"")</f>
        <v>40.1</v>
      </c>
      <c r="BA666" s="0" t="str">
        <f aca="false">IF(AZ666="","",IF(AZ666&lt;=Assumptions!$I$18,"Below Expectation",IF(AZ666&lt;=Assumptions!$I$19,"Developing",IF(AZ666&lt;=Assumptions!$I$20,"Meets Expectation",IF(AZ666&lt;=Assumptions!$I$21,"Exceeds","Star Performer")))))</f>
        <v>Developing</v>
      </c>
      <c r="BB666" s="0" t="n">
        <f aca="false">IF(AZ666="",0,IF(AZ666&gt;=Assumptions!$I$26,1,0))</f>
        <v>0</v>
      </c>
      <c r="BC666" s="9" t="n">
        <f aca="false">IF(AL666="",2,AL666+2)</f>
        <v>1</v>
      </c>
      <c r="BD666" s="10" t="n">
        <f aca="false">IF(AM666="",ROUND(AVERAGE($AM$2:$AM$921),3),AM666)</f>
        <v>0.548</v>
      </c>
      <c r="BE666" s="9" t="n">
        <f aca="false">1-BD666</f>
        <v>0.452</v>
      </c>
    </row>
    <row r="667" customFormat="false" ht="14.25" hidden="true" customHeight="false" outlineLevel="0" collapsed="false">
      <c r="A667" s="4" t="n">
        <v>545</v>
      </c>
      <c r="B667" s="5" t="n">
        <v>55048449</v>
      </c>
      <c r="C667" s="5" t="s">
        <v>858</v>
      </c>
      <c r="D667" s="5" t="s">
        <v>2349</v>
      </c>
      <c r="E667" s="5" t="s">
        <v>1080</v>
      </c>
      <c r="F667" s="5" t="s">
        <v>2350</v>
      </c>
      <c r="G667" s="5" t="s">
        <v>2351</v>
      </c>
      <c r="H667" s="5" t="s">
        <v>2350</v>
      </c>
      <c r="I667" s="5" t="s">
        <v>63</v>
      </c>
      <c r="J667" s="5" t="s">
        <v>100</v>
      </c>
      <c r="K667" s="5" t="s">
        <v>65</v>
      </c>
      <c r="L667" s="6" t="n">
        <v>44641</v>
      </c>
      <c r="M667" s="5" t="s">
        <v>1345</v>
      </c>
      <c r="N667" s="6" t="n">
        <v>35341</v>
      </c>
      <c r="O667" s="5" t="s">
        <v>1264</v>
      </c>
      <c r="P667" s="5" t="s">
        <v>1559</v>
      </c>
      <c r="Q667" s="5" t="s">
        <v>554</v>
      </c>
      <c r="R667" s="5" t="s">
        <v>1046</v>
      </c>
      <c r="S667" s="5" t="s">
        <v>1297</v>
      </c>
      <c r="T667" s="6"/>
      <c r="U667" s="6"/>
      <c r="V667" s="5"/>
      <c r="W667" s="5" t="s">
        <v>141</v>
      </c>
      <c r="X667" s="5" t="s">
        <v>141</v>
      </c>
      <c r="Y667" s="5" t="s">
        <v>631</v>
      </c>
      <c r="Z667" s="5" t="s">
        <v>631</v>
      </c>
      <c r="AA667" s="5" t="s">
        <v>2352</v>
      </c>
      <c r="AB667" s="0" t="n">
        <f aca="false">IFERROR(VALUE(R667),0)</f>
        <v>0.7</v>
      </c>
      <c r="AC667" s="0" t="n">
        <f aca="false">IFERROR(VALUE(M667),"")</f>
        <v>29.8</v>
      </c>
      <c r="AD667" s="0" t="n">
        <f aca="false">IFERROR(VALUE(Q667),"")</f>
        <v>4.2</v>
      </c>
      <c r="AE667" s="0" t="n">
        <f aca="false">IFERROR(VALUE(S667),"")</f>
        <v>4.9</v>
      </c>
      <c r="AF667" s="0" t="str">
        <f aca="false">IF(V667="","",VLOOKUP(V667,Assumptions!$B$6:$C$9,2,FALSE()))</f>
        <v/>
      </c>
      <c r="AG667" s="0" t="n">
        <f aca="false">IF(W667="","",VLOOKUP(W667,Assumptions!$B$6:$C$9,2,FALSE()))</f>
        <v>3</v>
      </c>
      <c r="AH667" s="0" t="n">
        <f aca="false">IF(X667="","",VLOOKUP(X667,Assumptions!$B$6:$C$9,2,FALSE()))</f>
        <v>3</v>
      </c>
      <c r="AI667" s="0" t="n">
        <f aca="false">IF(Y667="","",VLOOKUP(Y667,Assumptions!$B$6:$C$9,2,FALSE()))</f>
        <v>2</v>
      </c>
      <c r="AJ667" s="0" t="n">
        <f aca="false">IF(Z667="","",VLOOKUP(Z667,Assumptions!$B$6:$C$9,2,FALSE()))</f>
        <v>2</v>
      </c>
      <c r="AK667" s="7" t="n">
        <f aca="false">IFERROR(ROUND(AVERAGE(AF667:AJ667),3),"")</f>
        <v>2.5</v>
      </c>
      <c r="AL667" s="7" t="str">
        <f aca="false">IF(OR(AF667="",AJ667=""),"",AJ667-AF667)</f>
        <v/>
      </c>
      <c r="AM667" s="7" t="n">
        <f aca="false">IF(COUNT(AF667:AJ667)&gt;=2,ROUND(_xlfn.STDEV.S(AF667:AJ667),3),"")</f>
        <v>0.577</v>
      </c>
      <c r="AN667" s="7" t="n">
        <f aca="false">ROUND((IF(AF667="",0,AF667)*Assumptions!$F$15)+(IF(AG667="",0,AG667)*Assumptions!$F$16)+(IF(AH667="",0,AH667)*Assumptions!$F$17)+(IF(AI667="",0,AI667)*Assumptions!$F$18)+(IF(AJ667="",0,AJ667)*Assumptions!$F$19),3)</f>
        <v>2.15</v>
      </c>
      <c r="AO667" s="0" t="str">
        <f aca="false">IF(AC667&lt;=20,"",IF(AC667&lt;=Assumptions!$F$6,"20-30",IF(AC667&lt;=Assumptions!$F$7,"30-40",IF(AC667&lt;=Assumptions!$F$8,"40-50",IF(AC667&lt;=Assumptions!$F$9,"50-60",IF(AC667&lt;=Assumptions!$F$10,"60+",""))))))</f>
        <v>20-30</v>
      </c>
      <c r="AP667" s="0" t="str">
        <f aca="false">IFERROR(VLOOKUP(O667,Assumptions!$B$14:$C$26,2,FALSE()),"Other")</f>
        <v>Manager</v>
      </c>
      <c r="AQ667" s="0" t="n">
        <f aca="false">IF(T667="",0,1)</f>
        <v>0</v>
      </c>
      <c r="AR667" s="0" t="n">
        <f aca="false">IF(U667="",0,1)</f>
        <v>0</v>
      </c>
      <c r="AS667" s="8" t="n">
        <f aca="false">IF(AK667="","",IF(MAX($AK$2:$AK$921)=MIN($AK$2:$AK$921),50,ROUND((AK667-MIN($AK$2:$AK$921))/(MAX($AK$2:$AK$921)-MIN($AK$2:$AK$921))*100,2)))</f>
        <v>35.71</v>
      </c>
      <c r="AT667" s="8" t="n">
        <f aca="false">IF(MAX($BC$2:$BC$921)=MIN($BC$2:$BC$921),50,ROUND((BC667-MIN($BC$2:$BC$921))/(MAX($BC$2:$BC$921)-MIN($BC$2:$BC$921))*100,2))</f>
        <v>50</v>
      </c>
      <c r="AU667" s="8" t="n">
        <f aca="false">IF(MAX($BE$2:$BE$921)=MIN($BE$2:$BE$921),50,ROUND((BE667-MIN($BE$2:$BE$921))/(MAX($BE$2:$BE$921)-MIN($BE$2:$BE$921))*100,2))</f>
        <v>66.69</v>
      </c>
      <c r="AV667" s="8" t="n">
        <f aca="false">IF(MAX($AD$2:$AD$921)=MIN($AD$2:$AD$921),50,ROUND((AD667-MIN($AD$2:$AD$921))/(MAX($AD$2:$AD$921)-MIN($AD$2:$AD$921))*100,2))</f>
        <v>11.12</v>
      </c>
      <c r="AW667" s="8" t="n">
        <f aca="false">IF(MAX($AN$2:$AN$921)=MIN($AN$2:$AN$921),50,ROUND((AN667-MIN($AN$2:$AN$921))/(MAX($AN$2:$AN$921)-MIN($AN$2:$AN$921))*100,2))</f>
        <v>53.75</v>
      </c>
      <c r="AX667" s="8" t="n">
        <f aca="false">AQ667*100</f>
        <v>0</v>
      </c>
      <c r="AY667" s="8" t="n">
        <f aca="false">AR667*100</f>
        <v>0</v>
      </c>
      <c r="AZ667" s="8" t="n">
        <f aca="false">IFERROR(ROUND(AS667*Assumptions!$I$6+AW667*Assumptions!$I$7+AT667*Assumptions!$I$8+AU667*Assumptions!$I$9+AV667*Assumptions!$I$10+AX667*Assumptions!$I$11+AY667*Assumptions!$I$12,2),"")</f>
        <v>40.08</v>
      </c>
      <c r="BA667" s="0" t="str">
        <f aca="false">IF(AZ667="","",IF(AZ667&lt;=Assumptions!$I$18,"Below Expectation",IF(AZ667&lt;=Assumptions!$I$19,"Developing",IF(AZ667&lt;=Assumptions!$I$20,"Meets Expectation",IF(AZ667&lt;=Assumptions!$I$21,"Exceeds","Star Performer")))))</f>
        <v>Developing</v>
      </c>
      <c r="BB667" s="0" t="n">
        <f aca="false">IF(AZ667="",0,IF(AZ667&gt;=Assumptions!$I$26,1,0))</f>
        <v>0</v>
      </c>
      <c r="BC667" s="9" t="n">
        <f aca="false">IF(AL667="",2,AL667+2)</f>
        <v>2</v>
      </c>
      <c r="BD667" s="10" t="n">
        <f aca="false">IF(AM667="",ROUND(AVERAGE($AM$2:$AM$921),3),AM667)</f>
        <v>0.577</v>
      </c>
      <c r="BE667" s="9" t="n">
        <f aca="false">1-BD667</f>
        <v>0.423</v>
      </c>
    </row>
    <row r="668" customFormat="false" ht="14.25" hidden="true" customHeight="false" outlineLevel="0" collapsed="false">
      <c r="A668" s="4" t="n">
        <v>110</v>
      </c>
      <c r="B668" s="5" t="n">
        <v>10033926</v>
      </c>
      <c r="C668" s="5" t="s">
        <v>526</v>
      </c>
      <c r="D668" s="5" t="s">
        <v>2353</v>
      </c>
      <c r="E668" s="5" t="s">
        <v>528</v>
      </c>
      <c r="F668" s="5" t="s">
        <v>258</v>
      </c>
      <c r="G668" s="5" t="s">
        <v>259</v>
      </c>
      <c r="H668" s="5" t="s">
        <v>260</v>
      </c>
      <c r="I668" s="5" t="s">
        <v>63</v>
      </c>
      <c r="J668" s="5" t="s">
        <v>100</v>
      </c>
      <c r="K668" s="5" t="s">
        <v>65</v>
      </c>
      <c r="L668" s="6" t="n">
        <v>41106</v>
      </c>
      <c r="M668" s="5" t="s">
        <v>766</v>
      </c>
      <c r="N668" s="6" t="n">
        <v>26918</v>
      </c>
      <c r="O668" s="5" t="s">
        <v>262</v>
      </c>
      <c r="P668" s="5" t="s">
        <v>263</v>
      </c>
      <c r="Q668" s="5" t="s">
        <v>1211</v>
      </c>
      <c r="R668" s="5" t="s">
        <v>1137</v>
      </c>
      <c r="S668" s="5" t="s">
        <v>524</v>
      </c>
      <c r="T668" s="6"/>
      <c r="U668" s="6"/>
      <c r="V668" s="5" t="s">
        <v>631</v>
      </c>
      <c r="W668" s="5" t="s">
        <v>631</v>
      </c>
      <c r="X668" s="5" t="s">
        <v>141</v>
      </c>
      <c r="Y668" s="5" t="s">
        <v>631</v>
      </c>
      <c r="Z668" s="5" t="s">
        <v>631</v>
      </c>
      <c r="AA668" s="5" t="s">
        <v>2354</v>
      </c>
      <c r="AB668" s="0" t="n">
        <f aca="false">IFERROR(VALUE(R668),0)</f>
        <v>14.5</v>
      </c>
      <c r="AC668" s="0" t="n">
        <f aca="false">IFERROR(VALUE(M668),"")</f>
        <v>52.8</v>
      </c>
      <c r="AD668" s="0" t="n">
        <f aca="false">IFERROR(VALUE(Q668),"")</f>
        <v>13.1</v>
      </c>
      <c r="AE668" s="0" t="n">
        <f aca="false">IFERROR(VALUE(S668),"")</f>
        <v>28.3</v>
      </c>
      <c r="AF668" s="0" t="n">
        <f aca="false">IF(V668="","",VLOOKUP(V668,Assumptions!$B$6:$C$9,2,FALSE()))</f>
        <v>2</v>
      </c>
      <c r="AG668" s="0" t="n">
        <f aca="false">IF(W668="","",VLOOKUP(W668,Assumptions!$B$6:$C$9,2,FALSE()))</f>
        <v>2</v>
      </c>
      <c r="AH668" s="0" t="n">
        <f aca="false">IF(X668="","",VLOOKUP(X668,Assumptions!$B$6:$C$9,2,FALSE()))</f>
        <v>3</v>
      </c>
      <c r="AI668" s="0" t="n">
        <f aca="false">IF(Y668="","",VLOOKUP(Y668,Assumptions!$B$6:$C$9,2,FALSE()))</f>
        <v>2</v>
      </c>
      <c r="AJ668" s="0" t="n">
        <f aca="false">IF(Z668="","",VLOOKUP(Z668,Assumptions!$B$6:$C$9,2,FALSE()))</f>
        <v>2</v>
      </c>
      <c r="AK668" s="7" t="n">
        <f aca="false">IFERROR(ROUND(AVERAGE(AF668:AJ668),3),"")</f>
        <v>2.2</v>
      </c>
      <c r="AL668" s="7" t="n">
        <f aca="false">IF(OR(AF668="",AJ668=""),"",AJ668-AF668)</f>
        <v>0</v>
      </c>
      <c r="AM668" s="7" t="n">
        <f aca="false">IF(COUNT(AF668:AJ668)&gt;=2,ROUND(_xlfn.STDEV.S(AF668:AJ668),3),"")</f>
        <v>0.447</v>
      </c>
      <c r="AN668" s="7" t="n">
        <f aca="false">ROUND((IF(AF668="",0,AF668)*Assumptions!$F$15)+(IF(AG668="",0,AG668)*Assumptions!$F$16)+(IF(AH668="",0,AH668)*Assumptions!$F$17)+(IF(AI668="",0,AI668)*Assumptions!$F$18)+(IF(AJ668="",0,AJ668)*Assumptions!$F$19),3)</f>
        <v>2.2</v>
      </c>
      <c r="AO668" s="0" t="str">
        <f aca="false">IF(AC668&lt;=20,"",IF(AC668&lt;=Assumptions!$F$6,"20-30",IF(AC668&lt;=Assumptions!$F$7,"30-40",IF(AC668&lt;=Assumptions!$F$8,"40-50",IF(AC668&lt;=Assumptions!$F$9,"50-60",IF(AC668&lt;=Assumptions!$F$10,"60+",""))))))</f>
        <v>50-60</v>
      </c>
      <c r="AP668" s="0" t="str">
        <f aca="false">IFERROR(VLOOKUP(O668,Assumptions!$B$14:$C$26,2,FALSE()),"Other")</f>
        <v>Manager</v>
      </c>
      <c r="AQ668" s="0" t="n">
        <f aca="false">IF(T668="",0,1)</f>
        <v>0</v>
      </c>
      <c r="AR668" s="0" t="n">
        <f aca="false">IF(U668="",0,1)</f>
        <v>0</v>
      </c>
      <c r="AS668" s="8" t="n">
        <f aca="false">IF(AK668="","",IF(MAX($AK$2:$AK$921)=MIN($AK$2:$AK$921),50,ROUND((AK668-MIN($AK$2:$AK$921))/(MAX($AK$2:$AK$921)-MIN($AK$2:$AK$921))*100,2)))</f>
        <v>22.85</v>
      </c>
      <c r="AT668" s="8" t="n">
        <f aca="false">IF(MAX($BC$2:$BC$921)=MIN($BC$2:$BC$921),50,ROUND((BC668-MIN($BC$2:$BC$921))/(MAX($BC$2:$BC$921)-MIN($BC$2:$BC$921))*100,2))</f>
        <v>50</v>
      </c>
      <c r="AU668" s="8" t="n">
        <f aca="false">IF(MAX($BE$2:$BE$921)=MIN($BE$2:$BE$921),50,ROUND((BE668-MIN($BE$2:$BE$921))/(MAX($BE$2:$BE$921)-MIN($BE$2:$BE$921))*100,2))</f>
        <v>74.19</v>
      </c>
      <c r="AV668" s="8" t="n">
        <f aca="false">IF(MAX($AD$2:$AD$921)=MIN($AD$2:$AD$921),50,ROUND((AD668-MIN($AD$2:$AD$921))/(MAX($AD$2:$AD$921)-MIN($AD$2:$AD$921))*100,2))</f>
        <v>35.31</v>
      </c>
      <c r="AW668" s="8" t="n">
        <f aca="false">IF(MAX($AN$2:$AN$921)=MIN($AN$2:$AN$921),50,ROUND((AN668-MIN($AN$2:$AN$921))/(MAX($AN$2:$AN$921)-MIN($AN$2:$AN$921))*100,2))</f>
        <v>55</v>
      </c>
      <c r="AX668" s="8" t="n">
        <f aca="false">AQ668*100</f>
        <v>0</v>
      </c>
      <c r="AY668" s="8" t="n">
        <f aca="false">AR668*100</f>
        <v>0</v>
      </c>
      <c r="AZ668" s="8" t="n">
        <f aca="false">IFERROR(ROUND(AS668*Assumptions!$I$6+AW668*Assumptions!$I$7+AT668*Assumptions!$I$8+AU668*Assumptions!$I$9+AV668*Assumptions!$I$10+AX668*Assumptions!$I$11+AY668*Assumptions!$I$12,2),"")</f>
        <v>40.01</v>
      </c>
      <c r="BA668" s="0" t="str">
        <f aca="false">IF(AZ668="","",IF(AZ668&lt;=Assumptions!$I$18,"Below Expectation",IF(AZ668&lt;=Assumptions!$I$19,"Developing",IF(AZ668&lt;=Assumptions!$I$20,"Meets Expectation",IF(AZ668&lt;=Assumptions!$I$21,"Exceeds","Star Performer")))))</f>
        <v>Developing</v>
      </c>
      <c r="BB668" s="0" t="n">
        <f aca="false">IF(AZ668="",0,IF(AZ668&gt;=Assumptions!$I$26,1,0))</f>
        <v>0</v>
      </c>
      <c r="BC668" s="9" t="n">
        <f aca="false">IF(AL668="",2,AL668+2)</f>
        <v>2</v>
      </c>
      <c r="BD668" s="10" t="n">
        <f aca="false">IF(AM668="",ROUND(AVERAGE($AM$2:$AM$921),3),AM668)</f>
        <v>0.447</v>
      </c>
      <c r="BE668" s="9" t="n">
        <f aca="false">1-BD668</f>
        <v>0.553</v>
      </c>
    </row>
    <row r="669" customFormat="false" ht="14.25" hidden="true" customHeight="false" outlineLevel="0" collapsed="false">
      <c r="A669" s="4" t="n">
        <v>645</v>
      </c>
      <c r="B669" s="5" t="n">
        <v>55056737</v>
      </c>
      <c r="C669" s="5" t="s">
        <v>57</v>
      </c>
      <c r="D669" s="5" t="s">
        <v>2355</v>
      </c>
      <c r="E669" s="5" t="s">
        <v>275</v>
      </c>
      <c r="F669" s="5" t="s">
        <v>964</v>
      </c>
      <c r="G669" s="5" t="s">
        <v>963</v>
      </c>
      <c r="H669" s="5" t="s">
        <v>964</v>
      </c>
      <c r="I669" s="5" t="s">
        <v>63</v>
      </c>
      <c r="J669" s="5" t="s">
        <v>100</v>
      </c>
      <c r="K669" s="5" t="s">
        <v>65</v>
      </c>
      <c r="L669" s="6" t="n">
        <v>44806</v>
      </c>
      <c r="M669" s="5" t="s">
        <v>753</v>
      </c>
      <c r="N669" s="6" t="n">
        <v>34321</v>
      </c>
      <c r="O669" s="5" t="s">
        <v>1264</v>
      </c>
      <c r="P669" s="5" t="s">
        <v>1559</v>
      </c>
      <c r="Q669" s="5" t="s">
        <v>231</v>
      </c>
      <c r="R669" s="5" t="s">
        <v>133</v>
      </c>
      <c r="S669" s="5" t="s">
        <v>1297</v>
      </c>
      <c r="T669" s="6"/>
      <c r="U669" s="6"/>
      <c r="V669" s="5"/>
      <c r="W669" s="5" t="s">
        <v>141</v>
      </c>
      <c r="X669" s="5" t="s">
        <v>141</v>
      </c>
      <c r="Y669" s="5" t="s">
        <v>631</v>
      </c>
      <c r="Z669" s="5" t="s">
        <v>631</v>
      </c>
      <c r="AA669" s="5" t="s">
        <v>913</v>
      </c>
      <c r="AB669" s="0" t="n">
        <f aca="false">IFERROR(VALUE(R669),0)</f>
        <v>1</v>
      </c>
      <c r="AC669" s="0" t="n">
        <f aca="false">IFERROR(VALUE(M669),"")</f>
        <v>32.5</v>
      </c>
      <c r="AD669" s="0" t="n">
        <f aca="false">IFERROR(VALUE(Q669),"")</f>
        <v>3.9</v>
      </c>
      <c r="AE669" s="0" t="n">
        <f aca="false">IFERROR(VALUE(S669),"")</f>
        <v>4.9</v>
      </c>
      <c r="AF669" s="0" t="str">
        <f aca="false">IF(V669="","",VLOOKUP(V669,Assumptions!$B$6:$C$9,2,FALSE()))</f>
        <v/>
      </c>
      <c r="AG669" s="0" t="n">
        <f aca="false">IF(W669="","",VLOOKUP(W669,Assumptions!$B$6:$C$9,2,FALSE()))</f>
        <v>3</v>
      </c>
      <c r="AH669" s="0" t="n">
        <f aca="false">IF(X669="","",VLOOKUP(X669,Assumptions!$B$6:$C$9,2,FALSE()))</f>
        <v>3</v>
      </c>
      <c r="AI669" s="0" t="n">
        <f aca="false">IF(Y669="","",VLOOKUP(Y669,Assumptions!$B$6:$C$9,2,FALSE()))</f>
        <v>2</v>
      </c>
      <c r="AJ669" s="0" t="n">
        <f aca="false">IF(Z669="","",VLOOKUP(Z669,Assumptions!$B$6:$C$9,2,FALSE()))</f>
        <v>2</v>
      </c>
      <c r="AK669" s="7" t="n">
        <f aca="false">IFERROR(ROUND(AVERAGE(AF669:AJ669),3),"")</f>
        <v>2.5</v>
      </c>
      <c r="AL669" s="7" t="str">
        <f aca="false">IF(OR(AF669="",AJ669=""),"",AJ669-AF669)</f>
        <v/>
      </c>
      <c r="AM669" s="7" t="n">
        <f aca="false">IF(COUNT(AF669:AJ669)&gt;=2,ROUND(_xlfn.STDEV.S(AF669:AJ669),3),"")</f>
        <v>0.577</v>
      </c>
      <c r="AN669" s="7" t="n">
        <f aca="false">ROUND((IF(AF669="",0,AF669)*Assumptions!$F$15)+(IF(AG669="",0,AG669)*Assumptions!$F$16)+(IF(AH669="",0,AH669)*Assumptions!$F$17)+(IF(AI669="",0,AI669)*Assumptions!$F$18)+(IF(AJ669="",0,AJ669)*Assumptions!$F$19),3)</f>
        <v>2.15</v>
      </c>
      <c r="AO669" s="0" t="str">
        <f aca="false">IF(AC669&lt;=20,"",IF(AC669&lt;=Assumptions!$F$6,"20-30",IF(AC669&lt;=Assumptions!$F$7,"30-40",IF(AC669&lt;=Assumptions!$F$8,"40-50",IF(AC669&lt;=Assumptions!$F$9,"50-60",IF(AC669&lt;=Assumptions!$F$10,"60+",""))))))</f>
        <v>30-40</v>
      </c>
      <c r="AP669" s="0" t="str">
        <f aca="false">IFERROR(VLOOKUP(O669,Assumptions!$B$14:$C$26,2,FALSE()),"Other")</f>
        <v>Manager</v>
      </c>
      <c r="AQ669" s="0" t="n">
        <f aca="false">IF(T669="",0,1)</f>
        <v>0</v>
      </c>
      <c r="AR669" s="0" t="n">
        <f aca="false">IF(U669="",0,1)</f>
        <v>0</v>
      </c>
      <c r="AS669" s="8" t="n">
        <f aca="false">IF(AK669="","",IF(MAX($AK$2:$AK$921)=MIN($AK$2:$AK$921),50,ROUND((AK669-MIN($AK$2:$AK$921))/(MAX($AK$2:$AK$921)-MIN($AK$2:$AK$921))*100,2)))</f>
        <v>35.71</v>
      </c>
      <c r="AT669" s="8" t="n">
        <f aca="false">IF(MAX($BC$2:$BC$921)=MIN($BC$2:$BC$921),50,ROUND((BC669-MIN($BC$2:$BC$921))/(MAX($BC$2:$BC$921)-MIN($BC$2:$BC$921))*100,2))</f>
        <v>50</v>
      </c>
      <c r="AU669" s="8" t="n">
        <f aca="false">IF(MAX($BE$2:$BE$921)=MIN($BE$2:$BE$921),50,ROUND((BE669-MIN($BE$2:$BE$921))/(MAX($BE$2:$BE$921)-MIN($BE$2:$BE$921))*100,2))</f>
        <v>66.69</v>
      </c>
      <c r="AV669" s="8" t="n">
        <f aca="false">IF(MAX($AD$2:$AD$921)=MIN($AD$2:$AD$921),50,ROUND((AD669-MIN($AD$2:$AD$921))/(MAX($AD$2:$AD$921)-MIN($AD$2:$AD$921))*100,2))</f>
        <v>10.3</v>
      </c>
      <c r="AW669" s="8" t="n">
        <f aca="false">IF(MAX($AN$2:$AN$921)=MIN($AN$2:$AN$921),50,ROUND((AN669-MIN($AN$2:$AN$921))/(MAX($AN$2:$AN$921)-MIN($AN$2:$AN$921))*100,2))</f>
        <v>53.75</v>
      </c>
      <c r="AX669" s="8" t="n">
        <f aca="false">AQ669*100</f>
        <v>0</v>
      </c>
      <c r="AY669" s="8" t="n">
        <f aca="false">AR669*100</f>
        <v>0</v>
      </c>
      <c r="AZ669" s="8" t="n">
        <f aca="false">IFERROR(ROUND(AS669*Assumptions!$I$6+AW669*Assumptions!$I$7+AT669*Assumptions!$I$8+AU669*Assumptions!$I$9+AV669*Assumptions!$I$10+AX669*Assumptions!$I$11+AY669*Assumptions!$I$12,2),"")</f>
        <v>40</v>
      </c>
      <c r="BA669" s="0" t="str">
        <f aca="false">IF(AZ669="","",IF(AZ669&lt;=Assumptions!$I$18,"Below Expectation",IF(AZ669&lt;=Assumptions!$I$19,"Developing",IF(AZ669&lt;=Assumptions!$I$20,"Meets Expectation",IF(AZ669&lt;=Assumptions!$I$21,"Exceeds","Star Performer")))))</f>
        <v>Below Expectation</v>
      </c>
      <c r="BB669" s="0" t="n">
        <f aca="false">IF(AZ669="",0,IF(AZ669&gt;=Assumptions!$I$26,1,0))</f>
        <v>0</v>
      </c>
      <c r="BC669" s="9" t="n">
        <f aca="false">IF(AL669="",2,AL669+2)</f>
        <v>2</v>
      </c>
      <c r="BD669" s="10" t="n">
        <f aca="false">IF(AM669="",ROUND(AVERAGE($AM$2:$AM$921),3),AM669)</f>
        <v>0.577</v>
      </c>
      <c r="BE669" s="9" t="n">
        <f aca="false">1-BD669</f>
        <v>0.423</v>
      </c>
    </row>
    <row r="670" customFormat="false" ht="14.25" hidden="true" customHeight="false" outlineLevel="0" collapsed="false">
      <c r="A670" s="4" t="n">
        <v>175</v>
      </c>
      <c r="B670" s="5" t="n">
        <v>10053526</v>
      </c>
      <c r="C670" s="5" t="s">
        <v>57</v>
      </c>
      <c r="D670" s="5" t="s">
        <v>2356</v>
      </c>
      <c r="E670" s="5" t="s">
        <v>456</v>
      </c>
      <c r="F670" s="5" t="s">
        <v>1770</v>
      </c>
      <c r="G670" s="5" t="s">
        <v>1771</v>
      </c>
      <c r="H670" s="5" t="s">
        <v>1770</v>
      </c>
      <c r="I670" s="5" t="s">
        <v>63</v>
      </c>
      <c r="J670" s="5" t="s">
        <v>100</v>
      </c>
      <c r="K670" s="5" t="s">
        <v>65</v>
      </c>
      <c r="L670" s="6" t="n">
        <v>42464</v>
      </c>
      <c r="M670" s="5" t="s">
        <v>624</v>
      </c>
      <c r="N670" s="6" t="n">
        <v>26240</v>
      </c>
      <c r="O670" s="5" t="s">
        <v>2069</v>
      </c>
      <c r="P670" s="5" t="s">
        <v>2069</v>
      </c>
      <c r="Q670" s="5" t="s">
        <v>318</v>
      </c>
      <c r="R670" s="5" t="s">
        <v>1646</v>
      </c>
      <c r="S670" s="5" t="s">
        <v>114</v>
      </c>
      <c r="T670" s="6"/>
      <c r="U670" s="6"/>
      <c r="V670" s="5" t="s">
        <v>631</v>
      </c>
      <c r="W670" s="5" t="s">
        <v>631</v>
      </c>
      <c r="X670" s="5" t="s">
        <v>631</v>
      </c>
      <c r="Y670" s="5" t="s">
        <v>631</v>
      </c>
      <c r="Z670" s="5" t="s">
        <v>631</v>
      </c>
      <c r="AA670" s="5" t="s">
        <v>2357</v>
      </c>
      <c r="AB670" s="0" t="n">
        <f aca="false">IFERROR(VALUE(R670),0)</f>
        <v>17.9</v>
      </c>
      <c r="AC670" s="0" t="n">
        <f aca="false">IFERROR(VALUE(M670),"")</f>
        <v>54.7</v>
      </c>
      <c r="AD670" s="0" t="n">
        <f aca="false">IFERROR(VALUE(Q670),"")</f>
        <v>10.2</v>
      </c>
      <c r="AE670" s="0" t="n">
        <f aca="false">IFERROR(VALUE(S670),"")</f>
        <v>27.11</v>
      </c>
      <c r="AF670" s="0" t="n">
        <f aca="false">IF(V670="","",VLOOKUP(V670,Assumptions!$B$6:$C$9,2,FALSE()))</f>
        <v>2</v>
      </c>
      <c r="AG670" s="0" t="n">
        <f aca="false">IF(W670="","",VLOOKUP(W670,Assumptions!$B$6:$C$9,2,FALSE()))</f>
        <v>2</v>
      </c>
      <c r="AH670" s="0" t="n">
        <f aca="false">IF(X670="","",VLOOKUP(X670,Assumptions!$B$6:$C$9,2,FALSE()))</f>
        <v>2</v>
      </c>
      <c r="AI670" s="0" t="n">
        <f aca="false">IF(Y670="","",VLOOKUP(Y670,Assumptions!$B$6:$C$9,2,FALSE()))</f>
        <v>2</v>
      </c>
      <c r="AJ670" s="0" t="n">
        <f aca="false">IF(Z670="","",VLOOKUP(Z670,Assumptions!$B$6:$C$9,2,FALSE()))</f>
        <v>2</v>
      </c>
      <c r="AK670" s="7" t="n">
        <f aca="false">IFERROR(ROUND(AVERAGE(AF670:AJ670),3),"")</f>
        <v>2</v>
      </c>
      <c r="AL670" s="7" t="n">
        <f aca="false">IF(OR(AF670="",AJ670=""),"",AJ670-AF670)</f>
        <v>0</v>
      </c>
      <c r="AM670" s="7" t="n">
        <f aca="false">IF(COUNT(AF670:AJ670)&gt;=2,ROUND(_xlfn.STDEV.S(AF670:AJ670),3),"")</f>
        <v>0</v>
      </c>
      <c r="AN670" s="7" t="n">
        <f aca="false">ROUND((IF(AF670="",0,AF670)*Assumptions!$F$15)+(IF(AG670="",0,AG670)*Assumptions!$F$16)+(IF(AH670="",0,AH670)*Assumptions!$F$17)+(IF(AI670="",0,AI670)*Assumptions!$F$18)+(IF(AJ670="",0,AJ670)*Assumptions!$F$19),3)</f>
        <v>2</v>
      </c>
      <c r="AO670" s="0" t="str">
        <f aca="false">IF(AC670&lt;=20,"",IF(AC670&lt;=Assumptions!$F$6,"20-30",IF(AC670&lt;=Assumptions!$F$7,"30-40",IF(AC670&lt;=Assumptions!$F$8,"40-50",IF(AC670&lt;=Assumptions!$F$9,"50-60",IF(AC670&lt;=Assumptions!$F$10,"60+",""))))))</f>
        <v>50-60</v>
      </c>
      <c r="AP670" s="0" t="str">
        <f aca="false">IFERROR(VLOOKUP(O670,Assumptions!$B$14:$C$26,2,FALSE()),"Other")</f>
        <v>Executive</v>
      </c>
      <c r="AQ670" s="0" t="n">
        <f aca="false">IF(T670="",0,1)</f>
        <v>0</v>
      </c>
      <c r="AR670" s="0" t="n">
        <f aca="false">IF(U670="",0,1)</f>
        <v>0</v>
      </c>
      <c r="AS670" s="8" t="n">
        <f aca="false">IF(AK670="","",IF(MAX($AK$2:$AK$921)=MIN($AK$2:$AK$921),50,ROUND((AK670-MIN($AK$2:$AK$921))/(MAX($AK$2:$AK$921)-MIN($AK$2:$AK$921))*100,2)))</f>
        <v>14.27</v>
      </c>
      <c r="AT670" s="8" t="n">
        <f aca="false">IF(MAX($BC$2:$BC$921)=MIN($BC$2:$BC$921),50,ROUND((BC670-MIN($BC$2:$BC$921))/(MAX($BC$2:$BC$921)-MIN($BC$2:$BC$921))*100,2))</f>
        <v>50</v>
      </c>
      <c r="AU670" s="8" t="n">
        <f aca="false">IF(MAX($BE$2:$BE$921)=MIN($BE$2:$BE$921),50,ROUND((BE670-MIN($BE$2:$BE$921))/(MAX($BE$2:$BE$921)-MIN($BE$2:$BE$921))*100,2))</f>
        <v>100</v>
      </c>
      <c r="AV670" s="8" t="n">
        <f aca="false">IF(MAX($AD$2:$AD$921)=MIN($AD$2:$AD$921),50,ROUND((AD670-MIN($AD$2:$AD$921))/(MAX($AD$2:$AD$921)-MIN($AD$2:$AD$921))*100,2))</f>
        <v>27.43</v>
      </c>
      <c r="AW670" s="8" t="n">
        <f aca="false">IF(MAX($AN$2:$AN$921)=MIN($AN$2:$AN$921),50,ROUND((AN670-MIN($AN$2:$AN$921))/(MAX($AN$2:$AN$921)-MIN($AN$2:$AN$921))*100,2))</f>
        <v>50</v>
      </c>
      <c r="AX670" s="8" t="n">
        <f aca="false">AQ670*100</f>
        <v>0</v>
      </c>
      <c r="AY670" s="8" t="n">
        <f aca="false">AR670*100</f>
        <v>0</v>
      </c>
      <c r="AZ670" s="8" t="n">
        <f aca="false">IFERROR(ROUND(AS670*Assumptions!$I$6+AW670*Assumptions!$I$7+AT670*Assumptions!$I$8+AU670*Assumptions!$I$9+AV670*Assumptions!$I$10+AX670*Assumptions!$I$11+AY670*Assumptions!$I$12,2),"")</f>
        <v>39.52</v>
      </c>
      <c r="BA670" s="0" t="str">
        <f aca="false">IF(AZ670="","",IF(AZ670&lt;=Assumptions!$I$18,"Below Expectation",IF(AZ670&lt;=Assumptions!$I$19,"Developing",IF(AZ670&lt;=Assumptions!$I$20,"Meets Expectation",IF(AZ670&lt;=Assumptions!$I$21,"Exceeds","Star Performer")))))</f>
        <v>Below Expectation</v>
      </c>
      <c r="BB670" s="0" t="n">
        <f aca="false">IF(AZ670="",0,IF(AZ670&gt;=Assumptions!$I$26,1,0))</f>
        <v>0</v>
      </c>
      <c r="BC670" s="9" t="n">
        <f aca="false">IF(AL670="",2,AL670+2)</f>
        <v>2</v>
      </c>
      <c r="BD670" s="10" t="n">
        <f aca="false">IF(AM670="",ROUND(AVERAGE($AM$2:$AM$921),3),AM670)</f>
        <v>0</v>
      </c>
      <c r="BE670" s="9" t="n">
        <f aca="false">1-BD670</f>
        <v>1</v>
      </c>
    </row>
    <row r="671" customFormat="false" ht="14.25" hidden="true" customHeight="false" outlineLevel="0" collapsed="false">
      <c r="A671" s="4" t="n">
        <v>506</v>
      </c>
      <c r="B671" s="5" t="n">
        <v>55044939</v>
      </c>
      <c r="C671" s="5" t="s">
        <v>85</v>
      </c>
      <c r="D671" s="5" t="s">
        <v>2358</v>
      </c>
      <c r="E671" s="5" t="s">
        <v>137</v>
      </c>
      <c r="F671" s="5" t="s">
        <v>590</v>
      </c>
      <c r="G671" s="5" t="s">
        <v>589</v>
      </c>
      <c r="H671" s="5" t="s">
        <v>590</v>
      </c>
      <c r="I671" s="5" t="s">
        <v>63</v>
      </c>
      <c r="J671" s="5" t="s">
        <v>76</v>
      </c>
      <c r="K671" s="5" t="s">
        <v>309</v>
      </c>
      <c r="L671" s="6" t="n">
        <v>44529</v>
      </c>
      <c r="M671" s="5" t="s">
        <v>833</v>
      </c>
      <c r="N671" s="6" t="n">
        <v>35078</v>
      </c>
      <c r="O671" s="5" t="s">
        <v>1264</v>
      </c>
      <c r="P671" s="5" t="s">
        <v>1559</v>
      </c>
      <c r="Q671" s="5" t="s">
        <v>352</v>
      </c>
      <c r="R671" s="5" t="s">
        <v>115</v>
      </c>
      <c r="S671" s="5" t="s">
        <v>352</v>
      </c>
      <c r="T671" s="6"/>
      <c r="U671" s="6"/>
      <c r="V671" s="5" t="s">
        <v>141</v>
      </c>
      <c r="W671" s="5" t="s">
        <v>141</v>
      </c>
      <c r="X671" s="5" t="s">
        <v>141</v>
      </c>
      <c r="Y671" s="5" t="s">
        <v>631</v>
      </c>
      <c r="Z671" s="5" t="s">
        <v>631</v>
      </c>
      <c r="AA671" s="5" t="s">
        <v>2359</v>
      </c>
      <c r="AB671" s="0" t="n">
        <f aca="false">IFERROR(VALUE(R671),0)</f>
        <v>0</v>
      </c>
      <c r="AC671" s="0" t="n">
        <f aca="false">IFERROR(VALUE(M671),"")</f>
        <v>30.4</v>
      </c>
      <c r="AD671" s="0" t="n">
        <f aca="false">IFERROR(VALUE(Q671),"")</f>
        <v>4.6</v>
      </c>
      <c r="AE671" s="0" t="n">
        <f aca="false">IFERROR(VALUE(S671),"")</f>
        <v>4.6</v>
      </c>
      <c r="AF671" s="0" t="n">
        <f aca="false">IF(V671="","",VLOOKUP(V671,Assumptions!$B$6:$C$9,2,FALSE()))</f>
        <v>3</v>
      </c>
      <c r="AG671" s="0" t="n">
        <f aca="false">IF(W671="","",VLOOKUP(W671,Assumptions!$B$6:$C$9,2,FALSE()))</f>
        <v>3</v>
      </c>
      <c r="AH671" s="0" t="n">
        <f aca="false">IF(X671="","",VLOOKUP(X671,Assumptions!$B$6:$C$9,2,FALSE()))</f>
        <v>3</v>
      </c>
      <c r="AI671" s="0" t="n">
        <f aca="false">IF(Y671="","",VLOOKUP(Y671,Assumptions!$B$6:$C$9,2,FALSE()))</f>
        <v>2</v>
      </c>
      <c r="AJ671" s="0" t="n">
        <f aca="false">IF(Z671="","",VLOOKUP(Z671,Assumptions!$B$6:$C$9,2,FALSE()))</f>
        <v>2</v>
      </c>
      <c r="AK671" s="7" t="n">
        <f aca="false">IFERROR(ROUND(AVERAGE(AF671:AJ671),3),"")</f>
        <v>2.6</v>
      </c>
      <c r="AL671" s="7" t="n">
        <f aca="false">IF(OR(AF671="",AJ671=""),"",AJ671-AF671)</f>
        <v>-1</v>
      </c>
      <c r="AM671" s="7" t="n">
        <f aca="false">IF(COUNT(AF671:AJ671)&gt;=2,ROUND(_xlfn.STDEV.S(AF671:AJ671),3),"")</f>
        <v>0.548</v>
      </c>
      <c r="AN671" s="7" t="n">
        <f aca="false">ROUND((IF(AF671="",0,AF671)*Assumptions!$F$15)+(IF(AG671="",0,AG671)*Assumptions!$F$16)+(IF(AH671="",0,AH671)*Assumptions!$F$17)+(IF(AI671="",0,AI671)*Assumptions!$F$18)+(IF(AJ671="",0,AJ671)*Assumptions!$F$19),3)</f>
        <v>2.45</v>
      </c>
      <c r="AO671" s="0" t="str">
        <f aca="false">IF(AC671&lt;=20,"",IF(AC671&lt;=Assumptions!$F$6,"20-30",IF(AC671&lt;=Assumptions!$F$7,"30-40",IF(AC671&lt;=Assumptions!$F$8,"40-50",IF(AC671&lt;=Assumptions!$F$9,"50-60",IF(AC671&lt;=Assumptions!$F$10,"60+",""))))))</f>
        <v>30-40</v>
      </c>
      <c r="AP671" s="0" t="str">
        <f aca="false">IFERROR(VLOOKUP(O671,Assumptions!$B$14:$C$26,2,FALSE()),"Other")</f>
        <v>Manager</v>
      </c>
      <c r="AQ671" s="0" t="n">
        <f aca="false">IF(T671="",0,1)</f>
        <v>0</v>
      </c>
      <c r="AR671" s="0" t="n">
        <f aca="false">IF(U671="",0,1)</f>
        <v>0</v>
      </c>
      <c r="AS671" s="8" t="n">
        <f aca="false">IF(AK671="","",IF(MAX($AK$2:$AK$921)=MIN($AK$2:$AK$921),50,ROUND((AK671-MIN($AK$2:$AK$921))/(MAX($AK$2:$AK$921)-MIN($AK$2:$AK$921))*100,2)))</f>
        <v>39.99</v>
      </c>
      <c r="AT671" s="8" t="n">
        <f aca="false">IF(MAX($BC$2:$BC$921)=MIN($BC$2:$BC$921),50,ROUND((BC671-MIN($BC$2:$BC$921))/(MAX($BC$2:$BC$921)-MIN($BC$2:$BC$921))*100,2))</f>
        <v>25</v>
      </c>
      <c r="AU671" s="8" t="n">
        <f aca="false">IF(MAX($BE$2:$BE$921)=MIN($BE$2:$BE$921),50,ROUND((BE671-MIN($BE$2:$BE$921))/(MAX($BE$2:$BE$921)-MIN($BE$2:$BE$921))*100,2))</f>
        <v>68.36</v>
      </c>
      <c r="AV671" s="8" t="n">
        <f aca="false">IF(MAX($AD$2:$AD$921)=MIN($AD$2:$AD$921),50,ROUND((AD671-MIN($AD$2:$AD$921))/(MAX($AD$2:$AD$921)-MIN($AD$2:$AD$921))*100,2))</f>
        <v>12.2</v>
      </c>
      <c r="AW671" s="8" t="n">
        <f aca="false">IF(MAX($AN$2:$AN$921)=MIN($AN$2:$AN$921),50,ROUND((AN671-MIN($AN$2:$AN$921))/(MAX($AN$2:$AN$921)-MIN($AN$2:$AN$921))*100,2))</f>
        <v>61.25</v>
      </c>
      <c r="AX671" s="8" t="n">
        <f aca="false">AQ671*100</f>
        <v>0</v>
      </c>
      <c r="AY671" s="8" t="n">
        <f aca="false">AR671*100</f>
        <v>0</v>
      </c>
      <c r="AZ671" s="8" t="n">
        <f aca="false">IFERROR(ROUND(AS671*Assumptions!$I$6+AW671*Assumptions!$I$7+AT671*Assumptions!$I$8+AU671*Assumptions!$I$9+AV671*Assumptions!$I$10+AX671*Assumptions!$I$11+AY671*Assumptions!$I$12,2),"")</f>
        <v>39.47</v>
      </c>
      <c r="BA671" s="0" t="str">
        <f aca="false">IF(AZ671="","",IF(AZ671&lt;=Assumptions!$I$18,"Below Expectation",IF(AZ671&lt;=Assumptions!$I$19,"Developing",IF(AZ671&lt;=Assumptions!$I$20,"Meets Expectation",IF(AZ671&lt;=Assumptions!$I$21,"Exceeds","Star Performer")))))</f>
        <v>Below Expectation</v>
      </c>
      <c r="BB671" s="0" t="n">
        <f aca="false">IF(AZ671="",0,IF(AZ671&gt;=Assumptions!$I$26,1,0))</f>
        <v>0</v>
      </c>
      <c r="BC671" s="9" t="n">
        <f aca="false">IF(AL671="",2,AL671+2)</f>
        <v>1</v>
      </c>
      <c r="BD671" s="10" t="n">
        <f aca="false">IF(AM671="",ROUND(AVERAGE($AM$2:$AM$921),3),AM671)</f>
        <v>0.548</v>
      </c>
      <c r="BE671" s="9" t="n">
        <f aca="false">1-BD671</f>
        <v>0.452</v>
      </c>
    </row>
    <row r="672" customFormat="false" ht="14.25" hidden="true" customHeight="false" outlineLevel="0" collapsed="false">
      <c r="A672" s="4" t="n">
        <v>168</v>
      </c>
      <c r="B672" s="5" t="n">
        <v>10051720</v>
      </c>
      <c r="C672" s="5" t="s">
        <v>85</v>
      </c>
      <c r="D672" s="5" t="s">
        <v>2360</v>
      </c>
      <c r="E672" s="5" t="s">
        <v>137</v>
      </c>
      <c r="F672" s="5" t="s">
        <v>483</v>
      </c>
      <c r="G672" s="5" t="s">
        <v>484</v>
      </c>
      <c r="H672" s="5" t="s">
        <v>483</v>
      </c>
      <c r="I672" s="5" t="s">
        <v>63</v>
      </c>
      <c r="J672" s="5" t="s">
        <v>76</v>
      </c>
      <c r="K672" s="5" t="s">
        <v>309</v>
      </c>
      <c r="L672" s="6" t="n">
        <v>42268</v>
      </c>
      <c r="M672" s="5" t="s">
        <v>800</v>
      </c>
      <c r="N672" s="6" t="n">
        <v>32903</v>
      </c>
      <c r="O672" s="5" t="s">
        <v>365</v>
      </c>
      <c r="P672" s="5" t="s">
        <v>365</v>
      </c>
      <c r="Q672" s="5" t="s">
        <v>1188</v>
      </c>
      <c r="R672" s="5" t="s">
        <v>433</v>
      </c>
      <c r="S672" s="5" t="s">
        <v>2072</v>
      </c>
      <c r="T672" s="6"/>
      <c r="U672" s="6"/>
      <c r="V672" s="5" t="s">
        <v>631</v>
      </c>
      <c r="W672" s="5" t="s">
        <v>631</v>
      </c>
      <c r="X672" s="5" t="s">
        <v>141</v>
      </c>
      <c r="Y672" s="5" t="s">
        <v>631</v>
      </c>
      <c r="Z672" s="5" t="s">
        <v>631</v>
      </c>
      <c r="AA672" s="5" t="s">
        <v>2361</v>
      </c>
      <c r="AB672" s="0" t="n">
        <f aca="false">IFERROR(VALUE(R672),0)</f>
        <v>3</v>
      </c>
      <c r="AC672" s="0" t="n">
        <f aca="false">IFERROR(VALUE(M672),"")</f>
        <v>36.4</v>
      </c>
      <c r="AD672" s="0" t="n">
        <f aca="false">IFERROR(VALUE(Q672),"")</f>
        <v>10.8</v>
      </c>
      <c r="AE672" s="0" t="n">
        <f aca="false">IFERROR(VALUE(S672),"")</f>
        <v>13.8</v>
      </c>
      <c r="AF672" s="0" t="n">
        <f aca="false">IF(V672="","",VLOOKUP(V672,Assumptions!$B$6:$C$9,2,FALSE()))</f>
        <v>2</v>
      </c>
      <c r="AG672" s="0" t="n">
        <f aca="false">IF(W672="","",VLOOKUP(W672,Assumptions!$B$6:$C$9,2,FALSE()))</f>
        <v>2</v>
      </c>
      <c r="AH672" s="0" t="n">
        <f aca="false">IF(X672="","",VLOOKUP(X672,Assumptions!$B$6:$C$9,2,FALSE()))</f>
        <v>3</v>
      </c>
      <c r="AI672" s="0" t="n">
        <f aca="false">IF(Y672="","",VLOOKUP(Y672,Assumptions!$B$6:$C$9,2,FALSE()))</f>
        <v>2</v>
      </c>
      <c r="AJ672" s="0" t="n">
        <f aca="false">IF(Z672="","",VLOOKUP(Z672,Assumptions!$B$6:$C$9,2,FALSE()))</f>
        <v>2</v>
      </c>
      <c r="AK672" s="7" t="n">
        <f aca="false">IFERROR(ROUND(AVERAGE(AF672:AJ672),3),"")</f>
        <v>2.2</v>
      </c>
      <c r="AL672" s="7" t="n">
        <f aca="false">IF(OR(AF672="",AJ672=""),"",AJ672-AF672)</f>
        <v>0</v>
      </c>
      <c r="AM672" s="7" t="n">
        <f aca="false">IF(COUNT(AF672:AJ672)&gt;=2,ROUND(_xlfn.STDEV.S(AF672:AJ672),3),"")</f>
        <v>0.447</v>
      </c>
      <c r="AN672" s="7" t="n">
        <f aca="false">ROUND((IF(AF672="",0,AF672)*Assumptions!$F$15)+(IF(AG672="",0,AG672)*Assumptions!$F$16)+(IF(AH672="",0,AH672)*Assumptions!$F$17)+(IF(AI672="",0,AI672)*Assumptions!$F$18)+(IF(AJ672="",0,AJ672)*Assumptions!$F$19),3)</f>
        <v>2.2</v>
      </c>
      <c r="AO672" s="0" t="str">
        <f aca="false">IF(AC672&lt;=20,"",IF(AC672&lt;=Assumptions!$F$6,"20-30",IF(AC672&lt;=Assumptions!$F$7,"30-40",IF(AC672&lt;=Assumptions!$F$8,"40-50",IF(AC672&lt;=Assumptions!$F$9,"50-60",IF(AC672&lt;=Assumptions!$F$10,"60+",""))))))</f>
        <v>30-40</v>
      </c>
      <c r="AP672" s="0" t="str">
        <f aca="false">IFERROR(VLOOKUP(O672,Assumptions!$B$14:$C$26,2,FALSE()),"Other")</f>
        <v>Manager</v>
      </c>
      <c r="AQ672" s="0" t="n">
        <f aca="false">IF(T672="",0,1)</f>
        <v>0</v>
      </c>
      <c r="AR672" s="0" t="n">
        <f aca="false">IF(U672="",0,1)</f>
        <v>0</v>
      </c>
      <c r="AS672" s="8" t="n">
        <f aca="false">IF(AK672="","",IF(MAX($AK$2:$AK$921)=MIN($AK$2:$AK$921),50,ROUND((AK672-MIN($AK$2:$AK$921))/(MAX($AK$2:$AK$921)-MIN($AK$2:$AK$921))*100,2)))</f>
        <v>22.85</v>
      </c>
      <c r="AT672" s="8" t="n">
        <f aca="false">IF(MAX($BC$2:$BC$921)=MIN($BC$2:$BC$921),50,ROUND((BC672-MIN($BC$2:$BC$921))/(MAX($BC$2:$BC$921)-MIN($BC$2:$BC$921))*100,2))</f>
        <v>50</v>
      </c>
      <c r="AU672" s="8" t="n">
        <f aca="false">IF(MAX($BE$2:$BE$921)=MIN($BE$2:$BE$921),50,ROUND((BE672-MIN($BE$2:$BE$921))/(MAX($BE$2:$BE$921)-MIN($BE$2:$BE$921))*100,2))</f>
        <v>74.19</v>
      </c>
      <c r="AV672" s="8" t="n">
        <f aca="false">IF(MAX($AD$2:$AD$921)=MIN($AD$2:$AD$921),50,ROUND((AD672-MIN($AD$2:$AD$921))/(MAX($AD$2:$AD$921)-MIN($AD$2:$AD$921))*100,2))</f>
        <v>29.06</v>
      </c>
      <c r="AW672" s="8" t="n">
        <f aca="false">IF(MAX($AN$2:$AN$921)=MIN($AN$2:$AN$921),50,ROUND((AN672-MIN($AN$2:$AN$921))/(MAX($AN$2:$AN$921)-MIN($AN$2:$AN$921))*100,2))</f>
        <v>55</v>
      </c>
      <c r="AX672" s="8" t="n">
        <f aca="false">AQ672*100</f>
        <v>0</v>
      </c>
      <c r="AY672" s="8" t="n">
        <f aca="false">AR672*100</f>
        <v>0</v>
      </c>
      <c r="AZ672" s="8" t="n">
        <f aca="false">IFERROR(ROUND(AS672*Assumptions!$I$6+AW672*Assumptions!$I$7+AT672*Assumptions!$I$8+AU672*Assumptions!$I$9+AV672*Assumptions!$I$10+AX672*Assumptions!$I$11+AY672*Assumptions!$I$12,2),"")</f>
        <v>39.39</v>
      </c>
      <c r="BA672" s="0" t="str">
        <f aca="false">IF(AZ672="","",IF(AZ672&lt;=Assumptions!$I$18,"Below Expectation",IF(AZ672&lt;=Assumptions!$I$19,"Developing",IF(AZ672&lt;=Assumptions!$I$20,"Meets Expectation",IF(AZ672&lt;=Assumptions!$I$21,"Exceeds","Star Performer")))))</f>
        <v>Below Expectation</v>
      </c>
      <c r="BB672" s="0" t="n">
        <f aca="false">IF(AZ672="",0,IF(AZ672&gt;=Assumptions!$I$26,1,0))</f>
        <v>0</v>
      </c>
      <c r="BC672" s="9" t="n">
        <f aca="false">IF(AL672="",2,AL672+2)</f>
        <v>2</v>
      </c>
      <c r="BD672" s="10" t="n">
        <f aca="false">IF(AM672="",ROUND(AVERAGE($AM$2:$AM$921),3),AM672)</f>
        <v>0.447</v>
      </c>
      <c r="BE672" s="9" t="n">
        <f aca="false">1-BD672</f>
        <v>0.553</v>
      </c>
    </row>
    <row r="673" customFormat="false" ht="14.25" hidden="true" customHeight="false" outlineLevel="0" collapsed="false">
      <c r="A673" s="4" t="n">
        <v>146</v>
      </c>
      <c r="B673" s="5" t="n">
        <v>10046374</v>
      </c>
      <c r="C673" s="5" t="s">
        <v>85</v>
      </c>
      <c r="D673" s="5" t="s">
        <v>2362</v>
      </c>
      <c r="E673" s="5" t="s">
        <v>1070</v>
      </c>
      <c r="F673" s="5" t="s">
        <v>1731</v>
      </c>
      <c r="G673" s="5" t="s">
        <v>1732</v>
      </c>
      <c r="H673" s="5" t="s">
        <v>1731</v>
      </c>
      <c r="I673" s="5" t="s">
        <v>63</v>
      </c>
      <c r="J673" s="5" t="s">
        <v>76</v>
      </c>
      <c r="K673" s="5" t="s">
        <v>65</v>
      </c>
      <c r="L673" s="6" t="n">
        <v>41925</v>
      </c>
      <c r="M673" s="5" t="s">
        <v>700</v>
      </c>
      <c r="N673" s="6" t="n">
        <v>32033</v>
      </c>
      <c r="O673" s="5" t="s">
        <v>2069</v>
      </c>
      <c r="P673" s="5" t="s">
        <v>2069</v>
      </c>
      <c r="Q673" s="5" t="s">
        <v>172</v>
      </c>
      <c r="R673" s="5" t="s">
        <v>459</v>
      </c>
      <c r="S673" s="5" t="s">
        <v>411</v>
      </c>
      <c r="T673" s="6"/>
      <c r="U673" s="6"/>
      <c r="V673" s="5" t="s">
        <v>631</v>
      </c>
      <c r="W673" s="5" t="s">
        <v>141</v>
      </c>
      <c r="X673" s="5" t="s">
        <v>631</v>
      </c>
      <c r="Y673" s="5" t="s">
        <v>631</v>
      </c>
      <c r="Z673" s="5" t="s">
        <v>631</v>
      </c>
      <c r="AA673" s="5" t="s">
        <v>2363</v>
      </c>
      <c r="AB673" s="0" t="n">
        <f aca="false">IFERROR(VALUE(R673),0)</f>
        <v>7</v>
      </c>
      <c r="AC673" s="0" t="n">
        <f aca="false">IFERROR(VALUE(M673),"")</f>
        <v>38.8</v>
      </c>
      <c r="AD673" s="0" t="n">
        <f aca="false">IFERROR(VALUE(Q673),"")</f>
        <v>11.7</v>
      </c>
      <c r="AE673" s="0" t="n">
        <f aca="false">IFERROR(VALUE(S673),"")</f>
        <v>18.7</v>
      </c>
      <c r="AF673" s="0" t="n">
        <f aca="false">IF(V673="","",VLOOKUP(V673,Assumptions!$B$6:$C$9,2,FALSE()))</f>
        <v>2</v>
      </c>
      <c r="AG673" s="0" t="n">
        <f aca="false">IF(W673="","",VLOOKUP(W673,Assumptions!$B$6:$C$9,2,FALSE()))</f>
        <v>3</v>
      </c>
      <c r="AH673" s="0" t="n">
        <f aca="false">IF(X673="","",VLOOKUP(X673,Assumptions!$B$6:$C$9,2,FALSE()))</f>
        <v>2</v>
      </c>
      <c r="AI673" s="0" t="n">
        <f aca="false">IF(Y673="","",VLOOKUP(Y673,Assumptions!$B$6:$C$9,2,FALSE()))</f>
        <v>2</v>
      </c>
      <c r="AJ673" s="0" t="n">
        <f aca="false">IF(Z673="","",VLOOKUP(Z673,Assumptions!$B$6:$C$9,2,FALSE()))</f>
        <v>2</v>
      </c>
      <c r="AK673" s="7" t="n">
        <f aca="false">IFERROR(ROUND(AVERAGE(AF673:AJ673),3),"")</f>
        <v>2.2</v>
      </c>
      <c r="AL673" s="7" t="n">
        <f aca="false">IF(OR(AF673="",AJ673=""),"",AJ673-AF673)</f>
        <v>0</v>
      </c>
      <c r="AM673" s="7" t="n">
        <f aca="false">IF(COUNT(AF673:AJ673)&gt;=2,ROUND(_xlfn.STDEV.S(AF673:AJ673),3),"")</f>
        <v>0.447</v>
      </c>
      <c r="AN673" s="7" t="n">
        <f aca="false">ROUND((IF(AF673="",0,AF673)*Assumptions!$F$15)+(IF(AG673="",0,AG673)*Assumptions!$F$16)+(IF(AH673="",0,AH673)*Assumptions!$F$17)+(IF(AI673="",0,AI673)*Assumptions!$F$18)+(IF(AJ673="",0,AJ673)*Assumptions!$F$19),3)</f>
        <v>2.15</v>
      </c>
      <c r="AO673" s="0" t="str">
        <f aca="false">IF(AC673&lt;=20,"",IF(AC673&lt;=Assumptions!$F$6,"20-30",IF(AC673&lt;=Assumptions!$F$7,"30-40",IF(AC673&lt;=Assumptions!$F$8,"40-50",IF(AC673&lt;=Assumptions!$F$9,"50-60",IF(AC673&lt;=Assumptions!$F$10,"60+",""))))))</f>
        <v>30-40</v>
      </c>
      <c r="AP673" s="0" t="str">
        <f aca="false">IFERROR(VLOOKUP(O673,Assumptions!$B$14:$C$26,2,FALSE()),"Other")</f>
        <v>Executive</v>
      </c>
      <c r="AQ673" s="0" t="n">
        <f aca="false">IF(T673="",0,1)</f>
        <v>0</v>
      </c>
      <c r="AR673" s="0" t="n">
        <f aca="false">IF(U673="",0,1)</f>
        <v>0</v>
      </c>
      <c r="AS673" s="8" t="n">
        <f aca="false">IF(AK673="","",IF(MAX($AK$2:$AK$921)=MIN($AK$2:$AK$921),50,ROUND((AK673-MIN($AK$2:$AK$921))/(MAX($AK$2:$AK$921)-MIN($AK$2:$AK$921))*100,2)))</f>
        <v>22.85</v>
      </c>
      <c r="AT673" s="8" t="n">
        <f aca="false">IF(MAX($BC$2:$BC$921)=MIN($BC$2:$BC$921),50,ROUND((BC673-MIN($BC$2:$BC$921))/(MAX($BC$2:$BC$921)-MIN($BC$2:$BC$921))*100,2))</f>
        <v>50</v>
      </c>
      <c r="AU673" s="8" t="n">
        <f aca="false">IF(MAX($BE$2:$BE$921)=MIN($BE$2:$BE$921),50,ROUND((BE673-MIN($BE$2:$BE$921))/(MAX($BE$2:$BE$921)-MIN($BE$2:$BE$921))*100,2))</f>
        <v>74.19</v>
      </c>
      <c r="AV673" s="8" t="n">
        <f aca="false">IF(MAX($AD$2:$AD$921)=MIN($AD$2:$AD$921),50,ROUND((AD673-MIN($AD$2:$AD$921))/(MAX($AD$2:$AD$921)-MIN($AD$2:$AD$921))*100,2))</f>
        <v>31.5</v>
      </c>
      <c r="AW673" s="8" t="n">
        <f aca="false">IF(MAX($AN$2:$AN$921)=MIN($AN$2:$AN$921),50,ROUND((AN673-MIN($AN$2:$AN$921))/(MAX($AN$2:$AN$921)-MIN($AN$2:$AN$921))*100,2))</f>
        <v>53.75</v>
      </c>
      <c r="AX673" s="8" t="n">
        <f aca="false">AQ673*100</f>
        <v>0</v>
      </c>
      <c r="AY673" s="8" t="n">
        <f aca="false">AR673*100</f>
        <v>0</v>
      </c>
      <c r="AZ673" s="8" t="n">
        <f aca="false">IFERROR(ROUND(AS673*Assumptions!$I$6+AW673*Assumptions!$I$7+AT673*Assumptions!$I$8+AU673*Assumptions!$I$9+AV673*Assumptions!$I$10+AX673*Assumptions!$I$11+AY673*Assumptions!$I$12,2),"")</f>
        <v>39.38</v>
      </c>
      <c r="BA673" s="0" t="str">
        <f aca="false">IF(AZ673="","",IF(AZ673&lt;=Assumptions!$I$18,"Below Expectation",IF(AZ673&lt;=Assumptions!$I$19,"Developing",IF(AZ673&lt;=Assumptions!$I$20,"Meets Expectation",IF(AZ673&lt;=Assumptions!$I$21,"Exceeds","Star Performer")))))</f>
        <v>Below Expectation</v>
      </c>
      <c r="BB673" s="0" t="n">
        <f aca="false">IF(AZ673="",0,IF(AZ673&gt;=Assumptions!$I$26,1,0))</f>
        <v>0</v>
      </c>
      <c r="BC673" s="9" t="n">
        <f aca="false">IF(AL673="",2,AL673+2)</f>
        <v>2</v>
      </c>
      <c r="BD673" s="10" t="n">
        <f aca="false">IF(AM673="",ROUND(AVERAGE($AM$2:$AM$921),3),AM673)</f>
        <v>0.447</v>
      </c>
      <c r="BE673" s="9" t="n">
        <f aca="false">1-BD673</f>
        <v>0.553</v>
      </c>
    </row>
    <row r="674" customFormat="false" ht="14.25" hidden="true" customHeight="false" outlineLevel="0" collapsed="false">
      <c r="A674" s="4" t="n">
        <v>261</v>
      </c>
      <c r="B674" s="5" t="n">
        <v>10066923</v>
      </c>
      <c r="C674" s="5" t="s">
        <v>85</v>
      </c>
      <c r="D674" s="5" t="s">
        <v>2364</v>
      </c>
      <c r="E674" s="5" t="s">
        <v>315</v>
      </c>
      <c r="F674" s="5" t="s">
        <v>199</v>
      </c>
      <c r="G674" s="5" t="s">
        <v>200</v>
      </c>
      <c r="H674" s="5" t="s">
        <v>201</v>
      </c>
      <c r="I674" s="5" t="s">
        <v>63</v>
      </c>
      <c r="J674" s="5" t="s">
        <v>76</v>
      </c>
      <c r="K674" s="5" t="s">
        <v>65</v>
      </c>
      <c r="L674" s="6" t="n">
        <v>43486</v>
      </c>
      <c r="M674" s="5" t="s">
        <v>2115</v>
      </c>
      <c r="N674" s="6" t="n">
        <v>34233</v>
      </c>
      <c r="O674" s="5" t="s">
        <v>262</v>
      </c>
      <c r="P674" s="5" t="s">
        <v>263</v>
      </c>
      <c r="Q674" s="5" t="s">
        <v>656</v>
      </c>
      <c r="R674" s="5" t="s">
        <v>545</v>
      </c>
      <c r="S674" s="5" t="s">
        <v>714</v>
      </c>
      <c r="T674" s="6"/>
      <c r="U674" s="6" t="n">
        <v>44652</v>
      </c>
      <c r="V674" s="5" t="s">
        <v>141</v>
      </c>
      <c r="W674" s="5" t="s">
        <v>631</v>
      </c>
      <c r="X674" s="5" t="s">
        <v>631</v>
      </c>
      <c r="Y674" s="5" t="s">
        <v>631</v>
      </c>
      <c r="Z674" s="5" t="s">
        <v>631</v>
      </c>
      <c r="AA674" s="5" t="s">
        <v>2365</v>
      </c>
      <c r="AB674" s="0" t="n">
        <f aca="false">IFERROR(VALUE(R674),0)</f>
        <v>4.4</v>
      </c>
      <c r="AC674" s="0" t="n">
        <f aca="false">IFERROR(VALUE(M674),"")</f>
        <v>32.8</v>
      </c>
      <c r="AD674" s="0" t="n">
        <f aca="false">IFERROR(VALUE(Q674),"")</f>
        <v>7.4</v>
      </c>
      <c r="AE674" s="0" t="n">
        <f aca="false">IFERROR(VALUE(S674),"")</f>
        <v>11.8</v>
      </c>
      <c r="AF674" s="0" t="n">
        <f aca="false">IF(V674="","",VLOOKUP(V674,Assumptions!$B$6:$C$9,2,FALSE()))</f>
        <v>3</v>
      </c>
      <c r="AG674" s="0" t="n">
        <f aca="false">IF(W674="","",VLOOKUP(W674,Assumptions!$B$6:$C$9,2,FALSE()))</f>
        <v>2</v>
      </c>
      <c r="AH674" s="0" t="n">
        <f aca="false">IF(X674="","",VLOOKUP(X674,Assumptions!$B$6:$C$9,2,FALSE()))</f>
        <v>2</v>
      </c>
      <c r="AI674" s="0" t="n">
        <f aca="false">IF(Y674="","",VLOOKUP(Y674,Assumptions!$B$6:$C$9,2,FALSE()))</f>
        <v>2</v>
      </c>
      <c r="AJ674" s="0" t="n">
        <f aca="false">IF(Z674="","",VLOOKUP(Z674,Assumptions!$B$6:$C$9,2,FALSE()))</f>
        <v>2</v>
      </c>
      <c r="AK674" s="7" t="n">
        <f aca="false">IFERROR(ROUND(AVERAGE(AF674:AJ674),3),"")</f>
        <v>2.2</v>
      </c>
      <c r="AL674" s="7" t="n">
        <f aca="false">IF(OR(AF674="",AJ674=""),"",AJ674-AF674)</f>
        <v>-1</v>
      </c>
      <c r="AM674" s="7" t="n">
        <f aca="false">IF(COUNT(AF674:AJ674)&gt;=2,ROUND(_xlfn.STDEV.S(AF674:AJ674),3),"")</f>
        <v>0.447</v>
      </c>
      <c r="AN674" s="7" t="n">
        <f aca="false">ROUND((IF(AF674="",0,AF674)*Assumptions!$F$15)+(IF(AG674="",0,AG674)*Assumptions!$F$16)+(IF(AH674="",0,AH674)*Assumptions!$F$17)+(IF(AI674="",0,AI674)*Assumptions!$F$18)+(IF(AJ674="",0,AJ674)*Assumptions!$F$19),3)</f>
        <v>2.1</v>
      </c>
      <c r="AO674" s="0" t="str">
        <f aca="false">IF(AC674&lt;=20,"",IF(AC674&lt;=Assumptions!$F$6,"20-30",IF(AC674&lt;=Assumptions!$F$7,"30-40",IF(AC674&lt;=Assumptions!$F$8,"40-50",IF(AC674&lt;=Assumptions!$F$9,"50-60",IF(AC674&lt;=Assumptions!$F$10,"60+",""))))))</f>
        <v>30-40</v>
      </c>
      <c r="AP674" s="0" t="str">
        <f aca="false">IFERROR(VLOOKUP(O674,Assumptions!$B$14:$C$26,2,FALSE()),"Other")</f>
        <v>Manager</v>
      </c>
      <c r="AQ674" s="0" t="n">
        <f aca="false">IF(T674="",0,1)</f>
        <v>0</v>
      </c>
      <c r="AR674" s="0" t="n">
        <f aca="false">IF(U674="",0,1)</f>
        <v>1</v>
      </c>
      <c r="AS674" s="8" t="n">
        <f aca="false">IF(AK674="","",IF(MAX($AK$2:$AK$921)=MIN($AK$2:$AK$921),50,ROUND((AK674-MIN($AK$2:$AK$921))/(MAX($AK$2:$AK$921)-MIN($AK$2:$AK$921))*100,2)))</f>
        <v>22.85</v>
      </c>
      <c r="AT674" s="8" t="n">
        <f aca="false">IF(MAX($BC$2:$BC$921)=MIN($BC$2:$BC$921),50,ROUND((BC674-MIN($BC$2:$BC$921))/(MAX($BC$2:$BC$921)-MIN($BC$2:$BC$921))*100,2))</f>
        <v>25</v>
      </c>
      <c r="AU674" s="8" t="n">
        <f aca="false">IF(MAX($BE$2:$BE$921)=MIN($BE$2:$BE$921),50,ROUND((BE674-MIN($BE$2:$BE$921))/(MAX($BE$2:$BE$921)-MIN($BE$2:$BE$921))*100,2))</f>
        <v>74.19</v>
      </c>
      <c r="AV674" s="8" t="n">
        <f aca="false">IF(MAX($AD$2:$AD$921)=MIN($AD$2:$AD$921),50,ROUND((AD674-MIN($AD$2:$AD$921))/(MAX($AD$2:$AD$921)-MIN($AD$2:$AD$921))*100,2))</f>
        <v>19.82</v>
      </c>
      <c r="AW674" s="8" t="n">
        <f aca="false">IF(MAX($AN$2:$AN$921)=MIN($AN$2:$AN$921),50,ROUND((AN674-MIN($AN$2:$AN$921))/(MAX($AN$2:$AN$921)-MIN($AN$2:$AN$921))*100,2))</f>
        <v>52.5</v>
      </c>
      <c r="AX674" s="8" t="n">
        <f aca="false">AQ674*100</f>
        <v>0</v>
      </c>
      <c r="AY674" s="8" t="n">
        <f aca="false">AR674*100</f>
        <v>100</v>
      </c>
      <c r="AZ674" s="8" t="n">
        <f aca="false">IFERROR(ROUND(AS674*Assumptions!$I$6+AW674*Assumptions!$I$7+AT674*Assumptions!$I$8+AU674*Assumptions!$I$9+AV674*Assumptions!$I$10+AX674*Assumptions!$I$11+AY674*Assumptions!$I$12,2),"")</f>
        <v>39.22</v>
      </c>
      <c r="BA674" s="0" t="str">
        <f aca="false">IF(AZ674="","",IF(AZ674&lt;=Assumptions!$I$18,"Below Expectation",IF(AZ674&lt;=Assumptions!$I$19,"Developing",IF(AZ674&lt;=Assumptions!$I$20,"Meets Expectation",IF(AZ674&lt;=Assumptions!$I$21,"Exceeds","Star Performer")))))</f>
        <v>Below Expectation</v>
      </c>
      <c r="BB674" s="0" t="n">
        <f aca="false">IF(AZ674="",0,IF(AZ674&gt;=Assumptions!$I$26,1,0))</f>
        <v>0</v>
      </c>
      <c r="BC674" s="9" t="n">
        <f aca="false">IF(AL674="",2,AL674+2)</f>
        <v>1</v>
      </c>
      <c r="BD674" s="10" t="n">
        <f aca="false">IF(AM674="",ROUND(AVERAGE($AM$2:$AM$921),3),AM674)</f>
        <v>0.447</v>
      </c>
      <c r="BE674" s="9" t="n">
        <f aca="false">1-BD674</f>
        <v>0.553</v>
      </c>
    </row>
    <row r="675" customFormat="false" ht="14.25" hidden="true" customHeight="false" outlineLevel="0" collapsed="false">
      <c r="A675" s="4" t="n">
        <v>333</v>
      </c>
      <c r="B675" s="5" t="n">
        <v>30500612</v>
      </c>
      <c r="C675" s="5" t="s">
        <v>85</v>
      </c>
      <c r="D675" s="5" t="s">
        <v>2366</v>
      </c>
      <c r="E675" s="5" t="s">
        <v>751</v>
      </c>
      <c r="F675" s="5" t="s">
        <v>349</v>
      </c>
      <c r="G675" s="5" t="s">
        <v>350</v>
      </c>
      <c r="H675" s="5" t="s">
        <v>349</v>
      </c>
      <c r="I675" s="5" t="s">
        <v>63</v>
      </c>
      <c r="J675" s="5" t="s">
        <v>76</v>
      </c>
      <c r="K675" s="5" t="s">
        <v>65</v>
      </c>
      <c r="L675" s="6" t="n">
        <v>37135</v>
      </c>
      <c r="M675" s="5" t="s">
        <v>1516</v>
      </c>
      <c r="N675" s="6" t="n">
        <v>27120</v>
      </c>
      <c r="O675" s="5" t="s">
        <v>332</v>
      </c>
      <c r="P675" s="5" t="s">
        <v>333</v>
      </c>
      <c r="Q675" s="5" t="s">
        <v>1789</v>
      </c>
      <c r="R675" s="5" t="s">
        <v>1407</v>
      </c>
      <c r="S675" s="5" t="s">
        <v>1116</v>
      </c>
      <c r="T675" s="6"/>
      <c r="U675" s="6"/>
      <c r="V675" s="5" t="s">
        <v>141</v>
      </c>
      <c r="W675" s="5" t="s">
        <v>631</v>
      </c>
      <c r="X675" s="5" t="s">
        <v>631</v>
      </c>
      <c r="Y675" s="5" t="s">
        <v>631</v>
      </c>
      <c r="Z675" s="5" t="s">
        <v>631</v>
      </c>
      <c r="AA675" s="5" t="s">
        <v>2367</v>
      </c>
      <c r="AB675" s="0" t="n">
        <f aca="false">IFERROR(VALUE(R675),0)</f>
        <v>4.3</v>
      </c>
      <c r="AC675" s="0" t="n">
        <f aca="false">IFERROR(VALUE(M675),"")</f>
        <v>52.2</v>
      </c>
      <c r="AD675" s="0" t="n">
        <f aca="false">IFERROR(VALUE(Q675),"")</f>
        <v>24.9</v>
      </c>
      <c r="AE675" s="0" t="n">
        <f aca="false">IFERROR(VALUE(S675),"")</f>
        <v>29</v>
      </c>
      <c r="AF675" s="0" t="n">
        <f aca="false">IF(V675="","",VLOOKUP(V675,Assumptions!$B$6:$C$9,2,FALSE()))</f>
        <v>3</v>
      </c>
      <c r="AG675" s="0" t="n">
        <f aca="false">IF(W675="","",VLOOKUP(W675,Assumptions!$B$6:$C$9,2,FALSE()))</f>
        <v>2</v>
      </c>
      <c r="AH675" s="0" t="n">
        <f aca="false">IF(X675="","",VLOOKUP(X675,Assumptions!$B$6:$C$9,2,FALSE()))</f>
        <v>2</v>
      </c>
      <c r="AI675" s="0" t="n">
        <f aca="false">IF(Y675="","",VLOOKUP(Y675,Assumptions!$B$6:$C$9,2,FALSE()))</f>
        <v>2</v>
      </c>
      <c r="AJ675" s="0" t="n">
        <f aca="false">IF(Z675="","",VLOOKUP(Z675,Assumptions!$B$6:$C$9,2,FALSE()))</f>
        <v>2</v>
      </c>
      <c r="AK675" s="7" t="n">
        <f aca="false">IFERROR(ROUND(AVERAGE(AF675:AJ675),3),"")</f>
        <v>2.2</v>
      </c>
      <c r="AL675" s="7" t="n">
        <f aca="false">IF(OR(AF675="",AJ675=""),"",AJ675-AF675)</f>
        <v>-1</v>
      </c>
      <c r="AM675" s="7" t="n">
        <f aca="false">IF(COUNT(AF675:AJ675)&gt;=2,ROUND(_xlfn.STDEV.S(AF675:AJ675),3),"")</f>
        <v>0.447</v>
      </c>
      <c r="AN675" s="7" t="n">
        <f aca="false">ROUND((IF(AF675="",0,AF675)*Assumptions!$F$15)+(IF(AG675="",0,AG675)*Assumptions!$F$16)+(IF(AH675="",0,AH675)*Assumptions!$F$17)+(IF(AI675="",0,AI675)*Assumptions!$F$18)+(IF(AJ675="",0,AJ675)*Assumptions!$F$19),3)</f>
        <v>2.1</v>
      </c>
      <c r="AO675" s="0" t="str">
        <f aca="false">IF(AC675&lt;=20,"",IF(AC675&lt;=Assumptions!$F$6,"20-30",IF(AC675&lt;=Assumptions!$F$7,"30-40",IF(AC675&lt;=Assumptions!$F$8,"40-50",IF(AC675&lt;=Assumptions!$F$9,"50-60",IF(AC675&lt;=Assumptions!$F$10,"60+",""))))))</f>
        <v>50-60</v>
      </c>
      <c r="AP675" s="0" t="str">
        <f aca="false">IFERROR(VLOOKUP(O675,Assumptions!$B$14:$C$26,2,FALSE()),"Other")</f>
        <v>Manager</v>
      </c>
      <c r="AQ675" s="0" t="n">
        <f aca="false">IF(T675="",0,1)</f>
        <v>0</v>
      </c>
      <c r="AR675" s="0" t="n">
        <f aca="false">IF(U675="",0,1)</f>
        <v>0</v>
      </c>
      <c r="AS675" s="8" t="n">
        <f aca="false">IF(AK675="","",IF(MAX($AK$2:$AK$921)=MIN($AK$2:$AK$921),50,ROUND((AK675-MIN($AK$2:$AK$921))/(MAX($AK$2:$AK$921)-MIN($AK$2:$AK$921))*100,2)))</f>
        <v>22.85</v>
      </c>
      <c r="AT675" s="8" t="n">
        <f aca="false">IF(MAX($BC$2:$BC$921)=MIN($BC$2:$BC$921),50,ROUND((BC675-MIN($BC$2:$BC$921))/(MAX($BC$2:$BC$921)-MIN($BC$2:$BC$921))*100,2))</f>
        <v>25</v>
      </c>
      <c r="AU675" s="8" t="n">
        <f aca="false">IF(MAX($BE$2:$BE$921)=MIN($BE$2:$BE$921),50,ROUND((BE675-MIN($BE$2:$BE$921))/(MAX($BE$2:$BE$921)-MIN($BE$2:$BE$921))*100,2))</f>
        <v>74.19</v>
      </c>
      <c r="AV675" s="8" t="n">
        <f aca="false">IF(MAX($AD$2:$AD$921)=MIN($AD$2:$AD$921),50,ROUND((AD675-MIN($AD$2:$AD$921))/(MAX($AD$2:$AD$921)-MIN($AD$2:$AD$921))*100,2))</f>
        <v>67.38</v>
      </c>
      <c r="AW675" s="8" t="n">
        <f aca="false">IF(MAX($AN$2:$AN$921)=MIN($AN$2:$AN$921),50,ROUND((AN675-MIN($AN$2:$AN$921))/(MAX($AN$2:$AN$921)-MIN($AN$2:$AN$921))*100,2))</f>
        <v>52.5</v>
      </c>
      <c r="AX675" s="8" t="n">
        <f aca="false">AQ675*100</f>
        <v>0</v>
      </c>
      <c r="AY675" s="8" t="n">
        <f aca="false">AR675*100</f>
        <v>0</v>
      </c>
      <c r="AZ675" s="8" t="n">
        <f aca="false">IFERROR(ROUND(AS675*Assumptions!$I$6+AW675*Assumptions!$I$7+AT675*Assumptions!$I$8+AU675*Assumptions!$I$9+AV675*Assumptions!$I$10+AX675*Assumptions!$I$11+AY675*Assumptions!$I$12,2),"")</f>
        <v>38.97</v>
      </c>
      <c r="BA675" s="0" t="str">
        <f aca="false">IF(AZ675="","",IF(AZ675&lt;=Assumptions!$I$18,"Below Expectation",IF(AZ675&lt;=Assumptions!$I$19,"Developing",IF(AZ675&lt;=Assumptions!$I$20,"Meets Expectation",IF(AZ675&lt;=Assumptions!$I$21,"Exceeds","Star Performer")))))</f>
        <v>Below Expectation</v>
      </c>
      <c r="BB675" s="0" t="n">
        <f aca="false">IF(AZ675="",0,IF(AZ675&gt;=Assumptions!$I$26,1,0))</f>
        <v>0</v>
      </c>
      <c r="BC675" s="9" t="n">
        <f aca="false">IF(AL675="",2,AL675+2)</f>
        <v>1</v>
      </c>
      <c r="BD675" s="10" t="n">
        <f aca="false">IF(AM675="",ROUND(AVERAGE($AM$2:$AM$921),3),AM675)</f>
        <v>0.447</v>
      </c>
      <c r="BE675" s="9" t="n">
        <f aca="false">1-BD675</f>
        <v>0.553</v>
      </c>
    </row>
    <row r="676" customFormat="false" ht="14.25" hidden="true" customHeight="false" outlineLevel="0" collapsed="false">
      <c r="A676" s="4" t="n">
        <v>250</v>
      </c>
      <c r="B676" s="5" t="n">
        <v>10065730</v>
      </c>
      <c r="C676" s="5" t="s">
        <v>858</v>
      </c>
      <c r="D676" s="5" t="s">
        <v>2368</v>
      </c>
      <c r="E676" s="5" t="s">
        <v>2369</v>
      </c>
      <c r="F676" s="5" t="s">
        <v>2370</v>
      </c>
      <c r="G676" s="5" t="s">
        <v>2371</v>
      </c>
      <c r="H676" s="5" t="s">
        <v>2372</v>
      </c>
      <c r="I676" s="5" t="s">
        <v>63</v>
      </c>
      <c r="J676" s="5" t="s">
        <v>100</v>
      </c>
      <c r="K676" s="5" t="s">
        <v>65</v>
      </c>
      <c r="L676" s="6" t="n">
        <v>43367</v>
      </c>
      <c r="M676" s="5" t="s">
        <v>2373</v>
      </c>
      <c r="N676" s="6" t="n">
        <v>26452</v>
      </c>
      <c r="O676" s="5" t="s">
        <v>162</v>
      </c>
      <c r="P676" s="5" t="s">
        <v>162</v>
      </c>
      <c r="Q676" s="5" t="s">
        <v>392</v>
      </c>
      <c r="R676" s="5" t="s">
        <v>132</v>
      </c>
      <c r="S676" s="5" t="s">
        <v>1228</v>
      </c>
      <c r="T676" s="6"/>
      <c r="U676" s="6"/>
      <c r="V676" s="5" t="s">
        <v>631</v>
      </c>
      <c r="W676" s="5" t="s">
        <v>631</v>
      </c>
      <c r="X676" s="5" t="s">
        <v>631</v>
      </c>
      <c r="Y676" s="5" t="s">
        <v>631</v>
      </c>
      <c r="Z676" s="5" t="s">
        <v>631</v>
      </c>
      <c r="AA676" s="5" t="s">
        <v>2374</v>
      </c>
      <c r="AB676" s="0" t="n">
        <f aca="false">IFERROR(VALUE(R676),0)</f>
        <v>23.7</v>
      </c>
      <c r="AC676" s="0" t="n">
        <f aca="false">IFERROR(VALUE(M676),"")</f>
        <v>54</v>
      </c>
      <c r="AD676" s="0" t="n">
        <f aca="false">IFERROR(VALUE(Q676),"")</f>
        <v>7.8</v>
      </c>
      <c r="AE676" s="0" t="n">
        <f aca="false">IFERROR(VALUE(S676),"")</f>
        <v>31.3</v>
      </c>
      <c r="AF676" s="0" t="n">
        <f aca="false">IF(V676="","",VLOOKUP(V676,Assumptions!$B$6:$C$9,2,FALSE()))</f>
        <v>2</v>
      </c>
      <c r="AG676" s="0" t="n">
        <f aca="false">IF(W676="","",VLOOKUP(W676,Assumptions!$B$6:$C$9,2,FALSE()))</f>
        <v>2</v>
      </c>
      <c r="AH676" s="0" t="n">
        <f aca="false">IF(X676="","",VLOOKUP(X676,Assumptions!$B$6:$C$9,2,FALSE()))</f>
        <v>2</v>
      </c>
      <c r="AI676" s="0" t="n">
        <f aca="false">IF(Y676="","",VLOOKUP(Y676,Assumptions!$B$6:$C$9,2,FALSE()))</f>
        <v>2</v>
      </c>
      <c r="AJ676" s="0" t="n">
        <f aca="false">IF(Z676="","",VLOOKUP(Z676,Assumptions!$B$6:$C$9,2,FALSE()))</f>
        <v>2</v>
      </c>
      <c r="AK676" s="7" t="n">
        <f aca="false">IFERROR(ROUND(AVERAGE(AF676:AJ676),3),"")</f>
        <v>2</v>
      </c>
      <c r="AL676" s="7" t="n">
        <f aca="false">IF(OR(AF676="",AJ676=""),"",AJ676-AF676)</f>
        <v>0</v>
      </c>
      <c r="AM676" s="7" t="n">
        <f aca="false">IF(COUNT(AF676:AJ676)&gt;=2,ROUND(_xlfn.STDEV.S(AF676:AJ676),3),"")</f>
        <v>0</v>
      </c>
      <c r="AN676" s="7" t="n">
        <f aca="false">ROUND((IF(AF676="",0,AF676)*Assumptions!$F$15)+(IF(AG676="",0,AG676)*Assumptions!$F$16)+(IF(AH676="",0,AH676)*Assumptions!$F$17)+(IF(AI676="",0,AI676)*Assumptions!$F$18)+(IF(AJ676="",0,AJ676)*Assumptions!$F$19),3)</f>
        <v>2</v>
      </c>
      <c r="AO676" s="0" t="str">
        <f aca="false">IF(AC676&lt;=20,"",IF(AC676&lt;=Assumptions!$F$6,"20-30",IF(AC676&lt;=Assumptions!$F$7,"30-40",IF(AC676&lt;=Assumptions!$F$8,"40-50",IF(AC676&lt;=Assumptions!$F$9,"50-60",IF(AC676&lt;=Assumptions!$F$10,"60+",""))))))</f>
        <v>50-60</v>
      </c>
      <c r="AP676" s="0" t="str">
        <f aca="false">IFERROR(VLOOKUP(O676,Assumptions!$B$14:$C$26,2,FALSE()),"Other")</f>
        <v>Manager</v>
      </c>
      <c r="AQ676" s="0" t="n">
        <f aca="false">IF(T676="",0,1)</f>
        <v>0</v>
      </c>
      <c r="AR676" s="0" t="n">
        <f aca="false">IF(U676="",0,1)</f>
        <v>0</v>
      </c>
      <c r="AS676" s="8" t="n">
        <f aca="false">IF(AK676="","",IF(MAX($AK$2:$AK$921)=MIN($AK$2:$AK$921),50,ROUND((AK676-MIN($AK$2:$AK$921))/(MAX($AK$2:$AK$921)-MIN($AK$2:$AK$921))*100,2)))</f>
        <v>14.27</v>
      </c>
      <c r="AT676" s="8" t="n">
        <f aca="false">IF(MAX($BC$2:$BC$921)=MIN($BC$2:$BC$921),50,ROUND((BC676-MIN($BC$2:$BC$921))/(MAX($BC$2:$BC$921)-MIN($BC$2:$BC$921))*100,2))</f>
        <v>50</v>
      </c>
      <c r="AU676" s="8" t="n">
        <f aca="false">IF(MAX($BE$2:$BE$921)=MIN($BE$2:$BE$921),50,ROUND((BE676-MIN($BE$2:$BE$921))/(MAX($BE$2:$BE$921)-MIN($BE$2:$BE$921))*100,2))</f>
        <v>100</v>
      </c>
      <c r="AV676" s="8" t="n">
        <f aca="false">IF(MAX($AD$2:$AD$921)=MIN($AD$2:$AD$921),50,ROUND((AD676-MIN($AD$2:$AD$921))/(MAX($AD$2:$AD$921)-MIN($AD$2:$AD$921))*100,2))</f>
        <v>20.9</v>
      </c>
      <c r="AW676" s="8" t="n">
        <f aca="false">IF(MAX($AN$2:$AN$921)=MIN($AN$2:$AN$921),50,ROUND((AN676-MIN($AN$2:$AN$921))/(MAX($AN$2:$AN$921)-MIN($AN$2:$AN$921))*100,2))</f>
        <v>50</v>
      </c>
      <c r="AX676" s="8" t="n">
        <f aca="false">AQ676*100</f>
        <v>0</v>
      </c>
      <c r="AY676" s="8" t="n">
        <f aca="false">AR676*100</f>
        <v>0</v>
      </c>
      <c r="AZ676" s="8" t="n">
        <f aca="false">IFERROR(ROUND(AS676*Assumptions!$I$6+AW676*Assumptions!$I$7+AT676*Assumptions!$I$8+AU676*Assumptions!$I$9+AV676*Assumptions!$I$10+AX676*Assumptions!$I$11+AY676*Assumptions!$I$12,2),"")</f>
        <v>38.87</v>
      </c>
      <c r="BA676" s="0" t="str">
        <f aca="false">IF(AZ676="","",IF(AZ676&lt;=Assumptions!$I$18,"Below Expectation",IF(AZ676&lt;=Assumptions!$I$19,"Developing",IF(AZ676&lt;=Assumptions!$I$20,"Meets Expectation",IF(AZ676&lt;=Assumptions!$I$21,"Exceeds","Star Performer")))))</f>
        <v>Below Expectation</v>
      </c>
      <c r="BB676" s="0" t="n">
        <f aca="false">IF(AZ676="",0,IF(AZ676&gt;=Assumptions!$I$26,1,0))</f>
        <v>0</v>
      </c>
      <c r="BC676" s="9" t="n">
        <f aca="false">IF(AL676="",2,AL676+2)</f>
        <v>2</v>
      </c>
      <c r="BD676" s="10" t="n">
        <f aca="false">IF(AM676="",ROUND(AVERAGE($AM$2:$AM$921),3),AM676)</f>
        <v>0</v>
      </c>
      <c r="BE676" s="9" t="n">
        <f aca="false">1-BD676</f>
        <v>1</v>
      </c>
    </row>
    <row r="677" customFormat="false" ht="14.25" hidden="true" customHeight="false" outlineLevel="0" collapsed="false">
      <c r="A677" s="4" t="n">
        <v>256</v>
      </c>
      <c r="B677" s="5" t="n">
        <v>10066473</v>
      </c>
      <c r="C677" s="5" t="s">
        <v>85</v>
      </c>
      <c r="D677" s="5" t="s">
        <v>2375</v>
      </c>
      <c r="E677" s="5" t="s">
        <v>315</v>
      </c>
      <c r="F677" s="5" t="s">
        <v>705</v>
      </c>
      <c r="G677" s="5" t="s">
        <v>706</v>
      </c>
      <c r="H677" s="5" t="s">
        <v>707</v>
      </c>
      <c r="I677" s="5" t="s">
        <v>63</v>
      </c>
      <c r="J677" s="5" t="s">
        <v>76</v>
      </c>
      <c r="K677" s="5" t="s">
        <v>65</v>
      </c>
      <c r="L677" s="6" t="n">
        <v>43444</v>
      </c>
      <c r="M677" s="5" t="s">
        <v>2373</v>
      </c>
      <c r="N677" s="6" t="n">
        <v>26436</v>
      </c>
      <c r="O677" s="5" t="s">
        <v>332</v>
      </c>
      <c r="P677" s="5" t="s">
        <v>333</v>
      </c>
      <c r="Q677" s="5" t="s">
        <v>847</v>
      </c>
      <c r="R677" s="5" t="s">
        <v>1166</v>
      </c>
      <c r="S677" s="5" t="s">
        <v>242</v>
      </c>
      <c r="T677" s="6"/>
      <c r="U677" s="6"/>
      <c r="V677" s="5" t="s">
        <v>631</v>
      </c>
      <c r="W677" s="5" t="s">
        <v>631</v>
      </c>
      <c r="X677" s="5" t="s">
        <v>631</v>
      </c>
      <c r="Y677" s="5" t="s">
        <v>631</v>
      </c>
      <c r="Z677" s="5" t="s">
        <v>631</v>
      </c>
      <c r="AA677" s="5" t="s">
        <v>2376</v>
      </c>
      <c r="AB677" s="0" t="n">
        <f aca="false">IFERROR(VALUE(R677),0)</f>
        <v>19.4</v>
      </c>
      <c r="AC677" s="0" t="n">
        <f aca="false">IFERROR(VALUE(M677),"")</f>
        <v>54</v>
      </c>
      <c r="AD677" s="0" t="n">
        <f aca="false">IFERROR(VALUE(Q677),"")</f>
        <v>7.5</v>
      </c>
      <c r="AE677" s="0" t="n">
        <f aca="false">IFERROR(VALUE(S677),"")</f>
        <v>26.9</v>
      </c>
      <c r="AF677" s="0" t="n">
        <f aca="false">IF(V677="","",VLOOKUP(V677,Assumptions!$B$6:$C$9,2,FALSE()))</f>
        <v>2</v>
      </c>
      <c r="AG677" s="0" t="n">
        <f aca="false">IF(W677="","",VLOOKUP(W677,Assumptions!$B$6:$C$9,2,FALSE()))</f>
        <v>2</v>
      </c>
      <c r="AH677" s="0" t="n">
        <f aca="false">IF(X677="","",VLOOKUP(X677,Assumptions!$B$6:$C$9,2,FALSE()))</f>
        <v>2</v>
      </c>
      <c r="AI677" s="0" t="n">
        <f aca="false">IF(Y677="","",VLOOKUP(Y677,Assumptions!$B$6:$C$9,2,FALSE()))</f>
        <v>2</v>
      </c>
      <c r="AJ677" s="0" t="n">
        <f aca="false">IF(Z677="","",VLOOKUP(Z677,Assumptions!$B$6:$C$9,2,FALSE()))</f>
        <v>2</v>
      </c>
      <c r="AK677" s="7" t="n">
        <f aca="false">IFERROR(ROUND(AVERAGE(AF677:AJ677),3),"")</f>
        <v>2</v>
      </c>
      <c r="AL677" s="7" t="n">
        <f aca="false">IF(OR(AF677="",AJ677=""),"",AJ677-AF677)</f>
        <v>0</v>
      </c>
      <c r="AM677" s="7" t="n">
        <f aca="false">IF(COUNT(AF677:AJ677)&gt;=2,ROUND(_xlfn.STDEV.S(AF677:AJ677),3),"")</f>
        <v>0</v>
      </c>
      <c r="AN677" s="7" t="n">
        <f aca="false">ROUND((IF(AF677="",0,AF677)*Assumptions!$F$15)+(IF(AG677="",0,AG677)*Assumptions!$F$16)+(IF(AH677="",0,AH677)*Assumptions!$F$17)+(IF(AI677="",0,AI677)*Assumptions!$F$18)+(IF(AJ677="",0,AJ677)*Assumptions!$F$19),3)</f>
        <v>2</v>
      </c>
      <c r="AO677" s="0" t="str">
        <f aca="false">IF(AC677&lt;=20,"",IF(AC677&lt;=Assumptions!$F$6,"20-30",IF(AC677&lt;=Assumptions!$F$7,"30-40",IF(AC677&lt;=Assumptions!$F$8,"40-50",IF(AC677&lt;=Assumptions!$F$9,"50-60",IF(AC677&lt;=Assumptions!$F$10,"60+",""))))))</f>
        <v>50-60</v>
      </c>
      <c r="AP677" s="0" t="str">
        <f aca="false">IFERROR(VLOOKUP(O677,Assumptions!$B$14:$C$26,2,FALSE()),"Other")</f>
        <v>Manager</v>
      </c>
      <c r="AQ677" s="0" t="n">
        <f aca="false">IF(T677="",0,1)</f>
        <v>0</v>
      </c>
      <c r="AR677" s="0" t="n">
        <f aca="false">IF(U677="",0,1)</f>
        <v>0</v>
      </c>
      <c r="AS677" s="8" t="n">
        <f aca="false">IF(AK677="","",IF(MAX($AK$2:$AK$921)=MIN($AK$2:$AK$921),50,ROUND((AK677-MIN($AK$2:$AK$921))/(MAX($AK$2:$AK$921)-MIN($AK$2:$AK$921))*100,2)))</f>
        <v>14.27</v>
      </c>
      <c r="AT677" s="8" t="n">
        <f aca="false">IF(MAX($BC$2:$BC$921)=MIN($BC$2:$BC$921),50,ROUND((BC677-MIN($BC$2:$BC$921))/(MAX($BC$2:$BC$921)-MIN($BC$2:$BC$921))*100,2))</f>
        <v>50</v>
      </c>
      <c r="AU677" s="8" t="n">
        <f aca="false">IF(MAX($BE$2:$BE$921)=MIN($BE$2:$BE$921),50,ROUND((BE677-MIN($BE$2:$BE$921))/(MAX($BE$2:$BE$921)-MIN($BE$2:$BE$921))*100,2))</f>
        <v>100</v>
      </c>
      <c r="AV677" s="8" t="n">
        <f aca="false">IF(MAX($AD$2:$AD$921)=MIN($AD$2:$AD$921),50,ROUND((AD677-MIN($AD$2:$AD$921))/(MAX($AD$2:$AD$921)-MIN($AD$2:$AD$921))*100,2))</f>
        <v>20.09</v>
      </c>
      <c r="AW677" s="8" t="n">
        <f aca="false">IF(MAX($AN$2:$AN$921)=MIN($AN$2:$AN$921),50,ROUND((AN677-MIN($AN$2:$AN$921))/(MAX($AN$2:$AN$921)-MIN($AN$2:$AN$921))*100,2))</f>
        <v>50</v>
      </c>
      <c r="AX677" s="8" t="n">
        <f aca="false">AQ677*100</f>
        <v>0</v>
      </c>
      <c r="AY677" s="8" t="n">
        <f aca="false">AR677*100</f>
        <v>0</v>
      </c>
      <c r="AZ677" s="8" t="n">
        <f aca="false">IFERROR(ROUND(AS677*Assumptions!$I$6+AW677*Assumptions!$I$7+AT677*Assumptions!$I$8+AU677*Assumptions!$I$9+AV677*Assumptions!$I$10+AX677*Assumptions!$I$11+AY677*Assumptions!$I$12,2),"")</f>
        <v>38.79</v>
      </c>
      <c r="BA677" s="0" t="str">
        <f aca="false">IF(AZ677="","",IF(AZ677&lt;=Assumptions!$I$18,"Below Expectation",IF(AZ677&lt;=Assumptions!$I$19,"Developing",IF(AZ677&lt;=Assumptions!$I$20,"Meets Expectation",IF(AZ677&lt;=Assumptions!$I$21,"Exceeds","Star Performer")))))</f>
        <v>Below Expectation</v>
      </c>
      <c r="BB677" s="0" t="n">
        <f aca="false">IF(AZ677="",0,IF(AZ677&gt;=Assumptions!$I$26,1,0))</f>
        <v>0</v>
      </c>
      <c r="BC677" s="9" t="n">
        <f aca="false">IF(AL677="",2,AL677+2)</f>
        <v>2</v>
      </c>
      <c r="BD677" s="10" t="n">
        <f aca="false">IF(AM677="",ROUND(AVERAGE($AM$2:$AM$921),3),AM677)</f>
        <v>0</v>
      </c>
      <c r="BE677" s="9" t="n">
        <f aca="false">1-BD677</f>
        <v>1</v>
      </c>
    </row>
    <row r="678" customFormat="false" ht="14.25" hidden="true" customHeight="false" outlineLevel="0" collapsed="false">
      <c r="A678" s="4" t="n">
        <v>260</v>
      </c>
      <c r="B678" s="5" t="n">
        <v>10066729</v>
      </c>
      <c r="C678" s="5" t="s">
        <v>57</v>
      </c>
      <c r="D678" s="5" t="s">
        <v>2377</v>
      </c>
      <c r="E678" s="5" t="s">
        <v>1255</v>
      </c>
      <c r="F678" s="5" t="s">
        <v>608</v>
      </c>
      <c r="G678" s="5" t="s">
        <v>609</v>
      </c>
      <c r="H678" s="5" t="s">
        <v>608</v>
      </c>
      <c r="I678" s="5" t="s">
        <v>63</v>
      </c>
      <c r="J678" s="5" t="s">
        <v>100</v>
      </c>
      <c r="K678" s="5" t="s">
        <v>65</v>
      </c>
      <c r="L678" s="6" t="n">
        <v>43472</v>
      </c>
      <c r="M678" s="5" t="s">
        <v>780</v>
      </c>
      <c r="N678" s="6" t="n">
        <v>33934</v>
      </c>
      <c r="O678" s="5" t="s">
        <v>365</v>
      </c>
      <c r="P678" s="5" t="s">
        <v>365</v>
      </c>
      <c r="Q678" s="5" t="s">
        <v>847</v>
      </c>
      <c r="R678" s="5" t="s">
        <v>568</v>
      </c>
      <c r="S678" s="5" t="s">
        <v>458</v>
      </c>
      <c r="T678" s="6"/>
      <c r="U678" s="6"/>
      <c r="V678" s="5" t="s">
        <v>631</v>
      </c>
      <c r="W678" s="5" t="s">
        <v>631</v>
      </c>
      <c r="X678" s="5" t="s">
        <v>631</v>
      </c>
      <c r="Y678" s="5" t="s">
        <v>631</v>
      </c>
      <c r="Z678" s="5" t="s">
        <v>631</v>
      </c>
      <c r="AA678" s="5" t="s">
        <v>2378</v>
      </c>
      <c r="AB678" s="0" t="n">
        <f aca="false">IFERROR(VALUE(R678),0)</f>
        <v>1.3</v>
      </c>
      <c r="AC678" s="0" t="n">
        <f aca="false">IFERROR(VALUE(M678),"")</f>
        <v>33.6</v>
      </c>
      <c r="AD678" s="0" t="n">
        <f aca="false">IFERROR(VALUE(Q678),"")</f>
        <v>7.5</v>
      </c>
      <c r="AE678" s="0" t="n">
        <f aca="false">IFERROR(VALUE(S678),"")</f>
        <v>8.8</v>
      </c>
      <c r="AF678" s="0" t="n">
        <f aca="false">IF(V678="","",VLOOKUP(V678,Assumptions!$B$6:$C$9,2,FALSE()))</f>
        <v>2</v>
      </c>
      <c r="AG678" s="0" t="n">
        <f aca="false">IF(W678="","",VLOOKUP(W678,Assumptions!$B$6:$C$9,2,FALSE()))</f>
        <v>2</v>
      </c>
      <c r="AH678" s="0" t="n">
        <f aca="false">IF(X678="","",VLOOKUP(X678,Assumptions!$B$6:$C$9,2,FALSE()))</f>
        <v>2</v>
      </c>
      <c r="AI678" s="0" t="n">
        <f aca="false">IF(Y678="","",VLOOKUP(Y678,Assumptions!$B$6:$C$9,2,FALSE()))</f>
        <v>2</v>
      </c>
      <c r="AJ678" s="0" t="n">
        <f aca="false">IF(Z678="","",VLOOKUP(Z678,Assumptions!$B$6:$C$9,2,FALSE()))</f>
        <v>2</v>
      </c>
      <c r="AK678" s="7" t="n">
        <f aca="false">IFERROR(ROUND(AVERAGE(AF678:AJ678),3),"")</f>
        <v>2</v>
      </c>
      <c r="AL678" s="7" t="n">
        <f aca="false">IF(OR(AF678="",AJ678=""),"",AJ678-AF678)</f>
        <v>0</v>
      </c>
      <c r="AM678" s="7" t="n">
        <f aca="false">IF(COUNT(AF678:AJ678)&gt;=2,ROUND(_xlfn.STDEV.S(AF678:AJ678),3),"")</f>
        <v>0</v>
      </c>
      <c r="AN678" s="7" t="n">
        <f aca="false">ROUND((IF(AF678="",0,AF678)*Assumptions!$F$15)+(IF(AG678="",0,AG678)*Assumptions!$F$16)+(IF(AH678="",0,AH678)*Assumptions!$F$17)+(IF(AI678="",0,AI678)*Assumptions!$F$18)+(IF(AJ678="",0,AJ678)*Assumptions!$F$19),3)</f>
        <v>2</v>
      </c>
      <c r="AO678" s="0" t="str">
        <f aca="false">IF(AC678&lt;=20,"",IF(AC678&lt;=Assumptions!$F$6,"20-30",IF(AC678&lt;=Assumptions!$F$7,"30-40",IF(AC678&lt;=Assumptions!$F$8,"40-50",IF(AC678&lt;=Assumptions!$F$9,"50-60",IF(AC678&lt;=Assumptions!$F$10,"60+",""))))))</f>
        <v>30-40</v>
      </c>
      <c r="AP678" s="0" t="str">
        <f aca="false">IFERROR(VLOOKUP(O678,Assumptions!$B$14:$C$26,2,FALSE()),"Other")</f>
        <v>Manager</v>
      </c>
      <c r="AQ678" s="0" t="n">
        <f aca="false">IF(T678="",0,1)</f>
        <v>0</v>
      </c>
      <c r="AR678" s="0" t="n">
        <f aca="false">IF(U678="",0,1)</f>
        <v>0</v>
      </c>
      <c r="AS678" s="8" t="n">
        <f aca="false">IF(AK678="","",IF(MAX($AK$2:$AK$921)=MIN($AK$2:$AK$921),50,ROUND((AK678-MIN($AK$2:$AK$921))/(MAX($AK$2:$AK$921)-MIN($AK$2:$AK$921))*100,2)))</f>
        <v>14.27</v>
      </c>
      <c r="AT678" s="8" t="n">
        <f aca="false">IF(MAX($BC$2:$BC$921)=MIN($BC$2:$BC$921),50,ROUND((BC678-MIN($BC$2:$BC$921))/(MAX($BC$2:$BC$921)-MIN($BC$2:$BC$921))*100,2))</f>
        <v>50</v>
      </c>
      <c r="AU678" s="8" t="n">
        <f aca="false">IF(MAX($BE$2:$BE$921)=MIN($BE$2:$BE$921),50,ROUND((BE678-MIN($BE$2:$BE$921))/(MAX($BE$2:$BE$921)-MIN($BE$2:$BE$921))*100,2))</f>
        <v>100</v>
      </c>
      <c r="AV678" s="8" t="n">
        <f aca="false">IF(MAX($AD$2:$AD$921)=MIN($AD$2:$AD$921),50,ROUND((AD678-MIN($AD$2:$AD$921))/(MAX($AD$2:$AD$921)-MIN($AD$2:$AD$921))*100,2))</f>
        <v>20.09</v>
      </c>
      <c r="AW678" s="8" t="n">
        <f aca="false">IF(MAX($AN$2:$AN$921)=MIN($AN$2:$AN$921),50,ROUND((AN678-MIN($AN$2:$AN$921))/(MAX($AN$2:$AN$921)-MIN($AN$2:$AN$921))*100,2))</f>
        <v>50</v>
      </c>
      <c r="AX678" s="8" t="n">
        <f aca="false">AQ678*100</f>
        <v>0</v>
      </c>
      <c r="AY678" s="8" t="n">
        <f aca="false">AR678*100</f>
        <v>0</v>
      </c>
      <c r="AZ678" s="8" t="n">
        <f aca="false">IFERROR(ROUND(AS678*Assumptions!$I$6+AW678*Assumptions!$I$7+AT678*Assumptions!$I$8+AU678*Assumptions!$I$9+AV678*Assumptions!$I$10+AX678*Assumptions!$I$11+AY678*Assumptions!$I$12,2),"")</f>
        <v>38.79</v>
      </c>
      <c r="BA678" s="0" t="str">
        <f aca="false">IF(AZ678="","",IF(AZ678&lt;=Assumptions!$I$18,"Below Expectation",IF(AZ678&lt;=Assumptions!$I$19,"Developing",IF(AZ678&lt;=Assumptions!$I$20,"Meets Expectation",IF(AZ678&lt;=Assumptions!$I$21,"Exceeds","Star Performer")))))</f>
        <v>Below Expectation</v>
      </c>
      <c r="BB678" s="0" t="n">
        <f aca="false">IF(AZ678="",0,IF(AZ678&gt;=Assumptions!$I$26,1,0))</f>
        <v>0</v>
      </c>
      <c r="BC678" s="9" t="n">
        <f aca="false">IF(AL678="",2,AL678+2)</f>
        <v>2</v>
      </c>
      <c r="BD678" s="10" t="n">
        <f aca="false">IF(AM678="",ROUND(AVERAGE($AM$2:$AM$921),3),AM678)</f>
        <v>0</v>
      </c>
      <c r="BE678" s="9" t="n">
        <f aca="false">1-BD678</f>
        <v>1</v>
      </c>
    </row>
    <row r="679" customFormat="false" ht="14.25" hidden="true" customHeight="false" outlineLevel="0" collapsed="false">
      <c r="A679" s="4" t="n">
        <v>185</v>
      </c>
      <c r="B679" s="5" t="n">
        <v>10054453</v>
      </c>
      <c r="C679" s="5" t="s">
        <v>57</v>
      </c>
      <c r="D679" s="5" t="s">
        <v>2379</v>
      </c>
      <c r="E679" s="5" t="s">
        <v>299</v>
      </c>
      <c r="F679" s="5" t="s">
        <v>387</v>
      </c>
      <c r="G679" s="5" t="s">
        <v>388</v>
      </c>
      <c r="H679" s="5" t="s">
        <v>387</v>
      </c>
      <c r="I679" s="5" t="s">
        <v>63</v>
      </c>
      <c r="J679" s="5" t="s">
        <v>100</v>
      </c>
      <c r="K679" s="5" t="s">
        <v>65</v>
      </c>
      <c r="L679" s="6" t="n">
        <v>42548</v>
      </c>
      <c r="M679" s="5" t="s">
        <v>344</v>
      </c>
      <c r="N679" s="6" t="n">
        <v>28697</v>
      </c>
      <c r="O679" s="5" t="s">
        <v>332</v>
      </c>
      <c r="P679" s="5" t="s">
        <v>333</v>
      </c>
      <c r="Q679" s="5" t="s">
        <v>599</v>
      </c>
      <c r="R679" s="5" t="s">
        <v>1881</v>
      </c>
      <c r="S679" s="5" t="s">
        <v>2380</v>
      </c>
      <c r="T679" s="6"/>
      <c r="U679" s="6"/>
      <c r="V679" s="5" t="s">
        <v>631</v>
      </c>
      <c r="W679" s="5" t="s">
        <v>141</v>
      </c>
      <c r="X679" s="5" t="s">
        <v>631</v>
      </c>
      <c r="Y679" s="5" t="s">
        <v>631</v>
      </c>
      <c r="Z679" s="5" t="s">
        <v>631</v>
      </c>
      <c r="AA679" s="5" t="s">
        <v>2381</v>
      </c>
      <c r="AB679" s="0" t="n">
        <f aca="false">IFERROR(VALUE(R679),0)</f>
        <v>12.11</v>
      </c>
      <c r="AC679" s="0" t="n">
        <f aca="false">IFERROR(VALUE(M679),"")</f>
        <v>47.1</v>
      </c>
      <c r="AD679" s="0" t="n">
        <f aca="false">IFERROR(VALUE(Q679),"")</f>
        <v>9.11</v>
      </c>
      <c r="AE679" s="0" t="n">
        <f aca="false">IFERROR(VALUE(S679),"")</f>
        <v>22.1</v>
      </c>
      <c r="AF679" s="0" t="n">
        <f aca="false">IF(V679="","",VLOOKUP(V679,Assumptions!$B$6:$C$9,2,FALSE()))</f>
        <v>2</v>
      </c>
      <c r="AG679" s="0" t="n">
        <f aca="false">IF(W679="","",VLOOKUP(W679,Assumptions!$B$6:$C$9,2,FALSE()))</f>
        <v>3</v>
      </c>
      <c r="AH679" s="0" t="n">
        <f aca="false">IF(X679="","",VLOOKUP(X679,Assumptions!$B$6:$C$9,2,FALSE()))</f>
        <v>2</v>
      </c>
      <c r="AI679" s="0" t="n">
        <f aca="false">IF(Y679="","",VLOOKUP(Y679,Assumptions!$B$6:$C$9,2,FALSE()))</f>
        <v>2</v>
      </c>
      <c r="AJ679" s="0" t="n">
        <f aca="false">IF(Z679="","",VLOOKUP(Z679,Assumptions!$B$6:$C$9,2,FALSE()))</f>
        <v>2</v>
      </c>
      <c r="AK679" s="7" t="n">
        <f aca="false">IFERROR(ROUND(AVERAGE(AF679:AJ679),3),"")</f>
        <v>2.2</v>
      </c>
      <c r="AL679" s="7" t="n">
        <f aca="false">IF(OR(AF679="",AJ679=""),"",AJ679-AF679)</f>
        <v>0</v>
      </c>
      <c r="AM679" s="7" t="n">
        <f aca="false">IF(COUNT(AF679:AJ679)&gt;=2,ROUND(_xlfn.STDEV.S(AF679:AJ679),3),"")</f>
        <v>0.447</v>
      </c>
      <c r="AN679" s="7" t="n">
        <f aca="false">ROUND((IF(AF679="",0,AF679)*Assumptions!$F$15)+(IF(AG679="",0,AG679)*Assumptions!$F$16)+(IF(AH679="",0,AH679)*Assumptions!$F$17)+(IF(AI679="",0,AI679)*Assumptions!$F$18)+(IF(AJ679="",0,AJ679)*Assumptions!$F$19),3)</f>
        <v>2.15</v>
      </c>
      <c r="AO679" s="0" t="str">
        <f aca="false">IF(AC679&lt;=20,"",IF(AC679&lt;=Assumptions!$F$6,"20-30",IF(AC679&lt;=Assumptions!$F$7,"30-40",IF(AC679&lt;=Assumptions!$F$8,"40-50",IF(AC679&lt;=Assumptions!$F$9,"50-60",IF(AC679&lt;=Assumptions!$F$10,"60+",""))))))</f>
        <v>40-50</v>
      </c>
      <c r="AP679" s="0" t="str">
        <f aca="false">IFERROR(VLOOKUP(O679,Assumptions!$B$14:$C$26,2,FALSE()),"Other")</f>
        <v>Manager</v>
      </c>
      <c r="AQ679" s="0" t="n">
        <f aca="false">IF(T679="",0,1)</f>
        <v>0</v>
      </c>
      <c r="AR679" s="0" t="n">
        <f aca="false">IF(U679="",0,1)</f>
        <v>0</v>
      </c>
      <c r="AS679" s="8" t="n">
        <f aca="false">IF(AK679="","",IF(MAX($AK$2:$AK$921)=MIN($AK$2:$AK$921),50,ROUND((AK679-MIN($AK$2:$AK$921))/(MAX($AK$2:$AK$921)-MIN($AK$2:$AK$921))*100,2)))</f>
        <v>22.85</v>
      </c>
      <c r="AT679" s="8" t="n">
        <f aca="false">IF(MAX($BC$2:$BC$921)=MIN($BC$2:$BC$921),50,ROUND((BC679-MIN($BC$2:$BC$921))/(MAX($BC$2:$BC$921)-MIN($BC$2:$BC$921))*100,2))</f>
        <v>50</v>
      </c>
      <c r="AU679" s="8" t="n">
        <f aca="false">IF(MAX($BE$2:$BE$921)=MIN($BE$2:$BE$921),50,ROUND((BE679-MIN($BE$2:$BE$921))/(MAX($BE$2:$BE$921)-MIN($BE$2:$BE$921))*100,2))</f>
        <v>74.19</v>
      </c>
      <c r="AV679" s="8" t="n">
        <f aca="false">IF(MAX($AD$2:$AD$921)=MIN($AD$2:$AD$921),50,ROUND((AD679-MIN($AD$2:$AD$921))/(MAX($AD$2:$AD$921)-MIN($AD$2:$AD$921))*100,2))</f>
        <v>24.46</v>
      </c>
      <c r="AW679" s="8" t="n">
        <f aca="false">IF(MAX($AN$2:$AN$921)=MIN($AN$2:$AN$921),50,ROUND((AN679-MIN($AN$2:$AN$921))/(MAX($AN$2:$AN$921)-MIN($AN$2:$AN$921))*100,2))</f>
        <v>53.75</v>
      </c>
      <c r="AX679" s="8" t="n">
        <f aca="false">AQ679*100</f>
        <v>0</v>
      </c>
      <c r="AY679" s="8" t="n">
        <f aca="false">AR679*100</f>
        <v>0</v>
      </c>
      <c r="AZ679" s="8" t="n">
        <f aca="false">IFERROR(ROUND(AS679*Assumptions!$I$6+AW679*Assumptions!$I$7+AT679*Assumptions!$I$8+AU679*Assumptions!$I$9+AV679*Assumptions!$I$10+AX679*Assumptions!$I$11+AY679*Assumptions!$I$12,2),"")</f>
        <v>38.68</v>
      </c>
      <c r="BA679" s="0" t="str">
        <f aca="false">IF(AZ679="","",IF(AZ679&lt;=Assumptions!$I$18,"Below Expectation",IF(AZ679&lt;=Assumptions!$I$19,"Developing",IF(AZ679&lt;=Assumptions!$I$20,"Meets Expectation",IF(AZ679&lt;=Assumptions!$I$21,"Exceeds","Star Performer")))))</f>
        <v>Below Expectation</v>
      </c>
      <c r="BB679" s="0" t="n">
        <f aca="false">IF(AZ679="",0,IF(AZ679&gt;=Assumptions!$I$26,1,0))</f>
        <v>0</v>
      </c>
      <c r="BC679" s="9" t="n">
        <f aca="false">IF(AL679="",2,AL679+2)</f>
        <v>2</v>
      </c>
      <c r="BD679" s="10" t="n">
        <f aca="false">IF(AM679="",ROUND(AVERAGE($AM$2:$AM$921),3),AM679)</f>
        <v>0.447</v>
      </c>
      <c r="BE679" s="9" t="n">
        <f aca="false">1-BD679</f>
        <v>0.553</v>
      </c>
    </row>
    <row r="680" customFormat="false" ht="14.25" hidden="true" customHeight="false" outlineLevel="0" collapsed="false">
      <c r="A680" s="4" t="n">
        <v>285</v>
      </c>
      <c r="B680" s="5" t="n">
        <v>10068982</v>
      </c>
      <c r="C680" s="5" t="s">
        <v>57</v>
      </c>
      <c r="D680" s="5" t="s">
        <v>2382</v>
      </c>
      <c r="E680" s="5" t="s">
        <v>456</v>
      </c>
      <c r="F680" s="5" t="s">
        <v>608</v>
      </c>
      <c r="G680" s="5" t="s">
        <v>609</v>
      </c>
      <c r="H680" s="5" t="s">
        <v>608</v>
      </c>
      <c r="I680" s="5" t="s">
        <v>63</v>
      </c>
      <c r="J680" s="5" t="s">
        <v>100</v>
      </c>
      <c r="K680" s="5" t="s">
        <v>309</v>
      </c>
      <c r="L680" s="6" t="n">
        <v>43661</v>
      </c>
      <c r="M680" s="5" t="s">
        <v>2383</v>
      </c>
      <c r="N680" s="6" t="n">
        <v>33728</v>
      </c>
      <c r="O680" s="5" t="s">
        <v>365</v>
      </c>
      <c r="P680" s="5" t="s">
        <v>365</v>
      </c>
      <c r="Q680" s="5" t="s">
        <v>604</v>
      </c>
      <c r="R680" s="5" t="s">
        <v>496</v>
      </c>
      <c r="S680" s="5" t="s">
        <v>367</v>
      </c>
      <c r="T680" s="6"/>
      <c r="U680" s="6"/>
      <c r="V680" s="5" t="s">
        <v>631</v>
      </c>
      <c r="W680" s="5" t="s">
        <v>631</v>
      </c>
      <c r="X680" s="5" t="s">
        <v>631</v>
      </c>
      <c r="Y680" s="5" t="s">
        <v>631</v>
      </c>
      <c r="Z680" s="5" t="s">
        <v>631</v>
      </c>
      <c r="AA680" s="5" t="s">
        <v>2384</v>
      </c>
      <c r="AB680" s="0" t="n">
        <f aca="false">IFERROR(VALUE(R680),0)</f>
        <v>4.8</v>
      </c>
      <c r="AC680" s="0" t="n">
        <f aca="false">IFERROR(VALUE(M680),"")</f>
        <v>34.1</v>
      </c>
      <c r="AD680" s="0" t="n">
        <f aca="false">IFERROR(VALUE(Q680),"")</f>
        <v>6.1</v>
      </c>
      <c r="AE680" s="0" t="n">
        <f aca="false">IFERROR(VALUE(S680),"")</f>
        <v>11.6</v>
      </c>
      <c r="AF680" s="0" t="n">
        <f aca="false">IF(V680="","",VLOOKUP(V680,Assumptions!$B$6:$C$9,2,FALSE()))</f>
        <v>2</v>
      </c>
      <c r="AG680" s="0" t="n">
        <f aca="false">IF(W680="","",VLOOKUP(W680,Assumptions!$B$6:$C$9,2,FALSE()))</f>
        <v>2</v>
      </c>
      <c r="AH680" s="0" t="n">
        <f aca="false">IF(X680="","",VLOOKUP(X680,Assumptions!$B$6:$C$9,2,FALSE()))</f>
        <v>2</v>
      </c>
      <c r="AI680" s="0" t="n">
        <f aca="false">IF(Y680="","",VLOOKUP(Y680,Assumptions!$B$6:$C$9,2,FALSE()))</f>
        <v>2</v>
      </c>
      <c r="AJ680" s="0" t="n">
        <f aca="false">IF(Z680="","",VLOOKUP(Z680,Assumptions!$B$6:$C$9,2,FALSE()))</f>
        <v>2</v>
      </c>
      <c r="AK680" s="7" t="n">
        <f aca="false">IFERROR(ROUND(AVERAGE(AF680:AJ680),3),"")</f>
        <v>2</v>
      </c>
      <c r="AL680" s="7" t="n">
        <f aca="false">IF(OR(AF680="",AJ680=""),"",AJ680-AF680)</f>
        <v>0</v>
      </c>
      <c r="AM680" s="7" t="n">
        <f aca="false">IF(COUNT(AF680:AJ680)&gt;=2,ROUND(_xlfn.STDEV.S(AF680:AJ680),3),"")</f>
        <v>0</v>
      </c>
      <c r="AN680" s="7" t="n">
        <f aca="false">ROUND((IF(AF680="",0,AF680)*Assumptions!$F$15)+(IF(AG680="",0,AG680)*Assumptions!$F$16)+(IF(AH680="",0,AH680)*Assumptions!$F$17)+(IF(AI680="",0,AI680)*Assumptions!$F$18)+(IF(AJ680="",0,AJ680)*Assumptions!$F$19),3)</f>
        <v>2</v>
      </c>
      <c r="AO680" s="0" t="str">
        <f aca="false">IF(AC680&lt;=20,"",IF(AC680&lt;=Assumptions!$F$6,"20-30",IF(AC680&lt;=Assumptions!$F$7,"30-40",IF(AC680&lt;=Assumptions!$F$8,"40-50",IF(AC680&lt;=Assumptions!$F$9,"50-60",IF(AC680&lt;=Assumptions!$F$10,"60+",""))))))</f>
        <v>30-40</v>
      </c>
      <c r="AP680" s="0" t="str">
        <f aca="false">IFERROR(VLOOKUP(O680,Assumptions!$B$14:$C$26,2,FALSE()),"Other")</f>
        <v>Manager</v>
      </c>
      <c r="AQ680" s="0" t="n">
        <f aca="false">IF(T680="",0,1)</f>
        <v>0</v>
      </c>
      <c r="AR680" s="0" t="n">
        <f aca="false">IF(U680="",0,1)</f>
        <v>0</v>
      </c>
      <c r="AS680" s="8" t="n">
        <f aca="false">IF(AK680="","",IF(MAX($AK$2:$AK$921)=MIN($AK$2:$AK$921),50,ROUND((AK680-MIN($AK$2:$AK$921))/(MAX($AK$2:$AK$921)-MIN($AK$2:$AK$921))*100,2)))</f>
        <v>14.27</v>
      </c>
      <c r="AT680" s="8" t="n">
        <f aca="false">IF(MAX($BC$2:$BC$921)=MIN($BC$2:$BC$921),50,ROUND((BC680-MIN($BC$2:$BC$921))/(MAX($BC$2:$BC$921)-MIN($BC$2:$BC$921))*100,2))</f>
        <v>50</v>
      </c>
      <c r="AU680" s="8" t="n">
        <f aca="false">IF(MAX($BE$2:$BE$921)=MIN($BE$2:$BE$921),50,ROUND((BE680-MIN($BE$2:$BE$921))/(MAX($BE$2:$BE$921)-MIN($BE$2:$BE$921))*100,2))</f>
        <v>100</v>
      </c>
      <c r="AV680" s="8" t="n">
        <f aca="false">IF(MAX($AD$2:$AD$921)=MIN($AD$2:$AD$921),50,ROUND((AD680-MIN($AD$2:$AD$921))/(MAX($AD$2:$AD$921)-MIN($AD$2:$AD$921))*100,2))</f>
        <v>16.28</v>
      </c>
      <c r="AW680" s="8" t="n">
        <f aca="false">IF(MAX($AN$2:$AN$921)=MIN($AN$2:$AN$921),50,ROUND((AN680-MIN($AN$2:$AN$921))/(MAX($AN$2:$AN$921)-MIN($AN$2:$AN$921))*100,2))</f>
        <v>50</v>
      </c>
      <c r="AX680" s="8" t="n">
        <f aca="false">AQ680*100</f>
        <v>0</v>
      </c>
      <c r="AY680" s="8" t="n">
        <f aca="false">AR680*100</f>
        <v>0</v>
      </c>
      <c r="AZ680" s="8" t="n">
        <f aca="false">IFERROR(ROUND(AS680*Assumptions!$I$6+AW680*Assumptions!$I$7+AT680*Assumptions!$I$8+AU680*Assumptions!$I$9+AV680*Assumptions!$I$10+AX680*Assumptions!$I$11+AY680*Assumptions!$I$12,2),"")</f>
        <v>38.41</v>
      </c>
      <c r="BA680" s="0" t="str">
        <f aca="false">IF(AZ680="","",IF(AZ680&lt;=Assumptions!$I$18,"Below Expectation",IF(AZ680&lt;=Assumptions!$I$19,"Developing",IF(AZ680&lt;=Assumptions!$I$20,"Meets Expectation",IF(AZ680&lt;=Assumptions!$I$21,"Exceeds","Star Performer")))))</f>
        <v>Below Expectation</v>
      </c>
      <c r="BB680" s="0" t="n">
        <f aca="false">IF(AZ680="",0,IF(AZ680&gt;=Assumptions!$I$26,1,0))</f>
        <v>0</v>
      </c>
      <c r="BC680" s="9" t="n">
        <f aca="false">IF(AL680="",2,AL680+2)</f>
        <v>2</v>
      </c>
      <c r="BD680" s="10" t="n">
        <f aca="false">IF(AM680="",ROUND(AVERAGE($AM$2:$AM$921),3),AM680)</f>
        <v>0</v>
      </c>
      <c r="BE680" s="9" t="n">
        <f aca="false">1-BD680</f>
        <v>1</v>
      </c>
    </row>
    <row r="681" customFormat="false" ht="14.25" hidden="true" customHeight="false" outlineLevel="0" collapsed="false">
      <c r="A681" s="4" t="n">
        <v>481</v>
      </c>
      <c r="B681" s="5" t="n">
        <v>55043153</v>
      </c>
      <c r="C681" s="5" t="s">
        <v>85</v>
      </c>
      <c r="D681" s="5" t="s">
        <v>2385</v>
      </c>
      <c r="E681" s="5" t="s">
        <v>235</v>
      </c>
      <c r="F681" s="5" t="s">
        <v>1675</v>
      </c>
      <c r="G681" s="5" t="s">
        <v>1676</v>
      </c>
      <c r="H681" s="5" t="s">
        <v>1675</v>
      </c>
      <c r="I681" s="5" t="s">
        <v>63</v>
      </c>
      <c r="J681" s="5" t="s">
        <v>76</v>
      </c>
      <c r="K681" s="5" t="s">
        <v>65</v>
      </c>
      <c r="L681" s="6" t="n">
        <v>44460</v>
      </c>
      <c r="M681" s="5" t="s">
        <v>443</v>
      </c>
      <c r="N681" s="6" t="n">
        <v>32863</v>
      </c>
      <c r="O681" s="5" t="s">
        <v>365</v>
      </c>
      <c r="P681" s="5" t="s">
        <v>365</v>
      </c>
      <c r="Q681" s="5" t="s">
        <v>496</v>
      </c>
      <c r="R681" s="5" t="s">
        <v>685</v>
      </c>
      <c r="S681" s="5" t="s">
        <v>1431</v>
      </c>
      <c r="T681" s="6"/>
      <c r="U681" s="6"/>
      <c r="V681" s="5" t="s">
        <v>631</v>
      </c>
      <c r="W681" s="5" t="s">
        <v>631</v>
      </c>
      <c r="X681" s="5" t="s">
        <v>631</v>
      </c>
      <c r="Y681" s="5" t="s">
        <v>631</v>
      </c>
      <c r="Z681" s="5" t="s">
        <v>631</v>
      </c>
      <c r="AA681" s="5" t="s">
        <v>2386</v>
      </c>
      <c r="AB681" s="0" t="n">
        <f aca="false">IFERROR(VALUE(R681),0)</f>
        <v>5.1</v>
      </c>
      <c r="AC681" s="0" t="n">
        <f aca="false">IFERROR(VALUE(M681),"")</f>
        <v>36.5</v>
      </c>
      <c r="AD681" s="0" t="n">
        <f aca="false">IFERROR(VALUE(Q681),"")</f>
        <v>4.8</v>
      </c>
      <c r="AE681" s="0" t="n">
        <f aca="false">IFERROR(VALUE(S681),"")</f>
        <v>9.9</v>
      </c>
      <c r="AF681" s="0" t="n">
        <f aca="false">IF(V681="","",VLOOKUP(V681,Assumptions!$B$6:$C$9,2,FALSE()))</f>
        <v>2</v>
      </c>
      <c r="AG681" s="0" t="n">
        <f aca="false">IF(W681="","",VLOOKUP(W681,Assumptions!$B$6:$C$9,2,FALSE()))</f>
        <v>2</v>
      </c>
      <c r="AH681" s="0" t="n">
        <f aca="false">IF(X681="","",VLOOKUP(X681,Assumptions!$B$6:$C$9,2,FALSE()))</f>
        <v>2</v>
      </c>
      <c r="AI681" s="0" t="n">
        <f aca="false">IF(Y681="","",VLOOKUP(Y681,Assumptions!$B$6:$C$9,2,FALSE()))</f>
        <v>2</v>
      </c>
      <c r="AJ681" s="0" t="n">
        <f aca="false">IF(Z681="","",VLOOKUP(Z681,Assumptions!$B$6:$C$9,2,FALSE()))</f>
        <v>2</v>
      </c>
      <c r="AK681" s="7" t="n">
        <f aca="false">IFERROR(ROUND(AVERAGE(AF681:AJ681),3),"")</f>
        <v>2</v>
      </c>
      <c r="AL681" s="7" t="n">
        <f aca="false">IF(OR(AF681="",AJ681=""),"",AJ681-AF681)</f>
        <v>0</v>
      </c>
      <c r="AM681" s="7" t="n">
        <f aca="false">IF(COUNT(AF681:AJ681)&gt;=2,ROUND(_xlfn.STDEV.S(AF681:AJ681),3),"")</f>
        <v>0</v>
      </c>
      <c r="AN681" s="7" t="n">
        <f aca="false">ROUND((IF(AF681="",0,AF681)*Assumptions!$F$15)+(IF(AG681="",0,AG681)*Assumptions!$F$16)+(IF(AH681="",0,AH681)*Assumptions!$F$17)+(IF(AI681="",0,AI681)*Assumptions!$F$18)+(IF(AJ681="",0,AJ681)*Assumptions!$F$19),3)</f>
        <v>2</v>
      </c>
      <c r="AO681" s="0" t="str">
        <f aca="false">IF(AC681&lt;=20,"",IF(AC681&lt;=Assumptions!$F$6,"20-30",IF(AC681&lt;=Assumptions!$F$7,"30-40",IF(AC681&lt;=Assumptions!$F$8,"40-50",IF(AC681&lt;=Assumptions!$F$9,"50-60",IF(AC681&lt;=Assumptions!$F$10,"60+",""))))))</f>
        <v>30-40</v>
      </c>
      <c r="AP681" s="0" t="str">
        <f aca="false">IFERROR(VLOOKUP(O681,Assumptions!$B$14:$C$26,2,FALSE()),"Other")</f>
        <v>Manager</v>
      </c>
      <c r="AQ681" s="0" t="n">
        <f aca="false">IF(T681="",0,1)</f>
        <v>0</v>
      </c>
      <c r="AR681" s="0" t="n">
        <f aca="false">IF(U681="",0,1)</f>
        <v>0</v>
      </c>
      <c r="AS681" s="8" t="n">
        <f aca="false">IF(AK681="","",IF(MAX($AK$2:$AK$921)=MIN($AK$2:$AK$921),50,ROUND((AK681-MIN($AK$2:$AK$921))/(MAX($AK$2:$AK$921)-MIN($AK$2:$AK$921))*100,2)))</f>
        <v>14.27</v>
      </c>
      <c r="AT681" s="8" t="n">
        <f aca="false">IF(MAX($BC$2:$BC$921)=MIN($BC$2:$BC$921),50,ROUND((BC681-MIN($BC$2:$BC$921))/(MAX($BC$2:$BC$921)-MIN($BC$2:$BC$921))*100,2))</f>
        <v>50</v>
      </c>
      <c r="AU681" s="8" t="n">
        <f aca="false">IF(MAX($BE$2:$BE$921)=MIN($BE$2:$BE$921),50,ROUND((BE681-MIN($BE$2:$BE$921))/(MAX($BE$2:$BE$921)-MIN($BE$2:$BE$921))*100,2))</f>
        <v>100</v>
      </c>
      <c r="AV681" s="8" t="n">
        <f aca="false">IF(MAX($AD$2:$AD$921)=MIN($AD$2:$AD$921),50,ROUND((AD681-MIN($AD$2:$AD$921))/(MAX($AD$2:$AD$921)-MIN($AD$2:$AD$921))*100,2))</f>
        <v>12.75</v>
      </c>
      <c r="AW681" s="8" t="n">
        <f aca="false">IF(MAX($AN$2:$AN$921)=MIN($AN$2:$AN$921),50,ROUND((AN681-MIN($AN$2:$AN$921))/(MAX($AN$2:$AN$921)-MIN($AN$2:$AN$921))*100,2))</f>
        <v>50</v>
      </c>
      <c r="AX681" s="8" t="n">
        <f aca="false">AQ681*100</f>
        <v>0</v>
      </c>
      <c r="AY681" s="8" t="n">
        <f aca="false">AR681*100</f>
        <v>0</v>
      </c>
      <c r="AZ681" s="8" t="n">
        <f aca="false">IFERROR(ROUND(AS681*Assumptions!$I$6+AW681*Assumptions!$I$7+AT681*Assumptions!$I$8+AU681*Assumptions!$I$9+AV681*Assumptions!$I$10+AX681*Assumptions!$I$11+AY681*Assumptions!$I$12,2),"")</f>
        <v>38.06</v>
      </c>
      <c r="BA681" s="0" t="str">
        <f aca="false">IF(AZ681="","",IF(AZ681&lt;=Assumptions!$I$18,"Below Expectation",IF(AZ681&lt;=Assumptions!$I$19,"Developing",IF(AZ681&lt;=Assumptions!$I$20,"Meets Expectation",IF(AZ681&lt;=Assumptions!$I$21,"Exceeds","Star Performer")))))</f>
        <v>Below Expectation</v>
      </c>
      <c r="BB681" s="0" t="n">
        <f aca="false">IF(AZ681="",0,IF(AZ681&gt;=Assumptions!$I$26,1,0))</f>
        <v>0</v>
      </c>
      <c r="BC681" s="9" t="n">
        <f aca="false">IF(AL681="",2,AL681+2)</f>
        <v>2</v>
      </c>
      <c r="BD681" s="10" t="n">
        <f aca="false">IF(AM681="",ROUND(AVERAGE($AM$2:$AM$921),3),AM681)</f>
        <v>0</v>
      </c>
      <c r="BE681" s="9" t="n">
        <f aca="false">1-BD681</f>
        <v>1</v>
      </c>
    </row>
    <row r="682" customFormat="false" ht="14.25" hidden="true" customHeight="false" outlineLevel="0" collapsed="false">
      <c r="A682" s="4" t="n">
        <v>483</v>
      </c>
      <c r="B682" s="5" t="n">
        <v>55043265</v>
      </c>
      <c r="C682" s="5" t="s">
        <v>85</v>
      </c>
      <c r="D682" s="5" t="s">
        <v>2387</v>
      </c>
      <c r="E682" s="5" t="s">
        <v>185</v>
      </c>
      <c r="F682" s="5" t="s">
        <v>1675</v>
      </c>
      <c r="G682" s="5" t="s">
        <v>1676</v>
      </c>
      <c r="H682" s="5" t="s">
        <v>1675</v>
      </c>
      <c r="I682" s="5" t="s">
        <v>63</v>
      </c>
      <c r="J682" s="5" t="s">
        <v>76</v>
      </c>
      <c r="K682" s="5" t="s">
        <v>65</v>
      </c>
      <c r="L682" s="6" t="n">
        <v>44467</v>
      </c>
      <c r="M682" s="5" t="s">
        <v>1822</v>
      </c>
      <c r="N682" s="6" t="n">
        <v>34423</v>
      </c>
      <c r="O682" s="5" t="s">
        <v>365</v>
      </c>
      <c r="P682" s="5" t="s">
        <v>365</v>
      </c>
      <c r="Q682" s="5" t="s">
        <v>496</v>
      </c>
      <c r="R682" s="5" t="s">
        <v>472</v>
      </c>
      <c r="S682" s="5" t="s">
        <v>2388</v>
      </c>
      <c r="T682" s="6"/>
      <c r="U682" s="6"/>
      <c r="V682" s="5" t="s">
        <v>631</v>
      </c>
      <c r="W682" s="5" t="s">
        <v>631</v>
      </c>
      <c r="X682" s="5" t="s">
        <v>631</v>
      </c>
      <c r="Y682" s="5" t="s">
        <v>631</v>
      </c>
      <c r="Z682" s="5" t="s">
        <v>631</v>
      </c>
      <c r="AA682" s="5" t="s">
        <v>2389</v>
      </c>
      <c r="AB682" s="0" t="n">
        <f aca="false">IFERROR(VALUE(R682),0)</f>
        <v>1.4</v>
      </c>
      <c r="AC682" s="0" t="n">
        <f aca="false">IFERROR(VALUE(M682),"")</f>
        <v>32.2</v>
      </c>
      <c r="AD682" s="0" t="n">
        <f aca="false">IFERROR(VALUE(Q682),"")</f>
        <v>4.8</v>
      </c>
      <c r="AE682" s="0" t="n">
        <f aca="false">IFERROR(VALUE(S682),"")</f>
        <v>6</v>
      </c>
      <c r="AF682" s="0" t="n">
        <f aca="false">IF(V682="","",VLOOKUP(V682,Assumptions!$B$6:$C$9,2,FALSE()))</f>
        <v>2</v>
      </c>
      <c r="AG682" s="0" t="n">
        <f aca="false">IF(W682="","",VLOOKUP(W682,Assumptions!$B$6:$C$9,2,FALSE()))</f>
        <v>2</v>
      </c>
      <c r="AH682" s="0" t="n">
        <f aca="false">IF(X682="","",VLOOKUP(X682,Assumptions!$B$6:$C$9,2,FALSE()))</f>
        <v>2</v>
      </c>
      <c r="AI682" s="0" t="n">
        <f aca="false">IF(Y682="","",VLOOKUP(Y682,Assumptions!$B$6:$C$9,2,FALSE()))</f>
        <v>2</v>
      </c>
      <c r="AJ682" s="0" t="n">
        <f aca="false">IF(Z682="","",VLOOKUP(Z682,Assumptions!$B$6:$C$9,2,FALSE()))</f>
        <v>2</v>
      </c>
      <c r="AK682" s="7" t="n">
        <f aca="false">IFERROR(ROUND(AVERAGE(AF682:AJ682),3),"")</f>
        <v>2</v>
      </c>
      <c r="AL682" s="7" t="n">
        <f aca="false">IF(OR(AF682="",AJ682=""),"",AJ682-AF682)</f>
        <v>0</v>
      </c>
      <c r="AM682" s="7" t="n">
        <f aca="false">IF(COUNT(AF682:AJ682)&gt;=2,ROUND(_xlfn.STDEV.S(AF682:AJ682),3),"")</f>
        <v>0</v>
      </c>
      <c r="AN682" s="7" t="n">
        <f aca="false">ROUND((IF(AF682="",0,AF682)*Assumptions!$F$15)+(IF(AG682="",0,AG682)*Assumptions!$F$16)+(IF(AH682="",0,AH682)*Assumptions!$F$17)+(IF(AI682="",0,AI682)*Assumptions!$F$18)+(IF(AJ682="",0,AJ682)*Assumptions!$F$19),3)</f>
        <v>2</v>
      </c>
      <c r="AO682" s="0" t="str">
        <f aca="false">IF(AC682&lt;=20,"",IF(AC682&lt;=Assumptions!$F$6,"20-30",IF(AC682&lt;=Assumptions!$F$7,"30-40",IF(AC682&lt;=Assumptions!$F$8,"40-50",IF(AC682&lt;=Assumptions!$F$9,"50-60",IF(AC682&lt;=Assumptions!$F$10,"60+",""))))))</f>
        <v>30-40</v>
      </c>
      <c r="AP682" s="0" t="str">
        <f aca="false">IFERROR(VLOOKUP(O682,Assumptions!$B$14:$C$26,2,FALSE()),"Other")</f>
        <v>Manager</v>
      </c>
      <c r="AQ682" s="0" t="n">
        <f aca="false">IF(T682="",0,1)</f>
        <v>0</v>
      </c>
      <c r="AR682" s="0" t="n">
        <f aca="false">IF(U682="",0,1)</f>
        <v>0</v>
      </c>
      <c r="AS682" s="8" t="n">
        <f aca="false">IF(AK682="","",IF(MAX($AK$2:$AK$921)=MIN($AK$2:$AK$921),50,ROUND((AK682-MIN($AK$2:$AK$921))/(MAX($AK$2:$AK$921)-MIN($AK$2:$AK$921))*100,2)))</f>
        <v>14.27</v>
      </c>
      <c r="AT682" s="8" t="n">
        <f aca="false">IF(MAX($BC$2:$BC$921)=MIN($BC$2:$BC$921),50,ROUND((BC682-MIN($BC$2:$BC$921))/(MAX($BC$2:$BC$921)-MIN($BC$2:$BC$921))*100,2))</f>
        <v>50</v>
      </c>
      <c r="AU682" s="8" t="n">
        <f aca="false">IF(MAX($BE$2:$BE$921)=MIN($BE$2:$BE$921),50,ROUND((BE682-MIN($BE$2:$BE$921))/(MAX($BE$2:$BE$921)-MIN($BE$2:$BE$921))*100,2))</f>
        <v>100</v>
      </c>
      <c r="AV682" s="8" t="n">
        <f aca="false">IF(MAX($AD$2:$AD$921)=MIN($AD$2:$AD$921),50,ROUND((AD682-MIN($AD$2:$AD$921))/(MAX($AD$2:$AD$921)-MIN($AD$2:$AD$921))*100,2))</f>
        <v>12.75</v>
      </c>
      <c r="AW682" s="8" t="n">
        <f aca="false">IF(MAX($AN$2:$AN$921)=MIN($AN$2:$AN$921),50,ROUND((AN682-MIN($AN$2:$AN$921))/(MAX($AN$2:$AN$921)-MIN($AN$2:$AN$921))*100,2))</f>
        <v>50</v>
      </c>
      <c r="AX682" s="8" t="n">
        <f aca="false">AQ682*100</f>
        <v>0</v>
      </c>
      <c r="AY682" s="8" t="n">
        <f aca="false">AR682*100</f>
        <v>0</v>
      </c>
      <c r="AZ682" s="8" t="n">
        <f aca="false">IFERROR(ROUND(AS682*Assumptions!$I$6+AW682*Assumptions!$I$7+AT682*Assumptions!$I$8+AU682*Assumptions!$I$9+AV682*Assumptions!$I$10+AX682*Assumptions!$I$11+AY682*Assumptions!$I$12,2),"")</f>
        <v>38.06</v>
      </c>
      <c r="BA682" s="0" t="str">
        <f aca="false">IF(AZ682="","",IF(AZ682&lt;=Assumptions!$I$18,"Below Expectation",IF(AZ682&lt;=Assumptions!$I$19,"Developing",IF(AZ682&lt;=Assumptions!$I$20,"Meets Expectation",IF(AZ682&lt;=Assumptions!$I$21,"Exceeds","Star Performer")))))</f>
        <v>Below Expectation</v>
      </c>
      <c r="BB682" s="0" t="n">
        <f aca="false">IF(AZ682="",0,IF(AZ682&gt;=Assumptions!$I$26,1,0))</f>
        <v>0</v>
      </c>
      <c r="BC682" s="9" t="n">
        <f aca="false">IF(AL682="",2,AL682+2)</f>
        <v>2</v>
      </c>
      <c r="BD682" s="10" t="n">
        <f aca="false">IF(AM682="",ROUND(AVERAGE($AM$2:$AM$921),3),AM682)</f>
        <v>0</v>
      </c>
      <c r="BE682" s="9" t="n">
        <f aca="false">1-BD682</f>
        <v>1</v>
      </c>
    </row>
    <row r="683" customFormat="false" ht="14.25" hidden="true" customHeight="false" outlineLevel="0" collapsed="false">
      <c r="A683" s="4" t="n">
        <v>493</v>
      </c>
      <c r="B683" s="5" t="n">
        <v>55044288</v>
      </c>
      <c r="C683" s="5" t="s">
        <v>85</v>
      </c>
      <c r="D683" s="5" t="s">
        <v>2390</v>
      </c>
      <c r="E683" s="5" t="s">
        <v>87</v>
      </c>
      <c r="F683" s="5" t="s">
        <v>2251</v>
      </c>
      <c r="G683" s="5" t="s">
        <v>2250</v>
      </c>
      <c r="H683" s="5" t="s">
        <v>2251</v>
      </c>
      <c r="I683" s="5" t="s">
        <v>63</v>
      </c>
      <c r="J683" s="5" t="s">
        <v>76</v>
      </c>
      <c r="K683" s="5" t="s">
        <v>65</v>
      </c>
      <c r="L683" s="6" t="n">
        <v>44515</v>
      </c>
      <c r="M683" s="5" t="s">
        <v>1513</v>
      </c>
      <c r="N683" s="6" t="n">
        <v>36636</v>
      </c>
      <c r="O683" s="5" t="s">
        <v>1264</v>
      </c>
      <c r="P683" s="5" t="s">
        <v>1559</v>
      </c>
      <c r="Q683" s="5" t="s">
        <v>352</v>
      </c>
      <c r="R683" s="5" t="s">
        <v>115</v>
      </c>
      <c r="S683" s="5" t="s">
        <v>352</v>
      </c>
      <c r="T683" s="6"/>
      <c r="U683" s="6"/>
      <c r="V683" s="5" t="s">
        <v>631</v>
      </c>
      <c r="W683" s="5" t="s">
        <v>631</v>
      </c>
      <c r="X683" s="5" t="s">
        <v>631</v>
      </c>
      <c r="Y683" s="5" t="s">
        <v>631</v>
      </c>
      <c r="Z683" s="5" t="s">
        <v>631</v>
      </c>
      <c r="AA683" s="5" t="s">
        <v>2391</v>
      </c>
      <c r="AB683" s="0" t="n">
        <f aca="false">IFERROR(VALUE(R683),0)</f>
        <v>0</v>
      </c>
      <c r="AC683" s="0" t="n">
        <f aca="false">IFERROR(VALUE(M683),"")</f>
        <v>26.1</v>
      </c>
      <c r="AD683" s="0" t="n">
        <f aca="false">IFERROR(VALUE(Q683),"")</f>
        <v>4.6</v>
      </c>
      <c r="AE683" s="0" t="n">
        <f aca="false">IFERROR(VALUE(S683),"")</f>
        <v>4.6</v>
      </c>
      <c r="AF683" s="0" t="n">
        <f aca="false">IF(V683="","",VLOOKUP(V683,Assumptions!$B$6:$C$9,2,FALSE()))</f>
        <v>2</v>
      </c>
      <c r="AG683" s="0" t="n">
        <f aca="false">IF(W683="","",VLOOKUP(W683,Assumptions!$B$6:$C$9,2,FALSE()))</f>
        <v>2</v>
      </c>
      <c r="AH683" s="0" t="n">
        <f aca="false">IF(X683="","",VLOOKUP(X683,Assumptions!$B$6:$C$9,2,FALSE()))</f>
        <v>2</v>
      </c>
      <c r="AI683" s="0" t="n">
        <f aca="false">IF(Y683="","",VLOOKUP(Y683,Assumptions!$B$6:$C$9,2,FALSE()))</f>
        <v>2</v>
      </c>
      <c r="AJ683" s="0" t="n">
        <f aca="false">IF(Z683="","",VLOOKUP(Z683,Assumptions!$B$6:$C$9,2,FALSE()))</f>
        <v>2</v>
      </c>
      <c r="AK683" s="7" t="n">
        <f aca="false">IFERROR(ROUND(AVERAGE(AF683:AJ683),3),"")</f>
        <v>2</v>
      </c>
      <c r="AL683" s="7" t="n">
        <f aca="false">IF(OR(AF683="",AJ683=""),"",AJ683-AF683)</f>
        <v>0</v>
      </c>
      <c r="AM683" s="7" t="n">
        <f aca="false">IF(COUNT(AF683:AJ683)&gt;=2,ROUND(_xlfn.STDEV.S(AF683:AJ683),3),"")</f>
        <v>0</v>
      </c>
      <c r="AN683" s="7" t="n">
        <f aca="false">ROUND((IF(AF683="",0,AF683)*Assumptions!$F$15)+(IF(AG683="",0,AG683)*Assumptions!$F$16)+(IF(AH683="",0,AH683)*Assumptions!$F$17)+(IF(AI683="",0,AI683)*Assumptions!$F$18)+(IF(AJ683="",0,AJ683)*Assumptions!$F$19),3)</f>
        <v>2</v>
      </c>
      <c r="AO683" s="0" t="str">
        <f aca="false">IF(AC683&lt;=20,"",IF(AC683&lt;=Assumptions!$F$6,"20-30",IF(AC683&lt;=Assumptions!$F$7,"30-40",IF(AC683&lt;=Assumptions!$F$8,"40-50",IF(AC683&lt;=Assumptions!$F$9,"50-60",IF(AC683&lt;=Assumptions!$F$10,"60+",""))))))</f>
        <v>20-30</v>
      </c>
      <c r="AP683" s="0" t="str">
        <f aca="false">IFERROR(VLOOKUP(O683,Assumptions!$B$14:$C$26,2,FALSE()),"Other")</f>
        <v>Manager</v>
      </c>
      <c r="AQ683" s="0" t="n">
        <f aca="false">IF(T683="",0,1)</f>
        <v>0</v>
      </c>
      <c r="AR683" s="0" t="n">
        <f aca="false">IF(U683="",0,1)</f>
        <v>0</v>
      </c>
      <c r="AS683" s="8" t="n">
        <f aca="false">IF(AK683="","",IF(MAX($AK$2:$AK$921)=MIN($AK$2:$AK$921),50,ROUND((AK683-MIN($AK$2:$AK$921))/(MAX($AK$2:$AK$921)-MIN($AK$2:$AK$921))*100,2)))</f>
        <v>14.27</v>
      </c>
      <c r="AT683" s="8" t="n">
        <f aca="false">IF(MAX($BC$2:$BC$921)=MIN($BC$2:$BC$921),50,ROUND((BC683-MIN($BC$2:$BC$921))/(MAX($BC$2:$BC$921)-MIN($BC$2:$BC$921))*100,2))</f>
        <v>50</v>
      </c>
      <c r="AU683" s="8" t="n">
        <f aca="false">IF(MAX($BE$2:$BE$921)=MIN($BE$2:$BE$921),50,ROUND((BE683-MIN($BE$2:$BE$921))/(MAX($BE$2:$BE$921)-MIN($BE$2:$BE$921))*100,2))</f>
        <v>100</v>
      </c>
      <c r="AV683" s="8" t="n">
        <f aca="false">IF(MAX($AD$2:$AD$921)=MIN($AD$2:$AD$921),50,ROUND((AD683-MIN($AD$2:$AD$921))/(MAX($AD$2:$AD$921)-MIN($AD$2:$AD$921))*100,2))</f>
        <v>12.2</v>
      </c>
      <c r="AW683" s="8" t="n">
        <f aca="false">IF(MAX($AN$2:$AN$921)=MIN($AN$2:$AN$921),50,ROUND((AN683-MIN($AN$2:$AN$921))/(MAX($AN$2:$AN$921)-MIN($AN$2:$AN$921))*100,2))</f>
        <v>50</v>
      </c>
      <c r="AX683" s="8" t="n">
        <f aca="false">AQ683*100</f>
        <v>0</v>
      </c>
      <c r="AY683" s="8" t="n">
        <f aca="false">AR683*100</f>
        <v>0</v>
      </c>
      <c r="AZ683" s="8" t="n">
        <f aca="false">IFERROR(ROUND(AS683*Assumptions!$I$6+AW683*Assumptions!$I$7+AT683*Assumptions!$I$8+AU683*Assumptions!$I$9+AV683*Assumptions!$I$10+AX683*Assumptions!$I$11+AY683*Assumptions!$I$12,2),"")</f>
        <v>38</v>
      </c>
      <c r="BA683" s="0" t="str">
        <f aca="false">IF(AZ683="","",IF(AZ683&lt;=Assumptions!$I$18,"Below Expectation",IF(AZ683&lt;=Assumptions!$I$19,"Developing",IF(AZ683&lt;=Assumptions!$I$20,"Meets Expectation",IF(AZ683&lt;=Assumptions!$I$21,"Exceeds","Star Performer")))))</f>
        <v>Below Expectation</v>
      </c>
      <c r="BB683" s="0" t="n">
        <f aca="false">IF(AZ683="",0,IF(AZ683&gt;=Assumptions!$I$26,1,0))</f>
        <v>0</v>
      </c>
      <c r="BC683" s="9" t="n">
        <f aca="false">IF(AL683="",2,AL683+2)</f>
        <v>2</v>
      </c>
      <c r="BD683" s="10" t="n">
        <f aca="false">IF(AM683="",ROUND(AVERAGE($AM$2:$AM$921),3),AM683)</f>
        <v>0</v>
      </c>
      <c r="BE683" s="9" t="n">
        <f aca="false">1-BD683</f>
        <v>1</v>
      </c>
    </row>
    <row r="684" customFormat="false" ht="14.25" hidden="true" customHeight="false" outlineLevel="0" collapsed="false">
      <c r="A684" s="4" t="n">
        <v>494</v>
      </c>
      <c r="B684" s="5" t="n">
        <v>55044302</v>
      </c>
      <c r="C684" s="5" t="s">
        <v>85</v>
      </c>
      <c r="D684" s="5" t="s">
        <v>2392</v>
      </c>
      <c r="E684" s="5" t="s">
        <v>315</v>
      </c>
      <c r="F684" s="5" t="s">
        <v>2251</v>
      </c>
      <c r="G684" s="5" t="s">
        <v>2250</v>
      </c>
      <c r="H684" s="5" t="s">
        <v>2251</v>
      </c>
      <c r="I684" s="5" t="s">
        <v>63</v>
      </c>
      <c r="J684" s="5" t="s">
        <v>76</v>
      </c>
      <c r="K684" s="5" t="s">
        <v>309</v>
      </c>
      <c r="L684" s="6" t="n">
        <v>44515</v>
      </c>
      <c r="M684" s="5" t="s">
        <v>165</v>
      </c>
      <c r="N684" s="6" t="n">
        <v>37025</v>
      </c>
      <c r="O684" s="5" t="s">
        <v>1264</v>
      </c>
      <c r="P684" s="5" t="s">
        <v>1559</v>
      </c>
      <c r="Q684" s="5" t="s">
        <v>352</v>
      </c>
      <c r="R684" s="5" t="s">
        <v>115</v>
      </c>
      <c r="S684" s="5" t="s">
        <v>352</v>
      </c>
      <c r="T684" s="6"/>
      <c r="U684" s="6"/>
      <c r="V684" s="5" t="s">
        <v>631</v>
      </c>
      <c r="W684" s="5" t="s">
        <v>631</v>
      </c>
      <c r="X684" s="5" t="s">
        <v>631</v>
      </c>
      <c r="Y684" s="5" t="s">
        <v>631</v>
      </c>
      <c r="Z684" s="5" t="s">
        <v>631</v>
      </c>
      <c r="AA684" s="5" t="s">
        <v>2393</v>
      </c>
      <c r="AB684" s="0" t="n">
        <f aca="false">IFERROR(VALUE(R684),0)</f>
        <v>0</v>
      </c>
      <c r="AC684" s="0" t="n">
        <f aca="false">IFERROR(VALUE(M684),"")</f>
        <v>25</v>
      </c>
      <c r="AD684" s="0" t="n">
        <f aca="false">IFERROR(VALUE(Q684),"")</f>
        <v>4.6</v>
      </c>
      <c r="AE684" s="0" t="n">
        <f aca="false">IFERROR(VALUE(S684),"")</f>
        <v>4.6</v>
      </c>
      <c r="AF684" s="0" t="n">
        <f aca="false">IF(V684="","",VLOOKUP(V684,Assumptions!$B$6:$C$9,2,FALSE()))</f>
        <v>2</v>
      </c>
      <c r="AG684" s="0" t="n">
        <f aca="false">IF(W684="","",VLOOKUP(W684,Assumptions!$B$6:$C$9,2,FALSE()))</f>
        <v>2</v>
      </c>
      <c r="AH684" s="0" t="n">
        <f aca="false">IF(X684="","",VLOOKUP(X684,Assumptions!$B$6:$C$9,2,FALSE()))</f>
        <v>2</v>
      </c>
      <c r="AI684" s="0" t="n">
        <f aca="false">IF(Y684="","",VLOOKUP(Y684,Assumptions!$B$6:$C$9,2,FALSE()))</f>
        <v>2</v>
      </c>
      <c r="AJ684" s="0" t="n">
        <f aca="false">IF(Z684="","",VLOOKUP(Z684,Assumptions!$B$6:$C$9,2,FALSE()))</f>
        <v>2</v>
      </c>
      <c r="AK684" s="7" t="n">
        <f aca="false">IFERROR(ROUND(AVERAGE(AF684:AJ684),3),"")</f>
        <v>2</v>
      </c>
      <c r="AL684" s="7" t="n">
        <f aca="false">IF(OR(AF684="",AJ684=""),"",AJ684-AF684)</f>
        <v>0</v>
      </c>
      <c r="AM684" s="7" t="n">
        <f aca="false">IF(COUNT(AF684:AJ684)&gt;=2,ROUND(_xlfn.STDEV.S(AF684:AJ684),3),"")</f>
        <v>0</v>
      </c>
      <c r="AN684" s="7" t="n">
        <f aca="false">ROUND((IF(AF684="",0,AF684)*Assumptions!$F$15)+(IF(AG684="",0,AG684)*Assumptions!$F$16)+(IF(AH684="",0,AH684)*Assumptions!$F$17)+(IF(AI684="",0,AI684)*Assumptions!$F$18)+(IF(AJ684="",0,AJ684)*Assumptions!$F$19),3)</f>
        <v>2</v>
      </c>
      <c r="AO684" s="0" t="str">
        <f aca="false">IF(AC684&lt;=20,"",IF(AC684&lt;=Assumptions!$F$6,"20-30",IF(AC684&lt;=Assumptions!$F$7,"30-40",IF(AC684&lt;=Assumptions!$F$8,"40-50",IF(AC684&lt;=Assumptions!$F$9,"50-60",IF(AC684&lt;=Assumptions!$F$10,"60+",""))))))</f>
        <v>20-30</v>
      </c>
      <c r="AP684" s="0" t="str">
        <f aca="false">IFERROR(VLOOKUP(O684,Assumptions!$B$14:$C$26,2,FALSE()),"Other")</f>
        <v>Manager</v>
      </c>
      <c r="AQ684" s="0" t="n">
        <f aca="false">IF(T684="",0,1)</f>
        <v>0</v>
      </c>
      <c r="AR684" s="0" t="n">
        <f aca="false">IF(U684="",0,1)</f>
        <v>0</v>
      </c>
      <c r="AS684" s="8" t="n">
        <f aca="false">IF(AK684="","",IF(MAX($AK$2:$AK$921)=MIN($AK$2:$AK$921),50,ROUND((AK684-MIN($AK$2:$AK$921))/(MAX($AK$2:$AK$921)-MIN($AK$2:$AK$921))*100,2)))</f>
        <v>14.27</v>
      </c>
      <c r="AT684" s="8" t="n">
        <f aca="false">IF(MAX($BC$2:$BC$921)=MIN($BC$2:$BC$921),50,ROUND((BC684-MIN($BC$2:$BC$921))/(MAX($BC$2:$BC$921)-MIN($BC$2:$BC$921))*100,2))</f>
        <v>50</v>
      </c>
      <c r="AU684" s="8" t="n">
        <f aca="false">IF(MAX($BE$2:$BE$921)=MIN($BE$2:$BE$921),50,ROUND((BE684-MIN($BE$2:$BE$921))/(MAX($BE$2:$BE$921)-MIN($BE$2:$BE$921))*100,2))</f>
        <v>100</v>
      </c>
      <c r="AV684" s="8" t="n">
        <f aca="false">IF(MAX($AD$2:$AD$921)=MIN($AD$2:$AD$921),50,ROUND((AD684-MIN($AD$2:$AD$921))/(MAX($AD$2:$AD$921)-MIN($AD$2:$AD$921))*100,2))</f>
        <v>12.2</v>
      </c>
      <c r="AW684" s="8" t="n">
        <f aca="false">IF(MAX($AN$2:$AN$921)=MIN($AN$2:$AN$921),50,ROUND((AN684-MIN($AN$2:$AN$921))/(MAX($AN$2:$AN$921)-MIN($AN$2:$AN$921))*100,2))</f>
        <v>50</v>
      </c>
      <c r="AX684" s="8" t="n">
        <f aca="false">AQ684*100</f>
        <v>0</v>
      </c>
      <c r="AY684" s="8" t="n">
        <f aca="false">AR684*100</f>
        <v>0</v>
      </c>
      <c r="AZ684" s="8" t="n">
        <f aca="false">IFERROR(ROUND(AS684*Assumptions!$I$6+AW684*Assumptions!$I$7+AT684*Assumptions!$I$8+AU684*Assumptions!$I$9+AV684*Assumptions!$I$10+AX684*Assumptions!$I$11+AY684*Assumptions!$I$12,2),"")</f>
        <v>38</v>
      </c>
      <c r="BA684" s="0" t="str">
        <f aca="false">IF(AZ684="","",IF(AZ684&lt;=Assumptions!$I$18,"Below Expectation",IF(AZ684&lt;=Assumptions!$I$19,"Developing",IF(AZ684&lt;=Assumptions!$I$20,"Meets Expectation",IF(AZ684&lt;=Assumptions!$I$21,"Exceeds","Star Performer")))))</f>
        <v>Below Expectation</v>
      </c>
      <c r="BB684" s="0" t="n">
        <f aca="false">IF(AZ684="",0,IF(AZ684&gt;=Assumptions!$I$26,1,0))</f>
        <v>0</v>
      </c>
      <c r="BC684" s="9" t="n">
        <f aca="false">IF(AL684="",2,AL684+2)</f>
        <v>2</v>
      </c>
      <c r="BD684" s="10" t="n">
        <f aca="false">IF(AM684="",ROUND(AVERAGE($AM$2:$AM$921),3),AM684)</f>
        <v>0</v>
      </c>
      <c r="BE684" s="9" t="n">
        <f aca="false">1-BD684</f>
        <v>1</v>
      </c>
    </row>
    <row r="685" customFormat="false" ht="14.25" hidden="true" customHeight="false" outlineLevel="0" collapsed="false">
      <c r="A685" s="4" t="n">
        <v>495</v>
      </c>
      <c r="B685" s="5" t="n">
        <v>55044309</v>
      </c>
      <c r="C685" s="5" t="s">
        <v>85</v>
      </c>
      <c r="D685" s="5" t="s">
        <v>2394</v>
      </c>
      <c r="E685" s="5" t="s">
        <v>87</v>
      </c>
      <c r="F685" s="5" t="s">
        <v>2251</v>
      </c>
      <c r="G685" s="5" t="s">
        <v>2250</v>
      </c>
      <c r="H685" s="5" t="s">
        <v>2251</v>
      </c>
      <c r="I685" s="5" t="s">
        <v>63</v>
      </c>
      <c r="J685" s="5" t="s">
        <v>76</v>
      </c>
      <c r="K685" s="5" t="s">
        <v>309</v>
      </c>
      <c r="L685" s="6" t="n">
        <v>44515</v>
      </c>
      <c r="M685" s="5" t="s">
        <v>165</v>
      </c>
      <c r="N685" s="6" t="n">
        <v>37031</v>
      </c>
      <c r="O685" s="5" t="s">
        <v>1264</v>
      </c>
      <c r="P685" s="5" t="s">
        <v>1559</v>
      </c>
      <c r="Q685" s="5" t="s">
        <v>352</v>
      </c>
      <c r="R685" s="5" t="s">
        <v>115</v>
      </c>
      <c r="S685" s="5" t="s">
        <v>352</v>
      </c>
      <c r="T685" s="6"/>
      <c r="U685" s="6"/>
      <c r="V685" s="5" t="s">
        <v>631</v>
      </c>
      <c r="W685" s="5" t="s">
        <v>631</v>
      </c>
      <c r="X685" s="5" t="s">
        <v>631</v>
      </c>
      <c r="Y685" s="5" t="s">
        <v>631</v>
      </c>
      <c r="Z685" s="5" t="s">
        <v>631</v>
      </c>
      <c r="AA685" s="5" t="s">
        <v>2395</v>
      </c>
      <c r="AB685" s="0" t="n">
        <f aca="false">IFERROR(VALUE(R685),0)</f>
        <v>0</v>
      </c>
      <c r="AC685" s="0" t="n">
        <f aca="false">IFERROR(VALUE(M685),"")</f>
        <v>25</v>
      </c>
      <c r="AD685" s="0" t="n">
        <f aca="false">IFERROR(VALUE(Q685),"")</f>
        <v>4.6</v>
      </c>
      <c r="AE685" s="0" t="n">
        <f aca="false">IFERROR(VALUE(S685),"")</f>
        <v>4.6</v>
      </c>
      <c r="AF685" s="0" t="n">
        <f aca="false">IF(V685="","",VLOOKUP(V685,Assumptions!$B$6:$C$9,2,FALSE()))</f>
        <v>2</v>
      </c>
      <c r="AG685" s="0" t="n">
        <f aca="false">IF(W685="","",VLOOKUP(W685,Assumptions!$B$6:$C$9,2,FALSE()))</f>
        <v>2</v>
      </c>
      <c r="AH685" s="0" t="n">
        <f aca="false">IF(X685="","",VLOOKUP(X685,Assumptions!$B$6:$C$9,2,FALSE()))</f>
        <v>2</v>
      </c>
      <c r="AI685" s="0" t="n">
        <f aca="false">IF(Y685="","",VLOOKUP(Y685,Assumptions!$B$6:$C$9,2,FALSE()))</f>
        <v>2</v>
      </c>
      <c r="AJ685" s="0" t="n">
        <f aca="false">IF(Z685="","",VLOOKUP(Z685,Assumptions!$B$6:$C$9,2,FALSE()))</f>
        <v>2</v>
      </c>
      <c r="AK685" s="7" t="n">
        <f aca="false">IFERROR(ROUND(AVERAGE(AF685:AJ685),3),"")</f>
        <v>2</v>
      </c>
      <c r="AL685" s="7" t="n">
        <f aca="false">IF(OR(AF685="",AJ685=""),"",AJ685-AF685)</f>
        <v>0</v>
      </c>
      <c r="AM685" s="7" t="n">
        <f aca="false">IF(COUNT(AF685:AJ685)&gt;=2,ROUND(_xlfn.STDEV.S(AF685:AJ685),3),"")</f>
        <v>0</v>
      </c>
      <c r="AN685" s="7" t="n">
        <f aca="false">ROUND((IF(AF685="",0,AF685)*Assumptions!$F$15)+(IF(AG685="",0,AG685)*Assumptions!$F$16)+(IF(AH685="",0,AH685)*Assumptions!$F$17)+(IF(AI685="",0,AI685)*Assumptions!$F$18)+(IF(AJ685="",0,AJ685)*Assumptions!$F$19),3)</f>
        <v>2</v>
      </c>
      <c r="AO685" s="0" t="str">
        <f aca="false">IF(AC685&lt;=20,"",IF(AC685&lt;=Assumptions!$F$6,"20-30",IF(AC685&lt;=Assumptions!$F$7,"30-40",IF(AC685&lt;=Assumptions!$F$8,"40-50",IF(AC685&lt;=Assumptions!$F$9,"50-60",IF(AC685&lt;=Assumptions!$F$10,"60+",""))))))</f>
        <v>20-30</v>
      </c>
      <c r="AP685" s="0" t="str">
        <f aca="false">IFERROR(VLOOKUP(O685,Assumptions!$B$14:$C$26,2,FALSE()),"Other")</f>
        <v>Manager</v>
      </c>
      <c r="AQ685" s="0" t="n">
        <f aca="false">IF(T685="",0,1)</f>
        <v>0</v>
      </c>
      <c r="AR685" s="0" t="n">
        <f aca="false">IF(U685="",0,1)</f>
        <v>0</v>
      </c>
      <c r="AS685" s="8" t="n">
        <f aca="false">IF(AK685="","",IF(MAX($AK$2:$AK$921)=MIN($AK$2:$AK$921),50,ROUND((AK685-MIN($AK$2:$AK$921))/(MAX($AK$2:$AK$921)-MIN($AK$2:$AK$921))*100,2)))</f>
        <v>14.27</v>
      </c>
      <c r="AT685" s="8" t="n">
        <f aca="false">IF(MAX($BC$2:$BC$921)=MIN($BC$2:$BC$921),50,ROUND((BC685-MIN($BC$2:$BC$921))/(MAX($BC$2:$BC$921)-MIN($BC$2:$BC$921))*100,2))</f>
        <v>50</v>
      </c>
      <c r="AU685" s="8" t="n">
        <f aca="false">IF(MAX($BE$2:$BE$921)=MIN($BE$2:$BE$921),50,ROUND((BE685-MIN($BE$2:$BE$921))/(MAX($BE$2:$BE$921)-MIN($BE$2:$BE$921))*100,2))</f>
        <v>100</v>
      </c>
      <c r="AV685" s="8" t="n">
        <f aca="false">IF(MAX($AD$2:$AD$921)=MIN($AD$2:$AD$921),50,ROUND((AD685-MIN($AD$2:$AD$921))/(MAX($AD$2:$AD$921)-MIN($AD$2:$AD$921))*100,2))</f>
        <v>12.2</v>
      </c>
      <c r="AW685" s="8" t="n">
        <f aca="false">IF(MAX($AN$2:$AN$921)=MIN($AN$2:$AN$921),50,ROUND((AN685-MIN($AN$2:$AN$921))/(MAX($AN$2:$AN$921)-MIN($AN$2:$AN$921))*100,2))</f>
        <v>50</v>
      </c>
      <c r="AX685" s="8" t="n">
        <f aca="false">AQ685*100</f>
        <v>0</v>
      </c>
      <c r="AY685" s="8" t="n">
        <f aca="false">AR685*100</f>
        <v>0</v>
      </c>
      <c r="AZ685" s="8" t="n">
        <f aca="false">IFERROR(ROUND(AS685*Assumptions!$I$6+AW685*Assumptions!$I$7+AT685*Assumptions!$I$8+AU685*Assumptions!$I$9+AV685*Assumptions!$I$10+AX685*Assumptions!$I$11+AY685*Assumptions!$I$12,2),"")</f>
        <v>38</v>
      </c>
      <c r="BA685" s="0" t="str">
        <f aca="false">IF(AZ685="","",IF(AZ685&lt;=Assumptions!$I$18,"Below Expectation",IF(AZ685&lt;=Assumptions!$I$19,"Developing",IF(AZ685&lt;=Assumptions!$I$20,"Meets Expectation",IF(AZ685&lt;=Assumptions!$I$21,"Exceeds","Star Performer")))))</f>
        <v>Below Expectation</v>
      </c>
      <c r="BB685" s="0" t="n">
        <f aca="false">IF(AZ685="",0,IF(AZ685&gt;=Assumptions!$I$26,1,0))</f>
        <v>0</v>
      </c>
      <c r="BC685" s="9" t="n">
        <f aca="false">IF(AL685="",2,AL685+2)</f>
        <v>2</v>
      </c>
      <c r="BD685" s="10" t="n">
        <f aca="false">IF(AM685="",ROUND(AVERAGE($AM$2:$AM$921),3),AM685)</f>
        <v>0</v>
      </c>
      <c r="BE685" s="9" t="n">
        <f aca="false">1-BD685</f>
        <v>1</v>
      </c>
    </row>
    <row r="686" customFormat="false" ht="14.25" hidden="true" customHeight="false" outlineLevel="0" collapsed="false">
      <c r="A686" s="4" t="n">
        <v>496</v>
      </c>
      <c r="B686" s="5" t="n">
        <v>55044317</v>
      </c>
      <c r="C686" s="5" t="s">
        <v>85</v>
      </c>
      <c r="D686" s="5" t="s">
        <v>2396</v>
      </c>
      <c r="E686" s="5" t="s">
        <v>315</v>
      </c>
      <c r="F686" s="5" t="s">
        <v>2251</v>
      </c>
      <c r="G686" s="5" t="s">
        <v>2250</v>
      </c>
      <c r="H686" s="5" t="s">
        <v>2251</v>
      </c>
      <c r="I686" s="5" t="s">
        <v>63</v>
      </c>
      <c r="J686" s="5" t="s">
        <v>76</v>
      </c>
      <c r="K686" s="5" t="s">
        <v>65</v>
      </c>
      <c r="L686" s="6" t="n">
        <v>44515</v>
      </c>
      <c r="M686" s="5" t="s">
        <v>941</v>
      </c>
      <c r="N686" s="6" t="n">
        <v>36703</v>
      </c>
      <c r="O686" s="5" t="s">
        <v>1264</v>
      </c>
      <c r="P686" s="5" t="s">
        <v>1559</v>
      </c>
      <c r="Q686" s="5" t="s">
        <v>352</v>
      </c>
      <c r="R686" s="5" t="s">
        <v>115</v>
      </c>
      <c r="S686" s="5" t="s">
        <v>352</v>
      </c>
      <c r="T686" s="6"/>
      <c r="U686" s="6"/>
      <c r="V686" s="5" t="s">
        <v>631</v>
      </c>
      <c r="W686" s="5" t="s">
        <v>631</v>
      </c>
      <c r="X686" s="5" t="s">
        <v>631</v>
      </c>
      <c r="Y686" s="5" t="s">
        <v>631</v>
      </c>
      <c r="Z686" s="5" t="s">
        <v>631</v>
      </c>
      <c r="AA686" s="5" t="s">
        <v>2397</v>
      </c>
      <c r="AB686" s="0" t="n">
        <f aca="false">IFERROR(VALUE(R686),0)</f>
        <v>0</v>
      </c>
      <c r="AC686" s="0" t="n">
        <f aca="false">IFERROR(VALUE(M686),"")</f>
        <v>25.11</v>
      </c>
      <c r="AD686" s="0" t="n">
        <f aca="false">IFERROR(VALUE(Q686),"")</f>
        <v>4.6</v>
      </c>
      <c r="AE686" s="0" t="n">
        <f aca="false">IFERROR(VALUE(S686),"")</f>
        <v>4.6</v>
      </c>
      <c r="AF686" s="0" t="n">
        <f aca="false">IF(V686="","",VLOOKUP(V686,Assumptions!$B$6:$C$9,2,FALSE()))</f>
        <v>2</v>
      </c>
      <c r="AG686" s="0" t="n">
        <f aca="false">IF(W686="","",VLOOKUP(W686,Assumptions!$B$6:$C$9,2,FALSE()))</f>
        <v>2</v>
      </c>
      <c r="AH686" s="0" t="n">
        <f aca="false">IF(X686="","",VLOOKUP(X686,Assumptions!$B$6:$C$9,2,FALSE()))</f>
        <v>2</v>
      </c>
      <c r="AI686" s="0" t="n">
        <f aca="false">IF(Y686="","",VLOOKUP(Y686,Assumptions!$B$6:$C$9,2,FALSE()))</f>
        <v>2</v>
      </c>
      <c r="AJ686" s="0" t="n">
        <f aca="false">IF(Z686="","",VLOOKUP(Z686,Assumptions!$B$6:$C$9,2,FALSE()))</f>
        <v>2</v>
      </c>
      <c r="AK686" s="7" t="n">
        <f aca="false">IFERROR(ROUND(AVERAGE(AF686:AJ686),3),"")</f>
        <v>2</v>
      </c>
      <c r="AL686" s="7" t="n">
        <f aca="false">IF(OR(AF686="",AJ686=""),"",AJ686-AF686)</f>
        <v>0</v>
      </c>
      <c r="AM686" s="7" t="n">
        <f aca="false">IF(COUNT(AF686:AJ686)&gt;=2,ROUND(_xlfn.STDEV.S(AF686:AJ686),3),"")</f>
        <v>0</v>
      </c>
      <c r="AN686" s="7" t="n">
        <f aca="false">ROUND((IF(AF686="",0,AF686)*Assumptions!$F$15)+(IF(AG686="",0,AG686)*Assumptions!$F$16)+(IF(AH686="",0,AH686)*Assumptions!$F$17)+(IF(AI686="",0,AI686)*Assumptions!$F$18)+(IF(AJ686="",0,AJ686)*Assumptions!$F$19),3)</f>
        <v>2</v>
      </c>
      <c r="AO686" s="0" t="str">
        <f aca="false">IF(AC686&lt;=20,"",IF(AC686&lt;=Assumptions!$F$6,"20-30",IF(AC686&lt;=Assumptions!$F$7,"30-40",IF(AC686&lt;=Assumptions!$F$8,"40-50",IF(AC686&lt;=Assumptions!$F$9,"50-60",IF(AC686&lt;=Assumptions!$F$10,"60+",""))))))</f>
        <v>20-30</v>
      </c>
      <c r="AP686" s="0" t="str">
        <f aca="false">IFERROR(VLOOKUP(O686,Assumptions!$B$14:$C$26,2,FALSE()),"Other")</f>
        <v>Manager</v>
      </c>
      <c r="AQ686" s="0" t="n">
        <f aca="false">IF(T686="",0,1)</f>
        <v>0</v>
      </c>
      <c r="AR686" s="0" t="n">
        <f aca="false">IF(U686="",0,1)</f>
        <v>0</v>
      </c>
      <c r="AS686" s="8" t="n">
        <f aca="false">IF(AK686="","",IF(MAX($AK$2:$AK$921)=MIN($AK$2:$AK$921),50,ROUND((AK686-MIN($AK$2:$AK$921))/(MAX($AK$2:$AK$921)-MIN($AK$2:$AK$921))*100,2)))</f>
        <v>14.27</v>
      </c>
      <c r="AT686" s="8" t="n">
        <f aca="false">IF(MAX($BC$2:$BC$921)=MIN($BC$2:$BC$921),50,ROUND((BC686-MIN($BC$2:$BC$921))/(MAX($BC$2:$BC$921)-MIN($BC$2:$BC$921))*100,2))</f>
        <v>50</v>
      </c>
      <c r="AU686" s="8" t="n">
        <f aca="false">IF(MAX($BE$2:$BE$921)=MIN($BE$2:$BE$921),50,ROUND((BE686-MIN($BE$2:$BE$921))/(MAX($BE$2:$BE$921)-MIN($BE$2:$BE$921))*100,2))</f>
        <v>100</v>
      </c>
      <c r="AV686" s="8" t="n">
        <f aca="false">IF(MAX($AD$2:$AD$921)=MIN($AD$2:$AD$921),50,ROUND((AD686-MIN($AD$2:$AD$921))/(MAX($AD$2:$AD$921)-MIN($AD$2:$AD$921))*100,2))</f>
        <v>12.2</v>
      </c>
      <c r="AW686" s="8" t="n">
        <f aca="false">IF(MAX($AN$2:$AN$921)=MIN($AN$2:$AN$921),50,ROUND((AN686-MIN($AN$2:$AN$921))/(MAX($AN$2:$AN$921)-MIN($AN$2:$AN$921))*100,2))</f>
        <v>50</v>
      </c>
      <c r="AX686" s="8" t="n">
        <f aca="false">AQ686*100</f>
        <v>0</v>
      </c>
      <c r="AY686" s="8" t="n">
        <f aca="false">AR686*100</f>
        <v>0</v>
      </c>
      <c r="AZ686" s="8" t="n">
        <f aca="false">IFERROR(ROUND(AS686*Assumptions!$I$6+AW686*Assumptions!$I$7+AT686*Assumptions!$I$8+AU686*Assumptions!$I$9+AV686*Assumptions!$I$10+AX686*Assumptions!$I$11+AY686*Assumptions!$I$12,2),"")</f>
        <v>38</v>
      </c>
      <c r="BA686" s="0" t="str">
        <f aca="false">IF(AZ686="","",IF(AZ686&lt;=Assumptions!$I$18,"Below Expectation",IF(AZ686&lt;=Assumptions!$I$19,"Developing",IF(AZ686&lt;=Assumptions!$I$20,"Meets Expectation",IF(AZ686&lt;=Assumptions!$I$21,"Exceeds","Star Performer")))))</f>
        <v>Below Expectation</v>
      </c>
      <c r="BB686" s="0" t="n">
        <f aca="false">IF(AZ686="",0,IF(AZ686&gt;=Assumptions!$I$26,1,0))</f>
        <v>0</v>
      </c>
      <c r="BC686" s="9" t="n">
        <f aca="false">IF(AL686="",2,AL686+2)</f>
        <v>2</v>
      </c>
      <c r="BD686" s="10" t="n">
        <f aca="false">IF(AM686="",ROUND(AVERAGE($AM$2:$AM$921),3),AM686)</f>
        <v>0</v>
      </c>
      <c r="BE686" s="9" t="n">
        <f aca="false">1-BD686</f>
        <v>1</v>
      </c>
    </row>
    <row r="687" customFormat="false" ht="14.25" hidden="true" customHeight="false" outlineLevel="0" collapsed="false">
      <c r="A687" s="4" t="n">
        <v>498</v>
      </c>
      <c r="B687" s="5" t="n">
        <v>55044345</v>
      </c>
      <c r="C687" s="5" t="s">
        <v>85</v>
      </c>
      <c r="D687" s="5" t="s">
        <v>2398</v>
      </c>
      <c r="E687" s="5" t="s">
        <v>315</v>
      </c>
      <c r="F687" s="5" t="s">
        <v>2251</v>
      </c>
      <c r="G687" s="5" t="s">
        <v>2250</v>
      </c>
      <c r="H687" s="5" t="s">
        <v>2251</v>
      </c>
      <c r="I687" s="5" t="s">
        <v>63</v>
      </c>
      <c r="J687" s="5" t="s">
        <v>76</v>
      </c>
      <c r="K687" s="5" t="s">
        <v>309</v>
      </c>
      <c r="L687" s="6" t="n">
        <v>44515</v>
      </c>
      <c r="M687" s="5" t="s">
        <v>1167</v>
      </c>
      <c r="N687" s="6" t="n">
        <v>36443</v>
      </c>
      <c r="O687" s="5" t="s">
        <v>1264</v>
      </c>
      <c r="P687" s="5" t="s">
        <v>1559</v>
      </c>
      <c r="Q687" s="5" t="s">
        <v>352</v>
      </c>
      <c r="R687" s="5" t="s">
        <v>115</v>
      </c>
      <c r="S687" s="5" t="s">
        <v>352</v>
      </c>
      <c r="T687" s="6"/>
      <c r="U687" s="6"/>
      <c r="V687" s="5" t="s">
        <v>631</v>
      </c>
      <c r="W687" s="5" t="s">
        <v>631</v>
      </c>
      <c r="X687" s="5" t="s">
        <v>631</v>
      </c>
      <c r="Y687" s="5" t="s">
        <v>631</v>
      </c>
      <c r="Z687" s="5" t="s">
        <v>631</v>
      </c>
      <c r="AA687" s="5" t="s">
        <v>2399</v>
      </c>
      <c r="AB687" s="0" t="n">
        <f aca="false">IFERROR(VALUE(R687),0)</f>
        <v>0</v>
      </c>
      <c r="AC687" s="0" t="n">
        <f aca="false">IFERROR(VALUE(M687),"")</f>
        <v>26.7</v>
      </c>
      <c r="AD687" s="0" t="n">
        <f aca="false">IFERROR(VALUE(Q687),"")</f>
        <v>4.6</v>
      </c>
      <c r="AE687" s="0" t="n">
        <f aca="false">IFERROR(VALUE(S687),"")</f>
        <v>4.6</v>
      </c>
      <c r="AF687" s="0" t="n">
        <f aca="false">IF(V687="","",VLOOKUP(V687,Assumptions!$B$6:$C$9,2,FALSE()))</f>
        <v>2</v>
      </c>
      <c r="AG687" s="0" t="n">
        <f aca="false">IF(W687="","",VLOOKUP(W687,Assumptions!$B$6:$C$9,2,FALSE()))</f>
        <v>2</v>
      </c>
      <c r="AH687" s="0" t="n">
        <f aca="false">IF(X687="","",VLOOKUP(X687,Assumptions!$B$6:$C$9,2,FALSE()))</f>
        <v>2</v>
      </c>
      <c r="AI687" s="0" t="n">
        <f aca="false">IF(Y687="","",VLOOKUP(Y687,Assumptions!$B$6:$C$9,2,FALSE()))</f>
        <v>2</v>
      </c>
      <c r="AJ687" s="0" t="n">
        <f aca="false">IF(Z687="","",VLOOKUP(Z687,Assumptions!$B$6:$C$9,2,FALSE()))</f>
        <v>2</v>
      </c>
      <c r="AK687" s="7" t="n">
        <f aca="false">IFERROR(ROUND(AVERAGE(AF687:AJ687),3),"")</f>
        <v>2</v>
      </c>
      <c r="AL687" s="7" t="n">
        <f aca="false">IF(OR(AF687="",AJ687=""),"",AJ687-AF687)</f>
        <v>0</v>
      </c>
      <c r="AM687" s="7" t="n">
        <f aca="false">IF(COUNT(AF687:AJ687)&gt;=2,ROUND(_xlfn.STDEV.S(AF687:AJ687),3),"")</f>
        <v>0</v>
      </c>
      <c r="AN687" s="7" t="n">
        <f aca="false">ROUND((IF(AF687="",0,AF687)*Assumptions!$F$15)+(IF(AG687="",0,AG687)*Assumptions!$F$16)+(IF(AH687="",0,AH687)*Assumptions!$F$17)+(IF(AI687="",0,AI687)*Assumptions!$F$18)+(IF(AJ687="",0,AJ687)*Assumptions!$F$19),3)</f>
        <v>2</v>
      </c>
      <c r="AO687" s="0" t="str">
        <f aca="false">IF(AC687&lt;=20,"",IF(AC687&lt;=Assumptions!$F$6,"20-30",IF(AC687&lt;=Assumptions!$F$7,"30-40",IF(AC687&lt;=Assumptions!$F$8,"40-50",IF(AC687&lt;=Assumptions!$F$9,"50-60",IF(AC687&lt;=Assumptions!$F$10,"60+",""))))))</f>
        <v>20-30</v>
      </c>
      <c r="AP687" s="0" t="str">
        <f aca="false">IFERROR(VLOOKUP(O687,Assumptions!$B$14:$C$26,2,FALSE()),"Other")</f>
        <v>Manager</v>
      </c>
      <c r="AQ687" s="0" t="n">
        <f aca="false">IF(T687="",0,1)</f>
        <v>0</v>
      </c>
      <c r="AR687" s="0" t="n">
        <f aca="false">IF(U687="",0,1)</f>
        <v>0</v>
      </c>
      <c r="AS687" s="8" t="n">
        <f aca="false">IF(AK687="","",IF(MAX($AK$2:$AK$921)=MIN($AK$2:$AK$921),50,ROUND((AK687-MIN($AK$2:$AK$921))/(MAX($AK$2:$AK$921)-MIN($AK$2:$AK$921))*100,2)))</f>
        <v>14.27</v>
      </c>
      <c r="AT687" s="8" t="n">
        <f aca="false">IF(MAX($BC$2:$BC$921)=MIN($BC$2:$BC$921),50,ROUND((BC687-MIN($BC$2:$BC$921))/(MAX($BC$2:$BC$921)-MIN($BC$2:$BC$921))*100,2))</f>
        <v>50</v>
      </c>
      <c r="AU687" s="8" t="n">
        <f aca="false">IF(MAX($BE$2:$BE$921)=MIN($BE$2:$BE$921),50,ROUND((BE687-MIN($BE$2:$BE$921))/(MAX($BE$2:$BE$921)-MIN($BE$2:$BE$921))*100,2))</f>
        <v>100</v>
      </c>
      <c r="AV687" s="8" t="n">
        <f aca="false">IF(MAX($AD$2:$AD$921)=MIN($AD$2:$AD$921),50,ROUND((AD687-MIN($AD$2:$AD$921))/(MAX($AD$2:$AD$921)-MIN($AD$2:$AD$921))*100,2))</f>
        <v>12.2</v>
      </c>
      <c r="AW687" s="8" t="n">
        <f aca="false">IF(MAX($AN$2:$AN$921)=MIN($AN$2:$AN$921),50,ROUND((AN687-MIN($AN$2:$AN$921))/(MAX($AN$2:$AN$921)-MIN($AN$2:$AN$921))*100,2))</f>
        <v>50</v>
      </c>
      <c r="AX687" s="8" t="n">
        <f aca="false">AQ687*100</f>
        <v>0</v>
      </c>
      <c r="AY687" s="8" t="n">
        <f aca="false">AR687*100</f>
        <v>0</v>
      </c>
      <c r="AZ687" s="8" t="n">
        <f aca="false">IFERROR(ROUND(AS687*Assumptions!$I$6+AW687*Assumptions!$I$7+AT687*Assumptions!$I$8+AU687*Assumptions!$I$9+AV687*Assumptions!$I$10+AX687*Assumptions!$I$11+AY687*Assumptions!$I$12,2),"")</f>
        <v>38</v>
      </c>
      <c r="BA687" s="0" t="str">
        <f aca="false">IF(AZ687="","",IF(AZ687&lt;=Assumptions!$I$18,"Below Expectation",IF(AZ687&lt;=Assumptions!$I$19,"Developing",IF(AZ687&lt;=Assumptions!$I$20,"Meets Expectation",IF(AZ687&lt;=Assumptions!$I$21,"Exceeds","Star Performer")))))</f>
        <v>Below Expectation</v>
      </c>
      <c r="BB687" s="0" t="n">
        <f aca="false">IF(AZ687="",0,IF(AZ687&gt;=Assumptions!$I$26,1,0))</f>
        <v>0</v>
      </c>
      <c r="BC687" s="9" t="n">
        <f aca="false">IF(AL687="",2,AL687+2)</f>
        <v>2</v>
      </c>
      <c r="BD687" s="10" t="n">
        <f aca="false">IF(AM687="",ROUND(AVERAGE($AM$2:$AM$921),3),AM687)</f>
        <v>0</v>
      </c>
      <c r="BE687" s="9" t="n">
        <f aca="false">1-BD687</f>
        <v>1</v>
      </c>
    </row>
    <row r="688" customFormat="false" ht="14.25" hidden="true" customHeight="false" outlineLevel="0" collapsed="false">
      <c r="A688" s="4" t="n">
        <v>499</v>
      </c>
      <c r="B688" s="5" t="n">
        <v>55044346</v>
      </c>
      <c r="C688" s="5" t="s">
        <v>85</v>
      </c>
      <c r="D688" s="5" t="s">
        <v>2400</v>
      </c>
      <c r="E688" s="5" t="s">
        <v>315</v>
      </c>
      <c r="F688" s="5" t="s">
        <v>2251</v>
      </c>
      <c r="G688" s="5" t="s">
        <v>2250</v>
      </c>
      <c r="H688" s="5" t="s">
        <v>2251</v>
      </c>
      <c r="I688" s="5" t="s">
        <v>63</v>
      </c>
      <c r="J688" s="5" t="s">
        <v>76</v>
      </c>
      <c r="K688" s="5" t="s">
        <v>309</v>
      </c>
      <c r="L688" s="6" t="n">
        <v>44515</v>
      </c>
      <c r="M688" s="5" t="s">
        <v>440</v>
      </c>
      <c r="N688" s="6" t="n">
        <v>36607</v>
      </c>
      <c r="O688" s="5" t="s">
        <v>1264</v>
      </c>
      <c r="P688" s="5" t="s">
        <v>1559</v>
      </c>
      <c r="Q688" s="5" t="s">
        <v>352</v>
      </c>
      <c r="R688" s="5" t="s">
        <v>115</v>
      </c>
      <c r="S688" s="5" t="s">
        <v>352</v>
      </c>
      <c r="T688" s="6"/>
      <c r="U688" s="6"/>
      <c r="V688" s="5" t="s">
        <v>631</v>
      </c>
      <c r="W688" s="5" t="s">
        <v>631</v>
      </c>
      <c r="X688" s="5" t="s">
        <v>631</v>
      </c>
      <c r="Y688" s="5" t="s">
        <v>631</v>
      </c>
      <c r="Z688" s="5" t="s">
        <v>631</v>
      </c>
      <c r="AA688" s="5" t="s">
        <v>2401</v>
      </c>
      <c r="AB688" s="0" t="n">
        <f aca="false">IFERROR(VALUE(R688),0)</f>
        <v>0</v>
      </c>
      <c r="AC688" s="0" t="n">
        <f aca="false">IFERROR(VALUE(M688),"")</f>
        <v>26.2</v>
      </c>
      <c r="AD688" s="0" t="n">
        <f aca="false">IFERROR(VALUE(Q688),"")</f>
        <v>4.6</v>
      </c>
      <c r="AE688" s="0" t="n">
        <f aca="false">IFERROR(VALUE(S688),"")</f>
        <v>4.6</v>
      </c>
      <c r="AF688" s="0" t="n">
        <f aca="false">IF(V688="","",VLOOKUP(V688,Assumptions!$B$6:$C$9,2,FALSE()))</f>
        <v>2</v>
      </c>
      <c r="AG688" s="0" t="n">
        <f aca="false">IF(W688="","",VLOOKUP(W688,Assumptions!$B$6:$C$9,2,FALSE()))</f>
        <v>2</v>
      </c>
      <c r="AH688" s="0" t="n">
        <f aca="false">IF(X688="","",VLOOKUP(X688,Assumptions!$B$6:$C$9,2,FALSE()))</f>
        <v>2</v>
      </c>
      <c r="AI688" s="0" t="n">
        <f aca="false">IF(Y688="","",VLOOKUP(Y688,Assumptions!$B$6:$C$9,2,FALSE()))</f>
        <v>2</v>
      </c>
      <c r="AJ688" s="0" t="n">
        <f aca="false">IF(Z688="","",VLOOKUP(Z688,Assumptions!$B$6:$C$9,2,FALSE()))</f>
        <v>2</v>
      </c>
      <c r="AK688" s="7" t="n">
        <f aca="false">IFERROR(ROUND(AVERAGE(AF688:AJ688),3),"")</f>
        <v>2</v>
      </c>
      <c r="AL688" s="7" t="n">
        <f aca="false">IF(OR(AF688="",AJ688=""),"",AJ688-AF688)</f>
        <v>0</v>
      </c>
      <c r="AM688" s="7" t="n">
        <f aca="false">IF(COUNT(AF688:AJ688)&gt;=2,ROUND(_xlfn.STDEV.S(AF688:AJ688),3),"")</f>
        <v>0</v>
      </c>
      <c r="AN688" s="7" t="n">
        <f aca="false">ROUND((IF(AF688="",0,AF688)*Assumptions!$F$15)+(IF(AG688="",0,AG688)*Assumptions!$F$16)+(IF(AH688="",0,AH688)*Assumptions!$F$17)+(IF(AI688="",0,AI688)*Assumptions!$F$18)+(IF(AJ688="",0,AJ688)*Assumptions!$F$19),3)</f>
        <v>2</v>
      </c>
      <c r="AO688" s="0" t="str">
        <f aca="false">IF(AC688&lt;=20,"",IF(AC688&lt;=Assumptions!$F$6,"20-30",IF(AC688&lt;=Assumptions!$F$7,"30-40",IF(AC688&lt;=Assumptions!$F$8,"40-50",IF(AC688&lt;=Assumptions!$F$9,"50-60",IF(AC688&lt;=Assumptions!$F$10,"60+",""))))))</f>
        <v>20-30</v>
      </c>
      <c r="AP688" s="0" t="str">
        <f aca="false">IFERROR(VLOOKUP(O688,Assumptions!$B$14:$C$26,2,FALSE()),"Other")</f>
        <v>Manager</v>
      </c>
      <c r="AQ688" s="0" t="n">
        <f aca="false">IF(T688="",0,1)</f>
        <v>0</v>
      </c>
      <c r="AR688" s="0" t="n">
        <f aca="false">IF(U688="",0,1)</f>
        <v>0</v>
      </c>
      <c r="AS688" s="8" t="n">
        <f aca="false">IF(AK688="","",IF(MAX($AK$2:$AK$921)=MIN($AK$2:$AK$921),50,ROUND((AK688-MIN($AK$2:$AK$921))/(MAX($AK$2:$AK$921)-MIN($AK$2:$AK$921))*100,2)))</f>
        <v>14.27</v>
      </c>
      <c r="AT688" s="8" t="n">
        <f aca="false">IF(MAX($BC$2:$BC$921)=MIN($BC$2:$BC$921),50,ROUND((BC688-MIN($BC$2:$BC$921))/(MAX($BC$2:$BC$921)-MIN($BC$2:$BC$921))*100,2))</f>
        <v>50</v>
      </c>
      <c r="AU688" s="8" t="n">
        <f aca="false">IF(MAX($BE$2:$BE$921)=MIN($BE$2:$BE$921),50,ROUND((BE688-MIN($BE$2:$BE$921))/(MAX($BE$2:$BE$921)-MIN($BE$2:$BE$921))*100,2))</f>
        <v>100</v>
      </c>
      <c r="AV688" s="8" t="n">
        <f aca="false">IF(MAX($AD$2:$AD$921)=MIN($AD$2:$AD$921),50,ROUND((AD688-MIN($AD$2:$AD$921))/(MAX($AD$2:$AD$921)-MIN($AD$2:$AD$921))*100,2))</f>
        <v>12.2</v>
      </c>
      <c r="AW688" s="8" t="n">
        <f aca="false">IF(MAX($AN$2:$AN$921)=MIN($AN$2:$AN$921),50,ROUND((AN688-MIN($AN$2:$AN$921))/(MAX($AN$2:$AN$921)-MIN($AN$2:$AN$921))*100,2))</f>
        <v>50</v>
      </c>
      <c r="AX688" s="8" t="n">
        <f aca="false">AQ688*100</f>
        <v>0</v>
      </c>
      <c r="AY688" s="8" t="n">
        <f aca="false">AR688*100</f>
        <v>0</v>
      </c>
      <c r="AZ688" s="8" t="n">
        <f aca="false">IFERROR(ROUND(AS688*Assumptions!$I$6+AW688*Assumptions!$I$7+AT688*Assumptions!$I$8+AU688*Assumptions!$I$9+AV688*Assumptions!$I$10+AX688*Assumptions!$I$11+AY688*Assumptions!$I$12,2),"")</f>
        <v>38</v>
      </c>
      <c r="BA688" s="0" t="str">
        <f aca="false">IF(AZ688="","",IF(AZ688&lt;=Assumptions!$I$18,"Below Expectation",IF(AZ688&lt;=Assumptions!$I$19,"Developing",IF(AZ688&lt;=Assumptions!$I$20,"Meets Expectation",IF(AZ688&lt;=Assumptions!$I$21,"Exceeds","Star Performer")))))</f>
        <v>Below Expectation</v>
      </c>
      <c r="BB688" s="0" t="n">
        <f aca="false">IF(AZ688="",0,IF(AZ688&gt;=Assumptions!$I$26,1,0))</f>
        <v>0</v>
      </c>
      <c r="BC688" s="9" t="n">
        <f aca="false">IF(AL688="",2,AL688+2)</f>
        <v>2</v>
      </c>
      <c r="BD688" s="10" t="n">
        <f aca="false">IF(AM688="",ROUND(AVERAGE($AM$2:$AM$921),3),AM688)</f>
        <v>0</v>
      </c>
      <c r="BE688" s="9" t="n">
        <f aca="false">1-BD688</f>
        <v>1</v>
      </c>
    </row>
    <row r="689" customFormat="false" ht="14.25" hidden="true" customHeight="false" outlineLevel="0" collapsed="false">
      <c r="A689" s="4" t="n">
        <v>500</v>
      </c>
      <c r="B689" s="5" t="n">
        <v>55044355</v>
      </c>
      <c r="C689" s="5" t="s">
        <v>85</v>
      </c>
      <c r="D689" s="5" t="s">
        <v>2402</v>
      </c>
      <c r="E689" s="5" t="s">
        <v>315</v>
      </c>
      <c r="F689" s="5" t="s">
        <v>2251</v>
      </c>
      <c r="G689" s="5" t="s">
        <v>2250</v>
      </c>
      <c r="H689" s="5" t="s">
        <v>2251</v>
      </c>
      <c r="I689" s="5" t="s">
        <v>63</v>
      </c>
      <c r="J689" s="5" t="s">
        <v>76</v>
      </c>
      <c r="K689" s="5" t="s">
        <v>309</v>
      </c>
      <c r="L689" s="6" t="n">
        <v>44515</v>
      </c>
      <c r="M689" s="5" t="s">
        <v>574</v>
      </c>
      <c r="N689" s="6" t="n">
        <v>36770</v>
      </c>
      <c r="O689" s="5" t="s">
        <v>1264</v>
      </c>
      <c r="P689" s="5" t="s">
        <v>1559</v>
      </c>
      <c r="Q689" s="5" t="s">
        <v>352</v>
      </c>
      <c r="R689" s="5" t="s">
        <v>115</v>
      </c>
      <c r="S689" s="5" t="s">
        <v>352</v>
      </c>
      <c r="T689" s="6"/>
      <c r="U689" s="6"/>
      <c r="V689" s="5" t="s">
        <v>631</v>
      </c>
      <c r="W689" s="5" t="s">
        <v>631</v>
      </c>
      <c r="X689" s="5" t="s">
        <v>631</v>
      </c>
      <c r="Y689" s="5" t="s">
        <v>631</v>
      </c>
      <c r="Z689" s="5" t="s">
        <v>631</v>
      </c>
      <c r="AA689" s="5" t="s">
        <v>2403</v>
      </c>
      <c r="AB689" s="0" t="n">
        <f aca="false">IFERROR(VALUE(R689),0)</f>
        <v>0</v>
      </c>
      <c r="AC689" s="0" t="n">
        <f aca="false">IFERROR(VALUE(M689),"")</f>
        <v>25.9</v>
      </c>
      <c r="AD689" s="0" t="n">
        <f aca="false">IFERROR(VALUE(Q689),"")</f>
        <v>4.6</v>
      </c>
      <c r="AE689" s="0" t="n">
        <f aca="false">IFERROR(VALUE(S689),"")</f>
        <v>4.6</v>
      </c>
      <c r="AF689" s="0" t="n">
        <f aca="false">IF(V689="","",VLOOKUP(V689,Assumptions!$B$6:$C$9,2,FALSE()))</f>
        <v>2</v>
      </c>
      <c r="AG689" s="0" t="n">
        <f aca="false">IF(W689="","",VLOOKUP(W689,Assumptions!$B$6:$C$9,2,FALSE()))</f>
        <v>2</v>
      </c>
      <c r="AH689" s="0" t="n">
        <f aca="false">IF(X689="","",VLOOKUP(X689,Assumptions!$B$6:$C$9,2,FALSE()))</f>
        <v>2</v>
      </c>
      <c r="AI689" s="0" t="n">
        <f aca="false">IF(Y689="","",VLOOKUP(Y689,Assumptions!$B$6:$C$9,2,FALSE()))</f>
        <v>2</v>
      </c>
      <c r="AJ689" s="0" t="n">
        <f aca="false">IF(Z689="","",VLOOKUP(Z689,Assumptions!$B$6:$C$9,2,FALSE()))</f>
        <v>2</v>
      </c>
      <c r="AK689" s="7" t="n">
        <f aca="false">IFERROR(ROUND(AVERAGE(AF689:AJ689),3),"")</f>
        <v>2</v>
      </c>
      <c r="AL689" s="7" t="n">
        <f aca="false">IF(OR(AF689="",AJ689=""),"",AJ689-AF689)</f>
        <v>0</v>
      </c>
      <c r="AM689" s="7" t="n">
        <f aca="false">IF(COUNT(AF689:AJ689)&gt;=2,ROUND(_xlfn.STDEV.S(AF689:AJ689),3),"")</f>
        <v>0</v>
      </c>
      <c r="AN689" s="7" t="n">
        <f aca="false">ROUND((IF(AF689="",0,AF689)*Assumptions!$F$15)+(IF(AG689="",0,AG689)*Assumptions!$F$16)+(IF(AH689="",0,AH689)*Assumptions!$F$17)+(IF(AI689="",0,AI689)*Assumptions!$F$18)+(IF(AJ689="",0,AJ689)*Assumptions!$F$19),3)</f>
        <v>2</v>
      </c>
      <c r="AO689" s="0" t="str">
        <f aca="false">IF(AC689&lt;=20,"",IF(AC689&lt;=Assumptions!$F$6,"20-30",IF(AC689&lt;=Assumptions!$F$7,"30-40",IF(AC689&lt;=Assumptions!$F$8,"40-50",IF(AC689&lt;=Assumptions!$F$9,"50-60",IF(AC689&lt;=Assumptions!$F$10,"60+",""))))))</f>
        <v>20-30</v>
      </c>
      <c r="AP689" s="0" t="str">
        <f aca="false">IFERROR(VLOOKUP(O689,Assumptions!$B$14:$C$26,2,FALSE()),"Other")</f>
        <v>Manager</v>
      </c>
      <c r="AQ689" s="0" t="n">
        <f aca="false">IF(T689="",0,1)</f>
        <v>0</v>
      </c>
      <c r="AR689" s="0" t="n">
        <f aca="false">IF(U689="",0,1)</f>
        <v>0</v>
      </c>
      <c r="AS689" s="8" t="n">
        <f aca="false">IF(AK689="","",IF(MAX($AK$2:$AK$921)=MIN($AK$2:$AK$921),50,ROUND((AK689-MIN($AK$2:$AK$921))/(MAX($AK$2:$AK$921)-MIN($AK$2:$AK$921))*100,2)))</f>
        <v>14.27</v>
      </c>
      <c r="AT689" s="8" t="n">
        <f aca="false">IF(MAX($BC$2:$BC$921)=MIN($BC$2:$BC$921),50,ROUND((BC689-MIN($BC$2:$BC$921))/(MAX($BC$2:$BC$921)-MIN($BC$2:$BC$921))*100,2))</f>
        <v>50</v>
      </c>
      <c r="AU689" s="8" t="n">
        <f aca="false">IF(MAX($BE$2:$BE$921)=MIN($BE$2:$BE$921),50,ROUND((BE689-MIN($BE$2:$BE$921))/(MAX($BE$2:$BE$921)-MIN($BE$2:$BE$921))*100,2))</f>
        <v>100</v>
      </c>
      <c r="AV689" s="8" t="n">
        <f aca="false">IF(MAX($AD$2:$AD$921)=MIN($AD$2:$AD$921),50,ROUND((AD689-MIN($AD$2:$AD$921))/(MAX($AD$2:$AD$921)-MIN($AD$2:$AD$921))*100,2))</f>
        <v>12.2</v>
      </c>
      <c r="AW689" s="8" t="n">
        <f aca="false">IF(MAX($AN$2:$AN$921)=MIN($AN$2:$AN$921),50,ROUND((AN689-MIN($AN$2:$AN$921))/(MAX($AN$2:$AN$921)-MIN($AN$2:$AN$921))*100,2))</f>
        <v>50</v>
      </c>
      <c r="AX689" s="8" t="n">
        <f aca="false">AQ689*100</f>
        <v>0</v>
      </c>
      <c r="AY689" s="8" t="n">
        <f aca="false">AR689*100</f>
        <v>0</v>
      </c>
      <c r="AZ689" s="8" t="n">
        <f aca="false">IFERROR(ROUND(AS689*Assumptions!$I$6+AW689*Assumptions!$I$7+AT689*Assumptions!$I$8+AU689*Assumptions!$I$9+AV689*Assumptions!$I$10+AX689*Assumptions!$I$11+AY689*Assumptions!$I$12,2),"")</f>
        <v>38</v>
      </c>
      <c r="BA689" s="0" t="str">
        <f aca="false">IF(AZ689="","",IF(AZ689&lt;=Assumptions!$I$18,"Below Expectation",IF(AZ689&lt;=Assumptions!$I$19,"Developing",IF(AZ689&lt;=Assumptions!$I$20,"Meets Expectation",IF(AZ689&lt;=Assumptions!$I$21,"Exceeds","Star Performer")))))</f>
        <v>Below Expectation</v>
      </c>
      <c r="BB689" s="0" t="n">
        <f aca="false">IF(AZ689="",0,IF(AZ689&gt;=Assumptions!$I$26,1,0))</f>
        <v>0</v>
      </c>
      <c r="BC689" s="9" t="n">
        <f aca="false">IF(AL689="",2,AL689+2)</f>
        <v>2</v>
      </c>
      <c r="BD689" s="10" t="n">
        <f aca="false">IF(AM689="",ROUND(AVERAGE($AM$2:$AM$921),3),AM689)</f>
        <v>0</v>
      </c>
      <c r="BE689" s="9" t="n">
        <f aca="false">1-BD689</f>
        <v>1</v>
      </c>
    </row>
    <row r="690" customFormat="false" ht="14.25" hidden="true" customHeight="false" outlineLevel="0" collapsed="false">
      <c r="A690" s="4" t="n">
        <v>501</v>
      </c>
      <c r="B690" s="5" t="n">
        <v>55044397</v>
      </c>
      <c r="C690" s="5" t="s">
        <v>85</v>
      </c>
      <c r="D690" s="5" t="s">
        <v>2404</v>
      </c>
      <c r="E690" s="5" t="s">
        <v>315</v>
      </c>
      <c r="F690" s="5" t="s">
        <v>2251</v>
      </c>
      <c r="G690" s="5" t="s">
        <v>2250</v>
      </c>
      <c r="H690" s="5" t="s">
        <v>2251</v>
      </c>
      <c r="I690" s="5" t="s">
        <v>63</v>
      </c>
      <c r="J690" s="5" t="s">
        <v>76</v>
      </c>
      <c r="K690" s="5" t="s">
        <v>309</v>
      </c>
      <c r="L690" s="6" t="n">
        <v>44515</v>
      </c>
      <c r="M690" s="5" t="s">
        <v>1693</v>
      </c>
      <c r="N690" s="6" t="n">
        <v>36655</v>
      </c>
      <c r="O690" s="5" t="s">
        <v>1264</v>
      </c>
      <c r="P690" s="5" t="s">
        <v>1559</v>
      </c>
      <c r="Q690" s="5" t="s">
        <v>352</v>
      </c>
      <c r="R690" s="5" t="s">
        <v>115</v>
      </c>
      <c r="S690" s="5" t="s">
        <v>352</v>
      </c>
      <c r="T690" s="6"/>
      <c r="U690" s="6"/>
      <c r="V690" s="5" t="s">
        <v>631</v>
      </c>
      <c r="W690" s="5" t="s">
        <v>631</v>
      </c>
      <c r="X690" s="5" t="s">
        <v>631</v>
      </c>
      <c r="Y690" s="5" t="s">
        <v>631</v>
      </c>
      <c r="Z690" s="5" t="s">
        <v>631</v>
      </c>
      <c r="AA690" s="5" t="s">
        <v>2405</v>
      </c>
      <c r="AB690" s="0" t="n">
        <f aca="false">IFERROR(VALUE(R690),0)</f>
        <v>0</v>
      </c>
      <c r="AC690" s="0" t="n">
        <f aca="false">IFERROR(VALUE(M690),"")</f>
        <v>26</v>
      </c>
      <c r="AD690" s="0" t="n">
        <f aca="false">IFERROR(VALUE(Q690),"")</f>
        <v>4.6</v>
      </c>
      <c r="AE690" s="0" t="n">
        <f aca="false">IFERROR(VALUE(S690),"")</f>
        <v>4.6</v>
      </c>
      <c r="AF690" s="0" t="n">
        <f aca="false">IF(V690="","",VLOOKUP(V690,Assumptions!$B$6:$C$9,2,FALSE()))</f>
        <v>2</v>
      </c>
      <c r="AG690" s="0" t="n">
        <f aca="false">IF(W690="","",VLOOKUP(W690,Assumptions!$B$6:$C$9,2,FALSE()))</f>
        <v>2</v>
      </c>
      <c r="AH690" s="0" t="n">
        <f aca="false">IF(X690="","",VLOOKUP(X690,Assumptions!$B$6:$C$9,2,FALSE()))</f>
        <v>2</v>
      </c>
      <c r="AI690" s="0" t="n">
        <f aca="false">IF(Y690="","",VLOOKUP(Y690,Assumptions!$B$6:$C$9,2,FALSE()))</f>
        <v>2</v>
      </c>
      <c r="AJ690" s="0" t="n">
        <f aca="false">IF(Z690="","",VLOOKUP(Z690,Assumptions!$B$6:$C$9,2,FALSE()))</f>
        <v>2</v>
      </c>
      <c r="AK690" s="7" t="n">
        <f aca="false">IFERROR(ROUND(AVERAGE(AF690:AJ690),3),"")</f>
        <v>2</v>
      </c>
      <c r="AL690" s="7" t="n">
        <f aca="false">IF(OR(AF690="",AJ690=""),"",AJ690-AF690)</f>
        <v>0</v>
      </c>
      <c r="AM690" s="7" t="n">
        <f aca="false">IF(COUNT(AF690:AJ690)&gt;=2,ROUND(_xlfn.STDEV.S(AF690:AJ690),3),"")</f>
        <v>0</v>
      </c>
      <c r="AN690" s="7" t="n">
        <f aca="false">ROUND((IF(AF690="",0,AF690)*Assumptions!$F$15)+(IF(AG690="",0,AG690)*Assumptions!$F$16)+(IF(AH690="",0,AH690)*Assumptions!$F$17)+(IF(AI690="",0,AI690)*Assumptions!$F$18)+(IF(AJ690="",0,AJ690)*Assumptions!$F$19),3)</f>
        <v>2</v>
      </c>
      <c r="AO690" s="0" t="str">
        <f aca="false">IF(AC690&lt;=20,"",IF(AC690&lt;=Assumptions!$F$6,"20-30",IF(AC690&lt;=Assumptions!$F$7,"30-40",IF(AC690&lt;=Assumptions!$F$8,"40-50",IF(AC690&lt;=Assumptions!$F$9,"50-60",IF(AC690&lt;=Assumptions!$F$10,"60+",""))))))</f>
        <v>20-30</v>
      </c>
      <c r="AP690" s="0" t="str">
        <f aca="false">IFERROR(VLOOKUP(O690,Assumptions!$B$14:$C$26,2,FALSE()),"Other")</f>
        <v>Manager</v>
      </c>
      <c r="AQ690" s="0" t="n">
        <f aca="false">IF(T690="",0,1)</f>
        <v>0</v>
      </c>
      <c r="AR690" s="0" t="n">
        <f aca="false">IF(U690="",0,1)</f>
        <v>0</v>
      </c>
      <c r="AS690" s="8" t="n">
        <f aca="false">IF(AK690="","",IF(MAX($AK$2:$AK$921)=MIN($AK$2:$AK$921),50,ROUND((AK690-MIN($AK$2:$AK$921))/(MAX($AK$2:$AK$921)-MIN($AK$2:$AK$921))*100,2)))</f>
        <v>14.27</v>
      </c>
      <c r="AT690" s="8" t="n">
        <f aca="false">IF(MAX($BC$2:$BC$921)=MIN($BC$2:$BC$921),50,ROUND((BC690-MIN($BC$2:$BC$921))/(MAX($BC$2:$BC$921)-MIN($BC$2:$BC$921))*100,2))</f>
        <v>50</v>
      </c>
      <c r="AU690" s="8" t="n">
        <f aca="false">IF(MAX($BE$2:$BE$921)=MIN($BE$2:$BE$921),50,ROUND((BE690-MIN($BE$2:$BE$921))/(MAX($BE$2:$BE$921)-MIN($BE$2:$BE$921))*100,2))</f>
        <v>100</v>
      </c>
      <c r="AV690" s="8" t="n">
        <f aca="false">IF(MAX($AD$2:$AD$921)=MIN($AD$2:$AD$921),50,ROUND((AD690-MIN($AD$2:$AD$921))/(MAX($AD$2:$AD$921)-MIN($AD$2:$AD$921))*100,2))</f>
        <v>12.2</v>
      </c>
      <c r="AW690" s="8" t="n">
        <f aca="false">IF(MAX($AN$2:$AN$921)=MIN($AN$2:$AN$921),50,ROUND((AN690-MIN($AN$2:$AN$921))/(MAX($AN$2:$AN$921)-MIN($AN$2:$AN$921))*100,2))</f>
        <v>50</v>
      </c>
      <c r="AX690" s="8" t="n">
        <f aca="false">AQ690*100</f>
        <v>0</v>
      </c>
      <c r="AY690" s="8" t="n">
        <f aca="false">AR690*100</f>
        <v>0</v>
      </c>
      <c r="AZ690" s="8" t="n">
        <f aca="false">IFERROR(ROUND(AS690*Assumptions!$I$6+AW690*Assumptions!$I$7+AT690*Assumptions!$I$8+AU690*Assumptions!$I$9+AV690*Assumptions!$I$10+AX690*Assumptions!$I$11+AY690*Assumptions!$I$12,2),"")</f>
        <v>38</v>
      </c>
      <c r="BA690" s="0" t="str">
        <f aca="false">IF(AZ690="","",IF(AZ690&lt;=Assumptions!$I$18,"Below Expectation",IF(AZ690&lt;=Assumptions!$I$19,"Developing",IF(AZ690&lt;=Assumptions!$I$20,"Meets Expectation",IF(AZ690&lt;=Assumptions!$I$21,"Exceeds","Star Performer")))))</f>
        <v>Below Expectation</v>
      </c>
      <c r="BB690" s="0" t="n">
        <f aca="false">IF(AZ690="",0,IF(AZ690&gt;=Assumptions!$I$26,1,0))</f>
        <v>0</v>
      </c>
      <c r="BC690" s="9" t="n">
        <f aca="false">IF(AL690="",2,AL690+2)</f>
        <v>2</v>
      </c>
      <c r="BD690" s="10" t="n">
        <f aca="false">IF(AM690="",ROUND(AVERAGE($AM$2:$AM$921),3),AM690)</f>
        <v>0</v>
      </c>
      <c r="BE690" s="9" t="n">
        <f aca="false">1-BD690</f>
        <v>1</v>
      </c>
    </row>
    <row r="691" customFormat="false" ht="14.25" hidden="true" customHeight="false" outlineLevel="0" collapsed="false">
      <c r="A691" s="4" t="n">
        <v>502</v>
      </c>
      <c r="B691" s="5" t="n">
        <v>55044436</v>
      </c>
      <c r="C691" s="5" t="s">
        <v>85</v>
      </c>
      <c r="D691" s="5" t="s">
        <v>2406</v>
      </c>
      <c r="E691" s="5" t="s">
        <v>315</v>
      </c>
      <c r="F691" s="5" t="s">
        <v>2251</v>
      </c>
      <c r="G691" s="5" t="s">
        <v>2250</v>
      </c>
      <c r="H691" s="5" t="s">
        <v>2251</v>
      </c>
      <c r="I691" s="5" t="s">
        <v>63</v>
      </c>
      <c r="J691" s="5" t="s">
        <v>76</v>
      </c>
      <c r="K691" s="5" t="s">
        <v>309</v>
      </c>
      <c r="L691" s="6" t="n">
        <v>44515</v>
      </c>
      <c r="M691" s="5" t="s">
        <v>578</v>
      </c>
      <c r="N691" s="6" t="n">
        <v>37348</v>
      </c>
      <c r="O691" s="5" t="s">
        <v>1264</v>
      </c>
      <c r="P691" s="5" t="s">
        <v>1559</v>
      </c>
      <c r="Q691" s="5" t="s">
        <v>352</v>
      </c>
      <c r="R691" s="5" t="s">
        <v>115</v>
      </c>
      <c r="S691" s="5" t="s">
        <v>352</v>
      </c>
      <c r="T691" s="6"/>
      <c r="U691" s="6"/>
      <c r="V691" s="5" t="s">
        <v>631</v>
      </c>
      <c r="W691" s="5" t="s">
        <v>631</v>
      </c>
      <c r="X691" s="5" t="s">
        <v>631</v>
      </c>
      <c r="Y691" s="5" t="s">
        <v>631</v>
      </c>
      <c r="Z691" s="5" t="s">
        <v>631</v>
      </c>
      <c r="AA691" s="5" t="s">
        <v>2407</v>
      </c>
      <c r="AB691" s="0" t="n">
        <f aca="false">IFERROR(VALUE(R691),0)</f>
        <v>0</v>
      </c>
      <c r="AC691" s="0" t="n">
        <f aca="false">IFERROR(VALUE(M691),"")</f>
        <v>24.2</v>
      </c>
      <c r="AD691" s="0" t="n">
        <f aca="false">IFERROR(VALUE(Q691),"")</f>
        <v>4.6</v>
      </c>
      <c r="AE691" s="0" t="n">
        <f aca="false">IFERROR(VALUE(S691),"")</f>
        <v>4.6</v>
      </c>
      <c r="AF691" s="0" t="n">
        <f aca="false">IF(V691="","",VLOOKUP(V691,Assumptions!$B$6:$C$9,2,FALSE()))</f>
        <v>2</v>
      </c>
      <c r="AG691" s="0" t="n">
        <f aca="false">IF(W691="","",VLOOKUP(W691,Assumptions!$B$6:$C$9,2,FALSE()))</f>
        <v>2</v>
      </c>
      <c r="AH691" s="0" t="n">
        <f aca="false">IF(X691="","",VLOOKUP(X691,Assumptions!$B$6:$C$9,2,FALSE()))</f>
        <v>2</v>
      </c>
      <c r="AI691" s="0" t="n">
        <f aca="false">IF(Y691="","",VLOOKUP(Y691,Assumptions!$B$6:$C$9,2,FALSE()))</f>
        <v>2</v>
      </c>
      <c r="AJ691" s="0" t="n">
        <f aca="false">IF(Z691="","",VLOOKUP(Z691,Assumptions!$B$6:$C$9,2,FALSE()))</f>
        <v>2</v>
      </c>
      <c r="AK691" s="7" t="n">
        <f aca="false">IFERROR(ROUND(AVERAGE(AF691:AJ691),3),"")</f>
        <v>2</v>
      </c>
      <c r="AL691" s="7" t="n">
        <f aca="false">IF(OR(AF691="",AJ691=""),"",AJ691-AF691)</f>
        <v>0</v>
      </c>
      <c r="AM691" s="7" t="n">
        <f aca="false">IF(COUNT(AF691:AJ691)&gt;=2,ROUND(_xlfn.STDEV.S(AF691:AJ691),3),"")</f>
        <v>0</v>
      </c>
      <c r="AN691" s="7" t="n">
        <f aca="false">ROUND((IF(AF691="",0,AF691)*Assumptions!$F$15)+(IF(AG691="",0,AG691)*Assumptions!$F$16)+(IF(AH691="",0,AH691)*Assumptions!$F$17)+(IF(AI691="",0,AI691)*Assumptions!$F$18)+(IF(AJ691="",0,AJ691)*Assumptions!$F$19),3)</f>
        <v>2</v>
      </c>
      <c r="AO691" s="0" t="str">
        <f aca="false">IF(AC691&lt;=20,"",IF(AC691&lt;=Assumptions!$F$6,"20-30",IF(AC691&lt;=Assumptions!$F$7,"30-40",IF(AC691&lt;=Assumptions!$F$8,"40-50",IF(AC691&lt;=Assumptions!$F$9,"50-60",IF(AC691&lt;=Assumptions!$F$10,"60+",""))))))</f>
        <v>20-30</v>
      </c>
      <c r="AP691" s="0" t="str">
        <f aca="false">IFERROR(VLOOKUP(O691,Assumptions!$B$14:$C$26,2,FALSE()),"Other")</f>
        <v>Manager</v>
      </c>
      <c r="AQ691" s="0" t="n">
        <f aca="false">IF(T691="",0,1)</f>
        <v>0</v>
      </c>
      <c r="AR691" s="0" t="n">
        <f aca="false">IF(U691="",0,1)</f>
        <v>0</v>
      </c>
      <c r="AS691" s="8" t="n">
        <f aca="false">IF(AK691="","",IF(MAX($AK$2:$AK$921)=MIN($AK$2:$AK$921),50,ROUND((AK691-MIN($AK$2:$AK$921))/(MAX($AK$2:$AK$921)-MIN($AK$2:$AK$921))*100,2)))</f>
        <v>14.27</v>
      </c>
      <c r="AT691" s="8" t="n">
        <f aca="false">IF(MAX($BC$2:$BC$921)=MIN($BC$2:$BC$921),50,ROUND((BC691-MIN($BC$2:$BC$921))/(MAX($BC$2:$BC$921)-MIN($BC$2:$BC$921))*100,2))</f>
        <v>50</v>
      </c>
      <c r="AU691" s="8" t="n">
        <f aca="false">IF(MAX($BE$2:$BE$921)=MIN($BE$2:$BE$921),50,ROUND((BE691-MIN($BE$2:$BE$921))/(MAX($BE$2:$BE$921)-MIN($BE$2:$BE$921))*100,2))</f>
        <v>100</v>
      </c>
      <c r="AV691" s="8" t="n">
        <f aca="false">IF(MAX($AD$2:$AD$921)=MIN($AD$2:$AD$921),50,ROUND((AD691-MIN($AD$2:$AD$921))/(MAX($AD$2:$AD$921)-MIN($AD$2:$AD$921))*100,2))</f>
        <v>12.2</v>
      </c>
      <c r="AW691" s="8" t="n">
        <f aca="false">IF(MAX($AN$2:$AN$921)=MIN($AN$2:$AN$921),50,ROUND((AN691-MIN($AN$2:$AN$921))/(MAX($AN$2:$AN$921)-MIN($AN$2:$AN$921))*100,2))</f>
        <v>50</v>
      </c>
      <c r="AX691" s="8" t="n">
        <f aca="false">AQ691*100</f>
        <v>0</v>
      </c>
      <c r="AY691" s="8" t="n">
        <f aca="false">AR691*100</f>
        <v>0</v>
      </c>
      <c r="AZ691" s="8" t="n">
        <f aca="false">IFERROR(ROUND(AS691*Assumptions!$I$6+AW691*Assumptions!$I$7+AT691*Assumptions!$I$8+AU691*Assumptions!$I$9+AV691*Assumptions!$I$10+AX691*Assumptions!$I$11+AY691*Assumptions!$I$12,2),"")</f>
        <v>38</v>
      </c>
      <c r="BA691" s="0" t="str">
        <f aca="false">IF(AZ691="","",IF(AZ691&lt;=Assumptions!$I$18,"Below Expectation",IF(AZ691&lt;=Assumptions!$I$19,"Developing",IF(AZ691&lt;=Assumptions!$I$20,"Meets Expectation",IF(AZ691&lt;=Assumptions!$I$21,"Exceeds","Star Performer")))))</f>
        <v>Below Expectation</v>
      </c>
      <c r="BB691" s="0" t="n">
        <f aca="false">IF(AZ691="",0,IF(AZ691&gt;=Assumptions!$I$26,1,0))</f>
        <v>0</v>
      </c>
      <c r="BC691" s="9" t="n">
        <f aca="false">IF(AL691="",2,AL691+2)</f>
        <v>2</v>
      </c>
      <c r="BD691" s="10" t="n">
        <f aca="false">IF(AM691="",ROUND(AVERAGE($AM$2:$AM$921),3),AM691)</f>
        <v>0</v>
      </c>
      <c r="BE691" s="9" t="n">
        <f aca="false">1-BD691</f>
        <v>1</v>
      </c>
    </row>
    <row r="692" customFormat="false" ht="14.25" hidden="true" customHeight="false" outlineLevel="0" collapsed="false">
      <c r="A692" s="4" t="n">
        <v>503</v>
      </c>
      <c r="B692" s="5" t="n">
        <v>55044438</v>
      </c>
      <c r="C692" s="5" t="s">
        <v>85</v>
      </c>
      <c r="D692" s="5" t="s">
        <v>2408</v>
      </c>
      <c r="E692" s="5" t="s">
        <v>315</v>
      </c>
      <c r="F692" s="5" t="s">
        <v>2251</v>
      </c>
      <c r="G692" s="5" t="s">
        <v>2250</v>
      </c>
      <c r="H692" s="5" t="s">
        <v>2251</v>
      </c>
      <c r="I692" s="5" t="s">
        <v>63</v>
      </c>
      <c r="J692" s="5" t="s">
        <v>76</v>
      </c>
      <c r="K692" s="5" t="s">
        <v>309</v>
      </c>
      <c r="L692" s="6" t="n">
        <v>44515</v>
      </c>
      <c r="M692" s="5" t="s">
        <v>226</v>
      </c>
      <c r="N692" s="6" t="n">
        <v>36791</v>
      </c>
      <c r="O692" s="5" t="s">
        <v>1264</v>
      </c>
      <c r="P692" s="5" t="s">
        <v>1559</v>
      </c>
      <c r="Q692" s="5" t="s">
        <v>352</v>
      </c>
      <c r="R692" s="5" t="s">
        <v>115</v>
      </c>
      <c r="S692" s="5" t="s">
        <v>352</v>
      </c>
      <c r="T692" s="6"/>
      <c r="U692" s="6"/>
      <c r="V692" s="5" t="s">
        <v>631</v>
      </c>
      <c r="W692" s="5" t="s">
        <v>631</v>
      </c>
      <c r="X692" s="5" t="s">
        <v>631</v>
      </c>
      <c r="Y692" s="5" t="s">
        <v>631</v>
      </c>
      <c r="Z692" s="5" t="s">
        <v>631</v>
      </c>
      <c r="AA692" s="5" t="s">
        <v>2395</v>
      </c>
      <c r="AB692" s="0" t="n">
        <f aca="false">IFERROR(VALUE(R692),0)</f>
        <v>0</v>
      </c>
      <c r="AC692" s="0" t="n">
        <f aca="false">IFERROR(VALUE(M692),"")</f>
        <v>25.8</v>
      </c>
      <c r="AD692" s="0" t="n">
        <f aca="false">IFERROR(VALUE(Q692),"")</f>
        <v>4.6</v>
      </c>
      <c r="AE692" s="0" t="n">
        <f aca="false">IFERROR(VALUE(S692),"")</f>
        <v>4.6</v>
      </c>
      <c r="AF692" s="0" t="n">
        <f aca="false">IF(V692="","",VLOOKUP(V692,Assumptions!$B$6:$C$9,2,FALSE()))</f>
        <v>2</v>
      </c>
      <c r="AG692" s="0" t="n">
        <f aca="false">IF(W692="","",VLOOKUP(W692,Assumptions!$B$6:$C$9,2,FALSE()))</f>
        <v>2</v>
      </c>
      <c r="AH692" s="0" t="n">
        <f aca="false">IF(X692="","",VLOOKUP(X692,Assumptions!$B$6:$C$9,2,FALSE()))</f>
        <v>2</v>
      </c>
      <c r="AI692" s="0" t="n">
        <f aca="false">IF(Y692="","",VLOOKUP(Y692,Assumptions!$B$6:$C$9,2,FALSE()))</f>
        <v>2</v>
      </c>
      <c r="AJ692" s="0" t="n">
        <f aca="false">IF(Z692="","",VLOOKUP(Z692,Assumptions!$B$6:$C$9,2,FALSE()))</f>
        <v>2</v>
      </c>
      <c r="AK692" s="7" t="n">
        <f aca="false">IFERROR(ROUND(AVERAGE(AF692:AJ692),3),"")</f>
        <v>2</v>
      </c>
      <c r="AL692" s="7" t="n">
        <f aca="false">IF(OR(AF692="",AJ692=""),"",AJ692-AF692)</f>
        <v>0</v>
      </c>
      <c r="AM692" s="7" t="n">
        <f aca="false">IF(COUNT(AF692:AJ692)&gt;=2,ROUND(_xlfn.STDEV.S(AF692:AJ692),3),"")</f>
        <v>0</v>
      </c>
      <c r="AN692" s="7" t="n">
        <f aca="false">ROUND((IF(AF692="",0,AF692)*Assumptions!$F$15)+(IF(AG692="",0,AG692)*Assumptions!$F$16)+(IF(AH692="",0,AH692)*Assumptions!$F$17)+(IF(AI692="",0,AI692)*Assumptions!$F$18)+(IF(AJ692="",0,AJ692)*Assumptions!$F$19),3)</f>
        <v>2</v>
      </c>
      <c r="AO692" s="0" t="str">
        <f aca="false">IF(AC692&lt;=20,"",IF(AC692&lt;=Assumptions!$F$6,"20-30",IF(AC692&lt;=Assumptions!$F$7,"30-40",IF(AC692&lt;=Assumptions!$F$8,"40-50",IF(AC692&lt;=Assumptions!$F$9,"50-60",IF(AC692&lt;=Assumptions!$F$10,"60+",""))))))</f>
        <v>20-30</v>
      </c>
      <c r="AP692" s="0" t="str">
        <f aca="false">IFERROR(VLOOKUP(O692,Assumptions!$B$14:$C$26,2,FALSE()),"Other")</f>
        <v>Manager</v>
      </c>
      <c r="AQ692" s="0" t="n">
        <f aca="false">IF(T692="",0,1)</f>
        <v>0</v>
      </c>
      <c r="AR692" s="0" t="n">
        <f aca="false">IF(U692="",0,1)</f>
        <v>0</v>
      </c>
      <c r="AS692" s="8" t="n">
        <f aca="false">IF(AK692="","",IF(MAX($AK$2:$AK$921)=MIN($AK$2:$AK$921),50,ROUND((AK692-MIN($AK$2:$AK$921))/(MAX($AK$2:$AK$921)-MIN($AK$2:$AK$921))*100,2)))</f>
        <v>14.27</v>
      </c>
      <c r="AT692" s="8" t="n">
        <f aca="false">IF(MAX($BC$2:$BC$921)=MIN($BC$2:$BC$921),50,ROUND((BC692-MIN($BC$2:$BC$921))/(MAX($BC$2:$BC$921)-MIN($BC$2:$BC$921))*100,2))</f>
        <v>50</v>
      </c>
      <c r="AU692" s="8" t="n">
        <f aca="false">IF(MAX($BE$2:$BE$921)=MIN($BE$2:$BE$921),50,ROUND((BE692-MIN($BE$2:$BE$921))/(MAX($BE$2:$BE$921)-MIN($BE$2:$BE$921))*100,2))</f>
        <v>100</v>
      </c>
      <c r="AV692" s="8" t="n">
        <f aca="false">IF(MAX($AD$2:$AD$921)=MIN($AD$2:$AD$921),50,ROUND((AD692-MIN($AD$2:$AD$921))/(MAX($AD$2:$AD$921)-MIN($AD$2:$AD$921))*100,2))</f>
        <v>12.2</v>
      </c>
      <c r="AW692" s="8" t="n">
        <f aca="false">IF(MAX($AN$2:$AN$921)=MIN($AN$2:$AN$921),50,ROUND((AN692-MIN($AN$2:$AN$921))/(MAX($AN$2:$AN$921)-MIN($AN$2:$AN$921))*100,2))</f>
        <v>50</v>
      </c>
      <c r="AX692" s="8" t="n">
        <f aca="false">AQ692*100</f>
        <v>0</v>
      </c>
      <c r="AY692" s="8" t="n">
        <f aca="false">AR692*100</f>
        <v>0</v>
      </c>
      <c r="AZ692" s="8" t="n">
        <f aca="false">IFERROR(ROUND(AS692*Assumptions!$I$6+AW692*Assumptions!$I$7+AT692*Assumptions!$I$8+AU692*Assumptions!$I$9+AV692*Assumptions!$I$10+AX692*Assumptions!$I$11+AY692*Assumptions!$I$12,2),"")</f>
        <v>38</v>
      </c>
      <c r="BA692" s="0" t="str">
        <f aca="false">IF(AZ692="","",IF(AZ692&lt;=Assumptions!$I$18,"Below Expectation",IF(AZ692&lt;=Assumptions!$I$19,"Developing",IF(AZ692&lt;=Assumptions!$I$20,"Meets Expectation",IF(AZ692&lt;=Assumptions!$I$21,"Exceeds","Star Performer")))))</f>
        <v>Below Expectation</v>
      </c>
      <c r="BB692" s="0" t="n">
        <f aca="false">IF(AZ692="",0,IF(AZ692&gt;=Assumptions!$I$26,1,0))</f>
        <v>0</v>
      </c>
      <c r="BC692" s="9" t="n">
        <f aca="false">IF(AL692="",2,AL692+2)</f>
        <v>2</v>
      </c>
      <c r="BD692" s="10" t="n">
        <f aca="false">IF(AM692="",ROUND(AVERAGE($AM$2:$AM$921),3),AM692)</f>
        <v>0</v>
      </c>
      <c r="BE692" s="9" t="n">
        <f aca="false">1-BD692</f>
        <v>1</v>
      </c>
    </row>
    <row r="693" customFormat="false" ht="14.25" hidden="true" customHeight="false" outlineLevel="0" collapsed="false">
      <c r="A693" s="4" t="n">
        <v>504</v>
      </c>
      <c r="B693" s="5" t="n">
        <v>55044449</v>
      </c>
      <c r="C693" s="5" t="s">
        <v>85</v>
      </c>
      <c r="D693" s="5" t="s">
        <v>2409</v>
      </c>
      <c r="E693" s="5" t="s">
        <v>315</v>
      </c>
      <c r="F693" s="5" t="s">
        <v>2251</v>
      </c>
      <c r="G693" s="5" t="s">
        <v>2250</v>
      </c>
      <c r="H693" s="5" t="s">
        <v>2251</v>
      </c>
      <c r="I693" s="5" t="s">
        <v>63</v>
      </c>
      <c r="J693" s="5" t="s">
        <v>76</v>
      </c>
      <c r="K693" s="5" t="s">
        <v>65</v>
      </c>
      <c r="L693" s="6" t="n">
        <v>44515</v>
      </c>
      <c r="M693" s="5" t="s">
        <v>1116</v>
      </c>
      <c r="N693" s="6" t="n">
        <v>35587</v>
      </c>
      <c r="O693" s="5" t="s">
        <v>1264</v>
      </c>
      <c r="P693" s="5" t="s">
        <v>1559</v>
      </c>
      <c r="Q693" s="5" t="s">
        <v>352</v>
      </c>
      <c r="R693" s="5" t="s">
        <v>115</v>
      </c>
      <c r="S693" s="5" t="s">
        <v>352</v>
      </c>
      <c r="T693" s="6"/>
      <c r="U693" s="6"/>
      <c r="V693" s="5" t="s">
        <v>631</v>
      </c>
      <c r="W693" s="5" t="s">
        <v>631</v>
      </c>
      <c r="X693" s="5" t="s">
        <v>631</v>
      </c>
      <c r="Y693" s="5" t="s">
        <v>631</v>
      </c>
      <c r="Z693" s="5" t="s">
        <v>631</v>
      </c>
      <c r="AA693" s="5" t="s">
        <v>2410</v>
      </c>
      <c r="AB693" s="0" t="n">
        <f aca="false">IFERROR(VALUE(R693),0)</f>
        <v>0</v>
      </c>
      <c r="AC693" s="0" t="n">
        <f aca="false">IFERROR(VALUE(M693),"")</f>
        <v>29</v>
      </c>
      <c r="AD693" s="0" t="n">
        <f aca="false">IFERROR(VALUE(Q693),"")</f>
        <v>4.6</v>
      </c>
      <c r="AE693" s="0" t="n">
        <f aca="false">IFERROR(VALUE(S693),"")</f>
        <v>4.6</v>
      </c>
      <c r="AF693" s="0" t="n">
        <f aca="false">IF(V693="","",VLOOKUP(V693,Assumptions!$B$6:$C$9,2,FALSE()))</f>
        <v>2</v>
      </c>
      <c r="AG693" s="0" t="n">
        <f aca="false">IF(W693="","",VLOOKUP(W693,Assumptions!$B$6:$C$9,2,FALSE()))</f>
        <v>2</v>
      </c>
      <c r="AH693" s="0" t="n">
        <f aca="false">IF(X693="","",VLOOKUP(X693,Assumptions!$B$6:$C$9,2,FALSE()))</f>
        <v>2</v>
      </c>
      <c r="AI693" s="0" t="n">
        <f aca="false">IF(Y693="","",VLOOKUP(Y693,Assumptions!$B$6:$C$9,2,FALSE()))</f>
        <v>2</v>
      </c>
      <c r="AJ693" s="0" t="n">
        <f aca="false">IF(Z693="","",VLOOKUP(Z693,Assumptions!$B$6:$C$9,2,FALSE()))</f>
        <v>2</v>
      </c>
      <c r="AK693" s="7" t="n">
        <f aca="false">IFERROR(ROUND(AVERAGE(AF693:AJ693),3),"")</f>
        <v>2</v>
      </c>
      <c r="AL693" s="7" t="n">
        <f aca="false">IF(OR(AF693="",AJ693=""),"",AJ693-AF693)</f>
        <v>0</v>
      </c>
      <c r="AM693" s="7" t="n">
        <f aca="false">IF(COUNT(AF693:AJ693)&gt;=2,ROUND(_xlfn.STDEV.S(AF693:AJ693),3),"")</f>
        <v>0</v>
      </c>
      <c r="AN693" s="7" t="n">
        <f aca="false">ROUND((IF(AF693="",0,AF693)*Assumptions!$F$15)+(IF(AG693="",0,AG693)*Assumptions!$F$16)+(IF(AH693="",0,AH693)*Assumptions!$F$17)+(IF(AI693="",0,AI693)*Assumptions!$F$18)+(IF(AJ693="",0,AJ693)*Assumptions!$F$19),3)</f>
        <v>2</v>
      </c>
      <c r="AO693" s="0" t="str">
        <f aca="false">IF(AC693&lt;=20,"",IF(AC693&lt;=Assumptions!$F$6,"20-30",IF(AC693&lt;=Assumptions!$F$7,"30-40",IF(AC693&lt;=Assumptions!$F$8,"40-50",IF(AC693&lt;=Assumptions!$F$9,"50-60",IF(AC693&lt;=Assumptions!$F$10,"60+",""))))))</f>
        <v>20-30</v>
      </c>
      <c r="AP693" s="0" t="str">
        <f aca="false">IFERROR(VLOOKUP(O693,Assumptions!$B$14:$C$26,2,FALSE()),"Other")</f>
        <v>Manager</v>
      </c>
      <c r="AQ693" s="0" t="n">
        <f aca="false">IF(T693="",0,1)</f>
        <v>0</v>
      </c>
      <c r="AR693" s="0" t="n">
        <f aca="false">IF(U693="",0,1)</f>
        <v>0</v>
      </c>
      <c r="AS693" s="8" t="n">
        <f aca="false">IF(AK693="","",IF(MAX($AK$2:$AK$921)=MIN($AK$2:$AK$921),50,ROUND((AK693-MIN($AK$2:$AK$921))/(MAX($AK$2:$AK$921)-MIN($AK$2:$AK$921))*100,2)))</f>
        <v>14.27</v>
      </c>
      <c r="AT693" s="8" t="n">
        <f aca="false">IF(MAX($BC$2:$BC$921)=MIN($BC$2:$BC$921),50,ROUND((BC693-MIN($BC$2:$BC$921))/(MAX($BC$2:$BC$921)-MIN($BC$2:$BC$921))*100,2))</f>
        <v>50</v>
      </c>
      <c r="AU693" s="8" t="n">
        <f aca="false">IF(MAX($BE$2:$BE$921)=MIN($BE$2:$BE$921),50,ROUND((BE693-MIN($BE$2:$BE$921))/(MAX($BE$2:$BE$921)-MIN($BE$2:$BE$921))*100,2))</f>
        <v>100</v>
      </c>
      <c r="AV693" s="8" t="n">
        <f aca="false">IF(MAX($AD$2:$AD$921)=MIN($AD$2:$AD$921),50,ROUND((AD693-MIN($AD$2:$AD$921))/(MAX($AD$2:$AD$921)-MIN($AD$2:$AD$921))*100,2))</f>
        <v>12.2</v>
      </c>
      <c r="AW693" s="8" t="n">
        <f aca="false">IF(MAX($AN$2:$AN$921)=MIN($AN$2:$AN$921),50,ROUND((AN693-MIN($AN$2:$AN$921))/(MAX($AN$2:$AN$921)-MIN($AN$2:$AN$921))*100,2))</f>
        <v>50</v>
      </c>
      <c r="AX693" s="8" t="n">
        <f aca="false">AQ693*100</f>
        <v>0</v>
      </c>
      <c r="AY693" s="8" t="n">
        <f aca="false">AR693*100</f>
        <v>0</v>
      </c>
      <c r="AZ693" s="8" t="n">
        <f aca="false">IFERROR(ROUND(AS693*Assumptions!$I$6+AW693*Assumptions!$I$7+AT693*Assumptions!$I$8+AU693*Assumptions!$I$9+AV693*Assumptions!$I$10+AX693*Assumptions!$I$11+AY693*Assumptions!$I$12,2),"")</f>
        <v>38</v>
      </c>
      <c r="BA693" s="0" t="str">
        <f aca="false">IF(AZ693="","",IF(AZ693&lt;=Assumptions!$I$18,"Below Expectation",IF(AZ693&lt;=Assumptions!$I$19,"Developing",IF(AZ693&lt;=Assumptions!$I$20,"Meets Expectation",IF(AZ693&lt;=Assumptions!$I$21,"Exceeds","Star Performer")))))</f>
        <v>Below Expectation</v>
      </c>
      <c r="BB693" s="0" t="n">
        <f aca="false">IF(AZ693="",0,IF(AZ693&gt;=Assumptions!$I$26,1,0))</f>
        <v>0</v>
      </c>
      <c r="BC693" s="9" t="n">
        <f aca="false">IF(AL693="",2,AL693+2)</f>
        <v>2</v>
      </c>
      <c r="BD693" s="10" t="n">
        <f aca="false">IF(AM693="",ROUND(AVERAGE($AM$2:$AM$921),3),AM693)</f>
        <v>0</v>
      </c>
      <c r="BE693" s="9" t="n">
        <f aca="false">1-BD693</f>
        <v>1</v>
      </c>
    </row>
    <row r="694" customFormat="false" ht="14.25" hidden="true" customHeight="false" outlineLevel="0" collapsed="false">
      <c r="A694" s="4" t="n">
        <v>511</v>
      </c>
      <c r="B694" s="5" t="n">
        <v>55045269</v>
      </c>
      <c r="C694" s="5" t="s">
        <v>85</v>
      </c>
      <c r="D694" s="5" t="s">
        <v>2411</v>
      </c>
      <c r="E694" s="5" t="s">
        <v>315</v>
      </c>
      <c r="F694" s="5" t="s">
        <v>2251</v>
      </c>
      <c r="G694" s="5" t="s">
        <v>2250</v>
      </c>
      <c r="H694" s="5" t="s">
        <v>2251</v>
      </c>
      <c r="I694" s="5" t="s">
        <v>63</v>
      </c>
      <c r="J694" s="5" t="s">
        <v>76</v>
      </c>
      <c r="K694" s="5" t="s">
        <v>309</v>
      </c>
      <c r="L694" s="6" t="n">
        <v>44543</v>
      </c>
      <c r="M694" s="5" t="s">
        <v>2098</v>
      </c>
      <c r="N694" s="6" t="n">
        <v>36860</v>
      </c>
      <c r="O694" s="5" t="s">
        <v>1264</v>
      </c>
      <c r="P694" s="5" t="s">
        <v>1559</v>
      </c>
      <c r="Q694" s="5" t="s">
        <v>352</v>
      </c>
      <c r="R694" s="5" t="s">
        <v>115</v>
      </c>
      <c r="S694" s="5" t="s">
        <v>352</v>
      </c>
      <c r="T694" s="6"/>
      <c r="U694" s="6"/>
      <c r="V694" s="5" t="s">
        <v>631</v>
      </c>
      <c r="W694" s="5" t="s">
        <v>631</v>
      </c>
      <c r="X694" s="5" t="s">
        <v>631</v>
      </c>
      <c r="Y694" s="5" t="s">
        <v>631</v>
      </c>
      <c r="Z694" s="5" t="s">
        <v>631</v>
      </c>
      <c r="AA694" s="5" t="s">
        <v>2412</v>
      </c>
      <c r="AB694" s="0" t="n">
        <f aca="false">IFERROR(VALUE(R694),0)</f>
        <v>0</v>
      </c>
      <c r="AC694" s="0" t="n">
        <f aca="false">IFERROR(VALUE(M694),"")</f>
        <v>25.6</v>
      </c>
      <c r="AD694" s="0" t="n">
        <f aca="false">IFERROR(VALUE(Q694),"")</f>
        <v>4.6</v>
      </c>
      <c r="AE694" s="0" t="n">
        <f aca="false">IFERROR(VALUE(S694),"")</f>
        <v>4.6</v>
      </c>
      <c r="AF694" s="0" t="n">
        <f aca="false">IF(V694="","",VLOOKUP(V694,Assumptions!$B$6:$C$9,2,FALSE()))</f>
        <v>2</v>
      </c>
      <c r="AG694" s="0" t="n">
        <f aca="false">IF(W694="","",VLOOKUP(W694,Assumptions!$B$6:$C$9,2,FALSE()))</f>
        <v>2</v>
      </c>
      <c r="AH694" s="0" t="n">
        <f aca="false">IF(X694="","",VLOOKUP(X694,Assumptions!$B$6:$C$9,2,FALSE()))</f>
        <v>2</v>
      </c>
      <c r="AI694" s="0" t="n">
        <f aca="false">IF(Y694="","",VLOOKUP(Y694,Assumptions!$B$6:$C$9,2,FALSE()))</f>
        <v>2</v>
      </c>
      <c r="AJ694" s="0" t="n">
        <f aca="false">IF(Z694="","",VLOOKUP(Z694,Assumptions!$B$6:$C$9,2,FALSE()))</f>
        <v>2</v>
      </c>
      <c r="AK694" s="7" t="n">
        <f aca="false">IFERROR(ROUND(AVERAGE(AF694:AJ694),3),"")</f>
        <v>2</v>
      </c>
      <c r="AL694" s="7" t="n">
        <f aca="false">IF(OR(AF694="",AJ694=""),"",AJ694-AF694)</f>
        <v>0</v>
      </c>
      <c r="AM694" s="7" t="n">
        <f aca="false">IF(COUNT(AF694:AJ694)&gt;=2,ROUND(_xlfn.STDEV.S(AF694:AJ694),3),"")</f>
        <v>0</v>
      </c>
      <c r="AN694" s="7" t="n">
        <f aca="false">ROUND((IF(AF694="",0,AF694)*Assumptions!$F$15)+(IF(AG694="",0,AG694)*Assumptions!$F$16)+(IF(AH694="",0,AH694)*Assumptions!$F$17)+(IF(AI694="",0,AI694)*Assumptions!$F$18)+(IF(AJ694="",0,AJ694)*Assumptions!$F$19),3)</f>
        <v>2</v>
      </c>
      <c r="AO694" s="0" t="str">
        <f aca="false">IF(AC694&lt;=20,"",IF(AC694&lt;=Assumptions!$F$6,"20-30",IF(AC694&lt;=Assumptions!$F$7,"30-40",IF(AC694&lt;=Assumptions!$F$8,"40-50",IF(AC694&lt;=Assumptions!$F$9,"50-60",IF(AC694&lt;=Assumptions!$F$10,"60+",""))))))</f>
        <v>20-30</v>
      </c>
      <c r="AP694" s="0" t="str">
        <f aca="false">IFERROR(VLOOKUP(O694,Assumptions!$B$14:$C$26,2,FALSE()),"Other")</f>
        <v>Manager</v>
      </c>
      <c r="AQ694" s="0" t="n">
        <f aca="false">IF(T694="",0,1)</f>
        <v>0</v>
      </c>
      <c r="AR694" s="0" t="n">
        <f aca="false">IF(U694="",0,1)</f>
        <v>0</v>
      </c>
      <c r="AS694" s="8" t="n">
        <f aca="false">IF(AK694="","",IF(MAX($AK$2:$AK$921)=MIN($AK$2:$AK$921),50,ROUND((AK694-MIN($AK$2:$AK$921))/(MAX($AK$2:$AK$921)-MIN($AK$2:$AK$921))*100,2)))</f>
        <v>14.27</v>
      </c>
      <c r="AT694" s="8" t="n">
        <f aca="false">IF(MAX($BC$2:$BC$921)=MIN($BC$2:$BC$921),50,ROUND((BC694-MIN($BC$2:$BC$921))/(MAX($BC$2:$BC$921)-MIN($BC$2:$BC$921))*100,2))</f>
        <v>50</v>
      </c>
      <c r="AU694" s="8" t="n">
        <f aca="false">IF(MAX($BE$2:$BE$921)=MIN($BE$2:$BE$921),50,ROUND((BE694-MIN($BE$2:$BE$921))/(MAX($BE$2:$BE$921)-MIN($BE$2:$BE$921))*100,2))</f>
        <v>100</v>
      </c>
      <c r="AV694" s="8" t="n">
        <f aca="false">IF(MAX($AD$2:$AD$921)=MIN($AD$2:$AD$921),50,ROUND((AD694-MIN($AD$2:$AD$921))/(MAX($AD$2:$AD$921)-MIN($AD$2:$AD$921))*100,2))</f>
        <v>12.2</v>
      </c>
      <c r="AW694" s="8" t="n">
        <f aca="false">IF(MAX($AN$2:$AN$921)=MIN($AN$2:$AN$921),50,ROUND((AN694-MIN($AN$2:$AN$921))/(MAX($AN$2:$AN$921)-MIN($AN$2:$AN$921))*100,2))</f>
        <v>50</v>
      </c>
      <c r="AX694" s="8" t="n">
        <f aca="false">AQ694*100</f>
        <v>0</v>
      </c>
      <c r="AY694" s="8" t="n">
        <f aca="false">AR694*100</f>
        <v>0</v>
      </c>
      <c r="AZ694" s="8" t="n">
        <f aca="false">IFERROR(ROUND(AS694*Assumptions!$I$6+AW694*Assumptions!$I$7+AT694*Assumptions!$I$8+AU694*Assumptions!$I$9+AV694*Assumptions!$I$10+AX694*Assumptions!$I$11+AY694*Assumptions!$I$12,2),"")</f>
        <v>38</v>
      </c>
      <c r="BA694" s="0" t="str">
        <f aca="false">IF(AZ694="","",IF(AZ694&lt;=Assumptions!$I$18,"Below Expectation",IF(AZ694&lt;=Assumptions!$I$19,"Developing",IF(AZ694&lt;=Assumptions!$I$20,"Meets Expectation",IF(AZ694&lt;=Assumptions!$I$21,"Exceeds","Star Performer")))))</f>
        <v>Below Expectation</v>
      </c>
      <c r="BB694" s="0" t="n">
        <f aca="false">IF(AZ694="",0,IF(AZ694&gt;=Assumptions!$I$26,1,0))</f>
        <v>0</v>
      </c>
      <c r="BC694" s="9" t="n">
        <f aca="false">IF(AL694="",2,AL694+2)</f>
        <v>2</v>
      </c>
      <c r="BD694" s="10" t="n">
        <f aca="false">IF(AM694="",ROUND(AVERAGE($AM$2:$AM$921),3),AM694)</f>
        <v>0</v>
      </c>
      <c r="BE694" s="9" t="n">
        <f aca="false">1-BD694</f>
        <v>1</v>
      </c>
    </row>
    <row r="695" customFormat="false" ht="14.25" hidden="true" customHeight="false" outlineLevel="0" collapsed="false">
      <c r="A695" s="4" t="n">
        <v>509</v>
      </c>
      <c r="B695" s="5" t="n">
        <v>55045246</v>
      </c>
      <c r="C695" s="5" t="s">
        <v>85</v>
      </c>
      <c r="D695" s="5" t="s">
        <v>2413</v>
      </c>
      <c r="E695" s="5" t="s">
        <v>315</v>
      </c>
      <c r="F695" s="5" t="s">
        <v>2251</v>
      </c>
      <c r="G695" s="5" t="s">
        <v>2250</v>
      </c>
      <c r="H695" s="5" t="s">
        <v>2251</v>
      </c>
      <c r="I695" s="5" t="s">
        <v>63</v>
      </c>
      <c r="J695" s="5" t="s">
        <v>76</v>
      </c>
      <c r="K695" s="5" t="s">
        <v>65</v>
      </c>
      <c r="L695" s="6" t="n">
        <v>44543</v>
      </c>
      <c r="M695" s="5" t="s">
        <v>2337</v>
      </c>
      <c r="N695" s="6" t="n">
        <v>36877</v>
      </c>
      <c r="O695" s="5" t="s">
        <v>1264</v>
      </c>
      <c r="P695" s="5" t="s">
        <v>1559</v>
      </c>
      <c r="Q695" s="5" t="s">
        <v>81</v>
      </c>
      <c r="R695" s="5" t="s">
        <v>115</v>
      </c>
      <c r="S695" s="5" t="s">
        <v>81</v>
      </c>
      <c r="T695" s="6"/>
      <c r="U695" s="6"/>
      <c r="V695" s="5" t="s">
        <v>631</v>
      </c>
      <c r="W695" s="5" t="s">
        <v>631</v>
      </c>
      <c r="X695" s="5" t="s">
        <v>631</v>
      </c>
      <c r="Y695" s="5" t="s">
        <v>631</v>
      </c>
      <c r="Z695" s="5" t="s">
        <v>631</v>
      </c>
      <c r="AA695" s="5" t="s">
        <v>2414</v>
      </c>
      <c r="AB695" s="0" t="n">
        <f aca="false">IFERROR(VALUE(R695),0)</f>
        <v>0</v>
      </c>
      <c r="AC695" s="0" t="n">
        <f aca="false">IFERROR(VALUE(M695),"")</f>
        <v>25.5</v>
      </c>
      <c r="AD695" s="0" t="n">
        <f aca="false">IFERROR(VALUE(Q695),"")</f>
        <v>4.5</v>
      </c>
      <c r="AE695" s="0" t="n">
        <f aca="false">IFERROR(VALUE(S695),"")</f>
        <v>4.5</v>
      </c>
      <c r="AF695" s="0" t="n">
        <f aca="false">IF(V695="","",VLOOKUP(V695,Assumptions!$B$6:$C$9,2,FALSE()))</f>
        <v>2</v>
      </c>
      <c r="AG695" s="0" t="n">
        <f aca="false">IF(W695="","",VLOOKUP(W695,Assumptions!$B$6:$C$9,2,FALSE()))</f>
        <v>2</v>
      </c>
      <c r="AH695" s="0" t="n">
        <f aca="false">IF(X695="","",VLOOKUP(X695,Assumptions!$B$6:$C$9,2,FALSE()))</f>
        <v>2</v>
      </c>
      <c r="AI695" s="0" t="n">
        <f aca="false">IF(Y695="","",VLOOKUP(Y695,Assumptions!$B$6:$C$9,2,FALSE()))</f>
        <v>2</v>
      </c>
      <c r="AJ695" s="0" t="n">
        <f aca="false">IF(Z695="","",VLOOKUP(Z695,Assumptions!$B$6:$C$9,2,FALSE()))</f>
        <v>2</v>
      </c>
      <c r="AK695" s="7" t="n">
        <f aca="false">IFERROR(ROUND(AVERAGE(AF695:AJ695),3),"")</f>
        <v>2</v>
      </c>
      <c r="AL695" s="7" t="n">
        <f aca="false">IF(OR(AF695="",AJ695=""),"",AJ695-AF695)</f>
        <v>0</v>
      </c>
      <c r="AM695" s="7" t="n">
        <f aca="false">IF(COUNT(AF695:AJ695)&gt;=2,ROUND(_xlfn.STDEV.S(AF695:AJ695),3),"")</f>
        <v>0</v>
      </c>
      <c r="AN695" s="7" t="n">
        <f aca="false">ROUND((IF(AF695="",0,AF695)*Assumptions!$F$15)+(IF(AG695="",0,AG695)*Assumptions!$F$16)+(IF(AH695="",0,AH695)*Assumptions!$F$17)+(IF(AI695="",0,AI695)*Assumptions!$F$18)+(IF(AJ695="",0,AJ695)*Assumptions!$F$19),3)</f>
        <v>2</v>
      </c>
      <c r="AO695" s="0" t="str">
        <f aca="false">IF(AC695&lt;=20,"",IF(AC695&lt;=Assumptions!$F$6,"20-30",IF(AC695&lt;=Assumptions!$F$7,"30-40",IF(AC695&lt;=Assumptions!$F$8,"40-50",IF(AC695&lt;=Assumptions!$F$9,"50-60",IF(AC695&lt;=Assumptions!$F$10,"60+",""))))))</f>
        <v>20-30</v>
      </c>
      <c r="AP695" s="0" t="str">
        <f aca="false">IFERROR(VLOOKUP(O695,Assumptions!$B$14:$C$26,2,FALSE()),"Other")</f>
        <v>Manager</v>
      </c>
      <c r="AQ695" s="0" t="n">
        <f aca="false">IF(T695="",0,1)</f>
        <v>0</v>
      </c>
      <c r="AR695" s="0" t="n">
        <f aca="false">IF(U695="",0,1)</f>
        <v>0</v>
      </c>
      <c r="AS695" s="8" t="n">
        <f aca="false">IF(AK695="","",IF(MAX($AK$2:$AK$921)=MIN($AK$2:$AK$921),50,ROUND((AK695-MIN($AK$2:$AK$921))/(MAX($AK$2:$AK$921)-MIN($AK$2:$AK$921))*100,2)))</f>
        <v>14.27</v>
      </c>
      <c r="AT695" s="8" t="n">
        <f aca="false">IF(MAX($BC$2:$BC$921)=MIN($BC$2:$BC$921),50,ROUND((BC695-MIN($BC$2:$BC$921))/(MAX($BC$2:$BC$921)-MIN($BC$2:$BC$921))*100,2))</f>
        <v>50</v>
      </c>
      <c r="AU695" s="8" t="n">
        <f aca="false">IF(MAX($BE$2:$BE$921)=MIN($BE$2:$BE$921),50,ROUND((BE695-MIN($BE$2:$BE$921))/(MAX($BE$2:$BE$921)-MIN($BE$2:$BE$921))*100,2))</f>
        <v>100</v>
      </c>
      <c r="AV695" s="8" t="n">
        <f aca="false">IF(MAX($AD$2:$AD$921)=MIN($AD$2:$AD$921),50,ROUND((AD695-MIN($AD$2:$AD$921))/(MAX($AD$2:$AD$921)-MIN($AD$2:$AD$921))*100,2))</f>
        <v>11.93</v>
      </c>
      <c r="AW695" s="8" t="n">
        <f aca="false">IF(MAX($AN$2:$AN$921)=MIN($AN$2:$AN$921),50,ROUND((AN695-MIN($AN$2:$AN$921))/(MAX($AN$2:$AN$921)-MIN($AN$2:$AN$921))*100,2))</f>
        <v>50</v>
      </c>
      <c r="AX695" s="8" t="n">
        <f aca="false">AQ695*100</f>
        <v>0</v>
      </c>
      <c r="AY695" s="8" t="n">
        <f aca="false">AR695*100</f>
        <v>0</v>
      </c>
      <c r="AZ695" s="8" t="n">
        <f aca="false">IFERROR(ROUND(AS695*Assumptions!$I$6+AW695*Assumptions!$I$7+AT695*Assumptions!$I$8+AU695*Assumptions!$I$9+AV695*Assumptions!$I$10+AX695*Assumptions!$I$11+AY695*Assumptions!$I$12,2),"")</f>
        <v>37.97</v>
      </c>
      <c r="BA695" s="0" t="str">
        <f aca="false">IF(AZ695="","",IF(AZ695&lt;=Assumptions!$I$18,"Below Expectation",IF(AZ695&lt;=Assumptions!$I$19,"Developing",IF(AZ695&lt;=Assumptions!$I$20,"Meets Expectation",IF(AZ695&lt;=Assumptions!$I$21,"Exceeds","Star Performer")))))</f>
        <v>Below Expectation</v>
      </c>
      <c r="BB695" s="0" t="n">
        <f aca="false">IF(AZ695="",0,IF(AZ695&gt;=Assumptions!$I$26,1,0))</f>
        <v>0</v>
      </c>
      <c r="BC695" s="9" t="n">
        <f aca="false">IF(AL695="",2,AL695+2)</f>
        <v>2</v>
      </c>
      <c r="BD695" s="10" t="n">
        <f aca="false">IF(AM695="",ROUND(AVERAGE($AM$2:$AM$921),3),AM695)</f>
        <v>0</v>
      </c>
      <c r="BE695" s="9" t="n">
        <f aca="false">1-BD695</f>
        <v>1</v>
      </c>
    </row>
    <row r="696" customFormat="false" ht="14.25" hidden="true" customHeight="false" outlineLevel="0" collapsed="false">
      <c r="A696" s="4" t="n">
        <v>513</v>
      </c>
      <c r="B696" s="5" t="n">
        <v>55045283</v>
      </c>
      <c r="C696" s="5" t="s">
        <v>85</v>
      </c>
      <c r="D696" s="5" t="s">
        <v>2415</v>
      </c>
      <c r="E696" s="5" t="s">
        <v>315</v>
      </c>
      <c r="F696" s="5" t="s">
        <v>2251</v>
      </c>
      <c r="G696" s="5" t="s">
        <v>2250</v>
      </c>
      <c r="H696" s="5" t="s">
        <v>2251</v>
      </c>
      <c r="I696" s="5" t="s">
        <v>63</v>
      </c>
      <c r="J696" s="5" t="s">
        <v>76</v>
      </c>
      <c r="K696" s="5" t="s">
        <v>309</v>
      </c>
      <c r="L696" s="6" t="n">
        <v>44543</v>
      </c>
      <c r="M696" s="5" t="s">
        <v>230</v>
      </c>
      <c r="N696" s="6" t="n">
        <v>36904</v>
      </c>
      <c r="O696" s="5" t="s">
        <v>1264</v>
      </c>
      <c r="P696" s="5" t="s">
        <v>1559</v>
      </c>
      <c r="Q696" s="5" t="s">
        <v>81</v>
      </c>
      <c r="R696" s="5" t="s">
        <v>115</v>
      </c>
      <c r="S696" s="5" t="s">
        <v>81</v>
      </c>
      <c r="T696" s="6"/>
      <c r="U696" s="6"/>
      <c r="V696" s="5" t="s">
        <v>631</v>
      </c>
      <c r="W696" s="5" t="s">
        <v>631</v>
      </c>
      <c r="X696" s="5" t="s">
        <v>631</v>
      </c>
      <c r="Y696" s="5" t="s">
        <v>631</v>
      </c>
      <c r="Z696" s="5" t="s">
        <v>631</v>
      </c>
      <c r="AA696" s="5" t="s">
        <v>2416</v>
      </c>
      <c r="AB696" s="0" t="n">
        <f aca="false">IFERROR(VALUE(R696),0)</f>
        <v>0</v>
      </c>
      <c r="AC696" s="0" t="n">
        <f aca="false">IFERROR(VALUE(M696),"")</f>
        <v>25.4</v>
      </c>
      <c r="AD696" s="0" t="n">
        <f aca="false">IFERROR(VALUE(Q696),"")</f>
        <v>4.5</v>
      </c>
      <c r="AE696" s="0" t="n">
        <f aca="false">IFERROR(VALUE(S696),"")</f>
        <v>4.5</v>
      </c>
      <c r="AF696" s="0" t="n">
        <f aca="false">IF(V696="","",VLOOKUP(V696,Assumptions!$B$6:$C$9,2,FALSE()))</f>
        <v>2</v>
      </c>
      <c r="AG696" s="0" t="n">
        <f aca="false">IF(W696="","",VLOOKUP(W696,Assumptions!$B$6:$C$9,2,FALSE()))</f>
        <v>2</v>
      </c>
      <c r="AH696" s="0" t="n">
        <f aca="false">IF(X696="","",VLOOKUP(X696,Assumptions!$B$6:$C$9,2,FALSE()))</f>
        <v>2</v>
      </c>
      <c r="AI696" s="0" t="n">
        <f aca="false">IF(Y696="","",VLOOKUP(Y696,Assumptions!$B$6:$C$9,2,FALSE()))</f>
        <v>2</v>
      </c>
      <c r="AJ696" s="0" t="n">
        <f aca="false">IF(Z696="","",VLOOKUP(Z696,Assumptions!$B$6:$C$9,2,FALSE()))</f>
        <v>2</v>
      </c>
      <c r="AK696" s="7" t="n">
        <f aca="false">IFERROR(ROUND(AVERAGE(AF696:AJ696),3),"")</f>
        <v>2</v>
      </c>
      <c r="AL696" s="7" t="n">
        <f aca="false">IF(OR(AF696="",AJ696=""),"",AJ696-AF696)</f>
        <v>0</v>
      </c>
      <c r="AM696" s="7" t="n">
        <f aca="false">IF(COUNT(AF696:AJ696)&gt;=2,ROUND(_xlfn.STDEV.S(AF696:AJ696),3),"")</f>
        <v>0</v>
      </c>
      <c r="AN696" s="7" t="n">
        <f aca="false">ROUND((IF(AF696="",0,AF696)*Assumptions!$F$15)+(IF(AG696="",0,AG696)*Assumptions!$F$16)+(IF(AH696="",0,AH696)*Assumptions!$F$17)+(IF(AI696="",0,AI696)*Assumptions!$F$18)+(IF(AJ696="",0,AJ696)*Assumptions!$F$19),3)</f>
        <v>2</v>
      </c>
      <c r="AO696" s="0" t="str">
        <f aca="false">IF(AC696&lt;=20,"",IF(AC696&lt;=Assumptions!$F$6,"20-30",IF(AC696&lt;=Assumptions!$F$7,"30-40",IF(AC696&lt;=Assumptions!$F$8,"40-50",IF(AC696&lt;=Assumptions!$F$9,"50-60",IF(AC696&lt;=Assumptions!$F$10,"60+",""))))))</f>
        <v>20-30</v>
      </c>
      <c r="AP696" s="0" t="str">
        <f aca="false">IFERROR(VLOOKUP(O696,Assumptions!$B$14:$C$26,2,FALSE()),"Other")</f>
        <v>Manager</v>
      </c>
      <c r="AQ696" s="0" t="n">
        <f aca="false">IF(T696="",0,1)</f>
        <v>0</v>
      </c>
      <c r="AR696" s="0" t="n">
        <f aca="false">IF(U696="",0,1)</f>
        <v>0</v>
      </c>
      <c r="AS696" s="8" t="n">
        <f aca="false">IF(AK696="","",IF(MAX($AK$2:$AK$921)=MIN($AK$2:$AK$921),50,ROUND((AK696-MIN($AK$2:$AK$921))/(MAX($AK$2:$AK$921)-MIN($AK$2:$AK$921))*100,2)))</f>
        <v>14.27</v>
      </c>
      <c r="AT696" s="8" t="n">
        <f aca="false">IF(MAX($BC$2:$BC$921)=MIN($BC$2:$BC$921),50,ROUND((BC696-MIN($BC$2:$BC$921))/(MAX($BC$2:$BC$921)-MIN($BC$2:$BC$921))*100,2))</f>
        <v>50</v>
      </c>
      <c r="AU696" s="8" t="n">
        <f aca="false">IF(MAX($BE$2:$BE$921)=MIN($BE$2:$BE$921),50,ROUND((BE696-MIN($BE$2:$BE$921))/(MAX($BE$2:$BE$921)-MIN($BE$2:$BE$921))*100,2))</f>
        <v>100</v>
      </c>
      <c r="AV696" s="8" t="n">
        <f aca="false">IF(MAX($AD$2:$AD$921)=MIN($AD$2:$AD$921),50,ROUND((AD696-MIN($AD$2:$AD$921))/(MAX($AD$2:$AD$921)-MIN($AD$2:$AD$921))*100,2))</f>
        <v>11.93</v>
      </c>
      <c r="AW696" s="8" t="n">
        <f aca="false">IF(MAX($AN$2:$AN$921)=MIN($AN$2:$AN$921),50,ROUND((AN696-MIN($AN$2:$AN$921))/(MAX($AN$2:$AN$921)-MIN($AN$2:$AN$921))*100,2))</f>
        <v>50</v>
      </c>
      <c r="AX696" s="8" t="n">
        <f aca="false">AQ696*100</f>
        <v>0</v>
      </c>
      <c r="AY696" s="8" t="n">
        <f aca="false">AR696*100</f>
        <v>0</v>
      </c>
      <c r="AZ696" s="8" t="n">
        <f aca="false">IFERROR(ROUND(AS696*Assumptions!$I$6+AW696*Assumptions!$I$7+AT696*Assumptions!$I$8+AU696*Assumptions!$I$9+AV696*Assumptions!$I$10+AX696*Assumptions!$I$11+AY696*Assumptions!$I$12,2),"")</f>
        <v>37.97</v>
      </c>
      <c r="BA696" s="0" t="str">
        <f aca="false">IF(AZ696="","",IF(AZ696&lt;=Assumptions!$I$18,"Below Expectation",IF(AZ696&lt;=Assumptions!$I$19,"Developing",IF(AZ696&lt;=Assumptions!$I$20,"Meets Expectation",IF(AZ696&lt;=Assumptions!$I$21,"Exceeds","Star Performer")))))</f>
        <v>Below Expectation</v>
      </c>
      <c r="BB696" s="0" t="n">
        <f aca="false">IF(AZ696="",0,IF(AZ696&gt;=Assumptions!$I$26,1,0))</f>
        <v>0</v>
      </c>
      <c r="BC696" s="9" t="n">
        <f aca="false">IF(AL696="",2,AL696+2)</f>
        <v>2</v>
      </c>
      <c r="BD696" s="10" t="n">
        <f aca="false">IF(AM696="",ROUND(AVERAGE($AM$2:$AM$921),3),AM696)</f>
        <v>0</v>
      </c>
      <c r="BE696" s="9" t="n">
        <f aca="false">1-BD696</f>
        <v>1</v>
      </c>
    </row>
    <row r="697" customFormat="false" ht="14.25" hidden="true" customHeight="false" outlineLevel="0" collapsed="false">
      <c r="A697" s="4" t="n">
        <v>514</v>
      </c>
      <c r="B697" s="5" t="n">
        <v>55045286</v>
      </c>
      <c r="C697" s="5" t="s">
        <v>85</v>
      </c>
      <c r="D697" s="5" t="s">
        <v>2417</v>
      </c>
      <c r="E697" s="5" t="s">
        <v>315</v>
      </c>
      <c r="F697" s="5" t="s">
        <v>2251</v>
      </c>
      <c r="G697" s="5" t="s">
        <v>2250</v>
      </c>
      <c r="H697" s="5" t="s">
        <v>2251</v>
      </c>
      <c r="I697" s="5" t="s">
        <v>63</v>
      </c>
      <c r="J697" s="5" t="s">
        <v>76</v>
      </c>
      <c r="K697" s="5" t="s">
        <v>309</v>
      </c>
      <c r="L697" s="6" t="n">
        <v>44543</v>
      </c>
      <c r="M697" s="5" t="s">
        <v>1414</v>
      </c>
      <c r="N697" s="6" t="n">
        <v>35880</v>
      </c>
      <c r="O697" s="5" t="s">
        <v>1264</v>
      </c>
      <c r="P697" s="5" t="s">
        <v>1559</v>
      </c>
      <c r="Q697" s="5" t="s">
        <v>81</v>
      </c>
      <c r="R697" s="5" t="s">
        <v>115</v>
      </c>
      <c r="S697" s="5" t="s">
        <v>81</v>
      </c>
      <c r="T697" s="6"/>
      <c r="U697" s="6"/>
      <c r="V697" s="5" t="s">
        <v>631</v>
      </c>
      <c r="W697" s="5" t="s">
        <v>631</v>
      </c>
      <c r="X697" s="5" t="s">
        <v>631</v>
      </c>
      <c r="Y697" s="5" t="s">
        <v>631</v>
      </c>
      <c r="Z697" s="5" t="s">
        <v>631</v>
      </c>
      <c r="AA697" s="5" t="s">
        <v>2395</v>
      </c>
      <c r="AB697" s="0" t="n">
        <f aca="false">IFERROR(VALUE(R697),0)</f>
        <v>0</v>
      </c>
      <c r="AC697" s="0" t="n">
        <f aca="false">IFERROR(VALUE(M697),"")</f>
        <v>28.2</v>
      </c>
      <c r="AD697" s="0" t="n">
        <f aca="false">IFERROR(VALUE(Q697),"")</f>
        <v>4.5</v>
      </c>
      <c r="AE697" s="0" t="n">
        <f aca="false">IFERROR(VALUE(S697),"")</f>
        <v>4.5</v>
      </c>
      <c r="AF697" s="0" t="n">
        <f aca="false">IF(V697="","",VLOOKUP(V697,Assumptions!$B$6:$C$9,2,FALSE()))</f>
        <v>2</v>
      </c>
      <c r="AG697" s="0" t="n">
        <f aca="false">IF(W697="","",VLOOKUP(W697,Assumptions!$B$6:$C$9,2,FALSE()))</f>
        <v>2</v>
      </c>
      <c r="AH697" s="0" t="n">
        <f aca="false">IF(X697="","",VLOOKUP(X697,Assumptions!$B$6:$C$9,2,FALSE()))</f>
        <v>2</v>
      </c>
      <c r="AI697" s="0" t="n">
        <f aca="false">IF(Y697="","",VLOOKUP(Y697,Assumptions!$B$6:$C$9,2,FALSE()))</f>
        <v>2</v>
      </c>
      <c r="AJ697" s="0" t="n">
        <f aca="false">IF(Z697="","",VLOOKUP(Z697,Assumptions!$B$6:$C$9,2,FALSE()))</f>
        <v>2</v>
      </c>
      <c r="AK697" s="7" t="n">
        <f aca="false">IFERROR(ROUND(AVERAGE(AF697:AJ697),3),"")</f>
        <v>2</v>
      </c>
      <c r="AL697" s="7" t="n">
        <f aca="false">IF(OR(AF697="",AJ697=""),"",AJ697-AF697)</f>
        <v>0</v>
      </c>
      <c r="AM697" s="7" t="n">
        <f aca="false">IF(COUNT(AF697:AJ697)&gt;=2,ROUND(_xlfn.STDEV.S(AF697:AJ697),3),"")</f>
        <v>0</v>
      </c>
      <c r="AN697" s="7" t="n">
        <f aca="false">ROUND((IF(AF697="",0,AF697)*Assumptions!$F$15)+(IF(AG697="",0,AG697)*Assumptions!$F$16)+(IF(AH697="",0,AH697)*Assumptions!$F$17)+(IF(AI697="",0,AI697)*Assumptions!$F$18)+(IF(AJ697="",0,AJ697)*Assumptions!$F$19),3)</f>
        <v>2</v>
      </c>
      <c r="AO697" s="0" t="str">
        <f aca="false">IF(AC697&lt;=20,"",IF(AC697&lt;=Assumptions!$F$6,"20-30",IF(AC697&lt;=Assumptions!$F$7,"30-40",IF(AC697&lt;=Assumptions!$F$8,"40-50",IF(AC697&lt;=Assumptions!$F$9,"50-60",IF(AC697&lt;=Assumptions!$F$10,"60+",""))))))</f>
        <v>20-30</v>
      </c>
      <c r="AP697" s="0" t="str">
        <f aca="false">IFERROR(VLOOKUP(O697,Assumptions!$B$14:$C$26,2,FALSE()),"Other")</f>
        <v>Manager</v>
      </c>
      <c r="AQ697" s="0" t="n">
        <f aca="false">IF(T697="",0,1)</f>
        <v>0</v>
      </c>
      <c r="AR697" s="0" t="n">
        <f aca="false">IF(U697="",0,1)</f>
        <v>0</v>
      </c>
      <c r="AS697" s="8" t="n">
        <f aca="false">IF(AK697="","",IF(MAX($AK$2:$AK$921)=MIN($AK$2:$AK$921),50,ROUND((AK697-MIN($AK$2:$AK$921))/(MAX($AK$2:$AK$921)-MIN($AK$2:$AK$921))*100,2)))</f>
        <v>14.27</v>
      </c>
      <c r="AT697" s="8" t="n">
        <f aca="false">IF(MAX($BC$2:$BC$921)=MIN($BC$2:$BC$921),50,ROUND((BC697-MIN($BC$2:$BC$921))/(MAX($BC$2:$BC$921)-MIN($BC$2:$BC$921))*100,2))</f>
        <v>50</v>
      </c>
      <c r="AU697" s="8" t="n">
        <f aca="false">IF(MAX($BE$2:$BE$921)=MIN($BE$2:$BE$921),50,ROUND((BE697-MIN($BE$2:$BE$921))/(MAX($BE$2:$BE$921)-MIN($BE$2:$BE$921))*100,2))</f>
        <v>100</v>
      </c>
      <c r="AV697" s="8" t="n">
        <f aca="false">IF(MAX($AD$2:$AD$921)=MIN($AD$2:$AD$921),50,ROUND((AD697-MIN($AD$2:$AD$921))/(MAX($AD$2:$AD$921)-MIN($AD$2:$AD$921))*100,2))</f>
        <v>11.93</v>
      </c>
      <c r="AW697" s="8" t="n">
        <f aca="false">IF(MAX($AN$2:$AN$921)=MIN($AN$2:$AN$921),50,ROUND((AN697-MIN($AN$2:$AN$921))/(MAX($AN$2:$AN$921)-MIN($AN$2:$AN$921))*100,2))</f>
        <v>50</v>
      </c>
      <c r="AX697" s="8" t="n">
        <f aca="false">AQ697*100</f>
        <v>0</v>
      </c>
      <c r="AY697" s="8" t="n">
        <f aca="false">AR697*100</f>
        <v>0</v>
      </c>
      <c r="AZ697" s="8" t="n">
        <f aca="false">IFERROR(ROUND(AS697*Assumptions!$I$6+AW697*Assumptions!$I$7+AT697*Assumptions!$I$8+AU697*Assumptions!$I$9+AV697*Assumptions!$I$10+AX697*Assumptions!$I$11+AY697*Assumptions!$I$12,2),"")</f>
        <v>37.97</v>
      </c>
      <c r="BA697" s="0" t="str">
        <f aca="false">IF(AZ697="","",IF(AZ697&lt;=Assumptions!$I$18,"Below Expectation",IF(AZ697&lt;=Assumptions!$I$19,"Developing",IF(AZ697&lt;=Assumptions!$I$20,"Meets Expectation",IF(AZ697&lt;=Assumptions!$I$21,"Exceeds","Star Performer")))))</f>
        <v>Below Expectation</v>
      </c>
      <c r="BB697" s="0" t="n">
        <f aca="false">IF(AZ697="",0,IF(AZ697&gt;=Assumptions!$I$26,1,0))</f>
        <v>0</v>
      </c>
      <c r="BC697" s="9" t="n">
        <f aca="false">IF(AL697="",2,AL697+2)</f>
        <v>2</v>
      </c>
      <c r="BD697" s="10" t="n">
        <f aca="false">IF(AM697="",ROUND(AVERAGE($AM$2:$AM$921),3),AM697)</f>
        <v>0</v>
      </c>
      <c r="BE697" s="9" t="n">
        <f aca="false">1-BD697</f>
        <v>1</v>
      </c>
    </row>
    <row r="698" customFormat="false" ht="14.25" hidden="true" customHeight="false" outlineLevel="0" collapsed="false">
      <c r="A698" s="4" t="n">
        <v>518</v>
      </c>
      <c r="B698" s="5" t="n">
        <v>55045521</v>
      </c>
      <c r="C698" s="5" t="s">
        <v>85</v>
      </c>
      <c r="D698" s="5" t="s">
        <v>2418</v>
      </c>
      <c r="E698" s="5" t="s">
        <v>1238</v>
      </c>
      <c r="F698" s="5" t="s">
        <v>590</v>
      </c>
      <c r="G698" s="5" t="s">
        <v>589</v>
      </c>
      <c r="H698" s="5" t="s">
        <v>590</v>
      </c>
      <c r="I698" s="5" t="s">
        <v>63</v>
      </c>
      <c r="J698" s="5" t="s">
        <v>76</v>
      </c>
      <c r="K698" s="5" t="s">
        <v>309</v>
      </c>
      <c r="L698" s="6" t="n">
        <v>44550</v>
      </c>
      <c r="M698" s="5" t="s">
        <v>182</v>
      </c>
      <c r="N698" s="6" t="n">
        <v>36355</v>
      </c>
      <c r="O698" s="5" t="s">
        <v>1264</v>
      </c>
      <c r="P698" s="5" t="s">
        <v>1559</v>
      </c>
      <c r="Q698" s="5" t="s">
        <v>81</v>
      </c>
      <c r="R698" s="5" t="s">
        <v>69</v>
      </c>
      <c r="S698" s="5" t="s">
        <v>496</v>
      </c>
      <c r="T698" s="6"/>
      <c r="U698" s="6"/>
      <c r="V698" s="5" t="s">
        <v>631</v>
      </c>
      <c r="W698" s="5" t="s">
        <v>631</v>
      </c>
      <c r="X698" s="5" t="s">
        <v>631</v>
      </c>
      <c r="Y698" s="5" t="s">
        <v>631</v>
      </c>
      <c r="Z698" s="5" t="s">
        <v>631</v>
      </c>
      <c r="AA698" s="5" t="s">
        <v>2419</v>
      </c>
      <c r="AB698" s="0" t="n">
        <f aca="false">IFERROR(VALUE(R698),0)</f>
        <v>0.3</v>
      </c>
      <c r="AC698" s="0" t="n">
        <f aca="false">IFERROR(VALUE(M698),"")</f>
        <v>26.1</v>
      </c>
      <c r="AD698" s="0" t="n">
        <f aca="false">IFERROR(VALUE(Q698),"")</f>
        <v>4.5</v>
      </c>
      <c r="AE698" s="0" t="n">
        <f aca="false">IFERROR(VALUE(S698),"")</f>
        <v>4.8</v>
      </c>
      <c r="AF698" s="0" t="n">
        <f aca="false">IF(V698="","",VLOOKUP(V698,Assumptions!$B$6:$C$9,2,FALSE()))</f>
        <v>2</v>
      </c>
      <c r="AG698" s="0" t="n">
        <f aca="false">IF(W698="","",VLOOKUP(W698,Assumptions!$B$6:$C$9,2,FALSE()))</f>
        <v>2</v>
      </c>
      <c r="AH698" s="0" t="n">
        <f aca="false">IF(X698="","",VLOOKUP(X698,Assumptions!$B$6:$C$9,2,FALSE()))</f>
        <v>2</v>
      </c>
      <c r="AI698" s="0" t="n">
        <f aca="false">IF(Y698="","",VLOOKUP(Y698,Assumptions!$B$6:$C$9,2,FALSE()))</f>
        <v>2</v>
      </c>
      <c r="AJ698" s="0" t="n">
        <f aca="false">IF(Z698="","",VLOOKUP(Z698,Assumptions!$B$6:$C$9,2,FALSE()))</f>
        <v>2</v>
      </c>
      <c r="AK698" s="7" t="n">
        <f aca="false">IFERROR(ROUND(AVERAGE(AF698:AJ698),3),"")</f>
        <v>2</v>
      </c>
      <c r="AL698" s="7" t="n">
        <f aca="false">IF(OR(AF698="",AJ698=""),"",AJ698-AF698)</f>
        <v>0</v>
      </c>
      <c r="AM698" s="7" t="n">
        <f aca="false">IF(COUNT(AF698:AJ698)&gt;=2,ROUND(_xlfn.STDEV.S(AF698:AJ698),3),"")</f>
        <v>0</v>
      </c>
      <c r="AN698" s="7" t="n">
        <f aca="false">ROUND((IF(AF698="",0,AF698)*Assumptions!$F$15)+(IF(AG698="",0,AG698)*Assumptions!$F$16)+(IF(AH698="",0,AH698)*Assumptions!$F$17)+(IF(AI698="",0,AI698)*Assumptions!$F$18)+(IF(AJ698="",0,AJ698)*Assumptions!$F$19),3)</f>
        <v>2</v>
      </c>
      <c r="AO698" s="0" t="str">
        <f aca="false">IF(AC698&lt;=20,"",IF(AC698&lt;=Assumptions!$F$6,"20-30",IF(AC698&lt;=Assumptions!$F$7,"30-40",IF(AC698&lt;=Assumptions!$F$8,"40-50",IF(AC698&lt;=Assumptions!$F$9,"50-60",IF(AC698&lt;=Assumptions!$F$10,"60+",""))))))</f>
        <v>20-30</v>
      </c>
      <c r="AP698" s="0" t="str">
        <f aca="false">IFERROR(VLOOKUP(O698,Assumptions!$B$14:$C$26,2,FALSE()),"Other")</f>
        <v>Manager</v>
      </c>
      <c r="AQ698" s="0" t="n">
        <f aca="false">IF(T698="",0,1)</f>
        <v>0</v>
      </c>
      <c r="AR698" s="0" t="n">
        <f aca="false">IF(U698="",0,1)</f>
        <v>0</v>
      </c>
      <c r="AS698" s="8" t="n">
        <f aca="false">IF(AK698="","",IF(MAX($AK$2:$AK$921)=MIN($AK$2:$AK$921),50,ROUND((AK698-MIN($AK$2:$AK$921))/(MAX($AK$2:$AK$921)-MIN($AK$2:$AK$921))*100,2)))</f>
        <v>14.27</v>
      </c>
      <c r="AT698" s="8" t="n">
        <f aca="false">IF(MAX($BC$2:$BC$921)=MIN($BC$2:$BC$921),50,ROUND((BC698-MIN($BC$2:$BC$921))/(MAX($BC$2:$BC$921)-MIN($BC$2:$BC$921))*100,2))</f>
        <v>50</v>
      </c>
      <c r="AU698" s="8" t="n">
        <f aca="false">IF(MAX($BE$2:$BE$921)=MIN($BE$2:$BE$921),50,ROUND((BE698-MIN($BE$2:$BE$921))/(MAX($BE$2:$BE$921)-MIN($BE$2:$BE$921))*100,2))</f>
        <v>100</v>
      </c>
      <c r="AV698" s="8" t="n">
        <f aca="false">IF(MAX($AD$2:$AD$921)=MIN($AD$2:$AD$921),50,ROUND((AD698-MIN($AD$2:$AD$921))/(MAX($AD$2:$AD$921)-MIN($AD$2:$AD$921))*100,2))</f>
        <v>11.93</v>
      </c>
      <c r="AW698" s="8" t="n">
        <f aca="false">IF(MAX($AN$2:$AN$921)=MIN($AN$2:$AN$921),50,ROUND((AN698-MIN($AN$2:$AN$921))/(MAX($AN$2:$AN$921)-MIN($AN$2:$AN$921))*100,2))</f>
        <v>50</v>
      </c>
      <c r="AX698" s="8" t="n">
        <f aca="false">AQ698*100</f>
        <v>0</v>
      </c>
      <c r="AY698" s="8" t="n">
        <f aca="false">AR698*100</f>
        <v>0</v>
      </c>
      <c r="AZ698" s="8" t="n">
        <f aca="false">IFERROR(ROUND(AS698*Assumptions!$I$6+AW698*Assumptions!$I$7+AT698*Assumptions!$I$8+AU698*Assumptions!$I$9+AV698*Assumptions!$I$10+AX698*Assumptions!$I$11+AY698*Assumptions!$I$12,2),"")</f>
        <v>37.97</v>
      </c>
      <c r="BA698" s="0" t="str">
        <f aca="false">IF(AZ698="","",IF(AZ698&lt;=Assumptions!$I$18,"Below Expectation",IF(AZ698&lt;=Assumptions!$I$19,"Developing",IF(AZ698&lt;=Assumptions!$I$20,"Meets Expectation",IF(AZ698&lt;=Assumptions!$I$21,"Exceeds","Star Performer")))))</f>
        <v>Below Expectation</v>
      </c>
      <c r="BB698" s="0" t="n">
        <f aca="false">IF(AZ698="",0,IF(AZ698&gt;=Assumptions!$I$26,1,0))</f>
        <v>0</v>
      </c>
      <c r="BC698" s="9" t="n">
        <f aca="false">IF(AL698="",2,AL698+2)</f>
        <v>2</v>
      </c>
      <c r="BD698" s="10" t="n">
        <f aca="false">IF(AM698="",ROUND(AVERAGE($AM$2:$AM$921),3),AM698)</f>
        <v>0</v>
      </c>
      <c r="BE698" s="9" t="n">
        <f aca="false">1-BD698</f>
        <v>1</v>
      </c>
    </row>
    <row r="699" customFormat="false" ht="14.25" hidden="true" customHeight="false" outlineLevel="0" collapsed="false">
      <c r="A699" s="4" t="n">
        <v>477</v>
      </c>
      <c r="B699" s="5" t="n">
        <v>55042631</v>
      </c>
      <c r="C699" s="5" t="s">
        <v>85</v>
      </c>
      <c r="D699" s="5" t="s">
        <v>2420</v>
      </c>
      <c r="E699" s="5" t="s">
        <v>137</v>
      </c>
      <c r="F699" s="5" t="s">
        <v>1382</v>
      </c>
      <c r="G699" s="5" t="s">
        <v>1383</v>
      </c>
      <c r="H699" s="5" t="s">
        <v>1382</v>
      </c>
      <c r="I699" s="5" t="s">
        <v>63</v>
      </c>
      <c r="J699" s="5" t="s">
        <v>76</v>
      </c>
      <c r="K699" s="5" t="s">
        <v>309</v>
      </c>
      <c r="L699" s="6" t="n">
        <v>44431</v>
      </c>
      <c r="M699" s="5" t="s">
        <v>104</v>
      </c>
      <c r="N699" s="6" t="n">
        <v>34569</v>
      </c>
      <c r="O699" s="5" t="s">
        <v>1264</v>
      </c>
      <c r="P699" s="5" t="s">
        <v>1559</v>
      </c>
      <c r="Q699" s="5" t="s">
        <v>1297</v>
      </c>
      <c r="R699" s="5" t="s">
        <v>115</v>
      </c>
      <c r="S699" s="5" t="s">
        <v>1297</v>
      </c>
      <c r="T699" s="6"/>
      <c r="U699" s="6"/>
      <c r="V699" s="5" t="s">
        <v>631</v>
      </c>
      <c r="W699" s="5" t="s">
        <v>141</v>
      </c>
      <c r="X699" s="5" t="s">
        <v>631</v>
      </c>
      <c r="Y699" s="5" t="s">
        <v>631</v>
      </c>
      <c r="Z699" s="5" t="s">
        <v>631</v>
      </c>
      <c r="AA699" s="5" t="s">
        <v>2421</v>
      </c>
      <c r="AB699" s="0" t="n">
        <f aca="false">IFERROR(VALUE(R699),0)</f>
        <v>0</v>
      </c>
      <c r="AC699" s="0" t="n">
        <f aca="false">IFERROR(VALUE(M699),"")</f>
        <v>31.9</v>
      </c>
      <c r="AD699" s="0" t="n">
        <f aca="false">IFERROR(VALUE(Q699),"")</f>
        <v>4.9</v>
      </c>
      <c r="AE699" s="0" t="n">
        <f aca="false">IFERROR(VALUE(S699),"")</f>
        <v>4.9</v>
      </c>
      <c r="AF699" s="0" t="n">
        <f aca="false">IF(V699="","",VLOOKUP(V699,Assumptions!$B$6:$C$9,2,FALSE()))</f>
        <v>2</v>
      </c>
      <c r="AG699" s="0" t="n">
        <f aca="false">IF(W699="","",VLOOKUP(W699,Assumptions!$B$6:$C$9,2,FALSE()))</f>
        <v>3</v>
      </c>
      <c r="AH699" s="0" t="n">
        <f aca="false">IF(X699="","",VLOOKUP(X699,Assumptions!$B$6:$C$9,2,FALSE()))</f>
        <v>2</v>
      </c>
      <c r="AI699" s="0" t="n">
        <f aca="false">IF(Y699="","",VLOOKUP(Y699,Assumptions!$B$6:$C$9,2,FALSE()))</f>
        <v>2</v>
      </c>
      <c r="AJ699" s="0" t="n">
        <f aca="false">IF(Z699="","",VLOOKUP(Z699,Assumptions!$B$6:$C$9,2,FALSE()))</f>
        <v>2</v>
      </c>
      <c r="AK699" s="7" t="n">
        <f aca="false">IFERROR(ROUND(AVERAGE(AF699:AJ699),3),"")</f>
        <v>2.2</v>
      </c>
      <c r="AL699" s="7" t="n">
        <f aca="false">IF(OR(AF699="",AJ699=""),"",AJ699-AF699)</f>
        <v>0</v>
      </c>
      <c r="AM699" s="7" t="n">
        <f aca="false">IF(COUNT(AF699:AJ699)&gt;=2,ROUND(_xlfn.STDEV.S(AF699:AJ699),3),"")</f>
        <v>0.447</v>
      </c>
      <c r="AN699" s="7" t="n">
        <f aca="false">ROUND((IF(AF699="",0,AF699)*Assumptions!$F$15)+(IF(AG699="",0,AG699)*Assumptions!$F$16)+(IF(AH699="",0,AH699)*Assumptions!$F$17)+(IF(AI699="",0,AI699)*Assumptions!$F$18)+(IF(AJ699="",0,AJ699)*Assumptions!$F$19),3)</f>
        <v>2.15</v>
      </c>
      <c r="AO699" s="0" t="str">
        <f aca="false">IF(AC699&lt;=20,"",IF(AC699&lt;=Assumptions!$F$6,"20-30",IF(AC699&lt;=Assumptions!$F$7,"30-40",IF(AC699&lt;=Assumptions!$F$8,"40-50",IF(AC699&lt;=Assumptions!$F$9,"50-60",IF(AC699&lt;=Assumptions!$F$10,"60+",""))))))</f>
        <v>30-40</v>
      </c>
      <c r="AP699" s="0" t="str">
        <f aca="false">IFERROR(VLOOKUP(O699,Assumptions!$B$14:$C$26,2,FALSE()),"Other")</f>
        <v>Manager</v>
      </c>
      <c r="AQ699" s="0" t="n">
        <f aca="false">IF(T699="",0,1)</f>
        <v>0</v>
      </c>
      <c r="AR699" s="0" t="n">
        <f aca="false">IF(U699="",0,1)</f>
        <v>0</v>
      </c>
      <c r="AS699" s="8" t="n">
        <f aca="false">IF(AK699="","",IF(MAX($AK$2:$AK$921)=MIN($AK$2:$AK$921),50,ROUND((AK699-MIN($AK$2:$AK$921))/(MAX($AK$2:$AK$921)-MIN($AK$2:$AK$921))*100,2)))</f>
        <v>22.85</v>
      </c>
      <c r="AT699" s="8" t="n">
        <f aca="false">IF(MAX($BC$2:$BC$921)=MIN($BC$2:$BC$921),50,ROUND((BC699-MIN($BC$2:$BC$921))/(MAX($BC$2:$BC$921)-MIN($BC$2:$BC$921))*100,2))</f>
        <v>50</v>
      </c>
      <c r="AU699" s="8" t="n">
        <f aca="false">IF(MAX($BE$2:$BE$921)=MIN($BE$2:$BE$921),50,ROUND((BE699-MIN($BE$2:$BE$921))/(MAX($BE$2:$BE$921)-MIN($BE$2:$BE$921))*100,2))</f>
        <v>74.19</v>
      </c>
      <c r="AV699" s="8" t="n">
        <f aca="false">IF(MAX($AD$2:$AD$921)=MIN($AD$2:$AD$921),50,ROUND((AD699-MIN($AD$2:$AD$921))/(MAX($AD$2:$AD$921)-MIN($AD$2:$AD$921))*100,2))</f>
        <v>13.02</v>
      </c>
      <c r="AW699" s="8" t="n">
        <f aca="false">IF(MAX($AN$2:$AN$921)=MIN($AN$2:$AN$921),50,ROUND((AN699-MIN($AN$2:$AN$921))/(MAX($AN$2:$AN$921)-MIN($AN$2:$AN$921))*100,2))</f>
        <v>53.75</v>
      </c>
      <c r="AX699" s="8" t="n">
        <f aca="false">AQ699*100</f>
        <v>0</v>
      </c>
      <c r="AY699" s="8" t="n">
        <f aca="false">AR699*100</f>
        <v>0</v>
      </c>
      <c r="AZ699" s="8" t="n">
        <f aca="false">IFERROR(ROUND(AS699*Assumptions!$I$6+AW699*Assumptions!$I$7+AT699*Assumptions!$I$8+AU699*Assumptions!$I$9+AV699*Assumptions!$I$10+AX699*Assumptions!$I$11+AY699*Assumptions!$I$12,2),"")</f>
        <v>37.54</v>
      </c>
      <c r="BA699" s="0" t="str">
        <f aca="false">IF(AZ699="","",IF(AZ699&lt;=Assumptions!$I$18,"Below Expectation",IF(AZ699&lt;=Assumptions!$I$19,"Developing",IF(AZ699&lt;=Assumptions!$I$20,"Meets Expectation",IF(AZ699&lt;=Assumptions!$I$21,"Exceeds","Star Performer")))))</f>
        <v>Below Expectation</v>
      </c>
      <c r="BB699" s="0" t="n">
        <f aca="false">IF(AZ699="",0,IF(AZ699&gt;=Assumptions!$I$26,1,0))</f>
        <v>0</v>
      </c>
      <c r="BC699" s="9" t="n">
        <f aca="false">IF(AL699="",2,AL699+2)</f>
        <v>2</v>
      </c>
      <c r="BD699" s="10" t="n">
        <f aca="false">IF(AM699="",ROUND(AVERAGE($AM$2:$AM$921),3),AM699)</f>
        <v>0.447</v>
      </c>
      <c r="BE699" s="9" t="n">
        <f aca="false">1-BD699</f>
        <v>0.553</v>
      </c>
    </row>
    <row r="700" customFormat="false" ht="14.25" hidden="true" customHeight="false" outlineLevel="0" collapsed="false">
      <c r="A700" s="4" t="n">
        <v>478</v>
      </c>
      <c r="B700" s="5" t="n">
        <v>55042653</v>
      </c>
      <c r="C700" s="5" t="s">
        <v>85</v>
      </c>
      <c r="D700" s="5" t="s">
        <v>2422</v>
      </c>
      <c r="E700" s="5" t="s">
        <v>137</v>
      </c>
      <c r="F700" s="5" t="s">
        <v>925</v>
      </c>
      <c r="G700" s="5" t="s">
        <v>924</v>
      </c>
      <c r="H700" s="5" t="s">
        <v>925</v>
      </c>
      <c r="I700" s="5" t="s">
        <v>63</v>
      </c>
      <c r="J700" s="5" t="s">
        <v>76</v>
      </c>
      <c r="K700" s="5" t="s">
        <v>309</v>
      </c>
      <c r="L700" s="6" t="n">
        <v>44431</v>
      </c>
      <c r="M700" s="5" t="s">
        <v>1370</v>
      </c>
      <c r="N700" s="6" t="n">
        <v>35783</v>
      </c>
      <c r="O700" s="5" t="s">
        <v>1264</v>
      </c>
      <c r="P700" s="5" t="s">
        <v>1559</v>
      </c>
      <c r="Q700" s="5" t="s">
        <v>1297</v>
      </c>
      <c r="R700" s="5" t="s">
        <v>115</v>
      </c>
      <c r="S700" s="5" t="s">
        <v>1297</v>
      </c>
      <c r="T700" s="6"/>
      <c r="U700" s="6"/>
      <c r="V700" s="5" t="s">
        <v>631</v>
      </c>
      <c r="W700" s="5" t="s">
        <v>141</v>
      </c>
      <c r="X700" s="5" t="s">
        <v>631</v>
      </c>
      <c r="Y700" s="5" t="s">
        <v>631</v>
      </c>
      <c r="Z700" s="5" t="s">
        <v>631</v>
      </c>
      <c r="AA700" s="5" t="s">
        <v>2423</v>
      </c>
      <c r="AB700" s="0" t="n">
        <f aca="false">IFERROR(VALUE(R700),0)</f>
        <v>0</v>
      </c>
      <c r="AC700" s="0" t="n">
        <f aca="false">IFERROR(VALUE(M700),"")</f>
        <v>28.5</v>
      </c>
      <c r="AD700" s="0" t="n">
        <f aca="false">IFERROR(VALUE(Q700),"")</f>
        <v>4.9</v>
      </c>
      <c r="AE700" s="0" t="n">
        <f aca="false">IFERROR(VALUE(S700),"")</f>
        <v>4.9</v>
      </c>
      <c r="AF700" s="0" t="n">
        <f aca="false">IF(V700="","",VLOOKUP(V700,Assumptions!$B$6:$C$9,2,FALSE()))</f>
        <v>2</v>
      </c>
      <c r="AG700" s="0" t="n">
        <f aca="false">IF(W700="","",VLOOKUP(W700,Assumptions!$B$6:$C$9,2,FALSE()))</f>
        <v>3</v>
      </c>
      <c r="AH700" s="0" t="n">
        <f aca="false">IF(X700="","",VLOOKUP(X700,Assumptions!$B$6:$C$9,2,FALSE()))</f>
        <v>2</v>
      </c>
      <c r="AI700" s="0" t="n">
        <f aca="false">IF(Y700="","",VLOOKUP(Y700,Assumptions!$B$6:$C$9,2,FALSE()))</f>
        <v>2</v>
      </c>
      <c r="AJ700" s="0" t="n">
        <f aca="false">IF(Z700="","",VLOOKUP(Z700,Assumptions!$B$6:$C$9,2,FALSE()))</f>
        <v>2</v>
      </c>
      <c r="AK700" s="7" t="n">
        <f aca="false">IFERROR(ROUND(AVERAGE(AF700:AJ700),3),"")</f>
        <v>2.2</v>
      </c>
      <c r="AL700" s="7" t="n">
        <f aca="false">IF(OR(AF700="",AJ700=""),"",AJ700-AF700)</f>
        <v>0</v>
      </c>
      <c r="AM700" s="7" t="n">
        <f aca="false">IF(COUNT(AF700:AJ700)&gt;=2,ROUND(_xlfn.STDEV.S(AF700:AJ700),3),"")</f>
        <v>0.447</v>
      </c>
      <c r="AN700" s="7" t="n">
        <f aca="false">ROUND((IF(AF700="",0,AF700)*Assumptions!$F$15)+(IF(AG700="",0,AG700)*Assumptions!$F$16)+(IF(AH700="",0,AH700)*Assumptions!$F$17)+(IF(AI700="",0,AI700)*Assumptions!$F$18)+(IF(AJ700="",0,AJ700)*Assumptions!$F$19),3)</f>
        <v>2.15</v>
      </c>
      <c r="AO700" s="0" t="str">
        <f aca="false">IF(AC700&lt;=20,"",IF(AC700&lt;=Assumptions!$F$6,"20-30",IF(AC700&lt;=Assumptions!$F$7,"30-40",IF(AC700&lt;=Assumptions!$F$8,"40-50",IF(AC700&lt;=Assumptions!$F$9,"50-60",IF(AC700&lt;=Assumptions!$F$10,"60+",""))))))</f>
        <v>20-30</v>
      </c>
      <c r="AP700" s="0" t="str">
        <f aca="false">IFERROR(VLOOKUP(O700,Assumptions!$B$14:$C$26,2,FALSE()),"Other")</f>
        <v>Manager</v>
      </c>
      <c r="AQ700" s="0" t="n">
        <f aca="false">IF(T700="",0,1)</f>
        <v>0</v>
      </c>
      <c r="AR700" s="0" t="n">
        <f aca="false">IF(U700="",0,1)</f>
        <v>0</v>
      </c>
      <c r="AS700" s="8" t="n">
        <f aca="false">IF(AK700="","",IF(MAX($AK$2:$AK$921)=MIN($AK$2:$AK$921),50,ROUND((AK700-MIN($AK$2:$AK$921))/(MAX($AK$2:$AK$921)-MIN($AK$2:$AK$921))*100,2)))</f>
        <v>22.85</v>
      </c>
      <c r="AT700" s="8" t="n">
        <f aca="false">IF(MAX($BC$2:$BC$921)=MIN($BC$2:$BC$921),50,ROUND((BC700-MIN($BC$2:$BC$921))/(MAX($BC$2:$BC$921)-MIN($BC$2:$BC$921))*100,2))</f>
        <v>50</v>
      </c>
      <c r="AU700" s="8" t="n">
        <f aca="false">IF(MAX($BE$2:$BE$921)=MIN($BE$2:$BE$921),50,ROUND((BE700-MIN($BE$2:$BE$921))/(MAX($BE$2:$BE$921)-MIN($BE$2:$BE$921))*100,2))</f>
        <v>74.19</v>
      </c>
      <c r="AV700" s="8" t="n">
        <f aca="false">IF(MAX($AD$2:$AD$921)=MIN($AD$2:$AD$921),50,ROUND((AD700-MIN($AD$2:$AD$921))/(MAX($AD$2:$AD$921)-MIN($AD$2:$AD$921))*100,2))</f>
        <v>13.02</v>
      </c>
      <c r="AW700" s="8" t="n">
        <f aca="false">IF(MAX($AN$2:$AN$921)=MIN($AN$2:$AN$921),50,ROUND((AN700-MIN($AN$2:$AN$921))/(MAX($AN$2:$AN$921)-MIN($AN$2:$AN$921))*100,2))</f>
        <v>53.75</v>
      </c>
      <c r="AX700" s="8" t="n">
        <f aca="false">AQ700*100</f>
        <v>0</v>
      </c>
      <c r="AY700" s="8" t="n">
        <f aca="false">AR700*100</f>
        <v>0</v>
      </c>
      <c r="AZ700" s="8" t="n">
        <f aca="false">IFERROR(ROUND(AS700*Assumptions!$I$6+AW700*Assumptions!$I$7+AT700*Assumptions!$I$8+AU700*Assumptions!$I$9+AV700*Assumptions!$I$10+AX700*Assumptions!$I$11+AY700*Assumptions!$I$12,2),"")</f>
        <v>37.54</v>
      </c>
      <c r="BA700" s="0" t="str">
        <f aca="false">IF(AZ700="","",IF(AZ700&lt;=Assumptions!$I$18,"Below Expectation",IF(AZ700&lt;=Assumptions!$I$19,"Developing",IF(AZ700&lt;=Assumptions!$I$20,"Meets Expectation",IF(AZ700&lt;=Assumptions!$I$21,"Exceeds","Star Performer")))))</f>
        <v>Below Expectation</v>
      </c>
      <c r="BB700" s="0" t="n">
        <f aca="false">IF(AZ700="",0,IF(AZ700&gt;=Assumptions!$I$26,1,0))</f>
        <v>0</v>
      </c>
      <c r="BC700" s="9" t="n">
        <f aca="false">IF(AL700="",2,AL700+2)</f>
        <v>2</v>
      </c>
      <c r="BD700" s="10" t="n">
        <f aca="false">IF(AM700="",ROUND(AVERAGE($AM$2:$AM$921),3),AM700)</f>
        <v>0.447</v>
      </c>
      <c r="BE700" s="9" t="n">
        <f aca="false">1-BD700</f>
        <v>0.553</v>
      </c>
    </row>
    <row r="701" customFormat="false" ht="14.25" hidden="true" customHeight="false" outlineLevel="0" collapsed="false">
      <c r="A701" s="4" t="n">
        <v>492</v>
      </c>
      <c r="B701" s="5" t="n">
        <v>55044279</v>
      </c>
      <c r="C701" s="5" t="s">
        <v>85</v>
      </c>
      <c r="D701" s="5" t="s">
        <v>2424</v>
      </c>
      <c r="E701" s="5" t="s">
        <v>315</v>
      </c>
      <c r="F701" s="5" t="s">
        <v>2251</v>
      </c>
      <c r="G701" s="5" t="s">
        <v>2250</v>
      </c>
      <c r="H701" s="5" t="s">
        <v>2251</v>
      </c>
      <c r="I701" s="5" t="s">
        <v>63</v>
      </c>
      <c r="J701" s="5" t="s">
        <v>76</v>
      </c>
      <c r="K701" s="5" t="s">
        <v>309</v>
      </c>
      <c r="L701" s="6" t="n">
        <v>44515</v>
      </c>
      <c r="M701" s="5" t="s">
        <v>1693</v>
      </c>
      <c r="N701" s="6" t="n">
        <v>36685</v>
      </c>
      <c r="O701" s="5" t="s">
        <v>1264</v>
      </c>
      <c r="P701" s="5" t="s">
        <v>1559</v>
      </c>
      <c r="Q701" s="5" t="s">
        <v>352</v>
      </c>
      <c r="R701" s="5" t="s">
        <v>115</v>
      </c>
      <c r="S701" s="5" t="s">
        <v>352</v>
      </c>
      <c r="T701" s="6"/>
      <c r="U701" s="6"/>
      <c r="V701" s="5" t="s">
        <v>631</v>
      </c>
      <c r="W701" s="5" t="s">
        <v>141</v>
      </c>
      <c r="X701" s="5" t="s">
        <v>631</v>
      </c>
      <c r="Y701" s="5" t="s">
        <v>631</v>
      </c>
      <c r="Z701" s="5" t="s">
        <v>631</v>
      </c>
      <c r="AA701" s="5" t="s">
        <v>2412</v>
      </c>
      <c r="AB701" s="0" t="n">
        <f aca="false">IFERROR(VALUE(R701),0)</f>
        <v>0</v>
      </c>
      <c r="AC701" s="0" t="n">
        <f aca="false">IFERROR(VALUE(M701),"")</f>
        <v>26</v>
      </c>
      <c r="AD701" s="0" t="n">
        <f aca="false">IFERROR(VALUE(Q701),"")</f>
        <v>4.6</v>
      </c>
      <c r="AE701" s="0" t="n">
        <f aca="false">IFERROR(VALUE(S701),"")</f>
        <v>4.6</v>
      </c>
      <c r="AF701" s="0" t="n">
        <f aca="false">IF(V701="","",VLOOKUP(V701,Assumptions!$B$6:$C$9,2,FALSE()))</f>
        <v>2</v>
      </c>
      <c r="AG701" s="0" t="n">
        <f aca="false">IF(W701="","",VLOOKUP(W701,Assumptions!$B$6:$C$9,2,FALSE()))</f>
        <v>3</v>
      </c>
      <c r="AH701" s="0" t="n">
        <f aca="false">IF(X701="","",VLOOKUP(X701,Assumptions!$B$6:$C$9,2,FALSE()))</f>
        <v>2</v>
      </c>
      <c r="AI701" s="0" t="n">
        <f aca="false">IF(Y701="","",VLOOKUP(Y701,Assumptions!$B$6:$C$9,2,FALSE()))</f>
        <v>2</v>
      </c>
      <c r="AJ701" s="0" t="n">
        <f aca="false">IF(Z701="","",VLOOKUP(Z701,Assumptions!$B$6:$C$9,2,FALSE()))</f>
        <v>2</v>
      </c>
      <c r="AK701" s="7" t="n">
        <f aca="false">IFERROR(ROUND(AVERAGE(AF701:AJ701),3),"")</f>
        <v>2.2</v>
      </c>
      <c r="AL701" s="7" t="n">
        <f aca="false">IF(OR(AF701="",AJ701=""),"",AJ701-AF701)</f>
        <v>0</v>
      </c>
      <c r="AM701" s="7" t="n">
        <f aca="false">IF(COUNT(AF701:AJ701)&gt;=2,ROUND(_xlfn.STDEV.S(AF701:AJ701),3),"")</f>
        <v>0.447</v>
      </c>
      <c r="AN701" s="7" t="n">
        <f aca="false">ROUND((IF(AF701="",0,AF701)*Assumptions!$F$15)+(IF(AG701="",0,AG701)*Assumptions!$F$16)+(IF(AH701="",0,AH701)*Assumptions!$F$17)+(IF(AI701="",0,AI701)*Assumptions!$F$18)+(IF(AJ701="",0,AJ701)*Assumptions!$F$19),3)</f>
        <v>2.15</v>
      </c>
      <c r="AO701" s="0" t="str">
        <f aca="false">IF(AC701&lt;=20,"",IF(AC701&lt;=Assumptions!$F$6,"20-30",IF(AC701&lt;=Assumptions!$F$7,"30-40",IF(AC701&lt;=Assumptions!$F$8,"40-50",IF(AC701&lt;=Assumptions!$F$9,"50-60",IF(AC701&lt;=Assumptions!$F$10,"60+",""))))))</f>
        <v>20-30</v>
      </c>
      <c r="AP701" s="0" t="str">
        <f aca="false">IFERROR(VLOOKUP(O701,Assumptions!$B$14:$C$26,2,FALSE()),"Other")</f>
        <v>Manager</v>
      </c>
      <c r="AQ701" s="0" t="n">
        <f aca="false">IF(T701="",0,1)</f>
        <v>0</v>
      </c>
      <c r="AR701" s="0" t="n">
        <f aca="false">IF(U701="",0,1)</f>
        <v>0</v>
      </c>
      <c r="AS701" s="8" t="n">
        <f aca="false">IF(AK701="","",IF(MAX($AK$2:$AK$921)=MIN($AK$2:$AK$921),50,ROUND((AK701-MIN($AK$2:$AK$921))/(MAX($AK$2:$AK$921)-MIN($AK$2:$AK$921))*100,2)))</f>
        <v>22.85</v>
      </c>
      <c r="AT701" s="8" t="n">
        <f aca="false">IF(MAX($BC$2:$BC$921)=MIN($BC$2:$BC$921),50,ROUND((BC701-MIN($BC$2:$BC$921))/(MAX($BC$2:$BC$921)-MIN($BC$2:$BC$921))*100,2))</f>
        <v>50</v>
      </c>
      <c r="AU701" s="8" t="n">
        <f aca="false">IF(MAX($BE$2:$BE$921)=MIN($BE$2:$BE$921),50,ROUND((BE701-MIN($BE$2:$BE$921))/(MAX($BE$2:$BE$921)-MIN($BE$2:$BE$921))*100,2))</f>
        <v>74.19</v>
      </c>
      <c r="AV701" s="8" t="n">
        <f aca="false">IF(MAX($AD$2:$AD$921)=MIN($AD$2:$AD$921),50,ROUND((AD701-MIN($AD$2:$AD$921))/(MAX($AD$2:$AD$921)-MIN($AD$2:$AD$921))*100,2))</f>
        <v>12.2</v>
      </c>
      <c r="AW701" s="8" t="n">
        <f aca="false">IF(MAX($AN$2:$AN$921)=MIN($AN$2:$AN$921),50,ROUND((AN701-MIN($AN$2:$AN$921))/(MAX($AN$2:$AN$921)-MIN($AN$2:$AN$921))*100,2))</f>
        <v>53.75</v>
      </c>
      <c r="AX701" s="8" t="n">
        <f aca="false">AQ701*100</f>
        <v>0</v>
      </c>
      <c r="AY701" s="8" t="n">
        <f aca="false">AR701*100</f>
        <v>0</v>
      </c>
      <c r="AZ701" s="8" t="n">
        <f aca="false">IFERROR(ROUND(AS701*Assumptions!$I$6+AW701*Assumptions!$I$7+AT701*Assumptions!$I$8+AU701*Assumptions!$I$9+AV701*Assumptions!$I$10+AX701*Assumptions!$I$11+AY701*Assumptions!$I$12,2),"")</f>
        <v>37.45</v>
      </c>
      <c r="BA701" s="0" t="str">
        <f aca="false">IF(AZ701="","",IF(AZ701&lt;=Assumptions!$I$18,"Below Expectation",IF(AZ701&lt;=Assumptions!$I$19,"Developing",IF(AZ701&lt;=Assumptions!$I$20,"Meets Expectation",IF(AZ701&lt;=Assumptions!$I$21,"Exceeds","Star Performer")))))</f>
        <v>Below Expectation</v>
      </c>
      <c r="BB701" s="0" t="n">
        <f aca="false">IF(AZ701="",0,IF(AZ701&gt;=Assumptions!$I$26,1,0))</f>
        <v>0</v>
      </c>
      <c r="BC701" s="9" t="n">
        <f aca="false">IF(AL701="",2,AL701+2)</f>
        <v>2</v>
      </c>
      <c r="BD701" s="10" t="n">
        <f aca="false">IF(AM701="",ROUND(AVERAGE($AM$2:$AM$921),3),AM701)</f>
        <v>0.447</v>
      </c>
      <c r="BE701" s="9" t="n">
        <f aca="false">1-BD701</f>
        <v>0.553</v>
      </c>
    </row>
    <row r="702" customFormat="false" ht="14.25" hidden="true" customHeight="false" outlineLevel="0" collapsed="false">
      <c r="A702" s="4" t="n">
        <v>497</v>
      </c>
      <c r="B702" s="5" t="n">
        <v>55044333</v>
      </c>
      <c r="C702" s="5" t="s">
        <v>85</v>
      </c>
      <c r="D702" s="5" t="s">
        <v>2425</v>
      </c>
      <c r="E702" s="5" t="s">
        <v>315</v>
      </c>
      <c r="F702" s="5" t="s">
        <v>2251</v>
      </c>
      <c r="G702" s="5" t="s">
        <v>2250</v>
      </c>
      <c r="H702" s="5" t="s">
        <v>2251</v>
      </c>
      <c r="I702" s="5" t="s">
        <v>63</v>
      </c>
      <c r="J702" s="5" t="s">
        <v>76</v>
      </c>
      <c r="K702" s="5" t="s">
        <v>309</v>
      </c>
      <c r="L702" s="6" t="n">
        <v>44515</v>
      </c>
      <c r="M702" s="5" t="s">
        <v>941</v>
      </c>
      <c r="N702" s="6" t="n">
        <v>36715</v>
      </c>
      <c r="O702" s="5" t="s">
        <v>1264</v>
      </c>
      <c r="P702" s="5" t="s">
        <v>1559</v>
      </c>
      <c r="Q702" s="5" t="s">
        <v>352</v>
      </c>
      <c r="R702" s="5" t="s">
        <v>115</v>
      </c>
      <c r="S702" s="5" t="s">
        <v>352</v>
      </c>
      <c r="T702" s="6"/>
      <c r="U702" s="6"/>
      <c r="V702" s="5" t="s">
        <v>631</v>
      </c>
      <c r="W702" s="5" t="s">
        <v>141</v>
      </c>
      <c r="X702" s="5" t="s">
        <v>631</v>
      </c>
      <c r="Y702" s="5" t="s">
        <v>631</v>
      </c>
      <c r="Z702" s="5" t="s">
        <v>631</v>
      </c>
      <c r="AA702" s="5" t="s">
        <v>2426</v>
      </c>
      <c r="AB702" s="0" t="n">
        <f aca="false">IFERROR(VALUE(R702),0)</f>
        <v>0</v>
      </c>
      <c r="AC702" s="0" t="n">
        <f aca="false">IFERROR(VALUE(M702),"")</f>
        <v>25.11</v>
      </c>
      <c r="AD702" s="0" t="n">
        <f aca="false">IFERROR(VALUE(Q702),"")</f>
        <v>4.6</v>
      </c>
      <c r="AE702" s="0" t="n">
        <f aca="false">IFERROR(VALUE(S702),"")</f>
        <v>4.6</v>
      </c>
      <c r="AF702" s="0" t="n">
        <f aca="false">IF(V702="","",VLOOKUP(V702,Assumptions!$B$6:$C$9,2,FALSE()))</f>
        <v>2</v>
      </c>
      <c r="AG702" s="0" t="n">
        <f aca="false">IF(W702="","",VLOOKUP(W702,Assumptions!$B$6:$C$9,2,FALSE()))</f>
        <v>3</v>
      </c>
      <c r="AH702" s="0" t="n">
        <f aca="false">IF(X702="","",VLOOKUP(X702,Assumptions!$B$6:$C$9,2,FALSE()))</f>
        <v>2</v>
      </c>
      <c r="AI702" s="0" t="n">
        <f aca="false">IF(Y702="","",VLOOKUP(Y702,Assumptions!$B$6:$C$9,2,FALSE()))</f>
        <v>2</v>
      </c>
      <c r="AJ702" s="0" t="n">
        <f aca="false">IF(Z702="","",VLOOKUP(Z702,Assumptions!$B$6:$C$9,2,FALSE()))</f>
        <v>2</v>
      </c>
      <c r="AK702" s="7" t="n">
        <f aca="false">IFERROR(ROUND(AVERAGE(AF702:AJ702),3),"")</f>
        <v>2.2</v>
      </c>
      <c r="AL702" s="7" t="n">
        <f aca="false">IF(OR(AF702="",AJ702=""),"",AJ702-AF702)</f>
        <v>0</v>
      </c>
      <c r="AM702" s="7" t="n">
        <f aca="false">IF(COUNT(AF702:AJ702)&gt;=2,ROUND(_xlfn.STDEV.S(AF702:AJ702),3),"")</f>
        <v>0.447</v>
      </c>
      <c r="AN702" s="7" t="n">
        <f aca="false">ROUND((IF(AF702="",0,AF702)*Assumptions!$F$15)+(IF(AG702="",0,AG702)*Assumptions!$F$16)+(IF(AH702="",0,AH702)*Assumptions!$F$17)+(IF(AI702="",0,AI702)*Assumptions!$F$18)+(IF(AJ702="",0,AJ702)*Assumptions!$F$19),3)</f>
        <v>2.15</v>
      </c>
      <c r="AO702" s="0" t="str">
        <f aca="false">IF(AC702&lt;=20,"",IF(AC702&lt;=Assumptions!$F$6,"20-30",IF(AC702&lt;=Assumptions!$F$7,"30-40",IF(AC702&lt;=Assumptions!$F$8,"40-50",IF(AC702&lt;=Assumptions!$F$9,"50-60",IF(AC702&lt;=Assumptions!$F$10,"60+",""))))))</f>
        <v>20-30</v>
      </c>
      <c r="AP702" s="0" t="str">
        <f aca="false">IFERROR(VLOOKUP(O702,Assumptions!$B$14:$C$26,2,FALSE()),"Other")</f>
        <v>Manager</v>
      </c>
      <c r="AQ702" s="0" t="n">
        <f aca="false">IF(T702="",0,1)</f>
        <v>0</v>
      </c>
      <c r="AR702" s="0" t="n">
        <f aca="false">IF(U702="",0,1)</f>
        <v>0</v>
      </c>
      <c r="AS702" s="8" t="n">
        <f aca="false">IF(AK702="","",IF(MAX($AK$2:$AK$921)=MIN($AK$2:$AK$921),50,ROUND((AK702-MIN($AK$2:$AK$921))/(MAX($AK$2:$AK$921)-MIN($AK$2:$AK$921))*100,2)))</f>
        <v>22.85</v>
      </c>
      <c r="AT702" s="8" t="n">
        <f aca="false">IF(MAX($BC$2:$BC$921)=MIN($BC$2:$BC$921),50,ROUND((BC702-MIN($BC$2:$BC$921))/(MAX($BC$2:$BC$921)-MIN($BC$2:$BC$921))*100,2))</f>
        <v>50</v>
      </c>
      <c r="AU702" s="8" t="n">
        <f aca="false">IF(MAX($BE$2:$BE$921)=MIN($BE$2:$BE$921),50,ROUND((BE702-MIN($BE$2:$BE$921))/(MAX($BE$2:$BE$921)-MIN($BE$2:$BE$921))*100,2))</f>
        <v>74.19</v>
      </c>
      <c r="AV702" s="8" t="n">
        <f aca="false">IF(MAX($AD$2:$AD$921)=MIN($AD$2:$AD$921),50,ROUND((AD702-MIN($AD$2:$AD$921))/(MAX($AD$2:$AD$921)-MIN($AD$2:$AD$921))*100,2))</f>
        <v>12.2</v>
      </c>
      <c r="AW702" s="8" t="n">
        <f aca="false">IF(MAX($AN$2:$AN$921)=MIN($AN$2:$AN$921),50,ROUND((AN702-MIN($AN$2:$AN$921))/(MAX($AN$2:$AN$921)-MIN($AN$2:$AN$921))*100,2))</f>
        <v>53.75</v>
      </c>
      <c r="AX702" s="8" t="n">
        <f aca="false">AQ702*100</f>
        <v>0</v>
      </c>
      <c r="AY702" s="8" t="n">
        <f aca="false">AR702*100</f>
        <v>0</v>
      </c>
      <c r="AZ702" s="8" t="n">
        <f aca="false">IFERROR(ROUND(AS702*Assumptions!$I$6+AW702*Assumptions!$I$7+AT702*Assumptions!$I$8+AU702*Assumptions!$I$9+AV702*Assumptions!$I$10+AX702*Assumptions!$I$11+AY702*Assumptions!$I$12,2),"")</f>
        <v>37.45</v>
      </c>
      <c r="BA702" s="0" t="str">
        <f aca="false">IF(AZ702="","",IF(AZ702&lt;=Assumptions!$I$18,"Below Expectation",IF(AZ702&lt;=Assumptions!$I$19,"Developing",IF(AZ702&lt;=Assumptions!$I$20,"Meets Expectation",IF(AZ702&lt;=Assumptions!$I$21,"Exceeds","Star Performer")))))</f>
        <v>Below Expectation</v>
      </c>
      <c r="BB702" s="0" t="n">
        <f aca="false">IF(AZ702="",0,IF(AZ702&gt;=Assumptions!$I$26,1,0))</f>
        <v>0</v>
      </c>
      <c r="BC702" s="9" t="n">
        <f aca="false">IF(AL702="",2,AL702+2)</f>
        <v>2</v>
      </c>
      <c r="BD702" s="10" t="n">
        <f aca="false">IF(AM702="",ROUND(AVERAGE($AM$2:$AM$921),3),AM702)</f>
        <v>0.447</v>
      </c>
      <c r="BE702" s="9" t="n">
        <f aca="false">1-BD702</f>
        <v>0.553</v>
      </c>
    </row>
    <row r="703" customFormat="false" ht="14.25" hidden="true" customHeight="false" outlineLevel="0" collapsed="false">
      <c r="A703" s="4" t="n">
        <v>515</v>
      </c>
      <c r="B703" s="5" t="n">
        <v>55045291</v>
      </c>
      <c r="C703" s="5" t="s">
        <v>85</v>
      </c>
      <c r="D703" s="5" t="s">
        <v>2427</v>
      </c>
      <c r="E703" s="5" t="s">
        <v>315</v>
      </c>
      <c r="F703" s="5" t="s">
        <v>2251</v>
      </c>
      <c r="G703" s="5" t="s">
        <v>2250</v>
      </c>
      <c r="H703" s="5" t="s">
        <v>2251</v>
      </c>
      <c r="I703" s="5" t="s">
        <v>63</v>
      </c>
      <c r="J703" s="5" t="s">
        <v>76</v>
      </c>
      <c r="K703" s="5" t="s">
        <v>309</v>
      </c>
      <c r="L703" s="6" t="n">
        <v>44543</v>
      </c>
      <c r="M703" s="5" t="s">
        <v>124</v>
      </c>
      <c r="N703" s="6" t="n">
        <v>36813</v>
      </c>
      <c r="O703" s="5" t="s">
        <v>1264</v>
      </c>
      <c r="P703" s="5" t="s">
        <v>1559</v>
      </c>
      <c r="Q703" s="5" t="s">
        <v>352</v>
      </c>
      <c r="R703" s="5" t="s">
        <v>115</v>
      </c>
      <c r="S703" s="5" t="s">
        <v>352</v>
      </c>
      <c r="T703" s="6"/>
      <c r="U703" s="6"/>
      <c r="V703" s="5" t="s">
        <v>631</v>
      </c>
      <c r="W703" s="5" t="s">
        <v>141</v>
      </c>
      <c r="X703" s="5" t="s">
        <v>631</v>
      </c>
      <c r="Y703" s="5" t="s">
        <v>631</v>
      </c>
      <c r="Z703" s="5" t="s">
        <v>631</v>
      </c>
      <c r="AA703" s="5" t="s">
        <v>2412</v>
      </c>
      <c r="AB703" s="0" t="n">
        <f aca="false">IFERROR(VALUE(R703),0)</f>
        <v>0</v>
      </c>
      <c r="AC703" s="0" t="n">
        <f aca="false">IFERROR(VALUE(M703),"")</f>
        <v>25.7</v>
      </c>
      <c r="AD703" s="0" t="n">
        <f aca="false">IFERROR(VALUE(Q703),"")</f>
        <v>4.6</v>
      </c>
      <c r="AE703" s="0" t="n">
        <f aca="false">IFERROR(VALUE(S703),"")</f>
        <v>4.6</v>
      </c>
      <c r="AF703" s="0" t="n">
        <f aca="false">IF(V703="","",VLOOKUP(V703,Assumptions!$B$6:$C$9,2,FALSE()))</f>
        <v>2</v>
      </c>
      <c r="AG703" s="0" t="n">
        <f aca="false">IF(W703="","",VLOOKUP(W703,Assumptions!$B$6:$C$9,2,FALSE()))</f>
        <v>3</v>
      </c>
      <c r="AH703" s="0" t="n">
        <f aca="false">IF(X703="","",VLOOKUP(X703,Assumptions!$B$6:$C$9,2,FALSE()))</f>
        <v>2</v>
      </c>
      <c r="AI703" s="0" t="n">
        <f aca="false">IF(Y703="","",VLOOKUP(Y703,Assumptions!$B$6:$C$9,2,FALSE()))</f>
        <v>2</v>
      </c>
      <c r="AJ703" s="0" t="n">
        <f aca="false">IF(Z703="","",VLOOKUP(Z703,Assumptions!$B$6:$C$9,2,FALSE()))</f>
        <v>2</v>
      </c>
      <c r="AK703" s="7" t="n">
        <f aca="false">IFERROR(ROUND(AVERAGE(AF703:AJ703),3),"")</f>
        <v>2.2</v>
      </c>
      <c r="AL703" s="7" t="n">
        <f aca="false">IF(OR(AF703="",AJ703=""),"",AJ703-AF703)</f>
        <v>0</v>
      </c>
      <c r="AM703" s="7" t="n">
        <f aca="false">IF(COUNT(AF703:AJ703)&gt;=2,ROUND(_xlfn.STDEV.S(AF703:AJ703),3),"")</f>
        <v>0.447</v>
      </c>
      <c r="AN703" s="7" t="n">
        <f aca="false">ROUND((IF(AF703="",0,AF703)*Assumptions!$F$15)+(IF(AG703="",0,AG703)*Assumptions!$F$16)+(IF(AH703="",0,AH703)*Assumptions!$F$17)+(IF(AI703="",0,AI703)*Assumptions!$F$18)+(IF(AJ703="",0,AJ703)*Assumptions!$F$19),3)</f>
        <v>2.15</v>
      </c>
      <c r="AO703" s="0" t="str">
        <f aca="false">IF(AC703&lt;=20,"",IF(AC703&lt;=Assumptions!$F$6,"20-30",IF(AC703&lt;=Assumptions!$F$7,"30-40",IF(AC703&lt;=Assumptions!$F$8,"40-50",IF(AC703&lt;=Assumptions!$F$9,"50-60",IF(AC703&lt;=Assumptions!$F$10,"60+",""))))))</f>
        <v>20-30</v>
      </c>
      <c r="AP703" s="0" t="str">
        <f aca="false">IFERROR(VLOOKUP(O703,Assumptions!$B$14:$C$26,2,FALSE()),"Other")</f>
        <v>Manager</v>
      </c>
      <c r="AQ703" s="0" t="n">
        <f aca="false">IF(T703="",0,1)</f>
        <v>0</v>
      </c>
      <c r="AR703" s="0" t="n">
        <f aca="false">IF(U703="",0,1)</f>
        <v>0</v>
      </c>
      <c r="AS703" s="8" t="n">
        <f aca="false">IF(AK703="","",IF(MAX($AK$2:$AK$921)=MIN($AK$2:$AK$921),50,ROUND((AK703-MIN($AK$2:$AK$921))/(MAX($AK$2:$AK$921)-MIN($AK$2:$AK$921))*100,2)))</f>
        <v>22.85</v>
      </c>
      <c r="AT703" s="8" t="n">
        <f aca="false">IF(MAX($BC$2:$BC$921)=MIN($BC$2:$BC$921),50,ROUND((BC703-MIN($BC$2:$BC$921))/(MAX($BC$2:$BC$921)-MIN($BC$2:$BC$921))*100,2))</f>
        <v>50</v>
      </c>
      <c r="AU703" s="8" t="n">
        <f aca="false">IF(MAX($BE$2:$BE$921)=MIN($BE$2:$BE$921),50,ROUND((BE703-MIN($BE$2:$BE$921))/(MAX($BE$2:$BE$921)-MIN($BE$2:$BE$921))*100,2))</f>
        <v>74.19</v>
      </c>
      <c r="AV703" s="8" t="n">
        <f aca="false">IF(MAX($AD$2:$AD$921)=MIN($AD$2:$AD$921),50,ROUND((AD703-MIN($AD$2:$AD$921))/(MAX($AD$2:$AD$921)-MIN($AD$2:$AD$921))*100,2))</f>
        <v>12.2</v>
      </c>
      <c r="AW703" s="8" t="n">
        <f aca="false">IF(MAX($AN$2:$AN$921)=MIN($AN$2:$AN$921),50,ROUND((AN703-MIN($AN$2:$AN$921))/(MAX($AN$2:$AN$921)-MIN($AN$2:$AN$921))*100,2))</f>
        <v>53.75</v>
      </c>
      <c r="AX703" s="8" t="n">
        <f aca="false">AQ703*100</f>
        <v>0</v>
      </c>
      <c r="AY703" s="8" t="n">
        <f aca="false">AR703*100</f>
        <v>0</v>
      </c>
      <c r="AZ703" s="8" t="n">
        <f aca="false">IFERROR(ROUND(AS703*Assumptions!$I$6+AW703*Assumptions!$I$7+AT703*Assumptions!$I$8+AU703*Assumptions!$I$9+AV703*Assumptions!$I$10+AX703*Assumptions!$I$11+AY703*Assumptions!$I$12,2),"")</f>
        <v>37.45</v>
      </c>
      <c r="BA703" s="0" t="str">
        <f aca="false">IF(AZ703="","",IF(AZ703&lt;=Assumptions!$I$18,"Below Expectation",IF(AZ703&lt;=Assumptions!$I$19,"Developing",IF(AZ703&lt;=Assumptions!$I$20,"Meets Expectation",IF(AZ703&lt;=Assumptions!$I$21,"Exceeds","Star Performer")))))</f>
        <v>Below Expectation</v>
      </c>
      <c r="BB703" s="0" t="n">
        <f aca="false">IF(AZ703="",0,IF(AZ703&gt;=Assumptions!$I$26,1,0))</f>
        <v>0</v>
      </c>
      <c r="BC703" s="9" t="n">
        <f aca="false">IF(AL703="",2,AL703+2)</f>
        <v>2</v>
      </c>
      <c r="BD703" s="10" t="n">
        <f aca="false">IF(AM703="",ROUND(AVERAGE($AM$2:$AM$921),3),AM703)</f>
        <v>0.447</v>
      </c>
      <c r="BE703" s="9" t="n">
        <f aca="false">1-BD703</f>
        <v>0.553</v>
      </c>
    </row>
    <row r="704" customFormat="false" ht="14.25" hidden="true" customHeight="false" outlineLevel="0" collapsed="false">
      <c r="A704" s="4" t="n">
        <v>510</v>
      </c>
      <c r="B704" s="5" t="n">
        <v>55045266</v>
      </c>
      <c r="C704" s="5" t="s">
        <v>85</v>
      </c>
      <c r="D704" s="5" t="s">
        <v>2428</v>
      </c>
      <c r="E704" s="5" t="s">
        <v>315</v>
      </c>
      <c r="F704" s="5" t="s">
        <v>2251</v>
      </c>
      <c r="G704" s="5" t="s">
        <v>2250</v>
      </c>
      <c r="H704" s="5" t="s">
        <v>2251</v>
      </c>
      <c r="I704" s="5" t="s">
        <v>63</v>
      </c>
      <c r="J704" s="5" t="s">
        <v>76</v>
      </c>
      <c r="K704" s="5" t="s">
        <v>309</v>
      </c>
      <c r="L704" s="6" t="n">
        <v>44543</v>
      </c>
      <c r="M704" s="5" t="s">
        <v>532</v>
      </c>
      <c r="N704" s="6" t="n">
        <v>37082</v>
      </c>
      <c r="O704" s="5" t="s">
        <v>1264</v>
      </c>
      <c r="P704" s="5" t="s">
        <v>1559</v>
      </c>
      <c r="Q704" s="5" t="s">
        <v>81</v>
      </c>
      <c r="R704" s="5" t="s">
        <v>115</v>
      </c>
      <c r="S704" s="5" t="s">
        <v>81</v>
      </c>
      <c r="T704" s="6"/>
      <c r="U704" s="6"/>
      <c r="V704" s="5" t="s">
        <v>631</v>
      </c>
      <c r="W704" s="5" t="s">
        <v>141</v>
      </c>
      <c r="X704" s="5" t="s">
        <v>631</v>
      </c>
      <c r="Y704" s="5" t="s">
        <v>631</v>
      </c>
      <c r="Z704" s="5" t="s">
        <v>631</v>
      </c>
      <c r="AA704" s="5" t="s">
        <v>2429</v>
      </c>
      <c r="AB704" s="0" t="n">
        <f aca="false">IFERROR(VALUE(R704),0)</f>
        <v>0</v>
      </c>
      <c r="AC704" s="0" t="n">
        <f aca="false">IFERROR(VALUE(M704),"")</f>
        <v>24.1</v>
      </c>
      <c r="AD704" s="0" t="n">
        <f aca="false">IFERROR(VALUE(Q704),"")</f>
        <v>4.5</v>
      </c>
      <c r="AE704" s="0" t="n">
        <f aca="false">IFERROR(VALUE(S704),"")</f>
        <v>4.5</v>
      </c>
      <c r="AF704" s="0" t="n">
        <f aca="false">IF(V704="","",VLOOKUP(V704,Assumptions!$B$6:$C$9,2,FALSE()))</f>
        <v>2</v>
      </c>
      <c r="AG704" s="0" t="n">
        <f aca="false">IF(W704="","",VLOOKUP(W704,Assumptions!$B$6:$C$9,2,FALSE()))</f>
        <v>3</v>
      </c>
      <c r="AH704" s="0" t="n">
        <f aca="false">IF(X704="","",VLOOKUP(X704,Assumptions!$B$6:$C$9,2,FALSE()))</f>
        <v>2</v>
      </c>
      <c r="AI704" s="0" t="n">
        <f aca="false">IF(Y704="","",VLOOKUP(Y704,Assumptions!$B$6:$C$9,2,FALSE()))</f>
        <v>2</v>
      </c>
      <c r="AJ704" s="0" t="n">
        <f aca="false">IF(Z704="","",VLOOKUP(Z704,Assumptions!$B$6:$C$9,2,FALSE()))</f>
        <v>2</v>
      </c>
      <c r="AK704" s="7" t="n">
        <f aca="false">IFERROR(ROUND(AVERAGE(AF704:AJ704),3),"")</f>
        <v>2.2</v>
      </c>
      <c r="AL704" s="7" t="n">
        <f aca="false">IF(OR(AF704="",AJ704=""),"",AJ704-AF704)</f>
        <v>0</v>
      </c>
      <c r="AM704" s="7" t="n">
        <f aca="false">IF(COUNT(AF704:AJ704)&gt;=2,ROUND(_xlfn.STDEV.S(AF704:AJ704),3),"")</f>
        <v>0.447</v>
      </c>
      <c r="AN704" s="7" t="n">
        <f aca="false">ROUND((IF(AF704="",0,AF704)*Assumptions!$F$15)+(IF(AG704="",0,AG704)*Assumptions!$F$16)+(IF(AH704="",0,AH704)*Assumptions!$F$17)+(IF(AI704="",0,AI704)*Assumptions!$F$18)+(IF(AJ704="",0,AJ704)*Assumptions!$F$19),3)</f>
        <v>2.15</v>
      </c>
      <c r="AO704" s="0" t="str">
        <f aca="false">IF(AC704&lt;=20,"",IF(AC704&lt;=Assumptions!$F$6,"20-30",IF(AC704&lt;=Assumptions!$F$7,"30-40",IF(AC704&lt;=Assumptions!$F$8,"40-50",IF(AC704&lt;=Assumptions!$F$9,"50-60",IF(AC704&lt;=Assumptions!$F$10,"60+",""))))))</f>
        <v>20-30</v>
      </c>
      <c r="AP704" s="0" t="str">
        <f aca="false">IFERROR(VLOOKUP(O704,Assumptions!$B$14:$C$26,2,FALSE()),"Other")</f>
        <v>Manager</v>
      </c>
      <c r="AQ704" s="0" t="n">
        <f aca="false">IF(T704="",0,1)</f>
        <v>0</v>
      </c>
      <c r="AR704" s="0" t="n">
        <f aca="false">IF(U704="",0,1)</f>
        <v>0</v>
      </c>
      <c r="AS704" s="8" t="n">
        <f aca="false">IF(AK704="","",IF(MAX($AK$2:$AK$921)=MIN($AK$2:$AK$921),50,ROUND((AK704-MIN($AK$2:$AK$921))/(MAX($AK$2:$AK$921)-MIN($AK$2:$AK$921))*100,2)))</f>
        <v>22.85</v>
      </c>
      <c r="AT704" s="8" t="n">
        <f aca="false">IF(MAX($BC$2:$BC$921)=MIN($BC$2:$BC$921),50,ROUND((BC704-MIN($BC$2:$BC$921))/(MAX($BC$2:$BC$921)-MIN($BC$2:$BC$921))*100,2))</f>
        <v>50</v>
      </c>
      <c r="AU704" s="8" t="n">
        <f aca="false">IF(MAX($BE$2:$BE$921)=MIN($BE$2:$BE$921),50,ROUND((BE704-MIN($BE$2:$BE$921))/(MAX($BE$2:$BE$921)-MIN($BE$2:$BE$921))*100,2))</f>
        <v>74.19</v>
      </c>
      <c r="AV704" s="8" t="n">
        <f aca="false">IF(MAX($AD$2:$AD$921)=MIN($AD$2:$AD$921),50,ROUND((AD704-MIN($AD$2:$AD$921))/(MAX($AD$2:$AD$921)-MIN($AD$2:$AD$921))*100,2))</f>
        <v>11.93</v>
      </c>
      <c r="AW704" s="8" t="n">
        <f aca="false">IF(MAX($AN$2:$AN$921)=MIN($AN$2:$AN$921),50,ROUND((AN704-MIN($AN$2:$AN$921))/(MAX($AN$2:$AN$921)-MIN($AN$2:$AN$921))*100,2))</f>
        <v>53.75</v>
      </c>
      <c r="AX704" s="8" t="n">
        <f aca="false">AQ704*100</f>
        <v>0</v>
      </c>
      <c r="AY704" s="8" t="n">
        <f aca="false">AR704*100</f>
        <v>0</v>
      </c>
      <c r="AZ704" s="8" t="n">
        <f aca="false">IFERROR(ROUND(AS704*Assumptions!$I$6+AW704*Assumptions!$I$7+AT704*Assumptions!$I$8+AU704*Assumptions!$I$9+AV704*Assumptions!$I$10+AX704*Assumptions!$I$11+AY704*Assumptions!$I$12,2),"")</f>
        <v>37.43</v>
      </c>
      <c r="BA704" s="0" t="str">
        <f aca="false">IF(AZ704="","",IF(AZ704&lt;=Assumptions!$I$18,"Below Expectation",IF(AZ704&lt;=Assumptions!$I$19,"Developing",IF(AZ704&lt;=Assumptions!$I$20,"Meets Expectation",IF(AZ704&lt;=Assumptions!$I$21,"Exceeds","Star Performer")))))</f>
        <v>Below Expectation</v>
      </c>
      <c r="BB704" s="0" t="n">
        <f aca="false">IF(AZ704="",0,IF(AZ704&gt;=Assumptions!$I$26,1,0))</f>
        <v>0</v>
      </c>
      <c r="BC704" s="9" t="n">
        <f aca="false">IF(AL704="",2,AL704+2)</f>
        <v>2</v>
      </c>
      <c r="BD704" s="10" t="n">
        <f aca="false">IF(AM704="",ROUND(AVERAGE($AM$2:$AM$921),3),AM704)</f>
        <v>0.447</v>
      </c>
      <c r="BE704" s="9" t="n">
        <f aca="false">1-BD704</f>
        <v>0.553</v>
      </c>
    </row>
    <row r="705" customFormat="false" ht="14.25" hidden="true" customHeight="false" outlineLevel="0" collapsed="false">
      <c r="A705" s="4" t="n">
        <v>512</v>
      </c>
      <c r="B705" s="5" t="n">
        <v>55045282</v>
      </c>
      <c r="C705" s="5" t="s">
        <v>85</v>
      </c>
      <c r="D705" s="5" t="s">
        <v>2430</v>
      </c>
      <c r="E705" s="5" t="s">
        <v>315</v>
      </c>
      <c r="F705" s="5" t="s">
        <v>2251</v>
      </c>
      <c r="G705" s="5" t="s">
        <v>2250</v>
      </c>
      <c r="H705" s="5" t="s">
        <v>2251</v>
      </c>
      <c r="I705" s="5" t="s">
        <v>63</v>
      </c>
      <c r="J705" s="5" t="s">
        <v>76</v>
      </c>
      <c r="K705" s="5" t="s">
        <v>309</v>
      </c>
      <c r="L705" s="6" t="n">
        <v>44543</v>
      </c>
      <c r="M705" s="5" t="s">
        <v>2337</v>
      </c>
      <c r="N705" s="6" t="n">
        <v>36884</v>
      </c>
      <c r="O705" s="5" t="s">
        <v>1264</v>
      </c>
      <c r="P705" s="5" t="s">
        <v>1559</v>
      </c>
      <c r="Q705" s="5" t="s">
        <v>81</v>
      </c>
      <c r="R705" s="5" t="s">
        <v>115</v>
      </c>
      <c r="S705" s="5" t="s">
        <v>81</v>
      </c>
      <c r="T705" s="6"/>
      <c r="U705" s="6"/>
      <c r="V705" s="5" t="s">
        <v>631</v>
      </c>
      <c r="W705" s="5" t="s">
        <v>141</v>
      </c>
      <c r="X705" s="5" t="s">
        <v>631</v>
      </c>
      <c r="Y705" s="5" t="s">
        <v>631</v>
      </c>
      <c r="Z705" s="5" t="s">
        <v>631</v>
      </c>
      <c r="AA705" s="5" t="s">
        <v>2431</v>
      </c>
      <c r="AB705" s="0" t="n">
        <f aca="false">IFERROR(VALUE(R705),0)</f>
        <v>0</v>
      </c>
      <c r="AC705" s="0" t="n">
        <f aca="false">IFERROR(VALUE(M705),"")</f>
        <v>25.5</v>
      </c>
      <c r="AD705" s="0" t="n">
        <f aca="false">IFERROR(VALUE(Q705),"")</f>
        <v>4.5</v>
      </c>
      <c r="AE705" s="0" t="n">
        <f aca="false">IFERROR(VALUE(S705),"")</f>
        <v>4.5</v>
      </c>
      <c r="AF705" s="0" t="n">
        <f aca="false">IF(V705="","",VLOOKUP(V705,Assumptions!$B$6:$C$9,2,FALSE()))</f>
        <v>2</v>
      </c>
      <c r="AG705" s="0" t="n">
        <f aca="false">IF(W705="","",VLOOKUP(W705,Assumptions!$B$6:$C$9,2,FALSE()))</f>
        <v>3</v>
      </c>
      <c r="AH705" s="0" t="n">
        <f aca="false">IF(X705="","",VLOOKUP(X705,Assumptions!$B$6:$C$9,2,FALSE()))</f>
        <v>2</v>
      </c>
      <c r="AI705" s="0" t="n">
        <f aca="false">IF(Y705="","",VLOOKUP(Y705,Assumptions!$B$6:$C$9,2,FALSE()))</f>
        <v>2</v>
      </c>
      <c r="AJ705" s="0" t="n">
        <f aca="false">IF(Z705="","",VLOOKUP(Z705,Assumptions!$B$6:$C$9,2,FALSE()))</f>
        <v>2</v>
      </c>
      <c r="AK705" s="7" t="n">
        <f aca="false">IFERROR(ROUND(AVERAGE(AF705:AJ705),3),"")</f>
        <v>2.2</v>
      </c>
      <c r="AL705" s="7" t="n">
        <f aca="false">IF(OR(AF705="",AJ705=""),"",AJ705-AF705)</f>
        <v>0</v>
      </c>
      <c r="AM705" s="7" t="n">
        <f aca="false">IF(COUNT(AF705:AJ705)&gt;=2,ROUND(_xlfn.STDEV.S(AF705:AJ705),3),"")</f>
        <v>0.447</v>
      </c>
      <c r="AN705" s="7" t="n">
        <f aca="false">ROUND((IF(AF705="",0,AF705)*Assumptions!$F$15)+(IF(AG705="",0,AG705)*Assumptions!$F$16)+(IF(AH705="",0,AH705)*Assumptions!$F$17)+(IF(AI705="",0,AI705)*Assumptions!$F$18)+(IF(AJ705="",0,AJ705)*Assumptions!$F$19),3)</f>
        <v>2.15</v>
      </c>
      <c r="AO705" s="0" t="str">
        <f aca="false">IF(AC705&lt;=20,"",IF(AC705&lt;=Assumptions!$F$6,"20-30",IF(AC705&lt;=Assumptions!$F$7,"30-40",IF(AC705&lt;=Assumptions!$F$8,"40-50",IF(AC705&lt;=Assumptions!$F$9,"50-60",IF(AC705&lt;=Assumptions!$F$10,"60+",""))))))</f>
        <v>20-30</v>
      </c>
      <c r="AP705" s="0" t="str">
        <f aca="false">IFERROR(VLOOKUP(O705,Assumptions!$B$14:$C$26,2,FALSE()),"Other")</f>
        <v>Manager</v>
      </c>
      <c r="AQ705" s="0" t="n">
        <f aca="false">IF(T705="",0,1)</f>
        <v>0</v>
      </c>
      <c r="AR705" s="0" t="n">
        <f aca="false">IF(U705="",0,1)</f>
        <v>0</v>
      </c>
      <c r="AS705" s="8" t="n">
        <f aca="false">IF(AK705="","",IF(MAX($AK$2:$AK$921)=MIN($AK$2:$AK$921),50,ROUND((AK705-MIN($AK$2:$AK$921))/(MAX($AK$2:$AK$921)-MIN($AK$2:$AK$921))*100,2)))</f>
        <v>22.85</v>
      </c>
      <c r="AT705" s="8" t="n">
        <f aca="false">IF(MAX($BC$2:$BC$921)=MIN($BC$2:$BC$921),50,ROUND((BC705-MIN($BC$2:$BC$921))/(MAX($BC$2:$BC$921)-MIN($BC$2:$BC$921))*100,2))</f>
        <v>50</v>
      </c>
      <c r="AU705" s="8" t="n">
        <f aca="false">IF(MAX($BE$2:$BE$921)=MIN($BE$2:$BE$921),50,ROUND((BE705-MIN($BE$2:$BE$921))/(MAX($BE$2:$BE$921)-MIN($BE$2:$BE$921))*100,2))</f>
        <v>74.19</v>
      </c>
      <c r="AV705" s="8" t="n">
        <f aca="false">IF(MAX($AD$2:$AD$921)=MIN($AD$2:$AD$921),50,ROUND((AD705-MIN($AD$2:$AD$921))/(MAX($AD$2:$AD$921)-MIN($AD$2:$AD$921))*100,2))</f>
        <v>11.93</v>
      </c>
      <c r="AW705" s="8" t="n">
        <f aca="false">IF(MAX($AN$2:$AN$921)=MIN($AN$2:$AN$921),50,ROUND((AN705-MIN($AN$2:$AN$921))/(MAX($AN$2:$AN$921)-MIN($AN$2:$AN$921))*100,2))</f>
        <v>53.75</v>
      </c>
      <c r="AX705" s="8" t="n">
        <f aca="false">AQ705*100</f>
        <v>0</v>
      </c>
      <c r="AY705" s="8" t="n">
        <f aca="false">AR705*100</f>
        <v>0</v>
      </c>
      <c r="AZ705" s="8" t="n">
        <f aca="false">IFERROR(ROUND(AS705*Assumptions!$I$6+AW705*Assumptions!$I$7+AT705*Assumptions!$I$8+AU705*Assumptions!$I$9+AV705*Assumptions!$I$10+AX705*Assumptions!$I$11+AY705*Assumptions!$I$12,2),"")</f>
        <v>37.43</v>
      </c>
      <c r="BA705" s="0" t="str">
        <f aca="false">IF(AZ705="","",IF(AZ705&lt;=Assumptions!$I$18,"Below Expectation",IF(AZ705&lt;=Assumptions!$I$19,"Developing",IF(AZ705&lt;=Assumptions!$I$20,"Meets Expectation",IF(AZ705&lt;=Assumptions!$I$21,"Exceeds","Star Performer")))))</f>
        <v>Below Expectation</v>
      </c>
      <c r="BB705" s="0" t="n">
        <f aca="false">IF(AZ705="",0,IF(AZ705&gt;=Assumptions!$I$26,1,0))</f>
        <v>0</v>
      </c>
      <c r="BC705" s="9" t="n">
        <f aca="false">IF(AL705="",2,AL705+2)</f>
        <v>2</v>
      </c>
      <c r="BD705" s="10" t="n">
        <f aca="false">IF(AM705="",ROUND(AVERAGE($AM$2:$AM$921),3),AM705)</f>
        <v>0.447</v>
      </c>
      <c r="BE705" s="9" t="n">
        <f aca="false">1-BD705</f>
        <v>0.553</v>
      </c>
    </row>
    <row r="706" customFormat="false" ht="14.25" hidden="true" customHeight="false" outlineLevel="0" collapsed="false">
      <c r="A706" s="4" t="n">
        <v>516</v>
      </c>
      <c r="B706" s="5" t="n">
        <v>55045296</v>
      </c>
      <c r="C706" s="5" t="s">
        <v>85</v>
      </c>
      <c r="D706" s="5" t="s">
        <v>2432</v>
      </c>
      <c r="E706" s="5" t="s">
        <v>315</v>
      </c>
      <c r="F706" s="5" t="s">
        <v>2251</v>
      </c>
      <c r="G706" s="5" t="s">
        <v>2250</v>
      </c>
      <c r="H706" s="5" t="s">
        <v>2251</v>
      </c>
      <c r="I706" s="5" t="s">
        <v>63</v>
      </c>
      <c r="J706" s="5" t="s">
        <v>76</v>
      </c>
      <c r="K706" s="5" t="s">
        <v>309</v>
      </c>
      <c r="L706" s="6" t="n">
        <v>44543</v>
      </c>
      <c r="M706" s="5" t="s">
        <v>1726</v>
      </c>
      <c r="N706" s="6" t="n">
        <v>36716</v>
      </c>
      <c r="O706" s="5" t="s">
        <v>1264</v>
      </c>
      <c r="P706" s="5" t="s">
        <v>1559</v>
      </c>
      <c r="Q706" s="5" t="s">
        <v>81</v>
      </c>
      <c r="R706" s="5" t="s">
        <v>115</v>
      </c>
      <c r="S706" s="5" t="s">
        <v>81</v>
      </c>
      <c r="T706" s="6"/>
      <c r="U706" s="6"/>
      <c r="V706" s="5" t="s">
        <v>631</v>
      </c>
      <c r="W706" s="5" t="s">
        <v>141</v>
      </c>
      <c r="X706" s="5" t="s">
        <v>631</v>
      </c>
      <c r="Y706" s="5" t="s">
        <v>631</v>
      </c>
      <c r="Z706" s="5" t="s">
        <v>631</v>
      </c>
      <c r="AA706" s="5" t="s">
        <v>2433</v>
      </c>
      <c r="AB706" s="0" t="n">
        <f aca="false">IFERROR(VALUE(R706),0)</f>
        <v>0</v>
      </c>
      <c r="AC706" s="0" t="n">
        <f aca="false">IFERROR(VALUE(M706),"")</f>
        <v>25.1</v>
      </c>
      <c r="AD706" s="0" t="n">
        <f aca="false">IFERROR(VALUE(Q706),"")</f>
        <v>4.5</v>
      </c>
      <c r="AE706" s="0" t="n">
        <f aca="false">IFERROR(VALUE(S706),"")</f>
        <v>4.5</v>
      </c>
      <c r="AF706" s="0" t="n">
        <f aca="false">IF(V706="","",VLOOKUP(V706,Assumptions!$B$6:$C$9,2,FALSE()))</f>
        <v>2</v>
      </c>
      <c r="AG706" s="0" t="n">
        <f aca="false">IF(W706="","",VLOOKUP(W706,Assumptions!$B$6:$C$9,2,FALSE()))</f>
        <v>3</v>
      </c>
      <c r="AH706" s="0" t="n">
        <f aca="false">IF(X706="","",VLOOKUP(X706,Assumptions!$B$6:$C$9,2,FALSE()))</f>
        <v>2</v>
      </c>
      <c r="AI706" s="0" t="n">
        <f aca="false">IF(Y706="","",VLOOKUP(Y706,Assumptions!$B$6:$C$9,2,FALSE()))</f>
        <v>2</v>
      </c>
      <c r="AJ706" s="0" t="n">
        <f aca="false">IF(Z706="","",VLOOKUP(Z706,Assumptions!$B$6:$C$9,2,FALSE()))</f>
        <v>2</v>
      </c>
      <c r="AK706" s="7" t="n">
        <f aca="false">IFERROR(ROUND(AVERAGE(AF706:AJ706),3),"")</f>
        <v>2.2</v>
      </c>
      <c r="AL706" s="7" t="n">
        <f aca="false">IF(OR(AF706="",AJ706=""),"",AJ706-AF706)</f>
        <v>0</v>
      </c>
      <c r="AM706" s="7" t="n">
        <f aca="false">IF(COUNT(AF706:AJ706)&gt;=2,ROUND(_xlfn.STDEV.S(AF706:AJ706),3),"")</f>
        <v>0.447</v>
      </c>
      <c r="AN706" s="7" t="n">
        <f aca="false">ROUND((IF(AF706="",0,AF706)*Assumptions!$F$15)+(IF(AG706="",0,AG706)*Assumptions!$F$16)+(IF(AH706="",0,AH706)*Assumptions!$F$17)+(IF(AI706="",0,AI706)*Assumptions!$F$18)+(IF(AJ706="",0,AJ706)*Assumptions!$F$19),3)</f>
        <v>2.15</v>
      </c>
      <c r="AO706" s="0" t="str">
        <f aca="false">IF(AC706&lt;=20,"",IF(AC706&lt;=Assumptions!$F$6,"20-30",IF(AC706&lt;=Assumptions!$F$7,"30-40",IF(AC706&lt;=Assumptions!$F$8,"40-50",IF(AC706&lt;=Assumptions!$F$9,"50-60",IF(AC706&lt;=Assumptions!$F$10,"60+",""))))))</f>
        <v>20-30</v>
      </c>
      <c r="AP706" s="0" t="str">
        <f aca="false">IFERROR(VLOOKUP(O706,Assumptions!$B$14:$C$26,2,FALSE()),"Other")</f>
        <v>Manager</v>
      </c>
      <c r="AQ706" s="0" t="n">
        <f aca="false">IF(T706="",0,1)</f>
        <v>0</v>
      </c>
      <c r="AR706" s="0" t="n">
        <f aca="false">IF(U706="",0,1)</f>
        <v>0</v>
      </c>
      <c r="AS706" s="8" t="n">
        <f aca="false">IF(AK706="","",IF(MAX($AK$2:$AK$921)=MIN($AK$2:$AK$921),50,ROUND((AK706-MIN($AK$2:$AK$921))/(MAX($AK$2:$AK$921)-MIN($AK$2:$AK$921))*100,2)))</f>
        <v>22.85</v>
      </c>
      <c r="AT706" s="8" t="n">
        <f aca="false">IF(MAX($BC$2:$BC$921)=MIN($BC$2:$BC$921),50,ROUND((BC706-MIN($BC$2:$BC$921))/(MAX($BC$2:$BC$921)-MIN($BC$2:$BC$921))*100,2))</f>
        <v>50</v>
      </c>
      <c r="AU706" s="8" t="n">
        <f aca="false">IF(MAX($BE$2:$BE$921)=MIN($BE$2:$BE$921),50,ROUND((BE706-MIN($BE$2:$BE$921))/(MAX($BE$2:$BE$921)-MIN($BE$2:$BE$921))*100,2))</f>
        <v>74.19</v>
      </c>
      <c r="AV706" s="8" t="n">
        <f aca="false">IF(MAX($AD$2:$AD$921)=MIN($AD$2:$AD$921),50,ROUND((AD706-MIN($AD$2:$AD$921))/(MAX($AD$2:$AD$921)-MIN($AD$2:$AD$921))*100,2))</f>
        <v>11.93</v>
      </c>
      <c r="AW706" s="8" t="n">
        <f aca="false">IF(MAX($AN$2:$AN$921)=MIN($AN$2:$AN$921),50,ROUND((AN706-MIN($AN$2:$AN$921))/(MAX($AN$2:$AN$921)-MIN($AN$2:$AN$921))*100,2))</f>
        <v>53.75</v>
      </c>
      <c r="AX706" s="8" t="n">
        <f aca="false">AQ706*100</f>
        <v>0</v>
      </c>
      <c r="AY706" s="8" t="n">
        <f aca="false">AR706*100</f>
        <v>0</v>
      </c>
      <c r="AZ706" s="8" t="n">
        <f aca="false">IFERROR(ROUND(AS706*Assumptions!$I$6+AW706*Assumptions!$I$7+AT706*Assumptions!$I$8+AU706*Assumptions!$I$9+AV706*Assumptions!$I$10+AX706*Assumptions!$I$11+AY706*Assumptions!$I$12,2),"")</f>
        <v>37.43</v>
      </c>
      <c r="BA706" s="0" t="str">
        <f aca="false">IF(AZ706="","",IF(AZ706&lt;=Assumptions!$I$18,"Below Expectation",IF(AZ706&lt;=Assumptions!$I$19,"Developing",IF(AZ706&lt;=Assumptions!$I$20,"Meets Expectation",IF(AZ706&lt;=Assumptions!$I$21,"Exceeds","Star Performer")))))</f>
        <v>Below Expectation</v>
      </c>
      <c r="BB706" s="0" t="n">
        <f aca="false">IF(AZ706="",0,IF(AZ706&gt;=Assumptions!$I$26,1,0))</f>
        <v>0</v>
      </c>
      <c r="BC706" s="9" t="n">
        <f aca="false">IF(AL706="",2,AL706+2)</f>
        <v>2</v>
      </c>
      <c r="BD706" s="10" t="n">
        <f aca="false">IF(AM706="",ROUND(AVERAGE($AM$2:$AM$921),3),AM706)</f>
        <v>0.447</v>
      </c>
      <c r="BE706" s="9" t="n">
        <f aca="false">1-BD706</f>
        <v>0.553</v>
      </c>
    </row>
    <row r="707" customFormat="false" ht="14.25" hidden="true" customHeight="false" outlineLevel="0" collapsed="false">
      <c r="A707" s="4" t="n">
        <v>644</v>
      </c>
      <c r="B707" s="5" t="n">
        <v>55056720</v>
      </c>
      <c r="C707" s="5" t="s">
        <v>85</v>
      </c>
      <c r="D707" s="5" t="s">
        <v>2434</v>
      </c>
      <c r="E707" s="5" t="s">
        <v>87</v>
      </c>
      <c r="F707" s="5" t="s">
        <v>602</v>
      </c>
      <c r="G707" s="5" t="s">
        <v>603</v>
      </c>
      <c r="H707" s="5" t="s">
        <v>602</v>
      </c>
      <c r="I707" s="5" t="s">
        <v>63</v>
      </c>
      <c r="J707" s="5" t="s">
        <v>76</v>
      </c>
      <c r="K707" s="5" t="s">
        <v>309</v>
      </c>
      <c r="L707" s="6" t="n">
        <v>44805</v>
      </c>
      <c r="M707" s="5" t="s">
        <v>829</v>
      </c>
      <c r="N707" s="6" t="n">
        <v>31276</v>
      </c>
      <c r="O707" s="5" t="s">
        <v>365</v>
      </c>
      <c r="P707" s="5" t="s">
        <v>365</v>
      </c>
      <c r="Q707" s="5" t="s">
        <v>231</v>
      </c>
      <c r="R707" s="5" t="s">
        <v>296</v>
      </c>
      <c r="S707" s="5" t="s">
        <v>2435</v>
      </c>
      <c r="T707" s="6"/>
      <c r="U707" s="6"/>
      <c r="V707" s="5"/>
      <c r="W707" s="5" t="s">
        <v>631</v>
      </c>
      <c r="X707" s="5" t="s">
        <v>631</v>
      </c>
      <c r="Y707" s="5" t="s">
        <v>631</v>
      </c>
      <c r="Z707" s="5" t="s">
        <v>141</v>
      </c>
      <c r="AA707" s="5" t="s">
        <v>2436</v>
      </c>
      <c r="AB707" s="0" t="n">
        <f aca="false">IFERROR(VALUE(R707),0)</f>
        <v>13.3</v>
      </c>
      <c r="AC707" s="0" t="n">
        <f aca="false">IFERROR(VALUE(M707),"")</f>
        <v>40.9</v>
      </c>
      <c r="AD707" s="0" t="n">
        <f aca="false">IFERROR(VALUE(Q707),"")</f>
        <v>3.9</v>
      </c>
      <c r="AE707" s="0" t="n">
        <f aca="false">IFERROR(VALUE(S707),"")</f>
        <v>17</v>
      </c>
      <c r="AF707" s="0" t="str">
        <f aca="false">IF(V707="","",VLOOKUP(V707,Assumptions!$B$6:$C$9,2,FALSE()))</f>
        <v/>
      </c>
      <c r="AG707" s="0" t="n">
        <f aca="false">IF(W707="","",VLOOKUP(W707,Assumptions!$B$6:$C$9,2,FALSE()))</f>
        <v>2</v>
      </c>
      <c r="AH707" s="0" t="n">
        <f aca="false">IF(X707="","",VLOOKUP(X707,Assumptions!$B$6:$C$9,2,FALSE()))</f>
        <v>2</v>
      </c>
      <c r="AI707" s="0" t="n">
        <f aca="false">IF(Y707="","",VLOOKUP(Y707,Assumptions!$B$6:$C$9,2,FALSE()))</f>
        <v>2</v>
      </c>
      <c r="AJ707" s="0" t="n">
        <f aca="false">IF(Z707="","",VLOOKUP(Z707,Assumptions!$B$6:$C$9,2,FALSE()))</f>
        <v>3</v>
      </c>
      <c r="AK707" s="7" t="n">
        <f aca="false">IFERROR(ROUND(AVERAGE(AF707:AJ707),3),"")</f>
        <v>2.25</v>
      </c>
      <c r="AL707" s="7" t="str">
        <f aca="false">IF(OR(AF707="",AJ707=""),"",AJ707-AF707)</f>
        <v/>
      </c>
      <c r="AM707" s="7" t="n">
        <f aca="false">IF(COUNT(AF707:AJ707)&gt;=2,ROUND(_xlfn.STDEV.S(AF707:AJ707),3),"")</f>
        <v>0.5</v>
      </c>
      <c r="AN707" s="7" t="n">
        <f aca="false">ROUND((IF(AF707="",0,AF707)*Assumptions!$F$15)+(IF(AG707="",0,AG707)*Assumptions!$F$16)+(IF(AH707="",0,AH707)*Assumptions!$F$17)+(IF(AI707="",0,AI707)*Assumptions!$F$18)+(IF(AJ707="",0,AJ707)*Assumptions!$F$19),3)</f>
        <v>2.1</v>
      </c>
      <c r="AO707" s="0" t="str">
        <f aca="false">IF(AC707&lt;=20,"",IF(AC707&lt;=Assumptions!$F$6,"20-30",IF(AC707&lt;=Assumptions!$F$7,"30-40",IF(AC707&lt;=Assumptions!$F$8,"40-50",IF(AC707&lt;=Assumptions!$F$9,"50-60",IF(AC707&lt;=Assumptions!$F$10,"60+",""))))))</f>
        <v>40-50</v>
      </c>
      <c r="AP707" s="0" t="str">
        <f aca="false">IFERROR(VLOOKUP(O707,Assumptions!$B$14:$C$26,2,FALSE()),"Other")</f>
        <v>Manager</v>
      </c>
      <c r="AQ707" s="0" t="n">
        <f aca="false">IF(T707="",0,1)</f>
        <v>0</v>
      </c>
      <c r="AR707" s="0" t="n">
        <f aca="false">IF(U707="",0,1)</f>
        <v>0</v>
      </c>
      <c r="AS707" s="8" t="n">
        <f aca="false">IF(AK707="","",IF(MAX($AK$2:$AK$921)=MIN($AK$2:$AK$921),50,ROUND((AK707-MIN($AK$2:$AK$921))/(MAX($AK$2:$AK$921)-MIN($AK$2:$AK$921))*100,2)))</f>
        <v>24.99</v>
      </c>
      <c r="AT707" s="8" t="n">
        <f aca="false">IF(MAX($BC$2:$BC$921)=MIN($BC$2:$BC$921),50,ROUND((BC707-MIN($BC$2:$BC$921))/(MAX($BC$2:$BC$921)-MIN($BC$2:$BC$921))*100,2))</f>
        <v>50</v>
      </c>
      <c r="AU707" s="8" t="n">
        <f aca="false">IF(MAX($BE$2:$BE$921)=MIN($BE$2:$BE$921),50,ROUND((BE707-MIN($BE$2:$BE$921))/(MAX($BE$2:$BE$921)-MIN($BE$2:$BE$921))*100,2))</f>
        <v>71.13</v>
      </c>
      <c r="AV707" s="8" t="n">
        <f aca="false">IF(MAX($AD$2:$AD$921)=MIN($AD$2:$AD$921),50,ROUND((AD707-MIN($AD$2:$AD$921))/(MAX($AD$2:$AD$921)-MIN($AD$2:$AD$921))*100,2))</f>
        <v>10.3</v>
      </c>
      <c r="AW707" s="8" t="n">
        <f aca="false">IF(MAX($AN$2:$AN$921)=MIN($AN$2:$AN$921),50,ROUND((AN707-MIN($AN$2:$AN$921))/(MAX($AN$2:$AN$921)-MIN($AN$2:$AN$921))*100,2))</f>
        <v>52.5</v>
      </c>
      <c r="AX707" s="8" t="n">
        <f aca="false">AQ707*100</f>
        <v>0</v>
      </c>
      <c r="AY707" s="8" t="n">
        <f aca="false">AR707*100</f>
        <v>0</v>
      </c>
      <c r="AZ707" s="8" t="n">
        <f aca="false">IFERROR(ROUND(AS707*Assumptions!$I$6+AW707*Assumptions!$I$7+AT707*Assumptions!$I$8+AU707*Assumptions!$I$9+AV707*Assumptions!$I$10+AX707*Assumptions!$I$11+AY707*Assumptions!$I$12,2),"")</f>
        <v>37.2</v>
      </c>
      <c r="BA707" s="0" t="str">
        <f aca="false">IF(AZ707="","",IF(AZ707&lt;=Assumptions!$I$18,"Below Expectation",IF(AZ707&lt;=Assumptions!$I$19,"Developing",IF(AZ707&lt;=Assumptions!$I$20,"Meets Expectation",IF(AZ707&lt;=Assumptions!$I$21,"Exceeds","Star Performer")))))</f>
        <v>Below Expectation</v>
      </c>
      <c r="BB707" s="0" t="n">
        <f aca="false">IF(AZ707="",0,IF(AZ707&gt;=Assumptions!$I$26,1,0))</f>
        <v>0</v>
      </c>
      <c r="BC707" s="9" t="n">
        <f aca="false">IF(AL707="",2,AL707+2)</f>
        <v>2</v>
      </c>
      <c r="BD707" s="10" t="n">
        <f aca="false">IF(AM707="",ROUND(AVERAGE($AM$2:$AM$921),3),AM707)</f>
        <v>0.5</v>
      </c>
      <c r="BE707" s="9" t="n">
        <f aca="false">1-BD707</f>
        <v>0.5</v>
      </c>
    </row>
    <row r="708" customFormat="false" ht="14.25" hidden="true" customHeight="false" outlineLevel="0" collapsed="false">
      <c r="A708" s="4" t="n">
        <v>241</v>
      </c>
      <c r="B708" s="5" t="n">
        <v>10061718</v>
      </c>
      <c r="C708" s="5" t="s">
        <v>57</v>
      </c>
      <c r="D708" s="5" t="s">
        <v>2437</v>
      </c>
      <c r="E708" s="5" t="s">
        <v>229</v>
      </c>
      <c r="F708" s="5" t="s">
        <v>608</v>
      </c>
      <c r="G708" s="5" t="s">
        <v>609</v>
      </c>
      <c r="H708" s="5" t="s">
        <v>608</v>
      </c>
      <c r="I708" s="5" t="s">
        <v>63</v>
      </c>
      <c r="J708" s="5" t="s">
        <v>100</v>
      </c>
      <c r="K708" s="5" t="s">
        <v>65</v>
      </c>
      <c r="L708" s="6" t="n">
        <v>43143</v>
      </c>
      <c r="M708" s="5" t="s">
        <v>2438</v>
      </c>
      <c r="N708" s="6" t="n">
        <v>33642</v>
      </c>
      <c r="O708" s="5" t="s">
        <v>365</v>
      </c>
      <c r="P708" s="5" t="s">
        <v>365</v>
      </c>
      <c r="Q708" s="5" t="s">
        <v>1140</v>
      </c>
      <c r="R708" s="5" t="s">
        <v>1534</v>
      </c>
      <c r="S708" s="5" t="s">
        <v>374</v>
      </c>
      <c r="T708" s="6"/>
      <c r="U708" s="6"/>
      <c r="V708" s="5" t="s">
        <v>141</v>
      </c>
      <c r="W708" s="5" t="s">
        <v>631</v>
      </c>
      <c r="X708" s="5" t="s">
        <v>141</v>
      </c>
      <c r="Y708" s="5" t="s">
        <v>631</v>
      </c>
      <c r="Z708" s="5" t="s">
        <v>631</v>
      </c>
      <c r="AA708" s="5" t="s">
        <v>2439</v>
      </c>
      <c r="AB708" s="0" t="n">
        <f aca="false">IFERROR(VALUE(R708),0)</f>
        <v>4.1</v>
      </c>
      <c r="AC708" s="0" t="n">
        <f aca="false">IFERROR(VALUE(M708),"")</f>
        <v>34.4</v>
      </c>
      <c r="AD708" s="0" t="n">
        <f aca="false">IFERROR(VALUE(Q708),"")</f>
        <v>8.3</v>
      </c>
      <c r="AE708" s="0" t="n">
        <f aca="false">IFERROR(VALUE(S708),"")</f>
        <v>12.4</v>
      </c>
      <c r="AF708" s="0" t="n">
        <f aca="false">IF(V708="","",VLOOKUP(V708,Assumptions!$B$6:$C$9,2,FALSE()))</f>
        <v>3</v>
      </c>
      <c r="AG708" s="0" t="n">
        <f aca="false">IF(W708="","",VLOOKUP(W708,Assumptions!$B$6:$C$9,2,FALSE()))</f>
        <v>2</v>
      </c>
      <c r="AH708" s="0" t="n">
        <f aca="false">IF(X708="","",VLOOKUP(X708,Assumptions!$B$6:$C$9,2,FALSE()))</f>
        <v>3</v>
      </c>
      <c r="AI708" s="0" t="n">
        <f aca="false">IF(Y708="","",VLOOKUP(Y708,Assumptions!$B$6:$C$9,2,FALSE()))</f>
        <v>2</v>
      </c>
      <c r="AJ708" s="0" t="n">
        <f aca="false">IF(Z708="","",VLOOKUP(Z708,Assumptions!$B$6:$C$9,2,FALSE()))</f>
        <v>2</v>
      </c>
      <c r="AK708" s="7" t="n">
        <f aca="false">IFERROR(ROUND(AVERAGE(AF708:AJ708),3),"")</f>
        <v>2.4</v>
      </c>
      <c r="AL708" s="7" t="n">
        <f aca="false">IF(OR(AF708="",AJ708=""),"",AJ708-AF708)</f>
        <v>-1</v>
      </c>
      <c r="AM708" s="7" t="n">
        <f aca="false">IF(COUNT(AF708:AJ708)&gt;=2,ROUND(_xlfn.STDEV.S(AF708:AJ708),3),"")</f>
        <v>0.548</v>
      </c>
      <c r="AN708" s="7" t="n">
        <f aca="false">ROUND((IF(AF708="",0,AF708)*Assumptions!$F$15)+(IF(AG708="",0,AG708)*Assumptions!$F$16)+(IF(AH708="",0,AH708)*Assumptions!$F$17)+(IF(AI708="",0,AI708)*Assumptions!$F$18)+(IF(AJ708="",0,AJ708)*Assumptions!$F$19),3)</f>
        <v>2.3</v>
      </c>
      <c r="AO708" s="0" t="str">
        <f aca="false">IF(AC708&lt;=20,"",IF(AC708&lt;=Assumptions!$F$6,"20-30",IF(AC708&lt;=Assumptions!$F$7,"30-40",IF(AC708&lt;=Assumptions!$F$8,"40-50",IF(AC708&lt;=Assumptions!$F$9,"50-60",IF(AC708&lt;=Assumptions!$F$10,"60+",""))))))</f>
        <v>30-40</v>
      </c>
      <c r="AP708" s="0" t="str">
        <f aca="false">IFERROR(VLOOKUP(O708,Assumptions!$B$14:$C$26,2,FALSE()),"Other")</f>
        <v>Manager</v>
      </c>
      <c r="AQ708" s="0" t="n">
        <f aca="false">IF(T708="",0,1)</f>
        <v>0</v>
      </c>
      <c r="AR708" s="0" t="n">
        <f aca="false">IF(U708="",0,1)</f>
        <v>0</v>
      </c>
      <c r="AS708" s="8" t="n">
        <f aca="false">IF(AK708="","",IF(MAX($AK$2:$AK$921)=MIN($AK$2:$AK$921),50,ROUND((AK708-MIN($AK$2:$AK$921))/(MAX($AK$2:$AK$921)-MIN($AK$2:$AK$921))*100,2)))</f>
        <v>31.42</v>
      </c>
      <c r="AT708" s="8" t="n">
        <f aca="false">IF(MAX($BC$2:$BC$921)=MIN($BC$2:$BC$921),50,ROUND((BC708-MIN($BC$2:$BC$921))/(MAX($BC$2:$BC$921)-MIN($BC$2:$BC$921))*100,2))</f>
        <v>25</v>
      </c>
      <c r="AU708" s="8" t="n">
        <f aca="false">IF(MAX($BE$2:$BE$921)=MIN($BE$2:$BE$921),50,ROUND((BE708-MIN($BE$2:$BE$921))/(MAX($BE$2:$BE$921)-MIN($BE$2:$BE$921))*100,2))</f>
        <v>68.36</v>
      </c>
      <c r="AV708" s="8" t="n">
        <f aca="false">IF(MAX($AD$2:$AD$921)=MIN($AD$2:$AD$921),50,ROUND((AD708-MIN($AD$2:$AD$921))/(MAX($AD$2:$AD$921)-MIN($AD$2:$AD$921))*100,2))</f>
        <v>22.26</v>
      </c>
      <c r="AW708" s="8" t="n">
        <f aca="false">IF(MAX($AN$2:$AN$921)=MIN($AN$2:$AN$921),50,ROUND((AN708-MIN($AN$2:$AN$921))/(MAX($AN$2:$AN$921)-MIN($AN$2:$AN$921))*100,2))</f>
        <v>57.5</v>
      </c>
      <c r="AX708" s="8" t="n">
        <f aca="false">AQ708*100</f>
        <v>0</v>
      </c>
      <c r="AY708" s="8" t="n">
        <f aca="false">AR708*100</f>
        <v>0</v>
      </c>
      <c r="AZ708" s="8" t="n">
        <f aca="false">IFERROR(ROUND(AS708*Assumptions!$I$6+AW708*Assumptions!$I$7+AT708*Assumptions!$I$8+AU708*Assumptions!$I$9+AV708*Assumptions!$I$10+AX708*Assumptions!$I$11+AY708*Assumptions!$I$12,2),"")</f>
        <v>37.16</v>
      </c>
      <c r="BA708" s="0" t="str">
        <f aca="false">IF(AZ708="","",IF(AZ708&lt;=Assumptions!$I$18,"Below Expectation",IF(AZ708&lt;=Assumptions!$I$19,"Developing",IF(AZ708&lt;=Assumptions!$I$20,"Meets Expectation",IF(AZ708&lt;=Assumptions!$I$21,"Exceeds","Star Performer")))))</f>
        <v>Below Expectation</v>
      </c>
      <c r="BB708" s="0" t="n">
        <f aca="false">IF(AZ708="",0,IF(AZ708&gt;=Assumptions!$I$26,1,0))</f>
        <v>0</v>
      </c>
      <c r="BC708" s="9" t="n">
        <f aca="false">IF(AL708="",2,AL708+2)</f>
        <v>1</v>
      </c>
      <c r="BD708" s="10" t="n">
        <f aca="false">IF(AM708="",ROUND(AVERAGE($AM$2:$AM$921),3),AM708)</f>
        <v>0.548</v>
      </c>
      <c r="BE708" s="9" t="n">
        <f aca="false">1-BD708</f>
        <v>0.452</v>
      </c>
    </row>
    <row r="709" customFormat="false" ht="14.25" hidden="false" customHeight="false" outlineLevel="0" collapsed="false">
      <c r="A709" s="4" t="n">
        <v>674</v>
      </c>
      <c r="B709" s="5" t="n">
        <v>55059455</v>
      </c>
      <c r="C709" s="5" t="s">
        <v>106</v>
      </c>
      <c r="D709" s="5" t="s">
        <v>2440</v>
      </c>
      <c r="E709" s="5" t="s">
        <v>108</v>
      </c>
      <c r="F709" s="5" t="s">
        <v>463</v>
      </c>
      <c r="G709" s="5" t="s">
        <v>589</v>
      </c>
      <c r="H709" s="5" t="s">
        <v>590</v>
      </c>
      <c r="I709" s="5" t="s">
        <v>63</v>
      </c>
      <c r="J709" s="5" t="s">
        <v>112</v>
      </c>
      <c r="K709" s="5" t="s">
        <v>309</v>
      </c>
      <c r="L709" s="6" t="n">
        <v>44851</v>
      </c>
      <c r="M709" s="5" t="s">
        <v>1693</v>
      </c>
      <c r="N709" s="6" t="n">
        <v>36684</v>
      </c>
      <c r="O709" s="5" t="s">
        <v>1264</v>
      </c>
      <c r="P709" s="5" t="s">
        <v>1559</v>
      </c>
      <c r="Q709" s="5" t="s">
        <v>335</v>
      </c>
      <c r="R709" s="5" t="s">
        <v>115</v>
      </c>
      <c r="S709" s="5" t="s">
        <v>335</v>
      </c>
      <c r="T709" s="6"/>
      <c r="U709" s="6"/>
      <c r="V709" s="5"/>
      <c r="W709" s="5" t="s">
        <v>631</v>
      </c>
      <c r="X709" s="5" t="s">
        <v>631</v>
      </c>
      <c r="Y709" s="5" t="s">
        <v>631</v>
      </c>
      <c r="Z709" s="5" t="s">
        <v>141</v>
      </c>
      <c r="AA709" s="5" t="s">
        <v>2441</v>
      </c>
      <c r="AB709" s="0" t="n">
        <f aca="false">IFERROR(VALUE(R709),0)</f>
        <v>0</v>
      </c>
      <c r="AC709" s="0" t="n">
        <f aca="false">IFERROR(VALUE(M709),"")</f>
        <v>26</v>
      </c>
      <c r="AD709" s="0" t="n">
        <f aca="false">IFERROR(VALUE(Q709),"")</f>
        <v>3.7</v>
      </c>
      <c r="AE709" s="0" t="n">
        <f aca="false">IFERROR(VALUE(S709),"")</f>
        <v>3.7</v>
      </c>
      <c r="AF709" s="0" t="str">
        <f aca="false">IF(V709="","",VLOOKUP(V709,Assumptions!$B$6:$C$9,2,FALSE()))</f>
        <v/>
      </c>
      <c r="AG709" s="0" t="n">
        <f aca="false">IF(W709="","",VLOOKUP(W709,Assumptions!$B$6:$C$9,2,FALSE()))</f>
        <v>2</v>
      </c>
      <c r="AH709" s="0" t="n">
        <f aca="false">IF(X709="","",VLOOKUP(X709,Assumptions!$B$6:$C$9,2,FALSE()))</f>
        <v>2</v>
      </c>
      <c r="AI709" s="0" t="n">
        <f aca="false">IF(Y709="","",VLOOKUP(Y709,Assumptions!$B$6:$C$9,2,FALSE()))</f>
        <v>2</v>
      </c>
      <c r="AJ709" s="0" t="n">
        <f aca="false">IF(Z709="","",VLOOKUP(Z709,Assumptions!$B$6:$C$9,2,FALSE()))</f>
        <v>3</v>
      </c>
      <c r="AK709" s="7" t="n">
        <f aca="false">IFERROR(ROUND(AVERAGE(AF709:AJ709),3),"")</f>
        <v>2.25</v>
      </c>
      <c r="AL709" s="7" t="str">
        <f aca="false">IF(OR(AF709="",AJ709=""),"",AJ709-AF709)</f>
        <v/>
      </c>
      <c r="AM709" s="7" t="n">
        <f aca="false">IF(COUNT(AF709:AJ709)&gt;=2,ROUND(_xlfn.STDEV.S(AF709:AJ709),3),"")</f>
        <v>0.5</v>
      </c>
      <c r="AN709" s="7" t="n">
        <f aca="false">ROUND((IF(AF709="",0,AF709)*Assumptions!$F$15)+(IF(AG709="",0,AG709)*Assumptions!$F$16)+(IF(AH709="",0,AH709)*Assumptions!$F$17)+(IF(AI709="",0,AI709)*Assumptions!$F$18)+(IF(AJ709="",0,AJ709)*Assumptions!$F$19),3)</f>
        <v>2.1</v>
      </c>
      <c r="AO709" s="0" t="str">
        <f aca="false">IF(AC709&lt;=20,"",IF(AC709&lt;=Assumptions!$F$6,"20-30",IF(AC709&lt;=Assumptions!$F$7,"30-40",IF(AC709&lt;=Assumptions!$F$8,"40-50",IF(AC709&lt;=Assumptions!$F$9,"50-60",IF(AC709&lt;=Assumptions!$F$10,"60+",""))))))</f>
        <v>20-30</v>
      </c>
      <c r="AP709" s="0" t="str">
        <f aca="false">IFERROR(VLOOKUP(O709,Assumptions!$B$14:$C$26,2,FALSE()),"Other")</f>
        <v>Manager</v>
      </c>
      <c r="AQ709" s="0" t="n">
        <f aca="false">IF(T709="",0,1)</f>
        <v>0</v>
      </c>
      <c r="AR709" s="0" t="n">
        <f aca="false">IF(U709="",0,1)</f>
        <v>0</v>
      </c>
      <c r="AS709" s="8" t="n">
        <f aca="false">IF(AK709="","",IF(MAX($AK$2:$AK$921)=MIN($AK$2:$AK$921),50,ROUND((AK709-MIN($AK$2:$AK$921))/(MAX($AK$2:$AK$921)-MIN($AK$2:$AK$921))*100,2)))</f>
        <v>24.99</v>
      </c>
      <c r="AT709" s="8" t="n">
        <f aca="false">IF(MAX($BC$2:$BC$921)=MIN($BC$2:$BC$921),50,ROUND((BC709-MIN($BC$2:$BC$921))/(MAX($BC$2:$BC$921)-MIN($BC$2:$BC$921))*100,2))</f>
        <v>50</v>
      </c>
      <c r="AU709" s="8" t="n">
        <f aca="false">IF(MAX($BE$2:$BE$921)=MIN($BE$2:$BE$921),50,ROUND((BE709-MIN($BE$2:$BE$921))/(MAX($BE$2:$BE$921)-MIN($BE$2:$BE$921))*100,2))</f>
        <v>71.13</v>
      </c>
      <c r="AV709" s="8" t="n">
        <f aca="false">IF(MAX($AD$2:$AD$921)=MIN($AD$2:$AD$921),50,ROUND((AD709-MIN($AD$2:$AD$921))/(MAX($AD$2:$AD$921)-MIN($AD$2:$AD$921))*100,2))</f>
        <v>9.76</v>
      </c>
      <c r="AW709" s="8" t="n">
        <f aca="false">IF(MAX($AN$2:$AN$921)=MIN($AN$2:$AN$921),50,ROUND((AN709-MIN($AN$2:$AN$921))/(MAX($AN$2:$AN$921)-MIN($AN$2:$AN$921))*100,2))</f>
        <v>52.5</v>
      </c>
      <c r="AX709" s="8" t="n">
        <f aca="false">AQ709*100</f>
        <v>0</v>
      </c>
      <c r="AY709" s="8" t="n">
        <f aca="false">AR709*100</f>
        <v>0</v>
      </c>
      <c r="AZ709" s="8" t="n">
        <f aca="false">IFERROR(ROUND(AS709*Assumptions!$I$6+AW709*Assumptions!$I$7+AT709*Assumptions!$I$8+AU709*Assumptions!$I$9+AV709*Assumptions!$I$10+AX709*Assumptions!$I$11+AY709*Assumptions!$I$12,2),"")</f>
        <v>37.14</v>
      </c>
      <c r="BA709" s="0" t="str">
        <f aca="false">IF(AZ709="","",IF(AZ709&lt;=Assumptions!$I$18,"Below Expectation",IF(AZ709&lt;=Assumptions!$I$19,"Developing",IF(AZ709&lt;=Assumptions!$I$20,"Meets Expectation",IF(AZ709&lt;=Assumptions!$I$21,"Exceeds","Star Performer")))))</f>
        <v>Below Expectation</v>
      </c>
      <c r="BB709" s="0" t="n">
        <f aca="false">IF(AZ709="",0,IF(AZ709&gt;=Assumptions!$I$26,1,0))</f>
        <v>0</v>
      </c>
      <c r="BC709" s="9" t="n">
        <f aca="false">IF(AL709="",2,AL709+2)</f>
        <v>2</v>
      </c>
      <c r="BD709" s="10" t="n">
        <f aca="false">IF(AM709="",ROUND(AVERAGE($AM$2:$AM$921),3),AM709)</f>
        <v>0.5</v>
      </c>
      <c r="BE709" s="9" t="n">
        <f aca="false">1-BD709</f>
        <v>0.5</v>
      </c>
    </row>
    <row r="710" customFormat="false" ht="14.25" hidden="true" customHeight="false" outlineLevel="0" collapsed="false">
      <c r="A710" s="4" t="n">
        <v>678</v>
      </c>
      <c r="B710" s="5" t="n">
        <v>55059485</v>
      </c>
      <c r="C710" s="5" t="s">
        <v>85</v>
      </c>
      <c r="D710" s="5" t="s">
        <v>2442</v>
      </c>
      <c r="E710" s="5" t="s">
        <v>751</v>
      </c>
      <c r="F710" s="5" t="s">
        <v>1731</v>
      </c>
      <c r="G710" s="5" t="s">
        <v>1732</v>
      </c>
      <c r="H710" s="5" t="s">
        <v>1731</v>
      </c>
      <c r="I710" s="5" t="s">
        <v>63</v>
      </c>
      <c r="J710" s="5" t="s">
        <v>76</v>
      </c>
      <c r="K710" s="5" t="s">
        <v>309</v>
      </c>
      <c r="L710" s="6" t="n">
        <v>44851</v>
      </c>
      <c r="M710" s="5" t="s">
        <v>1414</v>
      </c>
      <c r="N710" s="6" t="n">
        <v>35880</v>
      </c>
      <c r="O710" s="5" t="s">
        <v>1264</v>
      </c>
      <c r="P710" s="5" t="s">
        <v>1559</v>
      </c>
      <c r="Q710" s="5" t="s">
        <v>335</v>
      </c>
      <c r="R710" s="5" t="s">
        <v>115</v>
      </c>
      <c r="S710" s="5" t="s">
        <v>335</v>
      </c>
      <c r="T710" s="6"/>
      <c r="U710" s="6"/>
      <c r="V710" s="5"/>
      <c r="W710" s="5" t="s">
        <v>631</v>
      </c>
      <c r="X710" s="5" t="s">
        <v>631</v>
      </c>
      <c r="Y710" s="5" t="s">
        <v>631</v>
      </c>
      <c r="Z710" s="5" t="s">
        <v>141</v>
      </c>
      <c r="AA710" s="5" t="s">
        <v>2443</v>
      </c>
      <c r="AB710" s="0" t="n">
        <f aca="false">IFERROR(VALUE(R710),0)</f>
        <v>0</v>
      </c>
      <c r="AC710" s="0" t="n">
        <f aca="false">IFERROR(VALUE(M710),"")</f>
        <v>28.2</v>
      </c>
      <c r="AD710" s="0" t="n">
        <f aca="false">IFERROR(VALUE(Q710),"")</f>
        <v>3.7</v>
      </c>
      <c r="AE710" s="0" t="n">
        <f aca="false">IFERROR(VALUE(S710),"")</f>
        <v>3.7</v>
      </c>
      <c r="AF710" s="0" t="str">
        <f aca="false">IF(V710="","",VLOOKUP(V710,Assumptions!$B$6:$C$9,2,FALSE()))</f>
        <v/>
      </c>
      <c r="AG710" s="0" t="n">
        <f aca="false">IF(W710="","",VLOOKUP(W710,Assumptions!$B$6:$C$9,2,FALSE()))</f>
        <v>2</v>
      </c>
      <c r="AH710" s="0" t="n">
        <f aca="false">IF(X710="","",VLOOKUP(X710,Assumptions!$B$6:$C$9,2,FALSE()))</f>
        <v>2</v>
      </c>
      <c r="AI710" s="0" t="n">
        <f aca="false">IF(Y710="","",VLOOKUP(Y710,Assumptions!$B$6:$C$9,2,FALSE()))</f>
        <v>2</v>
      </c>
      <c r="AJ710" s="0" t="n">
        <f aca="false">IF(Z710="","",VLOOKUP(Z710,Assumptions!$B$6:$C$9,2,FALSE()))</f>
        <v>3</v>
      </c>
      <c r="AK710" s="7" t="n">
        <f aca="false">IFERROR(ROUND(AVERAGE(AF710:AJ710),3),"")</f>
        <v>2.25</v>
      </c>
      <c r="AL710" s="7" t="str">
        <f aca="false">IF(OR(AF710="",AJ710=""),"",AJ710-AF710)</f>
        <v/>
      </c>
      <c r="AM710" s="7" t="n">
        <f aca="false">IF(COUNT(AF710:AJ710)&gt;=2,ROUND(_xlfn.STDEV.S(AF710:AJ710),3),"")</f>
        <v>0.5</v>
      </c>
      <c r="AN710" s="7" t="n">
        <f aca="false">ROUND((IF(AF710="",0,AF710)*Assumptions!$F$15)+(IF(AG710="",0,AG710)*Assumptions!$F$16)+(IF(AH710="",0,AH710)*Assumptions!$F$17)+(IF(AI710="",0,AI710)*Assumptions!$F$18)+(IF(AJ710="",0,AJ710)*Assumptions!$F$19),3)</f>
        <v>2.1</v>
      </c>
      <c r="AO710" s="0" t="str">
        <f aca="false">IF(AC710&lt;=20,"",IF(AC710&lt;=Assumptions!$F$6,"20-30",IF(AC710&lt;=Assumptions!$F$7,"30-40",IF(AC710&lt;=Assumptions!$F$8,"40-50",IF(AC710&lt;=Assumptions!$F$9,"50-60",IF(AC710&lt;=Assumptions!$F$10,"60+",""))))))</f>
        <v>20-30</v>
      </c>
      <c r="AP710" s="0" t="str">
        <f aca="false">IFERROR(VLOOKUP(O710,Assumptions!$B$14:$C$26,2,FALSE()),"Other")</f>
        <v>Manager</v>
      </c>
      <c r="AQ710" s="0" t="n">
        <f aca="false">IF(T710="",0,1)</f>
        <v>0</v>
      </c>
      <c r="AR710" s="0" t="n">
        <f aca="false">IF(U710="",0,1)</f>
        <v>0</v>
      </c>
      <c r="AS710" s="8" t="n">
        <f aca="false">IF(AK710="","",IF(MAX($AK$2:$AK$921)=MIN($AK$2:$AK$921),50,ROUND((AK710-MIN($AK$2:$AK$921))/(MAX($AK$2:$AK$921)-MIN($AK$2:$AK$921))*100,2)))</f>
        <v>24.99</v>
      </c>
      <c r="AT710" s="8" t="n">
        <f aca="false">IF(MAX($BC$2:$BC$921)=MIN($BC$2:$BC$921),50,ROUND((BC710-MIN($BC$2:$BC$921))/(MAX($BC$2:$BC$921)-MIN($BC$2:$BC$921))*100,2))</f>
        <v>50</v>
      </c>
      <c r="AU710" s="8" t="n">
        <f aca="false">IF(MAX($BE$2:$BE$921)=MIN($BE$2:$BE$921),50,ROUND((BE710-MIN($BE$2:$BE$921))/(MAX($BE$2:$BE$921)-MIN($BE$2:$BE$921))*100,2))</f>
        <v>71.13</v>
      </c>
      <c r="AV710" s="8" t="n">
        <f aca="false">IF(MAX($AD$2:$AD$921)=MIN($AD$2:$AD$921),50,ROUND((AD710-MIN($AD$2:$AD$921))/(MAX($AD$2:$AD$921)-MIN($AD$2:$AD$921))*100,2))</f>
        <v>9.76</v>
      </c>
      <c r="AW710" s="8" t="n">
        <f aca="false">IF(MAX($AN$2:$AN$921)=MIN($AN$2:$AN$921),50,ROUND((AN710-MIN($AN$2:$AN$921))/(MAX($AN$2:$AN$921)-MIN($AN$2:$AN$921))*100,2))</f>
        <v>52.5</v>
      </c>
      <c r="AX710" s="8" t="n">
        <f aca="false">AQ710*100</f>
        <v>0</v>
      </c>
      <c r="AY710" s="8" t="n">
        <f aca="false">AR710*100</f>
        <v>0</v>
      </c>
      <c r="AZ710" s="8" t="n">
        <f aca="false">IFERROR(ROUND(AS710*Assumptions!$I$6+AW710*Assumptions!$I$7+AT710*Assumptions!$I$8+AU710*Assumptions!$I$9+AV710*Assumptions!$I$10+AX710*Assumptions!$I$11+AY710*Assumptions!$I$12,2),"")</f>
        <v>37.14</v>
      </c>
      <c r="BA710" s="0" t="str">
        <f aca="false">IF(AZ710="","",IF(AZ710&lt;=Assumptions!$I$18,"Below Expectation",IF(AZ710&lt;=Assumptions!$I$19,"Developing",IF(AZ710&lt;=Assumptions!$I$20,"Meets Expectation",IF(AZ710&lt;=Assumptions!$I$21,"Exceeds","Star Performer")))))</f>
        <v>Below Expectation</v>
      </c>
      <c r="BB710" s="0" t="n">
        <f aca="false">IF(AZ710="",0,IF(AZ710&gt;=Assumptions!$I$26,1,0))</f>
        <v>0</v>
      </c>
      <c r="BC710" s="9" t="n">
        <f aca="false">IF(AL710="",2,AL710+2)</f>
        <v>2</v>
      </c>
      <c r="BD710" s="10" t="n">
        <f aca="false">IF(AM710="",ROUND(AVERAGE($AM$2:$AM$921),3),AM710)</f>
        <v>0.5</v>
      </c>
      <c r="BE710" s="9" t="n">
        <f aca="false">1-BD710</f>
        <v>0.5</v>
      </c>
    </row>
    <row r="711" customFormat="false" ht="14.25" hidden="true" customHeight="false" outlineLevel="0" collapsed="false">
      <c r="A711" s="4" t="n">
        <v>684</v>
      </c>
      <c r="B711" s="5" t="n">
        <v>55059737</v>
      </c>
      <c r="C711" s="5" t="s">
        <v>85</v>
      </c>
      <c r="D711" s="5" t="s">
        <v>2444</v>
      </c>
      <c r="E711" s="5" t="s">
        <v>1238</v>
      </c>
      <c r="F711" s="5" t="s">
        <v>1731</v>
      </c>
      <c r="G711" s="5" t="s">
        <v>1732</v>
      </c>
      <c r="H711" s="5" t="s">
        <v>1731</v>
      </c>
      <c r="I711" s="5" t="s">
        <v>63</v>
      </c>
      <c r="J711" s="5" t="s">
        <v>76</v>
      </c>
      <c r="K711" s="5" t="s">
        <v>309</v>
      </c>
      <c r="L711" s="6" t="n">
        <v>44855</v>
      </c>
      <c r="M711" s="5" t="s">
        <v>124</v>
      </c>
      <c r="N711" s="6" t="n">
        <v>36820</v>
      </c>
      <c r="O711" s="5" t="s">
        <v>1264</v>
      </c>
      <c r="P711" s="5" t="s">
        <v>1559</v>
      </c>
      <c r="Q711" s="5" t="s">
        <v>335</v>
      </c>
      <c r="R711" s="5" t="s">
        <v>115</v>
      </c>
      <c r="S711" s="5" t="s">
        <v>335</v>
      </c>
      <c r="T711" s="6"/>
      <c r="U711" s="6"/>
      <c r="V711" s="5"/>
      <c r="W711" s="5" t="s">
        <v>631</v>
      </c>
      <c r="X711" s="5" t="s">
        <v>631</v>
      </c>
      <c r="Y711" s="5" t="s">
        <v>631</v>
      </c>
      <c r="Z711" s="5" t="s">
        <v>141</v>
      </c>
      <c r="AA711" s="5" t="s">
        <v>2445</v>
      </c>
      <c r="AB711" s="0" t="n">
        <f aca="false">IFERROR(VALUE(R711),0)</f>
        <v>0</v>
      </c>
      <c r="AC711" s="0" t="n">
        <f aca="false">IFERROR(VALUE(M711),"")</f>
        <v>25.7</v>
      </c>
      <c r="AD711" s="0" t="n">
        <f aca="false">IFERROR(VALUE(Q711),"")</f>
        <v>3.7</v>
      </c>
      <c r="AE711" s="0" t="n">
        <f aca="false">IFERROR(VALUE(S711),"")</f>
        <v>3.7</v>
      </c>
      <c r="AF711" s="0" t="str">
        <f aca="false">IF(V711="","",VLOOKUP(V711,Assumptions!$B$6:$C$9,2,FALSE()))</f>
        <v/>
      </c>
      <c r="AG711" s="0" t="n">
        <f aca="false">IF(W711="","",VLOOKUP(W711,Assumptions!$B$6:$C$9,2,FALSE()))</f>
        <v>2</v>
      </c>
      <c r="AH711" s="0" t="n">
        <f aca="false">IF(X711="","",VLOOKUP(X711,Assumptions!$B$6:$C$9,2,FALSE()))</f>
        <v>2</v>
      </c>
      <c r="AI711" s="0" t="n">
        <f aca="false">IF(Y711="","",VLOOKUP(Y711,Assumptions!$B$6:$C$9,2,FALSE()))</f>
        <v>2</v>
      </c>
      <c r="AJ711" s="0" t="n">
        <f aca="false">IF(Z711="","",VLOOKUP(Z711,Assumptions!$B$6:$C$9,2,FALSE()))</f>
        <v>3</v>
      </c>
      <c r="AK711" s="7" t="n">
        <f aca="false">IFERROR(ROUND(AVERAGE(AF711:AJ711),3),"")</f>
        <v>2.25</v>
      </c>
      <c r="AL711" s="7" t="str">
        <f aca="false">IF(OR(AF711="",AJ711=""),"",AJ711-AF711)</f>
        <v/>
      </c>
      <c r="AM711" s="7" t="n">
        <f aca="false">IF(COUNT(AF711:AJ711)&gt;=2,ROUND(_xlfn.STDEV.S(AF711:AJ711),3),"")</f>
        <v>0.5</v>
      </c>
      <c r="AN711" s="7" t="n">
        <f aca="false">ROUND((IF(AF711="",0,AF711)*Assumptions!$F$15)+(IF(AG711="",0,AG711)*Assumptions!$F$16)+(IF(AH711="",0,AH711)*Assumptions!$F$17)+(IF(AI711="",0,AI711)*Assumptions!$F$18)+(IF(AJ711="",0,AJ711)*Assumptions!$F$19),3)</f>
        <v>2.1</v>
      </c>
      <c r="AO711" s="0" t="str">
        <f aca="false">IF(AC711&lt;=20,"",IF(AC711&lt;=Assumptions!$F$6,"20-30",IF(AC711&lt;=Assumptions!$F$7,"30-40",IF(AC711&lt;=Assumptions!$F$8,"40-50",IF(AC711&lt;=Assumptions!$F$9,"50-60",IF(AC711&lt;=Assumptions!$F$10,"60+",""))))))</f>
        <v>20-30</v>
      </c>
      <c r="AP711" s="0" t="str">
        <f aca="false">IFERROR(VLOOKUP(O711,Assumptions!$B$14:$C$26,2,FALSE()),"Other")</f>
        <v>Manager</v>
      </c>
      <c r="AQ711" s="0" t="n">
        <f aca="false">IF(T711="",0,1)</f>
        <v>0</v>
      </c>
      <c r="AR711" s="0" t="n">
        <f aca="false">IF(U711="",0,1)</f>
        <v>0</v>
      </c>
      <c r="AS711" s="8" t="n">
        <f aca="false">IF(AK711="","",IF(MAX($AK$2:$AK$921)=MIN($AK$2:$AK$921),50,ROUND((AK711-MIN($AK$2:$AK$921))/(MAX($AK$2:$AK$921)-MIN($AK$2:$AK$921))*100,2)))</f>
        <v>24.99</v>
      </c>
      <c r="AT711" s="8" t="n">
        <f aca="false">IF(MAX($BC$2:$BC$921)=MIN($BC$2:$BC$921),50,ROUND((BC711-MIN($BC$2:$BC$921))/(MAX($BC$2:$BC$921)-MIN($BC$2:$BC$921))*100,2))</f>
        <v>50</v>
      </c>
      <c r="AU711" s="8" t="n">
        <f aca="false">IF(MAX($BE$2:$BE$921)=MIN($BE$2:$BE$921),50,ROUND((BE711-MIN($BE$2:$BE$921))/(MAX($BE$2:$BE$921)-MIN($BE$2:$BE$921))*100,2))</f>
        <v>71.13</v>
      </c>
      <c r="AV711" s="8" t="n">
        <f aca="false">IF(MAX($AD$2:$AD$921)=MIN($AD$2:$AD$921),50,ROUND((AD711-MIN($AD$2:$AD$921))/(MAX($AD$2:$AD$921)-MIN($AD$2:$AD$921))*100,2))</f>
        <v>9.76</v>
      </c>
      <c r="AW711" s="8" t="n">
        <f aca="false">IF(MAX($AN$2:$AN$921)=MIN($AN$2:$AN$921),50,ROUND((AN711-MIN($AN$2:$AN$921))/(MAX($AN$2:$AN$921)-MIN($AN$2:$AN$921))*100,2))</f>
        <v>52.5</v>
      </c>
      <c r="AX711" s="8" t="n">
        <f aca="false">AQ711*100</f>
        <v>0</v>
      </c>
      <c r="AY711" s="8" t="n">
        <f aca="false">AR711*100</f>
        <v>0</v>
      </c>
      <c r="AZ711" s="8" t="n">
        <f aca="false">IFERROR(ROUND(AS711*Assumptions!$I$6+AW711*Assumptions!$I$7+AT711*Assumptions!$I$8+AU711*Assumptions!$I$9+AV711*Assumptions!$I$10+AX711*Assumptions!$I$11+AY711*Assumptions!$I$12,2),"")</f>
        <v>37.14</v>
      </c>
      <c r="BA711" s="0" t="str">
        <f aca="false">IF(AZ711="","",IF(AZ711&lt;=Assumptions!$I$18,"Below Expectation",IF(AZ711&lt;=Assumptions!$I$19,"Developing",IF(AZ711&lt;=Assumptions!$I$20,"Meets Expectation",IF(AZ711&lt;=Assumptions!$I$21,"Exceeds","Star Performer")))))</f>
        <v>Below Expectation</v>
      </c>
      <c r="BB711" s="0" t="n">
        <f aca="false">IF(AZ711="",0,IF(AZ711&gt;=Assumptions!$I$26,1,0))</f>
        <v>0</v>
      </c>
      <c r="BC711" s="9" t="n">
        <f aca="false">IF(AL711="",2,AL711+2)</f>
        <v>2</v>
      </c>
      <c r="BD711" s="10" t="n">
        <f aca="false">IF(AM711="",ROUND(AVERAGE($AM$2:$AM$921),3),AM711)</f>
        <v>0.5</v>
      </c>
      <c r="BE711" s="9" t="n">
        <f aca="false">1-BD711</f>
        <v>0.5</v>
      </c>
    </row>
    <row r="712" customFormat="false" ht="14.25" hidden="true" customHeight="false" outlineLevel="0" collapsed="false">
      <c r="A712" s="4" t="n">
        <v>609</v>
      </c>
      <c r="B712" s="5" t="n">
        <v>55053382</v>
      </c>
      <c r="C712" s="5" t="s">
        <v>858</v>
      </c>
      <c r="D712" s="5" t="s">
        <v>2446</v>
      </c>
      <c r="E712" s="5" t="s">
        <v>1423</v>
      </c>
      <c r="F712" s="5" t="s">
        <v>1615</v>
      </c>
      <c r="G712" s="5" t="s">
        <v>1616</v>
      </c>
      <c r="H712" s="5" t="s">
        <v>1615</v>
      </c>
      <c r="I712" s="5" t="s">
        <v>63</v>
      </c>
      <c r="J712" s="5" t="s">
        <v>100</v>
      </c>
      <c r="K712" s="5" t="s">
        <v>309</v>
      </c>
      <c r="L712" s="6" t="n">
        <v>44746</v>
      </c>
      <c r="M712" s="5" t="s">
        <v>536</v>
      </c>
      <c r="N712" s="6" t="n">
        <v>36576</v>
      </c>
      <c r="O712" s="5" t="s">
        <v>1264</v>
      </c>
      <c r="P712" s="5" t="s">
        <v>1559</v>
      </c>
      <c r="Q712" s="5" t="s">
        <v>345</v>
      </c>
      <c r="R712" s="5" t="s">
        <v>115</v>
      </c>
      <c r="S712" s="5" t="s">
        <v>345</v>
      </c>
      <c r="T712" s="6"/>
      <c r="U712" s="6"/>
      <c r="V712" s="5"/>
      <c r="W712" s="5" t="s">
        <v>631</v>
      </c>
      <c r="X712" s="5" t="s">
        <v>631</v>
      </c>
      <c r="Y712" s="5" t="s">
        <v>631</v>
      </c>
      <c r="Z712" s="5" t="s">
        <v>141</v>
      </c>
      <c r="AA712" s="5" t="s">
        <v>2291</v>
      </c>
      <c r="AB712" s="0" t="n">
        <f aca="false">IFERROR(VALUE(R712),0)</f>
        <v>0</v>
      </c>
      <c r="AC712" s="0" t="n">
        <f aca="false">IFERROR(VALUE(M712),"")</f>
        <v>26.3</v>
      </c>
      <c r="AD712" s="0" t="n">
        <f aca="false">IFERROR(VALUE(Q712),"")</f>
        <v>3.11</v>
      </c>
      <c r="AE712" s="0" t="n">
        <f aca="false">IFERROR(VALUE(S712),"")</f>
        <v>3.11</v>
      </c>
      <c r="AF712" s="0" t="str">
        <f aca="false">IF(V712="","",VLOOKUP(V712,Assumptions!$B$6:$C$9,2,FALSE()))</f>
        <v/>
      </c>
      <c r="AG712" s="0" t="n">
        <f aca="false">IF(W712="","",VLOOKUP(W712,Assumptions!$B$6:$C$9,2,FALSE()))</f>
        <v>2</v>
      </c>
      <c r="AH712" s="0" t="n">
        <f aca="false">IF(X712="","",VLOOKUP(X712,Assumptions!$B$6:$C$9,2,FALSE()))</f>
        <v>2</v>
      </c>
      <c r="AI712" s="0" t="n">
        <f aca="false">IF(Y712="","",VLOOKUP(Y712,Assumptions!$B$6:$C$9,2,FALSE()))</f>
        <v>2</v>
      </c>
      <c r="AJ712" s="0" t="n">
        <f aca="false">IF(Z712="","",VLOOKUP(Z712,Assumptions!$B$6:$C$9,2,FALSE()))</f>
        <v>3</v>
      </c>
      <c r="AK712" s="7" t="n">
        <f aca="false">IFERROR(ROUND(AVERAGE(AF712:AJ712),3),"")</f>
        <v>2.25</v>
      </c>
      <c r="AL712" s="7" t="str">
        <f aca="false">IF(OR(AF712="",AJ712=""),"",AJ712-AF712)</f>
        <v/>
      </c>
      <c r="AM712" s="7" t="n">
        <f aca="false">IF(COUNT(AF712:AJ712)&gt;=2,ROUND(_xlfn.STDEV.S(AF712:AJ712),3),"")</f>
        <v>0.5</v>
      </c>
      <c r="AN712" s="7" t="n">
        <f aca="false">ROUND((IF(AF712="",0,AF712)*Assumptions!$F$15)+(IF(AG712="",0,AG712)*Assumptions!$F$16)+(IF(AH712="",0,AH712)*Assumptions!$F$17)+(IF(AI712="",0,AI712)*Assumptions!$F$18)+(IF(AJ712="",0,AJ712)*Assumptions!$F$19),3)</f>
        <v>2.1</v>
      </c>
      <c r="AO712" s="0" t="str">
        <f aca="false">IF(AC712&lt;=20,"",IF(AC712&lt;=Assumptions!$F$6,"20-30",IF(AC712&lt;=Assumptions!$F$7,"30-40",IF(AC712&lt;=Assumptions!$F$8,"40-50",IF(AC712&lt;=Assumptions!$F$9,"50-60",IF(AC712&lt;=Assumptions!$F$10,"60+",""))))))</f>
        <v>20-30</v>
      </c>
      <c r="AP712" s="0" t="str">
        <f aca="false">IFERROR(VLOOKUP(O712,Assumptions!$B$14:$C$26,2,FALSE()),"Other")</f>
        <v>Manager</v>
      </c>
      <c r="AQ712" s="0" t="n">
        <f aca="false">IF(T712="",0,1)</f>
        <v>0</v>
      </c>
      <c r="AR712" s="0" t="n">
        <f aca="false">IF(U712="",0,1)</f>
        <v>0</v>
      </c>
      <c r="AS712" s="8" t="n">
        <f aca="false">IF(AK712="","",IF(MAX($AK$2:$AK$921)=MIN($AK$2:$AK$921),50,ROUND((AK712-MIN($AK$2:$AK$921))/(MAX($AK$2:$AK$921)-MIN($AK$2:$AK$921))*100,2)))</f>
        <v>24.99</v>
      </c>
      <c r="AT712" s="8" t="n">
        <f aca="false">IF(MAX($BC$2:$BC$921)=MIN($BC$2:$BC$921),50,ROUND((BC712-MIN($BC$2:$BC$921))/(MAX($BC$2:$BC$921)-MIN($BC$2:$BC$921))*100,2))</f>
        <v>50</v>
      </c>
      <c r="AU712" s="8" t="n">
        <f aca="false">IF(MAX($BE$2:$BE$921)=MIN($BE$2:$BE$921),50,ROUND((BE712-MIN($BE$2:$BE$921))/(MAX($BE$2:$BE$921)-MIN($BE$2:$BE$921))*100,2))</f>
        <v>71.13</v>
      </c>
      <c r="AV712" s="8" t="n">
        <f aca="false">IF(MAX($AD$2:$AD$921)=MIN($AD$2:$AD$921),50,ROUND((AD712-MIN($AD$2:$AD$921))/(MAX($AD$2:$AD$921)-MIN($AD$2:$AD$921))*100,2))</f>
        <v>8.15</v>
      </c>
      <c r="AW712" s="8" t="n">
        <f aca="false">IF(MAX($AN$2:$AN$921)=MIN($AN$2:$AN$921),50,ROUND((AN712-MIN($AN$2:$AN$921))/(MAX($AN$2:$AN$921)-MIN($AN$2:$AN$921))*100,2))</f>
        <v>52.5</v>
      </c>
      <c r="AX712" s="8" t="n">
        <f aca="false">AQ712*100</f>
        <v>0</v>
      </c>
      <c r="AY712" s="8" t="n">
        <f aca="false">AR712*100</f>
        <v>0</v>
      </c>
      <c r="AZ712" s="8" t="n">
        <f aca="false">IFERROR(ROUND(AS712*Assumptions!$I$6+AW712*Assumptions!$I$7+AT712*Assumptions!$I$8+AU712*Assumptions!$I$9+AV712*Assumptions!$I$10+AX712*Assumptions!$I$11+AY712*Assumptions!$I$12,2),"")</f>
        <v>36.98</v>
      </c>
      <c r="BA712" s="0" t="str">
        <f aca="false">IF(AZ712="","",IF(AZ712&lt;=Assumptions!$I$18,"Below Expectation",IF(AZ712&lt;=Assumptions!$I$19,"Developing",IF(AZ712&lt;=Assumptions!$I$20,"Meets Expectation",IF(AZ712&lt;=Assumptions!$I$21,"Exceeds","Star Performer")))))</f>
        <v>Below Expectation</v>
      </c>
      <c r="BB712" s="0" t="n">
        <f aca="false">IF(AZ712="",0,IF(AZ712&gt;=Assumptions!$I$26,1,0))</f>
        <v>0</v>
      </c>
      <c r="BC712" s="9" t="n">
        <f aca="false">IF(AL712="",2,AL712+2)</f>
        <v>2</v>
      </c>
      <c r="BD712" s="10" t="n">
        <f aca="false">IF(AM712="",ROUND(AVERAGE($AM$2:$AM$921),3),AM712)</f>
        <v>0.5</v>
      </c>
      <c r="BE712" s="9" t="n">
        <f aca="false">1-BD712</f>
        <v>0.5</v>
      </c>
    </row>
    <row r="713" customFormat="false" ht="14.25" hidden="true" customHeight="false" outlineLevel="0" collapsed="false">
      <c r="A713" s="4" t="n">
        <v>625</v>
      </c>
      <c r="B713" s="5" t="n">
        <v>55054703</v>
      </c>
      <c r="C713" s="5" t="s">
        <v>85</v>
      </c>
      <c r="D713" s="5" t="s">
        <v>2447</v>
      </c>
      <c r="E713" s="5" t="s">
        <v>235</v>
      </c>
      <c r="F713" s="5" t="s">
        <v>590</v>
      </c>
      <c r="G713" s="5" t="s">
        <v>589</v>
      </c>
      <c r="H713" s="5" t="s">
        <v>590</v>
      </c>
      <c r="I713" s="5" t="s">
        <v>63</v>
      </c>
      <c r="J713" s="5" t="s">
        <v>76</v>
      </c>
      <c r="K713" s="5" t="s">
        <v>309</v>
      </c>
      <c r="L713" s="6" t="n">
        <v>44768</v>
      </c>
      <c r="M713" s="5" t="s">
        <v>532</v>
      </c>
      <c r="N713" s="6" t="n">
        <v>37097</v>
      </c>
      <c r="O713" s="5" t="s">
        <v>1264</v>
      </c>
      <c r="P713" s="5" t="s">
        <v>1559</v>
      </c>
      <c r="Q713" s="5" t="s">
        <v>591</v>
      </c>
      <c r="R713" s="5" t="s">
        <v>115</v>
      </c>
      <c r="S713" s="5" t="s">
        <v>591</v>
      </c>
      <c r="T713" s="6"/>
      <c r="U713" s="6"/>
      <c r="V713" s="5"/>
      <c r="W713" s="5" t="s">
        <v>631</v>
      </c>
      <c r="X713" s="5" t="s">
        <v>631</v>
      </c>
      <c r="Y713" s="5" t="s">
        <v>631</v>
      </c>
      <c r="Z713" s="5" t="s">
        <v>141</v>
      </c>
      <c r="AA713" s="5" t="s">
        <v>2448</v>
      </c>
      <c r="AB713" s="0" t="n">
        <f aca="false">IFERROR(VALUE(R713),0)</f>
        <v>0</v>
      </c>
      <c r="AC713" s="0" t="n">
        <f aca="false">IFERROR(VALUE(M713),"")</f>
        <v>24.1</v>
      </c>
      <c r="AD713" s="0" t="n">
        <f aca="false">IFERROR(VALUE(Q713),"")</f>
        <v>3.1</v>
      </c>
      <c r="AE713" s="0" t="n">
        <f aca="false">IFERROR(VALUE(S713),"")</f>
        <v>3.1</v>
      </c>
      <c r="AF713" s="0" t="str">
        <f aca="false">IF(V713="","",VLOOKUP(V713,Assumptions!$B$6:$C$9,2,FALSE()))</f>
        <v/>
      </c>
      <c r="AG713" s="0" t="n">
        <f aca="false">IF(W713="","",VLOOKUP(W713,Assumptions!$B$6:$C$9,2,FALSE()))</f>
        <v>2</v>
      </c>
      <c r="AH713" s="0" t="n">
        <f aca="false">IF(X713="","",VLOOKUP(X713,Assumptions!$B$6:$C$9,2,FALSE()))</f>
        <v>2</v>
      </c>
      <c r="AI713" s="0" t="n">
        <f aca="false">IF(Y713="","",VLOOKUP(Y713,Assumptions!$B$6:$C$9,2,FALSE()))</f>
        <v>2</v>
      </c>
      <c r="AJ713" s="0" t="n">
        <f aca="false">IF(Z713="","",VLOOKUP(Z713,Assumptions!$B$6:$C$9,2,FALSE()))</f>
        <v>3</v>
      </c>
      <c r="AK713" s="7" t="n">
        <f aca="false">IFERROR(ROUND(AVERAGE(AF713:AJ713),3),"")</f>
        <v>2.25</v>
      </c>
      <c r="AL713" s="7" t="str">
        <f aca="false">IF(OR(AF713="",AJ713=""),"",AJ713-AF713)</f>
        <v/>
      </c>
      <c r="AM713" s="7" t="n">
        <f aca="false">IF(COUNT(AF713:AJ713)&gt;=2,ROUND(_xlfn.STDEV.S(AF713:AJ713),3),"")</f>
        <v>0.5</v>
      </c>
      <c r="AN713" s="7" t="n">
        <f aca="false">ROUND((IF(AF713="",0,AF713)*Assumptions!$F$15)+(IF(AG713="",0,AG713)*Assumptions!$F$16)+(IF(AH713="",0,AH713)*Assumptions!$F$17)+(IF(AI713="",0,AI713)*Assumptions!$F$18)+(IF(AJ713="",0,AJ713)*Assumptions!$F$19),3)</f>
        <v>2.1</v>
      </c>
      <c r="AO713" s="0" t="str">
        <f aca="false">IF(AC713&lt;=20,"",IF(AC713&lt;=Assumptions!$F$6,"20-30",IF(AC713&lt;=Assumptions!$F$7,"30-40",IF(AC713&lt;=Assumptions!$F$8,"40-50",IF(AC713&lt;=Assumptions!$F$9,"50-60",IF(AC713&lt;=Assumptions!$F$10,"60+",""))))))</f>
        <v>20-30</v>
      </c>
      <c r="AP713" s="0" t="str">
        <f aca="false">IFERROR(VLOOKUP(O713,Assumptions!$B$14:$C$26,2,FALSE()),"Other")</f>
        <v>Manager</v>
      </c>
      <c r="AQ713" s="0" t="n">
        <f aca="false">IF(T713="",0,1)</f>
        <v>0</v>
      </c>
      <c r="AR713" s="0" t="n">
        <f aca="false">IF(U713="",0,1)</f>
        <v>0</v>
      </c>
      <c r="AS713" s="8" t="n">
        <f aca="false">IF(AK713="","",IF(MAX($AK$2:$AK$921)=MIN($AK$2:$AK$921),50,ROUND((AK713-MIN($AK$2:$AK$921))/(MAX($AK$2:$AK$921)-MIN($AK$2:$AK$921))*100,2)))</f>
        <v>24.99</v>
      </c>
      <c r="AT713" s="8" t="n">
        <f aca="false">IF(MAX($BC$2:$BC$921)=MIN($BC$2:$BC$921),50,ROUND((BC713-MIN($BC$2:$BC$921))/(MAX($BC$2:$BC$921)-MIN($BC$2:$BC$921))*100,2))</f>
        <v>50</v>
      </c>
      <c r="AU713" s="8" t="n">
        <f aca="false">IF(MAX($BE$2:$BE$921)=MIN($BE$2:$BE$921),50,ROUND((BE713-MIN($BE$2:$BE$921))/(MAX($BE$2:$BE$921)-MIN($BE$2:$BE$921))*100,2))</f>
        <v>71.13</v>
      </c>
      <c r="AV713" s="8" t="n">
        <f aca="false">IF(MAX($AD$2:$AD$921)=MIN($AD$2:$AD$921),50,ROUND((AD713-MIN($AD$2:$AD$921))/(MAX($AD$2:$AD$921)-MIN($AD$2:$AD$921))*100,2))</f>
        <v>8.13</v>
      </c>
      <c r="AW713" s="8" t="n">
        <f aca="false">IF(MAX($AN$2:$AN$921)=MIN($AN$2:$AN$921),50,ROUND((AN713-MIN($AN$2:$AN$921))/(MAX($AN$2:$AN$921)-MIN($AN$2:$AN$921))*100,2))</f>
        <v>52.5</v>
      </c>
      <c r="AX713" s="8" t="n">
        <f aca="false">AQ713*100</f>
        <v>0</v>
      </c>
      <c r="AY713" s="8" t="n">
        <f aca="false">AR713*100</f>
        <v>0</v>
      </c>
      <c r="AZ713" s="8" t="n">
        <f aca="false">IFERROR(ROUND(AS713*Assumptions!$I$6+AW713*Assumptions!$I$7+AT713*Assumptions!$I$8+AU713*Assumptions!$I$9+AV713*Assumptions!$I$10+AX713*Assumptions!$I$11+AY713*Assumptions!$I$12,2),"")</f>
        <v>36.98</v>
      </c>
      <c r="BA713" s="0" t="str">
        <f aca="false">IF(AZ713="","",IF(AZ713&lt;=Assumptions!$I$18,"Below Expectation",IF(AZ713&lt;=Assumptions!$I$19,"Developing",IF(AZ713&lt;=Assumptions!$I$20,"Meets Expectation",IF(AZ713&lt;=Assumptions!$I$21,"Exceeds","Star Performer")))))</f>
        <v>Below Expectation</v>
      </c>
      <c r="BB713" s="0" t="n">
        <f aca="false">IF(AZ713="",0,IF(AZ713&gt;=Assumptions!$I$26,1,0))</f>
        <v>0</v>
      </c>
      <c r="BC713" s="9" t="n">
        <f aca="false">IF(AL713="",2,AL713+2)</f>
        <v>2</v>
      </c>
      <c r="BD713" s="10" t="n">
        <f aca="false">IF(AM713="",ROUND(AVERAGE($AM$2:$AM$921),3),AM713)</f>
        <v>0.5</v>
      </c>
      <c r="BE713" s="9" t="n">
        <f aca="false">1-BD713</f>
        <v>0.5</v>
      </c>
    </row>
    <row r="714" customFormat="false" ht="14.25" hidden="true" customHeight="false" outlineLevel="0" collapsed="false">
      <c r="A714" s="4" t="n">
        <v>628</v>
      </c>
      <c r="B714" s="5" t="n">
        <v>55055025</v>
      </c>
      <c r="C714" s="5" t="s">
        <v>85</v>
      </c>
      <c r="D714" s="5" t="s">
        <v>2449</v>
      </c>
      <c r="E714" s="5" t="s">
        <v>339</v>
      </c>
      <c r="F714" s="5" t="s">
        <v>590</v>
      </c>
      <c r="G714" s="5" t="s">
        <v>589</v>
      </c>
      <c r="H714" s="5" t="s">
        <v>590</v>
      </c>
      <c r="I714" s="5" t="s">
        <v>63</v>
      </c>
      <c r="J714" s="5" t="s">
        <v>76</v>
      </c>
      <c r="K714" s="5" t="s">
        <v>309</v>
      </c>
      <c r="L714" s="6" t="n">
        <v>44770</v>
      </c>
      <c r="M714" s="5" t="s">
        <v>574</v>
      </c>
      <c r="N714" s="6" t="n">
        <v>36771</v>
      </c>
      <c r="O714" s="5" t="s">
        <v>1264</v>
      </c>
      <c r="P714" s="5" t="s">
        <v>1559</v>
      </c>
      <c r="Q714" s="5" t="s">
        <v>591</v>
      </c>
      <c r="R714" s="5" t="s">
        <v>115</v>
      </c>
      <c r="S714" s="5" t="s">
        <v>591</v>
      </c>
      <c r="T714" s="6"/>
      <c r="U714" s="6"/>
      <c r="V714" s="5"/>
      <c r="W714" s="5" t="s">
        <v>631</v>
      </c>
      <c r="X714" s="5" t="s">
        <v>631</v>
      </c>
      <c r="Y714" s="5" t="s">
        <v>631</v>
      </c>
      <c r="Z714" s="5" t="s">
        <v>141</v>
      </c>
      <c r="AA714" s="5" t="s">
        <v>2450</v>
      </c>
      <c r="AB714" s="0" t="n">
        <f aca="false">IFERROR(VALUE(R714),0)</f>
        <v>0</v>
      </c>
      <c r="AC714" s="0" t="n">
        <f aca="false">IFERROR(VALUE(M714),"")</f>
        <v>25.9</v>
      </c>
      <c r="AD714" s="0" t="n">
        <f aca="false">IFERROR(VALUE(Q714),"")</f>
        <v>3.1</v>
      </c>
      <c r="AE714" s="0" t="n">
        <f aca="false">IFERROR(VALUE(S714),"")</f>
        <v>3.1</v>
      </c>
      <c r="AF714" s="0" t="str">
        <f aca="false">IF(V714="","",VLOOKUP(V714,Assumptions!$B$6:$C$9,2,FALSE()))</f>
        <v/>
      </c>
      <c r="AG714" s="0" t="n">
        <f aca="false">IF(W714="","",VLOOKUP(W714,Assumptions!$B$6:$C$9,2,FALSE()))</f>
        <v>2</v>
      </c>
      <c r="AH714" s="0" t="n">
        <f aca="false">IF(X714="","",VLOOKUP(X714,Assumptions!$B$6:$C$9,2,FALSE()))</f>
        <v>2</v>
      </c>
      <c r="AI714" s="0" t="n">
        <f aca="false">IF(Y714="","",VLOOKUP(Y714,Assumptions!$B$6:$C$9,2,FALSE()))</f>
        <v>2</v>
      </c>
      <c r="AJ714" s="0" t="n">
        <f aca="false">IF(Z714="","",VLOOKUP(Z714,Assumptions!$B$6:$C$9,2,FALSE()))</f>
        <v>3</v>
      </c>
      <c r="AK714" s="7" t="n">
        <f aca="false">IFERROR(ROUND(AVERAGE(AF714:AJ714),3),"")</f>
        <v>2.25</v>
      </c>
      <c r="AL714" s="7" t="str">
        <f aca="false">IF(OR(AF714="",AJ714=""),"",AJ714-AF714)</f>
        <v/>
      </c>
      <c r="AM714" s="7" t="n">
        <f aca="false">IF(COUNT(AF714:AJ714)&gt;=2,ROUND(_xlfn.STDEV.S(AF714:AJ714),3),"")</f>
        <v>0.5</v>
      </c>
      <c r="AN714" s="7" t="n">
        <f aca="false">ROUND((IF(AF714="",0,AF714)*Assumptions!$F$15)+(IF(AG714="",0,AG714)*Assumptions!$F$16)+(IF(AH714="",0,AH714)*Assumptions!$F$17)+(IF(AI714="",0,AI714)*Assumptions!$F$18)+(IF(AJ714="",0,AJ714)*Assumptions!$F$19),3)</f>
        <v>2.1</v>
      </c>
      <c r="AO714" s="0" t="str">
        <f aca="false">IF(AC714&lt;=20,"",IF(AC714&lt;=Assumptions!$F$6,"20-30",IF(AC714&lt;=Assumptions!$F$7,"30-40",IF(AC714&lt;=Assumptions!$F$8,"40-50",IF(AC714&lt;=Assumptions!$F$9,"50-60",IF(AC714&lt;=Assumptions!$F$10,"60+",""))))))</f>
        <v>20-30</v>
      </c>
      <c r="AP714" s="0" t="str">
        <f aca="false">IFERROR(VLOOKUP(O714,Assumptions!$B$14:$C$26,2,FALSE()),"Other")</f>
        <v>Manager</v>
      </c>
      <c r="AQ714" s="0" t="n">
        <f aca="false">IF(T714="",0,1)</f>
        <v>0</v>
      </c>
      <c r="AR714" s="0" t="n">
        <f aca="false">IF(U714="",0,1)</f>
        <v>0</v>
      </c>
      <c r="AS714" s="8" t="n">
        <f aca="false">IF(AK714="","",IF(MAX($AK$2:$AK$921)=MIN($AK$2:$AK$921),50,ROUND((AK714-MIN($AK$2:$AK$921))/(MAX($AK$2:$AK$921)-MIN($AK$2:$AK$921))*100,2)))</f>
        <v>24.99</v>
      </c>
      <c r="AT714" s="8" t="n">
        <f aca="false">IF(MAX($BC$2:$BC$921)=MIN($BC$2:$BC$921),50,ROUND((BC714-MIN($BC$2:$BC$921))/(MAX($BC$2:$BC$921)-MIN($BC$2:$BC$921))*100,2))</f>
        <v>50</v>
      </c>
      <c r="AU714" s="8" t="n">
        <f aca="false">IF(MAX($BE$2:$BE$921)=MIN($BE$2:$BE$921),50,ROUND((BE714-MIN($BE$2:$BE$921))/(MAX($BE$2:$BE$921)-MIN($BE$2:$BE$921))*100,2))</f>
        <v>71.13</v>
      </c>
      <c r="AV714" s="8" t="n">
        <f aca="false">IF(MAX($AD$2:$AD$921)=MIN($AD$2:$AD$921),50,ROUND((AD714-MIN($AD$2:$AD$921))/(MAX($AD$2:$AD$921)-MIN($AD$2:$AD$921))*100,2))</f>
        <v>8.13</v>
      </c>
      <c r="AW714" s="8" t="n">
        <f aca="false">IF(MAX($AN$2:$AN$921)=MIN($AN$2:$AN$921),50,ROUND((AN714-MIN($AN$2:$AN$921))/(MAX($AN$2:$AN$921)-MIN($AN$2:$AN$921))*100,2))</f>
        <v>52.5</v>
      </c>
      <c r="AX714" s="8" t="n">
        <f aca="false">AQ714*100</f>
        <v>0</v>
      </c>
      <c r="AY714" s="8" t="n">
        <f aca="false">AR714*100</f>
        <v>0</v>
      </c>
      <c r="AZ714" s="8" t="n">
        <f aca="false">IFERROR(ROUND(AS714*Assumptions!$I$6+AW714*Assumptions!$I$7+AT714*Assumptions!$I$8+AU714*Assumptions!$I$9+AV714*Assumptions!$I$10+AX714*Assumptions!$I$11+AY714*Assumptions!$I$12,2),"")</f>
        <v>36.98</v>
      </c>
      <c r="BA714" s="0" t="str">
        <f aca="false">IF(AZ714="","",IF(AZ714&lt;=Assumptions!$I$18,"Below Expectation",IF(AZ714&lt;=Assumptions!$I$19,"Developing",IF(AZ714&lt;=Assumptions!$I$20,"Meets Expectation",IF(AZ714&lt;=Assumptions!$I$21,"Exceeds","Star Performer")))))</f>
        <v>Below Expectation</v>
      </c>
      <c r="BB714" s="0" t="n">
        <f aca="false">IF(AZ714="",0,IF(AZ714&gt;=Assumptions!$I$26,1,0))</f>
        <v>0</v>
      </c>
      <c r="BC714" s="9" t="n">
        <f aca="false">IF(AL714="",2,AL714+2)</f>
        <v>2</v>
      </c>
      <c r="BD714" s="10" t="n">
        <f aca="false">IF(AM714="",ROUND(AVERAGE($AM$2:$AM$921),3),AM714)</f>
        <v>0.5</v>
      </c>
      <c r="BE714" s="9" t="n">
        <f aca="false">1-BD714</f>
        <v>0.5</v>
      </c>
    </row>
    <row r="715" customFormat="false" ht="14.25" hidden="true" customHeight="false" outlineLevel="0" collapsed="false">
      <c r="A715" s="4" t="n">
        <v>520</v>
      </c>
      <c r="B715" s="5" t="n">
        <v>55046133</v>
      </c>
      <c r="C715" s="5" t="s">
        <v>85</v>
      </c>
      <c r="D715" s="5" t="s">
        <v>2451</v>
      </c>
      <c r="E715" s="5" t="s">
        <v>137</v>
      </c>
      <c r="F715" s="5" t="s">
        <v>2251</v>
      </c>
      <c r="G715" s="5" t="s">
        <v>2250</v>
      </c>
      <c r="H715" s="5" t="s">
        <v>2251</v>
      </c>
      <c r="I715" s="5" t="s">
        <v>63</v>
      </c>
      <c r="J715" s="5" t="s">
        <v>76</v>
      </c>
      <c r="K715" s="5" t="s">
        <v>309</v>
      </c>
      <c r="L715" s="6" t="n">
        <v>44578</v>
      </c>
      <c r="M715" s="5" t="s">
        <v>242</v>
      </c>
      <c r="N715" s="6" t="n">
        <v>36388</v>
      </c>
      <c r="O715" s="5" t="s">
        <v>1264</v>
      </c>
      <c r="P715" s="5" t="s">
        <v>1559</v>
      </c>
      <c r="Q715" s="5" t="s">
        <v>545</v>
      </c>
      <c r="R715" s="5" t="s">
        <v>115</v>
      </c>
      <c r="S715" s="5" t="s">
        <v>545</v>
      </c>
      <c r="T715" s="6"/>
      <c r="U715" s="6"/>
      <c r="V715" s="5"/>
      <c r="W715" s="5" t="s">
        <v>631</v>
      </c>
      <c r="X715" s="5" t="s">
        <v>631</v>
      </c>
      <c r="Y715" s="5" t="s">
        <v>631</v>
      </c>
      <c r="Z715" s="5" t="s">
        <v>631</v>
      </c>
      <c r="AA715" s="5" t="s">
        <v>2452</v>
      </c>
      <c r="AB715" s="0" t="n">
        <f aca="false">IFERROR(VALUE(R715),0)</f>
        <v>0</v>
      </c>
      <c r="AC715" s="0" t="n">
        <f aca="false">IFERROR(VALUE(M715),"")</f>
        <v>26.9</v>
      </c>
      <c r="AD715" s="0" t="n">
        <f aca="false">IFERROR(VALUE(Q715),"")</f>
        <v>4.4</v>
      </c>
      <c r="AE715" s="0" t="n">
        <f aca="false">IFERROR(VALUE(S715),"")</f>
        <v>4.4</v>
      </c>
      <c r="AF715" s="0" t="str">
        <f aca="false">IF(V715="","",VLOOKUP(V715,Assumptions!$B$6:$C$9,2,FALSE()))</f>
        <v/>
      </c>
      <c r="AG715" s="0" t="n">
        <f aca="false">IF(W715="","",VLOOKUP(W715,Assumptions!$B$6:$C$9,2,FALSE()))</f>
        <v>2</v>
      </c>
      <c r="AH715" s="0" t="n">
        <f aca="false">IF(X715="","",VLOOKUP(X715,Assumptions!$B$6:$C$9,2,FALSE()))</f>
        <v>2</v>
      </c>
      <c r="AI715" s="0" t="n">
        <f aca="false">IF(Y715="","",VLOOKUP(Y715,Assumptions!$B$6:$C$9,2,FALSE()))</f>
        <v>2</v>
      </c>
      <c r="AJ715" s="0" t="n">
        <f aca="false">IF(Z715="","",VLOOKUP(Z715,Assumptions!$B$6:$C$9,2,FALSE()))</f>
        <v>2</v>
      </c>
      <c r="AK715" s="7" t="n">
        <f aca="false">IFERROR(ROUND(AVERAGE(AF715:AJ715),3),"")</f>
        <v>2</v>
      </c>
      <c r="AL715" s="7" t="str">
        <f aca="false">IF(OR(AF715="",AJ715=""),"",AJ715-AF715)</f>
        <v/>
      </c>
      <c r="AM715" s="7" t="n">
        <f aca="false">IF(COUNT(AF715:AJ715)&gt;=2,ROUND(_xlfn.STDEV.S(AF715:AJ715),3),"")</f>
        <v>0</v>
      </c>
      <c r="AN715" s="7" t="n">
        <f aca="false">ROUND((IF(AF715="",0,AF715)*Assumptions!$F$15)+(IF(AG715="",0,AG715)*Assumptions!$F$16)+(IF(AH715="",0,AH715)*Assumptions!$F$17)+(IF(AI715="",0,AI715)*Assumptions!$F$18)+(IF(AJ715="",0,AJ715)*Assumptions!$F$19),3)</f>
        <v>1.8</v>
      </c>
      <c r="AO715" s="0" t="str">
        <f aca="false">IF(AC715&lt;=20,"",IF(AC715&lt;=Assumptions!$F$6,"20-30",IF(AC715&lt;=Assumptions!$F$7,"30-40",IF(AC715&lt;=Assumptions!$F$8,"40-50",IF(AC715&lt;=Assumptions!$F$9,"50-60",IF(AC715&lt;=Assumptions!$F$10,"60+",""))))))</f>
        <v>20-30</v>
      </c>
      <c r="AP715" s="0" t="str">
        <f aca="false">IFERROR(VLOOKUP(O715,Assumptions!$B$14:$C$26,2,FALSE()),"Other")</f>
        <v>Manager</v>
      </c>
      <c r="AQ715" s="0" t="n">
        <f aca="false">IF(T715="",0,1)</f>
        <v>0</v>
      </c>
      <c r="AR715" s="0" t="n">
        <f aca="false">IF(U715="",0,1)</f>
        <v>0</v>
      </c>
      <c r="AS715" s="8" t="n">
        <f aca="false">IF(AK715="","",IF(MAX($AK$2:$AK$921)=MIN($AK$2:$AK$921),50,ROUND((AK715-MIN($AK$2:$AK$921))/(MAX($AK$2:$AK$921)-MIN($AK$2:$AK$921))*100,2)))</f>
        <v>14.27</v>
      </c>
      <c r="AT715" s="8" t="n">
        <f aca="false">IF(MAX($BC$2:$BC$921)=MIN($BC$2:$BC$921),50,ROUND((BC715-MIN($BC$2:$BC$921))/(MAX($BC$2:$BC$921)-MIN($BC$2:$BC$921))*100,2))</f>
        <v>50</v>
      </c>
      <c r="AU715" s="8" t="n">
        <f aca="false">IF(MAX($BE$2:$BE$921)=MIN($BE$2:$BE$921),50,ROUND((BE715-MIN($BE$2:$BE$921))/(MAX($BE$2:$BE$921)-MIN($BE$2:$BE$921))*100,2))</f>
        <v>100</v>
      </c>
      <c r="AV715" s="8" t="n">
        <f aca="false">IF(MAX($AD$2:$AD$921)=MIN($AD$2:$AD$921),50,ROUND((AD715-MIN($AD$2:$AD$921))/(MAX($AD$2:$AD$921)-MIN($AD$2:$AD$921))*100,2))</f>
        <v>11.66</v>
      </c>
      <c r="AW715" s="8" t="n">
        <f aca="false">IF(MAX($AN$2:$AN$921)=MIN($AN$2:$AN$921),50,ROUND((AN715-MIN($AN$2:$AN$921))/(MAX($AN$2:$AN$921)-MIN($AN$2:$AN$921))*100,2))</f>
        <v>45</v>
      </c>
      <c r="AX715" s="8" t="n">
        <f aca="false">AQ715*100</f>
        <v>0</v>
      </c>
      <c r="AY715" s="8" t="n">
        <f aca="false">AR715*100</f>
        <v>0</v>
      </c>
      <c r="AZ715" s="8" t="n">
        <f aca="false">IFERROR(ROUND(AS715*Assumptions!$I$6+AW715*Assumptions!$I$7+AT715*Assumptions!$I$8+AU715*Assumptions!$I$9+AV715*Assumptions!$I$10+AX715*Assumptions!$I$11+AY715*Assumptions!$I$12,2),"")</f>
        <v>36.95</v>
      </c>
      <c r="BA715" s="0" t="str">
        <f aca="false">IF(AZ715="","",IF(AZ715&lt;=Assumptions!$I$18,"Below Expectation",IF(AZ715&lt;=Assumptions!$I$19,"Developing",IF(AZ715&lt;=Assumptions!$I$20,"Meets Expectation",IF(AZ715&lt;=Assumptions!$I$21,"Exceeds","Star Performer")))))</f>
        <v>Below Expectation</v>
      </c>
      <c r="BB715" s="0" t="n">
        <f aca="false">IF(AZ715="",0,IF(AZ715&gt;=Assumptions!$I$26,1,0))</f>
        <v>0</v>
      </c>
      <c r="BC715" s="9" t="n">
        <f aca="false">IF(AL715="",2,AL715+2)</f>
        <v>2</v>
      </c>
      <c r="BD715" s="10" t="n">
        <f aca="false">IF(AM715="",ROUND(AVERAGE($AM$2:$AM$921),3),AM715)</f>
        <v>0</v>
      </c>
      <c r="BE715" s="9" t="n">
        <f aca="false">1-BD715</f>
        <v>1</v>
      </c>
    </row>
    <row r="716" customFormat="false" ht="14.25" hidden="true" customHeight="false" outlineLevel="0" collapsed="false">
      <c r="A716" s="4" t="n">
        <v>521</v>
      </c>
      <c r="B716" s="5" t="n">
        <v>55046190</v>
      </c>
      <c r="C716" s="5" t="s">
        <v>85</v>
      </c>
      <c r="D716" s="5" t="s">
        <v>2453</v>
      </c>
      <c r="E716" s="5" t="s">
        <v>144</v>
      </c>
      <c r="F716" s="5" t="s">
        <v>2251</v>
      </c>
      <c r="G716" s="5" t="s">
        <v>2250</v>
      </c>
      <c r="H716" s="5" t="s">
        <v>2251</v>
      </c>
      <c r="I716" s="5" t="s">
        <v>63</v>
      </c>
      <c r="J716" s="5" t="s">
        <v>76</v>
      </c>
      <c r="K716" s="5" t="s">
        <v>309</v>
      </c>
      <c r="L716" s="6" t="n">
        <v>44578</v>
      </c>
      <c r="M716" s="5" t="s">
        <v>574</v>
      </c>
      <c r="N716" s="6" t="n">
        <v>36770</v>
      </c>
      <c r="O716" s="5" t="s">
        <v>1264</v>
      </c>
      <c r="P716" s="5" t="s">
        <v>1559</v>
      </c>
      <c r="Q716" s="5" t="s">
        <v>545</v>
      </c>
      <c r="R716" s="5" t="s">
        <v>115</v>
      </c>
      <c r="S716" s="5" t="s">
        <v>545</v>
      </c>
      <c r="T716" s="6"/>
      <c r="U716" s="6"/>
      <c r="V716" s="5"/>
      <c r="W716" s="5" t="s">
        <v>631</v>
      </c>
      <c r="X716" s="5" t="s">
        <v>631</v>
      </c>
      <c r="Y716" s="5" t="s">
        <v>631</v>
      </c>
      <c r="Z716" s="5" t="s">
        <v>631</v>
      </c>
      <c r="AA716" s="5" t="s">
        <v>2395</v>
      </c>
      <c r="AB716" s="0" t="n">
        <f aca="false">IFERROR(VALUE(R716),0)</f>
        <v>0</v>
      </c>
      <c r="AC716" s="0" t="n">
        <f aca="false">IFERROR(VALUE(M716),"")</f>
        <v>25.9</v>
      </c>
      <c r="AD716" s="0" t="n">
        <f aca="false">IFERROR(VALUE(Q716),"")</f>
        <v>4.4</v>
      </c>
      <c r="AE716" s="0" t="n">
        <f aca="false">IFERROR(VALUE(S716),"")</f>
        <v>4.4</v>
      </c>
      <c r="AF716" s="0" t="str">
        <f aca="false">IF(V716="","",VLOOKUP(V716,Assumptions!$B$6:$C$9,2,FALSE()))</f>
        <v/>
      </c>
      <c r="AG716" s="0" t="n">
        <f aca="false">IF(W716="","",VLOOKUP(W716,Assumptions!$B$6:$C$9,2,FALSE()))</f>
        <v>2</v>
      </c>
      <c r="AH716" s="0" t="n">
        <f aca="false">IF(X716="","",VLOOKUP(X716,Assumptions!$B$6:$C$9,2,FALSE()))</f>
        <v>2</v>
      </c>
      <c r="AI716" s="0" t="n">
        <f aca="false">IF(Y716="","",VLOOKUP(Y716,Assumptions!$B$6:$C$9,2,FALSE()))</f>
        <v>2</v>
      </c>
      <c r="AJ716" s="0" t="n">
        <f aca="false">IF(Z716="","",VLOOKUP(Z716,Assumptions!$B$6:$C$9,2,FALSE()))</f>
        <v>2</v>
      </c>
      <c r="AK716" s="7" t="n">
        <f aca="false">IFERROR(ROUND(AVERAGE(AF716:AJ716),3),"")</f>
        <v>2</v>
      </c>
      <c r="AL716" s="7" t="str">
        <f aca="false">IF(OR(AF716="",AJ716=""),"",AJ716-AF716)</f>
        <v/>
      </c>
      <c r="AM716" s="7" t="n">
        <f aca="false">IF(COUNT(AF716:AJ716)&gt;=2,ROUND(_xlfn.STDEV.S(AF716:AJ716),3),"")</f>
        <v>0</v>
      </c>
      <c r="AN716" s="7" t="n">
        <f aca="false">ROUND((IF(AF716="",0,AF716)*Assumptions!$F$15)+(IF(AG716="",0,AG716)*Assumptions!$F$16)+(IF(AH716="",0,AH716)*Assumptions!$F$17)+(IF(AI716="",0,AI716)*Assumptions!$F$18)+(IF(AJ716="",0,AJ716)*Assumptions!$F$19),3)</f>
        <v>1.8</v>
      </c>
      <c r="AO716" s="0" t="str">
        <f aca="false">IF(AC716&lt;=20,"",IF(AC716&lt;=Assumptions!$F$6,"20-30",IF(AC716&lt;=Assumptions!$F$7,"30-40",IF(AC716&lt;=Assumptions!$F$8,"40-50",IF(AC716&lt;=Assumptions!$F$9,"50-60",IF(AC716&lt;=Assumptions!$F$10,"60+",""))))))</f>
        <v>20-30</v>
      </c>
      <c r="AP716" s="0" t="str">
        <f aca="false">IFERROR(VLOOKUP(O716,Assumptions!$B$14:$C$26,2,FALSE()),"Other")</f>
        <v>Manager</v>
      </c>
      <c r="AQ716" s="0" t="n">
        <f aca="false">IF(T716="",0,1)</f>
        <v>0</v>
      </c>
      <c r="AR716" s="0" t="n">
        <f aca="false">IF(U716="",0,1)</f>
        <v>0</v>
      </c>
      <c r="AS716" s="8" t="n">
        <f aca="false">IF(AK716="","",IF(MAX($AK$2:$AK$921)=MIN($AK$2:$AK$921),50,ROUND((AK716-MIN($AK$2:$AK$921))/(MAX($AK$2:$AK$921)-MIN($AK$2:$AK$921))*100,2)))</f>
        <v>14.27</v>
      </c>
      <c r="AT716" s="8" t="n">
        <f aca="false">IF(MAX($BC$2:$BC$921)=MIN($BC$2:$BC$921),50,ROUND((BC716-MIN($BC$2:$BC$921))/(MAX($BC$2:$BC$921)-MIN($BC$2:$BC$921))*100,2))</f>
        <v>50</v>
      </c>
      <c r="AU716" s="8" t="n">
        <f aca="false">IF(MAX($BE$2:$BE$921)=MIN($BE$2:$BE$921),50,ROUND((BE716-MIN($BE$2:$BE$921))/(MAX($BE$2:$BE$921)-MIN($BE$2:$BE$921))*100,2))</f>
        <v>100</v>
      </c>
      <c r="AV716" s="8" t="n">
        <f aca="false">IF(MAX($AD$2:$AD$921)=MIN($AD$2:$AD$921),50,ROUND((AD716-MIN($AD$2:$AD$921))/(MAX($AD$2:$AD$921)-MIN($AD$2:$AD$921))*100,2))</f>
        <v>11.66</v>
      </c>
      <c r="AW716" s="8" t="n">
        <f aca="false">IF(MAX($AN$2:$AN$921)=MIN($AN$2:$AN$921),50,ROUND((AN716-MIN($AN$2:$AN$921))/(MAX($AN$2:$AN$921)-MIN($AN$2:$AN$921))*100,2))</f>
        <v>45</v>
      </c>
      <c r="AX716" s="8" t="n">
        <f aca="false">AQ716*100</f>
        <v>0</v>
      </c>
      <c r="AY716" s="8" t="n">
        <f aca="false">AR716*100</f>
        <v>0</v>
      </c>
      <c r="AZ716" s="8" t="n">
        <f aca="false">IFERROR(ROUND(AS716*Assumptions!$I$6+AW716*Assumptions!$I$7+AT716*Assumptions!$I$8+AU716*Assumptions!$I$9+AV716*Assumptions!$I$10+AX716*Assumptions!$I$11+AY716*Assumptions!$I$12,2),"")</f>
        <v>36.95</v>
      </c>
      <c r="BA716" s="0" t="str">
        <f aca="false">IF(AZ716="","",IF(AZ716&lt;=Assumptions!$I$18,"Below Expectation",IF(AZ716&lt;=Assumptions!$I$19,"Developing",IF(AZ716&lt;=Assumptions!$I$20,"Meets Expectation",IF(AZ716&lt;=Assumptions!$I$21,"Exceeds","Star Performer")))))</f>
        <v>Below Expectation</v>
      </c>
      <c r="BB716" s="0" t="n">
        <f aca="false">IF(AZ716="",0,IF(AZ716&gt;=Assumptions!$I$26,1,0))</f>
        <v>0</v>
      </c>
      <c r="BC716" s="9" t="n">
        <f aca="false">IF(AL716="",2,AL716+2)</f>
        <v>2</v>
      </c>
      <c r="BD716" s="10" t="n">
        <f aca="false">IF(AM716="",ROUND(AVERAGE($AM$2:$AM$921),3),AM716)</f>
        <v>0</v>
      </c>
      <c r="BE716" s="9" t="n">
        <f aca="false">1-BD716</f>
        <v>1</v>
      </c>
    </row>
    <row r="717" customFormat="false" ht="14.25" hidden="true" customHeight="false" outlineLevel="0" collapsed="false">
      <c r="A717" s="4" t="n">
        <v>651</v>
      </c>
      <c r="B717" s="5" t="n">
        <v>55056908</v>
      </c>
      <c r="C717" s="5" t="s">
        <v>858</v>
      </c>
      <c r="D717" s="5" t="s">
        <v>2454</v>
      </c>
      <c r="E717" s="5" t="s">
        <v>1176</v>
      </c>
      <c r="F717" s="5" t="s">
        <v>2048</v>
      </c>
      <c r="G717" s="5" t="s">
        <v>2049</v>
      </c>
      <c r="H717" s="5" t="s">
        <v>2050</v>
      </c>
      <c r="I717" s="5" t="s">
        <v>63</v>
      </c>
      <c r="J717" s="5" t="s">
        <v>100</v>
      </c>
      <c r="K717" s="5" t="s">
        <v>309</v>
      </c>
      <c r="L717" s="6" t="n">
        <v>44809</v>
      </c>
      <c r="M717" s="5" t="s">
        <v>758</v>
      </c>
      <c r="N717" s="6" t="n">
        <v>36044</v>
      </c>
      <c r="O717" s="5" t="s">
        <v>585</v>
      </c>
      <c r="P717" s="5" t="s">
        <v>586</v>
      </c>
      <c r="Q717" s="5" t="s">
        <v>231</v>
      </c>
      <c r="R717" s="5" t="s">
        <v>115</v>
      </c>
      <c r="S717" s="5" t="s">
        <v>231</v>
      </c>
      <c r="T717" s="6"/>
      <c r="U717" s="6"/>
      <c r="V717" s="5"/>
      <c r="W717" s="5" t="s">
        <v>631</v>
      </c>
      <c r="X717" s="5" t="s">
        <v>631</v>
      </c>
      <c r="Y717" s="5" t="s">
        <v>141</v>
      </c>
      <c r="Z717" s="5" t="s">
        <v>631</v>
      </c>
      <c r="AA717" s="5" t="s">
        <v>2455</v>
      </c>
      <c r="AB717" s="0" t="n">
        <f aca="false">IFERROR(VALUE(R717),0)</f>
        <v>0</v>
      </c>
      <c r="AC717" s="0" t="n">
        <f aca="false">IFERROR(VALUE(M717),"")</f>
        <v>27.9</v>
      </c>
      <c r="AD717" s="0" t="n">
        <f aca="false">IFERROR(VALUE(Q717),"")</f>
        <v>3.9</v>
      </c>
      <c r="AE717" s="0" t="n">
        <f aca="false">IFERROR(VALUE(S717),"")</f>
        <v>3.9</v>
      </c>
      <c r="AF717" s="0" t="str">
        <f aca="false">IF(V717="","",VLOOKUP(V717,Assumptions!$B$6:$C$9,2,FALSE()))</f>
        <v/>
      </c>
      <c r="AG717" s="0" t="n">
        <f aca="false">IF(W717="","",VLOOKUP(W717,Assumptions!$B$6:$C$9,2,FALSE()))</f>
        <v>2</v>
      </c>
      <c r="AH717" s="0" t="n">
        <f aca="false">IF(X717="","",VLOOKUP(X717,Assumptions!$B$6:$C$9,2,FALSE()))</f>
        <v>2</v>
      </c>
      <c r="AI717" s="0" t="n">
        <f aca="false">IF(Y717="","",VLOOKUP(Y717,Assumptions!$B$6:$C$9,2,FALSE()))</f>
        <v>3</v>
      </c>
      <c r="AJ717" s="0" t="n">
        <f aca="false">IF(Z717="","",VLOOKUP(Z717,Assumptions!$B$6:$C$9,2,FALSE()))</f>
        <v>2</v>
      </c>
      <c r="AK717" s="7" t="n">
        <f aca="false">IFERROR(ROUND(AVERAGE(AF717:AJ717),3),"")</f>
        <v>2.25</v>
      </c>
      <c r="AL717" s="7" t="str">
        <f aca="false">IF(OR(AF717="",AJ717=""),"",AJ717-AF717)</f>
        <v/>
      </c>
      <c r="AM717" s="7" t="n">
        <f aca="false">IF(COUNT(AF717:AJ717)&gt;=2,ROUND(_xlfn.STDEV.S(AF717:AJ717),3),"")</f>
        <v>0.5</v>
      </c>
      <c r="AN717" s="7" t="n">
        <f aca="false">ROUND((IF(AF717="",0,AF717)*Assumptions!$F$15)+(IF(AG717="",0,AG717)*Assumptions!$F$16)+(IF(AH717="",0,AH717)*Assumptions!$F$17)+(IF(AI717="",0,AI717)*Assumptions!$F$18)+(IF(AJ717="",0,AJ717)*Assumptions!$F$19),3)</f>
        <v>2.05</v>
      </c>
      <c r="AO717" s="0" t="str">
        <f aca="false">IF(AC717&lt;=20,"",IF(AC717&lt;=Assumptions!$F$6,"20-30",IF(AC717&lt;=Assumptions!$F$7,"30-40",IF(AC717&lt;=Assumptions!$F$8,"40-50",IF(AC717&lt;=Assumptions!$F$9,"50-60",IF(AC717&lt;=Assumptions!$F$10,"60+",""))))))</f>
        <v>20-30</v>
      </c>
      <c r="AP717" s="0" t="str">
        <f aca="false">IFERROR(VLOOKUP(O717,Assumptions!$B$14:$C$26,2,FALSE()),"Other")</f>
        <v>Manager</v>
      </c>
      <c r="AQ717" s="0" t="n">
        <f aca="false">IF(T717="",0,1)</f>
        <v>0</v>
      </c>
      <c r="AR717" s="0" t="n">
        <f aca="false">IF(U717="",0,1)</f>
        <v>0</v>
      </c>
      <c r="AS717" s="8" t="n">
        <f aca="false">IF(AK717="","",IF(MAX($AK$2:$AK$921)=MIN($AK$2:$AK$921),50,ROUND((AK717-MIN($AK$2:$AK$921))/(MAX($AK$2:$AK$921)-MIN($AK$2:$AK$921))*100,2)))</f>
        <v>24.99</v>
      </c>
      <c r="AT717" s="8" t="n">
        <f aca="false">IF(MAX($BC$2:$BC$921)=MIN($BC$2:$BC$921),50,ROUND((BC717-MIN($BC$2:$BC$921))/(MAX($BC$2:$BC$921)-MIN($BC$2:$BC$921))*100,2))</f>
        <v>50</v>
      </c>
      <c r="AU717" s="8" t="n">
        <f aca="false">IF(MAX($BE$2:$BE$921)=MIN($BE$2:$BE$921),50,ROUND((BE717-MIN($BE$2:$BE$921))/(MAX($BE$2:$BE$921)-MIN($BE$2:$BE$921))*100,2))</f>
        <v>71.13</v>
      </c>
      <c r="AV717" s="8" t="n">
        <f aca="false">IF(MAX($AD$2:$AD$921)=MIN($AD$2:$AD$921),50,ROUND((AD717-MIN($AD$2:$AD$921))/(MAX($AD$2:$AD$921)-MIN($AD$2:$AD$921))*100,2))</f>
        <v>10.3</v>
      </c>
      <c r="AW717" s="8" t="n">
        <f aca="false">IF(MAX($AN$2:$AN$921)=MIN($AN$2:$AN$921),50,ROUND((AN717-MIN($AN$2:$AN$921))/(MAX($AN$2:$AN$921)-MIN($AN$2:$AN$921))*100,2))</f>
        <v>51.25</v>
      </c>
      <c r="AX717" s="8" t="n">
        <f aca="false">AQ717*100</f>
        <v>0</v>
      </c>
      <c r="AY717" s="8" t="n">
        <f aca="false">AR717*100</f>
        <v>0</v>
      </c>
      <c r="AZ717" s="8" t="n">
        <f aca="false">IFERROR(ROUND(AS717*Assumptions!$I$6+AW717*Assumptions!$I$7+AT717*Assumptions!$I$8+AU717*Assumptions!$I$9+AV717*Assumptions!$I$10+AX717*Assumptions!$I$11+AY717*Assumptions!$I$12,2),"")</f>
        <v>36.95</v>
      </c>
      <c r="BA717" s="0" t="str">
        <f aca="false">IF(AZ717="","",IF(AZ717&lt;=Assumptions!$I$18,"Below Expectation",IF(AZ717&lt;=Assumptions!$I$19,"Developing",IF(AZ717&lt;=Assumptions!$I$20,"Meets Expectation",IF(AZ717&lt;=Assumptions!$I$21,"Exceeds","Star Performer")))))</f>
        <v>Below Expectation</v>
      </c>
      <c r="BB717" s="0" t="n">
        <f aca="false">IF(AZ717="",0,IF(AZ717&gt;=Assumptions!$I$26,1,0))</f>
        <v>0</v>
      </c>
      <c r="BC717" s="9" t="n">
        <f aca="false">IF(AL717="",2,AL717+2)</f>
        <v>2</v>
      </c>
      <c r="BD717" s="10" t="n">
        <f aca="false">IF(AM717="",ROUND(AVERAGE($AM$2:$AM$921),3),AM717)</f>
        <v>0.5</v>
      </c>
      <c r="BE717" s="9" t="n">
        <f aca="false">1-BD717</f>
        <v>0.5</v>
      </c>
    </row>
    <row r="718" customFormat="false" ht="14.25" hidden="true" customHeight="false" outlineLevel="0" collapsed="false">
      <c r="A718" s="4" t="n">
        <v>540</v>
      </c>
      <c r="B718" s="5" t="n">
        <v>55047802</v>
      </c>
      <c r="C718" s="5"/>
      <c r="D718" s="5" t="s">
        <v>2456</v>
      </c>
      <c r="E718" s="5" t="s">
        <v>1092</v>
      </c>
      <c r="F718" s="5" t="s">
        <v>2457</v>
      </c>
      <c r="G718" s="5" t="s">
        <v>589</v>
      </c>
      <c r="H718" s="5" t="s">
        <v>590</v>
      </c>
      <c r="I718" s="5" t="s">
        <v>63</v>
      </c>
      <c r="J718" s="5" t="s">
        <v>76</v>
      </c>
      <c r="K718" s="5" t="s">
        <v>65</v>
      </c>
      <c r="L718" s="6" t="n">
        <v>44627</v>
      </c>
      <c r="M718" s="5" t="s">
        <v>2458</v>
      </c>
      <c r="N718" s="6" t="n">
        <v>36137</v>
      </c>
      <c r="O718" s="5" t="s">
        <v>1264</v>
      </c>
      <c r="P718" s="5" t="s">
        <v>1559</v>
      </c>
      <c r="Q718" s="5" t="s">
        <v>1407</v>
      </c>
      <c r="R718" s="5" t="s">
        <v>531</v>
      </c>
      <c r="S718" s="5" t="s">
        <v>81</v>
      </c>
      <c r="T718" s="6"/>
      <c r="U718" s="6"/>
      <c r="V718" s="5"/>
      <c r="W718" s="5" t="s">
        <v>631</v>
      </c>
      <c r="X718" s="5" t="s">
        <v>631</v>
      </c>
      <c r="Y718" s="5" t="s">
        <v>631</v>
      </c>
      <c r="Z718" s="5" t="s">
        <v>631</v>
      </c>
      <c r="AA718" s="5" t="s">
        <v>2459</v>
      </c>
      <c r="AB718" s="0" t="n">
        <f aca="false">IFERROR(VALUE(R718),0)</f>
        <v>0.2</v>
      </c>
      <c r="AC718" s="0" t="n">
        <f aca="false">IFERROR(VALUE(M718),"")</f>
        <v>27.6</v>
      </c>
      <c r="AD718" s="0" t="n">
        <f aca="false">IFERROR(VALUE(Q718),"")</f>
        <v>4.3</v>
      </c>
      <c r="AE718" s="0" t="n">
        <f aca="false">IFERROR(VALUE(S718),"")</f>
        <v>4.5</v>
      </c>
      <c r="AF718" s="0" t="str">
        <f aca="false">IF(V718="","",VLOOKUP(V718,Assumptions!$B$6:$C$9,2,FALSE()))</f>
        <v/>
      </c>
      <c r="AG718" s="0" t="n">
        <f aca="false">IF(W718="","",VLOOKUP(W718,Assumptions!$B$6:$C$9,2,FALSE()))</f>
        <v>2</v>
      </c>
      <c r="AH718" s="0" t="n">
        <f aca="false">IF(X718="","",VLOOKUP(X718,Assumptions!$B$6:$C$9,2,FALSE()))</f>
        <v>2</v>
      </c>
      <c r="AI718" s="0" t="n">
        <f aca="false">IF(Y718="","",VLOOKUP(Y718,Assumptions!$B$6:$C$9,2,FALSE()))</f>
        <v>2</v>
      </c>
      <c r="AJ718" s="0" t="n">
        <f aca="false">IF(Z718="","",VLOOKUP(Z718,Assumptions!$B$6:$C$9,2,FALSE()))</f>
        <v>2</v>
      </c>
      <c r="AK718" s="7" t="n">
        <f aca="false">IFERROR(ROUND(AVERAGE(AF718:AJ718),3),"")</f>
        <v>2</v>
      </c>
      <c r="AL718" s="7" t="str">
        <f aca="false">IF(OR(AF718="",AJ718=""),"",AJ718-AF718)</f>
        <v/>
      </c>
      <c r="AM718" s="7" t="n">
        <f aca="false">IF(COUNT(AF718:AJ718)&gt;=2,ROUND(_xlfn.STDEV.S(AF718:AJ718),3),"")</f>
        <v>0</v>
      </c>
      <c r="AN718" s="7" t="n">
        <f aca="false">ROUND((IF(AF718="",0,AF718)*Assumptions!$F$15)+(IF(AG718="",0,AG718)*Assumptions!$F$16)+(IF(AH718="",0,AH718)*Assumptions!$F$17)+(IF(AI718="",0,AI718)*Assumptions!$F$18)+(IF(AJ718="",0,AJ718)*Assumptions!$F$19),3)</f>
        <v>1.8</v>
      </c>
      <c r="AO718" s="0" t="str">
        <f aca="false">IF(AC718&lt;=20,"",IF(AC718&lt;=Assumptions!$F$6,"20-30",IF(AC718&lt;=Assumptions!$F$7,"30-40",IF(AC718&lt;=Assumptions!$F$8,"40-50",IF(AC718&lt;=Assumptions!$F$9,"50-60",IF(AC718&lt;=Assumptions!$F$10,"60+",""))))))</f>
        <v>20-30</v>
      </c>
      <c r="AP718" s="0" t="str">
        <f aca="false">IFERROR(VLOOKUP(O718,Assumptions!$B$14:$C$26,2,FALSE()),"Other")</f>
        <v>Manager</v>
      </c>
      <c r="AQ718" s="0" t="n">
        <f aca="false">IF(T718="",0,1)</f>
        <v>0</v>
      </c>
      <c r="AR718" s="0" t="n">
        <f aca="false">IF(U718="",0,1)</f>
        <v>0</v>
      </c>
      <c r="AS718" s="8" t="n">
        <f aca="false">IF(AK718="","",IF(MAX($AK$2:$AK$921)=MIN($AK$2:$AK$921),50,ROUND((AK718-MIN($AK$2:$AK$921))/(MAX($AK$2:$AK$921)-MIN($AK$2:$AK$921))*100,2)))</f>
        <v>14.27</v>
      </c>
      <c r="AT718" s="8" t="n">
        <f aca="false">IF(MAX($BC$2:$BC$921)=MIN($BC$2:$BC$921),50,ROUND((BC718-MIN($BC$2:$BC$921))/(MAX($BC$2:$BC$921)-MIN($BC$2:$BC$921))*100,2))</f>
        <v>50</v>
      </c>
      <c r="AU718" s="8" t="n">
        <f aca="false">IF(MAX($BE$2:$BE$921)=MIN($BE$2:$BE$921),50,ROUND((BE718-MIN($BE$2:$BE$921))/(MAX($BE$2:$BE$921)-MIN($BE$2:$BE$921))*100,2))</f>
        <v>100</v>
      </c>
      <c r="AV718" s="8" t="n">
        <f aca="false">IF(MAX($AD$2:$AD$921)=MIN($AD$2:$AD$921),50,ROUND((AD718-MIN($AD$2:$AD$921))/(MAX($AD$2:$AD$921)-MIN($AD$2:$AD$921))*100,2))</f>
        <v>11.39</v>
      </c>
      <c r="AW718" s="8" t="n">
        <f aca="false">IF(MAX($AN$2:$AN$921)=MIN($AN$2:$AN$921),50,ROUND((AN718-MIN($AN$2:$AN$921))/(MAX($AN$2:$AN$921)-MIN($AN$2:$AN$921))*100,2))</f>
        <v>45</v>
      </c>
      <c r="AX718" s="8" t="n">
        <f aca="false">AQ718*100</f>
        <v>0</v>
      </c>
      <c r="AY718" s="8" t="n">
        <f aca="false">AR718*100</f>
        <v>0</v>
      </c>
      <c r="AZ718" s="8" t="n">
        <f aca="false">IFERROR(ROUND(AS718*Assumptions!$I$6+AW718*Assumptions!$I$7+AT718*Assumptions!$I$8+AU718*Assumptions!$I$9+AV718*Assumptions!$I$10+AX718*Assumptions!$I$11+AY718*Assumptions!$I$12,2),"")</f>
        <v>36.92</v>
      </c>
      <c r="BA718" s="0" t="str">
        <f aca="false">IF(AZ718="","",IF(AZ718&lt;=Assumptions!$I$18,"Below Expectation",IF(AZ718&lt;=Assumptions!$I$19,"Developing",IF(AZ718&lt;=Assumptions!$I$20,"Meets Expectation",IF(AZ718&lt;=Assumptions!$I$21,"Exceeds","Star Performer")))))</f>
        <v>Below Expectation</v>
      </c>
      <c r="BB718" s="0" t="n">
        <f aca="false">IF(AZ718="",0,IF(AZ718&gt;=Assumptions!$I$26,1,0))</f>
        <v>0</v>
      </c>
      <c r="BC718" s="9" t="n">
        <f aca="false">IF(AL718="",2,AL718+2)</f>
        <v>2</v>
      </c>
      <c r="BD718" s="10" t="n">
        <f aca="false">IF(AM718="",ROUND(AVERAGE($AM$2:$AM$921),3),AM718)</f>
        <v>0</v>
      </c>
      <c r="BE718" s="9" t="n">
        <f aca="false">1-BD718</f>
        <v>1</v>
      </c>
    </row>
    <row r="719" customFormat="false" ht="14.25" hidden="true" customHeight="false" outlineLevel="0" collapsed="false">
      <c r="A719" s="4" t="n">
        <v>656</v>
      </c>
      <c r="B719" s="5" t="n">
        <v>55057734</v>
      </c>
      <c r="C719" s="5" t="s">
        <v>57</v>
      </c>
      <c r="D719" s="5" t="s">
        <v>2460</v>
      </c>
      <c r="E719" s="5" t="s">
        <v>607</v>
      </c>
      <c r="F719" s="5" t="s">
        <v>608</v>
      </c>
      <c r="G719" s="5" t="s">
        <v>609</v>
      </c>
      <c r="H719" s="5" t="s">
        <v>608</v>
      </c>
      <c r="I719" s="5" t="s">
        <v>63</v>
      </c>
      <c r="J719" s="5" t="s">
        <v>100</v>
      </c>
      <c r="K719" s="5" t="s">
        <v>309</v>
      </c>
      <c r="L719" s="6" t="n">
        <v>44825</v>
      </c>
      <c r="M719" s="5" t="s">
        <v>625</v>
      </c>
      <c r="N719" s="6" t="n">
        <v>33570</v>
      </c>
      <c r="O719" s="5" t="s">
        <v>365</v>
      </c>
      <c r="P719" s="5" t="s">
        <v>365</v>
      </c>
      <c r="Q719" s="5" t="s">
        <v>445</v>
      </c>
      <c r="R719" s="5" t="s">
        <v>491</v>
      </c>
      <c r="S719" s="5" t="s">
        <v>1140</v>
      </c>
      <c r="T719" s="6"/>
      <c r="U719" s="6"/>
      <c r="V719" s="5"/>
      <c r="W719" s="5" t="s">
        <v>631</v>
      </c>
      <c r="X719" s="5" t="s">
        <v>631</v>
      </c>
      <c r="Y719" s="5" t="s">
        <v>141</v>
      </c>
      <c r="Z719" s="5" t="s">
        <v>631</v>
      </c>
      <c r="AA719" s="5" t="s">
        <v>2461</v>
      </c>
      <c r="AB719" s="0" t="n">
        <f aca="false">IFERROR(VALUE(R719),0)</f>
        <v>4.7</v>
      </c>
      <c r="AC719" s="0" t="n">
        <f aca="false">IFERROR(VALUE(M719),"")</f>
        <v>34.6</v>
      </c>
      <c r="AD719" s="0" t="n">
        <f aca="false">IFERROR(VALUE(Q719),"")</f>
        <v>3.8</v>
      </c>
      <c r="AE719" s="0" t="n">
        <f aca="false">IFERROR(VALUE(S719),"")</f>
        <v>8.3</v>
      </c>
      <c r="AF719" s="0" t="str">
        <f aca="false">IF(V719="","",VLOOKUP(V719,Assumptions!$B$6:$C$9,2,FALSE()))</f>
        <v/>
      </c>
      <c r="AG719" s="0" t="n">
        <f aca="false">IF(W719="","",VLOOKUP(W719,Assumptions!$B$6:$C$9,2,FALSE()))</f>
        <v>2</v>
      </c>
      <c r="AH719" s="0" t="n">
        <f aca="false">IF(X719="","",VLOOKUP(X719,Assumptions!$B$6:$C$9,2,FALSE()))</f>
        <v>2</v>
      </c>
      <c r="AI719" s="0" t="n">
        <f aca="false">IF(Y719="","",VLOOKUP(Y719,Assumptions!$B$6:$C$9,2,FALSE()))</f>
        <v>3</v>
      </c>
      <c r="AJ719" s="0" t="n">
        <f aca="false">IF(Z719="","",VLOOKUP(Z719,Assumptions!$B$6:$C$9,2,FALSE()))</f>
        <v>2</v>
      </c>
      <c r="AK719" s="7" t="n">
        <f aca="false">IFERROR(ROUND(AVERAGE(AF719:AJ719),3),"")</f>
        <v>2.25</v>
      </c>
      <c r="AL719" s="7" t="str">
        <f aca="false">IF(OR(AF719="",AJ719=""),"",AJ719-AF719)</f>
        <v/>
      </c>
      <c r="AM719" s="7" t="n">
        <f aca="false">IF(COUNT(AF719:AJ719)&gt;=2,ROUND(_xlfn.STDEV.S(AF719:AJ719),3),"")</f>
        <v>0.5</v>
      </c>
      <c r="AN719" s="7" t="n">
        <f aca="false">ROUND((IF(AF719="",0,AF719)*Assumptions!$F$15)+(IF(AG719="",0,AG719)*Assumptions!$F$16)+(IF(AH719="",0,AH719)*Assumptions!$F$17)+(IF(AI719="",0,AI719)*Assumptions!$F$18)+(IF(AJ719="",0,AJ719)*Assumptions!$F$19),3)</f>
        <v>2.05</v>
      </c>
      <c r="AO719" s="0" t="str">
        <f aca="false">IF(AC719&lt;=20,"",IF(AC719&lt;=Assumptions!$F$6,"20-30",IF(AC719&lt;=Assumptions!$F$7,"30-40",IF(AC719&lt;=Assumptions!$F$8,"40-50",IF(AC719&lt;=Assumptions!$F$9,"50-60",IF(AC719&lt;=Assumptions!$F$10,"60+",""))))))</f>
        <v>30-40</v>
      </c>
      <c r="AP719" s="0" t="str">
        <f aca="false">IFERROR(VLOOKUP(O719,Assumptions!$B$14:$C$26,2,FALSE()),"Other")</f>
        <v>Manager</v>
      </c>
      <c r="AQ719" s="0" t="n">
        <f aca="false">IF(T719="",0,1)</f>
        <v>0</v>
      </c>
      <c r="AR719" s="0" t="n">
        <f aca="false">IF(U719="",0,1)</f>
        <v>0</v>
      </c>
      <c r="AS719" s="8" t="n">
        <f aca="false">IF(AK719="","",IF(MAX($AK$2:$AK$921)=MIN($AK$2:$AK$921),50,ROUND((AK719-MIN($AK$2:$AK$921))/(MAX($AK$2:$AK$921)-MIN($AK$2:$AK$921))*100,2)))</f>
        <v>24.99</v>
      </c>
      <c r="AT719" s="8" t="n">
        <f aca="false">IF(MAX($BC$2:$BC$921)=MIN($BC$2:$BC$921),50,ROUND((BC719-MIN($BC$2:$BC$921))/(MAX($BC$2:$BC$921)-MIN($BC$2:$BC$921))*100,2))</f>
        <v>50</v>
      </c>
      <c r="AU719" s="8" t="n">
        <f aca="false">IF(MAX($BE$2:$BE$921)=MIN($BE$2:$BE$921),50,ROUND((BE719-MIN($BE$2:$BE$921))/(MAX($BE$2:$BE$921)-MIN($BE$2:$BE$921))*100,2))</f>
        <v>71.13</v>
      </c>
      <c r="AV719" s="8" t="n">
        <f aca="false">IF(MAX($AD$2:$AD$921)=MIN($AD$2:$AD$921),50,ROUND((AD719-MIN($AD$2:$AD$921))/(MAX($AD$2:$AD$921)-MIN($AD$2:$AD$921))*100,2))</f>
        <v>10.03</v>
      </c>
      <c r="AW719" s="8" t="n">
        <f aca="false">IF(MAX($AN$2:$AN$921)=MIN($AN$2:$AN$921),50,ROUND((AN719-MIN($AN$2:$AN$921))/(MAX($AN$2:$AN$921)-MIN($AN$2:$AN$921))*100,2))</f>
        <v>51.25</v>
      </c>
      <c r="AX719" s="8" t="n">
        <f aca="false">AQ719*100</f>
        <v>0</v>
      </c>
      <c r="AY719" s="8" t="n">
        <f aca="false">AR719*100</f>
        <v>0</v>
      </c>
      <c r="AZ719" s="8" t="n">
        <f aca="false">IFERROR(ROUND(AS719*Assumptions!$I$6+AW719*Assumptions!$I$7+AT719*Assumptions!$I$8+AU719*Assumptions!$I$9+AV719*Assumptions!$I$10+AX719*Assumptions!$I$11+AY719*Assumptions!$I$12,2),"")</f>
        <v>36.92</v>
      </c>
      <c r="BA719" s="0" t="str">
        <f aca="false">IF(AZ719="","",IF(AZ719&lt;=Assumptions!$I$18,"Below Expectation",IF(AZ719&lt;=Assumptions!$I$19,"Developing",IF(AZ719&lt;=Assumptions!$I$20,"Meets Expectation",IF(AZ719&lt;=Assumptions!$I$21,"Exceeds","Star Performer")))))</f>
        <v>Below Expectation</v>
      </c>
      <c r="BB719" s="0" t="n">
        <f aca="false">IF(AZ719="",0,IF(AZ719&gt;=Assumptions!$I$26,1,0))</f>
        <v>0</v>
      </c>
      <c r="BC719" s="9" t="n">
        <f aca="false">IF(AL719="",2,AL719+2)</f>
        <v>2</v>
      </c>
      <c r="BD719" s="10" t="n">
        <f aca="false">IF(AM719="",ROUND(AVERAGE($AM$2:$AM$921),3),AM719)</f>
        <v>0.5</v>
      </c>
      <c r="BE719" s="9" t="n">
        <f aca="false">1-BD719</f>
        <v>0.5</v>
      </c>
    </row>
    <row r="720" customFormat="false" ht="14.25" hidden="true" customHeight="false" outlineLevel="0" collapsed="false">
      <c r="A720" s="4" t="n">
        <v>542</v>
      </c>
      <c r="B720" s="5" t="n">
        <v>55048311</v>
      </c>
      <c r="C720" s="5" t="s">
        <v>858</v>
      </c>
      <c r="D720" s="5" t="s">
        <v>2462</v>
      </c>
      <c r="E720" s="5" t="s">
        <v>1080</v>
      </c>
      <c r="F720" s="5" t="s">
        <v>964</v>
      </c>
      <c r="G720" s="5" t="s">
        <v>963</v>
      </c>
      <c r="H720" s="5" t="s">
        <v>964</v>
      </c>
      <c r="I720" s="5" t="s">
        <v>63</v>
      </c>
      <c r="J720" s="5" t="s">
        <v>100</v>
      </c>
      <c r="K720" s="5" t="s">
        <v>65</v>
      </c>
      <c r="L720" s="6" t="n">
        <v>44637</v>
      </c>
      <c r="M720" s="5" t="s">
        <v>505</v>
      </c>
      <c r="N720" s="6" t="n">
        <v>34667</v>
      </c>
      <c r="O720" s="5" t="s">
        <v>1264</v>
      </c>
      <c r="P720" s="5" t="s">
        <v>1559</v>
      </c>
      <c r="Q720" s="5" t="s">
        <v>554</v>
      </c>
      <c r="R720" s="5" t="s">
        <v>523</v>
      </c>
      <c r="S720" s="5" t="s">
        <v>1935</v>
      </c>
      <c r="T720" s="6"/>
      <c r="U720" s="6"/>
      <c r="V720" s="5"/>
      <c r="W720" s="5" t="s">
        <v>631</v>
      </c>
      <c r="X720" s="5" t="s">
        <v>631</v>
      </c>
      <c r="Y720" s="5" t="s">
        <v>631</v>
      </c>
      <c r="Z720" s="5" t="s">
        <v>631</v>
      </c>
      <c r="AA720" s="5" t="s">
        <v>2463</v>
      </c>
      <c r="AB720" s="0" t="n">
        <f aca="false">IFERROR(VALUE(R720),0)</f>
        <v>4.1</v>
      </c>
      <c r="AC720" s="0" t="n">
        <f aca="false">IFERROR(VALUE(M720),"")</f>
        <v>31.6</v>
      </c>
      <c r="AD720" s="0" t="n">
        <f aca="false">IFERROR(VALUE(Q720),"")</f>
        <v>4.2</v>
      </c>
      <c r="AE720" s="0" t="n">
        <f aca="false">IFERROR(VALUE(S720),"")</f>
        <v>9</v>
      </c>
      <c r="AF720" s="0" t="str">
        <f aca="false">IF(V720="","",VLOOKUP(V720,Assumptions!$B$6:$C$9,2,FALSE()))</f>
        <v/>
      </c>
      <c r="AG720" s="0" t="n">
        <f aca="false">IF(W720="","",VLOOKUP(W720,Assumptions!$B$6:$C$9,2,FALSE()))</f>
        <v>2</v>
      </c>
      <c r="AH720" s="0" t="n">
        <f aca="false">IF(X720="","",VLOOKUP(X720,Assumptions!$B$6:$C$9,2,FALSE()))</f>
        <v>2</v>
      </c>
      <c r="AI720" s="0" t="n">
        <f aca="false">IF(Y720="","",VLOOKUP(Y720,Assumptions!$B$6:$C$9,2,FALSE()))</f>
        <v>2</v>
      </c>
      <c r="AJ720" s="0" t="n">
        <f aca="false">IF(Z720="","",VLOOKUP(Z720,Assumptions!$B$6:$C$9,2,FALSE()))</f>
        <v>2</v>
      </c>
      <c r="AK720" s="7" t="n">
        <f aca="false">IFERROR(ROUND(AVERAGE(AF720:AJ720),3),"")</f>
        <v>2</v>
      </c>
      <c r="AL720" s="7" t="str">
        <f aca="false">IF(OR(AF720="",AJ720=""),"",AJ720-AF720)</f>
        <v/>
      </c>
      <c r="AM720" s="7" t="n">
        <f aca="false">IF(COUNT(AF720:AJ720)&gt;=2,ROUND(_xlfn.STDEV.S(AF720:AJ720),3),"")</f>
        <v>0</v>
      </c>
      <c r="AN720" s="7" t="n">
        <f aca="false">ROUND((IF(AF720="",0,AF720)*Assumptions!$F$15)+(IF(AG720="",0,AG720)*Assumptions!$F$16)+(IF(AH720="",0,AH720)*Assumptions!$F$17)+(IF(AI720="",0,AI720)*Assumptions!$F$18)+(IF(AJ720="",0,AJ720)*Assumptions!$F$19),3)</f>
        <v>1.8</v>
      </c>
      <c r="AO720" s="0" t="str">
        <f aca="false">IF(AC720&lt;=20,"",IF(AC720&lt;=Assumptions!$F$6,"20-30",IF(AC720&lt;=Assumptions!$F$7,"30-40",IF(AC720&lt;=Assumptions!$F$8,"40-50",IF(AC720&lt;=Assumptions!$F$9,"50-60",IF(AC720&lt;=Assumptions!$F$10,"60+",""))))))</f>
        <v>30-40</v>
      </c>
      <c r="AP720" s="0" t="str">
        <f aca="false">IFERROR(VLOOKUP(O720,Assumptions!$B$14:$C$26,2,FALSE()),"Other")</f>
        <v>Manager</v>
      </c>
      <c r="AQ720" s="0" t="n">
        <f aca="false">IF(T720="",0,1)</f>
        <v>0</v>
      </c>
      <c r="AR720" s="0" t="n">
        <f aca="false">IF(U720="",0,1)</f>
        <v>0</v>
      </c>
      <c r="AS720" s="8" t="n">
        <f aca="false">IF(AK720="","",IF(MAX($AK$2:$AK$921)=MIN($AK$2:$AK$921),50,ROUND((AK720-MIN($AK$2:$AK$921))/(MAX($AK$2:$AK$921)-MIN($AK$2:$AK$921))*100,2)))</f>
        <v>14.27</v>
      </c>
      <c r="AT720" s="8" t="n">
        <f aca="false">IF(MAX($BC$2:$BC$921)=MIN($BC$2:$BC$921),50,ROUND((BC720-MIN($BC$2:$BC$921))/(MAX($BC$2:$BC$921)-MIN($BC$2:$BC$921))*100,2))</f>
        <v>50</v>
      </c>
      <c r="AU720" s="8" t="n">
        <f aca="false">IF(MAX($BE$2:$BE$921)=MIN($BE$2:$BE$921),50,ROUND((BE720-MIN($BE$2:$BE$921))/(MAX($BE$2:$BE$921)-MIN($BE$2:$BE$921))*100,2))</f>
        <v>100</v>
      </c>
      <c r="AV720" s="8" t="n">
        <f aca="false">IF(MAX($AD$2:$AD$921)=MIN($AD$2:$AD$921),50,ROUND((AD720-MIN($AD$2:$AD$921))/(MAX($AD$2:$AD$921)-MIN($AD$2:$AD$921))*100,2))</f>
        <v>11.12</v>
      </c>
      <c r="AW720" s="8" t="n">
        <f aca="false">IF(MAX($AN$2:$AN$921)=MIN($AN$2:$AN$921),50,ROUND((AN720-MIN($AN$2:$AN$921))/(MAX($AN$2:$AN$921)-MIN($AN$2:$AN$921))*100,2))</f>
        <v>45</v>
      </c>
      <c r="AX720" s="8" t="n">
        <f aca="false">AQ720*100</f>
        <v>0</v>
      </c>
      <c r="AY720" s="8" t="n">
        <f aca="false">AR720*100</f>
        <v>0</v>
      </c>
      <c r="AZ720" s="8" t="n">
        <f aca="false">IFERROR(ROUND(AS720*Assumptions!$I$6+AW720*Assumptions!$I$7+AT720*Assumptions!$I$8+AU720*Assumptions!$I$9+AV720*Assumptions!$I$10+AX720*Assumptions!$I$11+AY720*Assumptions!$I$12,2),"")</f>
        <v>36.89</v>
      </c>
      <c r="BA720" s="0" t="str">
        <f aca="false">IF(AZ720="","",IF(AZ720&lt;=Assumptions!$I$18,"Below Expectation",IF(AZ720&lt;=Assumptions!$I$19,"Developing",IF(AZ720&lt;=Assumptions!$I$20,"Meets Expectation",IF(AZ720&lt;=Assumptions!$I$21,"Exceeds","Star Performer")))))</f>
        <v>Below Expectation</v>
      </c>
      <c r="BB720" s="0" t="n">
        <f aca="false">IF(AZ720="",0,IF(AZ720&gt;=Assumptions!$I$26,1,0))</f>
        <v>0</v>
      </c>
      <c r="BC720" s="9" t="n">
        <f aca="false">IF(AL720="",2,AL720+2)</f>
        <v>2</v>
      </c>
      <c r="BD720" s="10" t="n">
        <f aca="false">IF(AM720="",ROUND(AVERAGE($AM$2:$AM$921),3),AM720)</f>
        <v>0</v>
      </c>
      <c r="BE720" s="9" t="n">
        <f aca="false">1-BD720</f>
        <v>1</v>
      </c>
    </row>
    <row r="721" customFormat="false" ht="14.25" hidden="true" customHeight="false" outlineLevel="0" collapsed="false">
      <c r="A721" s="4" t="n">
        <v>688</v>
      </c>
      <c r="B721" s="5" t="n">
        <v>55060408</v>
      </c>
      <c r="C721" s="5" t="s">
        <v>85</v>
      </c>
      <c r="D721" s="5" t="s">
        <v>2464</v>
      </c>
      <c r="E721" s="5" t="s">
        <v>594</v>
      </c>
      <c r="F721" s="5" t="s">
        <v>1382</v>
      </c>
      <c r="G721" s="5" t="s">
        <v>1383</v>
      </c>
      <c r="H721" s="5" t="s">
        <v>1382</v>
      </c>
      <c r="I721" s="5" t="s">
        <v>63</v>
      </c>
      <c r="J721" s="5" t="s">
        <v>76</v>
      </c>
      <c r="K721" s="5" t="s">
        <v>309</v>
      </c>
      <c r="L721" s="6" t="n">
        <v>44868</v>
      </c>
      <c r="M721" s="5" t="s">
        <v>574</v>
      </c>
      <c r="N721" s="6" t="n">
        <v>36748</v>
      </c>
      <c r="O721" s="5" t="s">
        <v>1264</v>
      </c>
      <c r="P721" s="5" t="s">
        <v>1559</v>
      </c>
      <c r="Q721" s="5" t="s">
        <v>335</v>
      </c>
      <c r="R721" s="5" t="s">
        <v>115</v>
      </c>
      <c r="S721" s="5" t="s">
        <v>335</v>
      </c>
      <c r="T721" s="6"/>
      <c r="U721" s="6"/>
      <c r="V721" s="5"/>
      <c r="W721" s="5" t="s">
        <v>631</v>
      </c>
      <c r="X721" s="5" t="s">
        <v>631</v>
      </c>
      <c r="Y721" s="5" t="s">
        <v>141</v>
      </c>
      <c r="Z721" s="5" t="s">
        <v>631</v>
      </c>
      <c r="AA721" s="5" t="s">
        <v>2445</v>
      </c>
      <c r="AB721" s="0" t="n">
        <f aca="false">IFERROR(VALUE(R721),0)</f>
        <v>0</v>
      </c>
      <c r="AC721" s="0" t="n">
        <f aca="false">IFERROR(VALUE(M721),"")</f>
        <v>25.9</v>
      </c>
      <c r="AD721" s="0" t="n">
        <f aca="false">IFERROR(VALUE(Q721),"")</f>
        <v>3.7</v>
      </c>
      <c r="AE721" s="0" t="n">
        <f aca="false">IFERROR(VALUE(S721),"")</f>
        <v>3.7</v>
      </c>
      <c r="AF721" s="0" t="str">
        <f aca="false">IF(V721="","",VLOOKUP(V721,Assumptions!$B$6:$C$9,2,FALSE()))</f>
        <v/>
      </c>
      <c r="AG721" s="0" t="n">
        <f aca="false">IF(W721="","",VLOOKUP(W721,Assumptions!$B$6:$C$9,2,FALSE()))</f>
        <v>2</v>
      </c>
      <c r="AH721" s="0" t="n">
        <f aca="false">IF(X721="","",VLOOKUP(X721,Assumptions!$B$6:$C$9,2,FALSE()))</f>
        <v>2</v>
      </c>
      <c r="AI721" s="0" t="n">
        <f aca="false">IF(Y721="","",VLOOKUP(Y721,Assumptions!$B$6:$C$9,2,FALSE()))</f>
        <v>3</v>
      </c>
      <c r="AJ721" s="0" t="n">
        <f aca="false">IF(Z721="","",VLOOKUP(Z721,Assumptions!$B$6:$C$9,2,FALSE()))</f>
        <v>2</v>
      </c>
      <c r="AK721" s="7" t="n">
        <f aca="false">IFERROR(ROUND(AVERAGE(AF721:AJ721),3),"")</f>
        <v>2.25</v>
      </c>
      <c r="AL721" s="7" t="str">
        <f aca="false">IF(OR(AF721="",AJ721=""),"",AJ721-AF721)</f>
        <v/>
      </c>
      <c r="AM721" s="7" t="n">
        <f aca="false">IF(COUNT(AF721:AJ721)&gt;=2,ROUND(_xlfn.STDEV.S(AF721:AJ721),3),"")</f>
        <v>0.5</v>
      </c>
      <c r="AN721" s="7" t="n">
        <f aca="false">ROUND((IF(AF721="",0,AF721)*Assumptions!$F$15)+(IF(AG721="",0,AG721)*Assumptions!$F$16)+(IF(AH721="",0,AH721)*Assumptions!$F$17)+(IF(AI721="",0,AI721)*Assumptions!$F$18)+(IF(AJ721="",0,AJ721)*Assumptions!$F$19),3)</f>
        <v>2.05</v>
      </c>
      <c r="AO721" s="0" t="str">
        <f aca="false">IF(AC721&lt;=20,"",IF(AC721&lt;=Assumptions!$F$6,"20-30",IF(AC721&lt;=Assumptions!$F$7,"30-40",IF(AC721&lt;=Assumptions!$F$8,"40-50",IF(AC721&lt;=Assumptions!$F$9,"50-60",IF(AC721&lt;=Assumptions!$F$10,"60+",""))))))</f>
        <v>20-30</v>
      </c>
      <c r="AP721" s="0" t="str">
        <f aca="false">IFERROR(VLOOKUP(O721,Assumptions!$B$14:$C$26,2,FALSE()),"Other")</f>
        <v>Manager</v>
      </c>
      <c r="AQ721" s="0" t="n">
        <f aca="false">IF(T721="",0,1)</f>
        <v>0</v>
      </c>
      <c r="AR721" s="0" t="n">
        <f aca="false">IF(U721="",0,1)</f>
        <v>0</v>
      </c>
      <c r="AS721" s="8" t="n">
        <f aca="false">IF(AK721="","",IF(MAX($AK$2:$AK$921)=MIN($AK$2:$AK$921),50,ROUND((AK721-MIN($AK$2:$AK$921))/(MAX($AK$2:$AK$921)-MIN($AK$2:$AK$921))*100,2)))</f>
        <v>24.99</v>
      </c>
      <c r="AT721" s="8" t="n">
        <f aca="false">IF(MAX($BC$2:$BC$921)=MIN($BC$2:$BC$921),50,ROUND((BC721-MIN($BC$2:$BC$921))/(MAX($BC$2:$BC$921)-MIN($BC$2:$BC$921))*100,2))</f>
        <v>50</v>
      </c>
      <c r="AU721" s="8" t="n">
        <f aca="false">IF(MAX($BE$2:$BE$921)=MIN($BE$2:$BE$921),50,ROUND((BE721-MIN($BE$2:$BE$921))/(MAX($BE$2:$BE$921)-MIN($BE$2:$BE$921))*100,2))</f>
        <v>71.13</v>
      </c>
      <c r="AV721" s="8" t="n">
        <f aca="false">IF(MAX($AD$2:$AD$921)=MIN($AD$2:$AD$921),50,ROUND((AD721-MIN($AD$2:$AD$921))/(MAX($AD$2:$AD$921)-MIN($AD$2:$AD$921))*100,2))</f>
        <v>9.76</v>
      </c>
      <c r="AW721" s="8" t="n">
        <f aca="false">IF(MAX($AN$2:$AN$921)=MIN($AN$2:$AN$921),50,ROUND((AN721-MIN($AN$2:$AN$921))/(MAX($AN$2:$AN$921)-MIN($AN$2:$AN$921))*100,2))</f>
        <v>51.25</v>
      </c>
      <c r="AX721" s="8" t="n">
        <f aca="false">AQ721*100</f>
        <v>0</v>
      </c>
      <c r="AY721" s="8" t="n">
        <f aca="false">AR721*100</f>
        <v>0</v>
      </c>
      <c r="AZ721" s="8" t="n">
        <f aca="false">IFERROR(ROUND(AS721*Assumptions!$I$6+AW721*Assumptions!$I$7+AT721*Assumptions!$I$8+AU721*Assumptions!$I$9+AV721*Assumptions!$I$10+AX721*Assumptions!$I$11+AY721*Assumptions!$I$12,2),"")</f>
        <v>36.89</v>
      </c>
      <c r="BA721" s="0" t="str">
        <f aca="false">IF(AZ721="","",IF(AZ721&lt;=Assumptions!$I$18,"Below Expectation",IF(AZ721&lt;=Assumptions!$I$19,"Developing",IF(AZ721&lt;=Assumptions!$I$20,"Meets Expectation",IF(AZ721&lt;=Assumptions!$I$21,"Exceeds","Star Performer")))))</f>
        <v>Below Expectation</v>
      </c>
      <c r="BB721" s="0" t="n">
        <f aca="false">IF(AZ721="",0,IF(AZ721&gt;=Assumptions!$I$26,1,0))</f>
        <v>0</v>
      </c>
      <c r="BC721" s="9" t="n">
        <f aca="false">IF(AL721="",2,AL721+2)</f>
        <v>2</v>
      </c>
      <c r="BD721" s="10" t="n">
        <f aca="false">IF(AM721="",ROUND(AVERAGE($AM$2:$AM$921),3),AM721)</f>
        <v>0.5</v>
      </c>
      <c r="BE721" s="9" t="n">
        <f aca="false">1-BD721</f>
        <v>0.5</v>
      </c>
    </row>
    <row r="722" customFormat="false" ht="14.25" hidden="true" customHeight="false" outlineLevel="0" collapsed="false">
      <c r="A722" s="4" t="n">
        <v>508</v>
      </c>
      <c r="B722" s="5" t="n">
        <v>55045245</v>
      </c>
      <c r="C722" s="5" t="s">
        <v>85</v>
      </c>
      <c r="D722" s="5" t="s">
        <v>2465</v>
      </c>
      <c r="E722" s="5" t="s">
        <v>315</v>
      </c>
      <c r="F722" s="5" t="s">
        <v>2251</v>
      </c>
      <c r="G722" s="5" t="s">
        <v>2250</v>
      </c>
      <c r="H722" s="5" t="s">
        <v>2251</v>
      </c>
      <c r="I722" s="5" t="s">
        <v>63</v>
      </c>
      <c r="J722" s="5" t="s">
        <v>76</v>
      </c>
      <c r="K722" s="5" t="s">
        <v>309</v>
      </c>
      <c r="L722" s="6" t="n">
        <v>44543</v>
      </c>
      <c r="M722" s="5" t="s">
        <v>165</v>
      </c>
      <c r="N722" s="6" t="n">
        <v>37026</v>
      </c>
      <c r="O722" s="5" t="s">
        <v>1264</v>
      </c>
      <c r="P722" s="5" t="s">
        <v>1559</v>
      </c>
      <c r="Q722" s="5" t="s">
        <v>81</v>
      </c>
      <c r="R722" s="5" t="s">
        <v>115</v>
      </c>
      <c r="S722" s="5" t="s">
        <v>81</v>
      </c>
      <c r="T722" s="6"/>
      <c r="U722" s="6"/>
      <c r="V722" s="5" t="s">
        <v>631</v>
      </c>
      <c r="W722" s="5" t="s">
        <v>83</v>
      </c>
      <c r="X722" s="5" t="s">
        <v>631</v>
      </c>
      <c r="Y722" s="5" t="s">
        <v>631</v>
      </c>
      <c r="Z722" s="5" t="s">
        <v>631</v>
      </c>
      <c r="AA722" s="5" t="s">
        <v>2466</v>
      </c>
      <c r="AB722" s="0" t="n">
        <f aca="false">IFERROR(VALUE(R722),0)</f>
        <v>0</v>
      </c>
      <c r="AC722" s="0" t="n">
        <f aca="false">IFERROR(VALUE(M722),"")</f>
        <v>25</v>
      </c>
      <c r="AD722" s="0" t="n">
        <f aca="false">IFERROR(VALUE(Q722),"")</f>
        <v>4.5</v>
      </c>
      <c r="AE722" s="0" t="n">
        <f aca="false">IFERROR(VALUE(S722),"")</f>
        <v>4.5</v>
      </c>
      <c r="AF722" s="0" t="n">
        <f aca="false">IF(V722="","",VLOOKUP(V722,Assumptions!$B$6:$C$9,2,FALSE()))</f>
        <v>2</v>
      </c>
      <c r="AG722" s="0" t="n">
        <f aca="false">IF(W722="","",VLOOKUP(W722,Assumptions!$B$6:$C$9,2,FALSE()))</f>
        <v>4</v>
      </c>
      <c r="AH722" s="0" t="n">
        <f aca="false">IF(X722="","",VLOOKUP(X722,Assumptions!$B$6:$C$9,2,FALSE()))</f>
        <v>2</v>
      </c>
      <c r="AI722" s="0" t="n">
        <f aca="false">IF(Y722="","",VLOOKUP(Y722,Assumptions!$B$6:$C$9,2,FALSE()))</f>
        <v>2</v>
      </c>
      <c r="AJ722" s="0" t="n">
        <f aca="false">IF(Z722="","",VLOOKUP(Z722,Assumptions!$B$6:$C$9,2,FALSE()))</f>
        <v>2</v>
      </c>
      <c r="AK722" s="7" t="n">
        <f aca="false">IFERROR(ROUND(AVERAGE(AF722:AJ722),3),"")</f>
        <v>2.4</v>
      </c>
      <c r="AL722" s="7" t="n">
        <f aca="false">IF(OR(AF722="",AJ722=""),"",AJ722-AF722)</f>
        <v>0</v>
      </c>
      <c r="AM722" s="7" t="n">
        <f aca="false">IF(COUNT(AF722:AJ722)&gt;=2,ROUND(_xlfn.STDEV.S(AF722:AJ722),3),"")</f>
        <v>0.894</v>
      </c>
      <c r="AN722" s="7" t="n">
        <f aca="false">ROUND((IF(AF722="",0,AF722)*Assumptions!$F$15)+(IF(AG722="",0,AG722)*Assumptions!$F$16)+(IF(AH722="",0,AH722)*Assumptions!$F$17)+(IF(AI722="",0,AI722)*Assumptions!$F$18)+(IF(AJ722="",0,AJ722)*Assumptions!$F$19),3)</f>
        <v>2.3</v>
      </c>
      <c r="AO722" s="0" t="str">
        <f aca="false">IF(AC722&lt;=20,"",IF(AC722&lt;=Assumptions!$F$6,"20-30",IF(AC722&lt;=Assumptions!$F$7,"30-40",IF(AC722&lt;=Assumptions!$F$8,"40-50",IF(AC722&lt;=Assumptions!$F$9,"50-60",IF(AC722&lt;=Assumptions!$F$10,"60+",""))))))</f>
        <v>20-30</v>
      </c>
      <c r="AP722" s="0" t="str">
        <f aca="false">IFERROR(VLOOKUP(O722,Assumptions!$B$14:$C$26,2,FALSE()),"Other")</f>
        <v>Manager</v>
      </c>
      <c r="AQ722" s="0" t="n">
        <f aca="false">IF(T722="",0,1)</f>
        <v>0</v>
      </c>
      <c r="AR722" s="0" t="n">
        <f aca="false">IF(U722="",0,1)</f>
        <v>0</v>
      </c>
      <c r="AS722" s="8" t="n">
        <f aca="false">IF(AK722="","",IF(MAX($AK$2:$AK$921)=MIN($AK$2:$AK$921),50,ROUND((AK722-MIN($AK$2:$AK$921))/(MAX($AK$2:$AK$921)-MIN($AK$2:$AK$921))*100,2)))</f>
        <v>31.42</v>
      </c>
      <c r="AT722" s="8" t="n">
        <f aca="false">IF(MAX($BC$2:$BC$921)=MIN($BC$2:$BC$921),50,ROUND((BC722-MIN($BC$2:$BC$921))/(MAX($BC$2:$BC$921)-MIN($BC$2:$BC$921))*100,2))</f>
        <v>50</v>
      </c>
      <c r="AU722" s="8" t="n">
        <f aca="false">IF(MAX($BE$2:$BE$921)=MIN($BE$2:$BE$921),50,ROUND((BE722-MIN($BE$2:$BE$921))/(MAX($BE$2:$BE$921)-MIN($BE$2:$BE$921))*100,2))</f>
        <v>48.38</v>
      </c>
      <c r="AV722" s="8" t="n">
        <f aca="false">IF(MAX($AD$2:$AD$921)=MIN($AD$2:$AD$921),50,ROUND((AD722-MIN($AD$2:$AD$921))/(MAX($AD$2:$AD$921)-MIN($AD$2:$AD$921))*100,2))</f>
        <v>11.93</v>
      </c>
      <c r="AW722" s="8" t="n">
        <f aca="false">IF(MAX($AN$2:$AN$921)=MIN($AN$2:$AN$921),50,ROUND((AN722-MIN($AN$2:$AN$921))/(MAX($AN$2:$AN$921)-MIN($AN$2:$AN$921))*100,2))</f>
        <v>57.5</v>
      </c>
      <c r="AX722" s="8" t="n">
        <f aca="false">AQ722*100</f>
        <v>0</v>
      </c>
      <c r="AY722" s="8" t="n">
        <f aca="false">AR722*100</f>
        <v>0</v>
      </c>
      <c r="AZ722" s="8" t="n">
        <f aca="false">IFERROR(ROUND(AS722*Assumptions!$I$6+AW722*Assumptions!$I$7+AT722*Assumptions!$I$8+AU722*Assumptions!$I$9+AV722*Assumptions!$I$10+AX722*Assumptions!$I$11+AY722*Assumptions!$I$12,2),"")</f>
        <v>36.88</v>
      </c>
      <c r="BA722" s="0" t="str">
        <f aca="false">IF(AZ722="","",IF(AZ722&lt;=Assumptions!$I$18,"Below Expectation",IF(AZ722&lt;=Assumptions!$I$19,"Developing",IF(AZ722&lt;=Assumptions!$I$20,"Meets Expectation",IF(AZ722&lt;=Assumptions!$I$21,"Exceeds","Star Performer")))))</f>
        <v>Below Expectation</v>
      </c>
      <c r="BB722" s="0" t="n">
        <f aca="false">IF(AZ722="",0,IF(AZ722&gt;=Assumptions!$I$26,1,0))</f>
        <v>0</v>
      </c>
      <c r="BC722" s="9" t="n">
        <f aca="false">IF(AL722="",2,AL722+2)</f>
        <v>2</v>
      </c>
      <c r="BD722" s="10" t="n">
        <f aca="false">IF(AM722="",ROUND(AVERAGE($AM$2:$AM$921),3),AM722)</f>
        <v>0.894</v>
      </c>
      <c r="BE722" s="9" t="n">
        <f aca="false">1-BD722</f>
        <v>0.106</v>
      </c>
    </row>
    <row r="723" customFormat="false" ht="14.25" hidden="true" customHeight="false" outlineLevel="0" collapsed="false">
      <c r="A723" s="4" t="n">
        <v>556</v>
      </c>
      <c r="B723" s="5" t="n">
        <v>55049405</v>
      </c>
      <c r="C723" s="5" t="s">
        <v>85</v>
      </c>
      <c r="D723" s="5" t="s">
        <v>2467</v>
      </c>
      <c r="E723" s="5" t="s">
        <v>235</v>
      </c>
      <c r="F723" s="5" t="s">
        <v>1382</v>
      </c>
      <c r="G723" s="5" t="s">
        <v>1383</v>
      </c>
      <c r="H723" s="5" t="s">
        <v>1382</v>
      </c>
      <c r="I723" s="5" t="s">
        <v>63</v>
      </c>
      <c r="J723" s="5" t="s">
        <v>76</v>
      </c>
      <c r="K723" s="5" t="s">
        <v>309</v>
      </c>
      <c r="L723" s="6" t="n">
        <v>44665</v>
      </c>
      <c r="M723" s="5" t="s">
        <v>1242</v>
      </c>
      <c r="N723" s="6" t="n">
        <v>36185</v>
      </c>
      <c r="O723" s="5" t="s">
        <v>1264</v>
      </c>
      <c r="P723" s="5" t="s">
        <v>1559</v>
      </c>
      <c r="Q723" s="5" t="s">
        <v>1534</v>
      </c>
      <c r="R723" s="5" t="s">
        <v>115</v>
      </c>
      <c r="S723" s="5" t="s">
        <v>1534</v>
      </c>
      <c r="T723" s="6"/>
      <c r="U723" s="6"/>
      <c r="V723" s="5"/>
      <c r="W723" s="5" t="s">
        <v>631</v>
      </c>
      <c r="X723" s="5" t="s">
        <v>631</v>
      </c>
      <c r="Y723" s="5" t="s">
        <v>631</v>
      </c>
      <c r="Z723" s="5" t="s">
        <v>631</v>
      </c>
      <c r="AA723" s="5" t="s">
        <v>1734</v>
      </c>
      <c r="AB723" s="0" t="n">
        <f aca="false">IFERROR(VALUE(R723),0)</f>
        <v>0</v>
      </c>
      <c r="AC723" s="0" t="n">
        <f aca="false">IFERROR(VALUE(M723),"")</f>
        <v>27.4</v>
      </c>
      <c r="AD723" s="0" t="n">
        <f aca="false">IFERROR(VALUE(Q723),"")</f>
        <v>4.1</v>
      </c>
      <c r="AE723" s="0" t="n">
        <f aca="false">IFERROR(VALUE(S723),"")</f>
        <v>4.1</v>
      </c>
      <c r="AF723" s="0" t="str">
        <f aca="false">IF(V723="","",VLOOKUP(V723,Assumptions!$B$6:$C$9,2,FALSE()))</f>
        <v/>
      </c>
      <c r="AG723" s="0" t="n">
        <f aca="false">IF(W723="","",VLOOKUP(W723,Assumptions!$B$6:$C$9,2,FALSE()))</f>
        <v>2</v>
      </c>
      <c r="AH723" s="0" t="n">
        <f aca="false">IF(X723="","",VLOOKUP(X723,Assumptions!$B$6:$C$9,2,FALSE()))</f>
        <v>2</v>
      </c>
      <c r="AI723" s="0" t="n">
        <f aca="false">IF(Y723="","",VLOOKUP(Y723,Assumptions!$B$6:$C$9,2,FALSE()))</f>
        <v>2</v>
      </c>
      <c r="AJ723" s="0" t="n">
        <f aca="false">IF(Z723="","",VLOOKUP(Z723,Assumptions!$B$6:$C$9,2,FALSE()))</f>
        <v>2</v>
      </c>
      <c r="AK723" s="7" t="n">
        <f aca="false">IFERROR(ROUND(AVERAGE(AF723:AJ723),3),"")</f>
        <v>2</v>
      </c>
      <c r="AL723" s="7" t="str">
        <f aca="false">IF(OR(AF723="",AJ723=""),"",AJ723-AF723)</f>
        <v/>
      </c>
      <c r="AM723" s="7" t="n">
        <f aca="false">IF(COUNT(AF723:AJ723)&gt;=2,ROUND(_xlfn.STDEV.S(AF723:AJ723),3),"")</f>
        <v>0</v>
      </c>
      <c r="AN723" s="7" t="n">
        <f aca="false">ROUND((IF(AF723="",0,AF723)*Assumptions!$F$15)+(IF(AG723="",0,AG723)*Assumptions!$F$16)+(IF(AH723="",0,AH723)*Assumptions!$F$17)+(IF(AI723="",0,AI723)*Assumptions!$F$18)+(IF(AJ723="",0,AJ723)*Assumptions!$F$19),3)</f>
        <v>1.8</v>
      </c>
      <c r="AO723" s="0" t="str">
        <f aca="false">IF(AC723&lt;=20,"",IF(AC723&lt;=Assumptions!$F$6,"20-30",IF(AC723&lt;=Assumptions!$F$7,"30-40",IF(AC723&lt;=Assumptions!$F$8,"40-50",IF(AC723&lt;=Assumptions!$F$9,"50-60",IF(AC723&lt;=Assumptions!$F$10,"60+",""))))))</f>
        <v>20-30</v>
      </c>
      <c r="AP723" s="0" t="str">
        <f aca="false">IFERROR(VLOOKUP(O723,Assumptions!$B$14:$C$26,2,FALSE()),"Other")</f>
        <v>Manager</v>
      </c>
      <c r="AQ723" s="0" t="n">
        <f aca="false">IF(T723="",0,1)</f>
        <v>0</v>
      </c>
      <c r="AR723" s="0" t="n">
        <f aca="false">IF(U723="",0,1)</f>
        <v>0</v>
      </c>
      <c r="AS723" s="8" t="n">
        <f aca="false">IF(AK723="","",IF(MAX($AK$2:$AK$921)=MIN($AK$2:$AK$921),50,ROUND((AK723-MIN($AK$2:$AK$921))/(MAX($AK$2:$AK$921)-MIN($AK$2:$AK$921))*100,2)))</f>
        <v>14.27</v>
      </c>
      <c r="AT723" s="8" t="n">
        <f aca="false">IF(MAX($BC$2:$BC$921)=MIN($BC$2:$BC$921),50,ROUND((BC723-MIN($BC$2:$BC$921))/(MAX($BC$2:$BC$921)-MIN($BC$2:$BC$921))*100,2))</f>
        <v>50</v>
      </c>
      <c r="AU723" s="8" t="n">
        <f aca="false">IF(MAX($BE$2:$BE$921)=MIN($BE$2:$BE$921),50,ROUND((BE723-MIN($BE$2:$BE$921))/(MAX($BE$2:$BE$921)-MIN($BE$2:$BE$921))*100,2))</f>
        <v>100</v>
      </c>
      <c r="AV723" s="8" t="n">
        <f aca="false">IF(MAX($AD$2:$AD$921)=MIN($AD$2:$AD$921),50,ROUND((AD723-MIN($AD$2:$AD$921))/(MAX($AD$2:$AD$921)-MIN($AD$2:$AD$921))*100,2))</f>
        <v>10.85</v>
      </c>
      <c r="AW723" s="8" t="n">
        <f aca="false">IF(MAX($AN$2:$AN$921)=MIN($AN$2:$AN$921),50,ROUND((AN723-MIN($AN$2:$AN$921))/(MAX($AN$2:$AN$921)-MIN($AN$2:$AN$921))*100,2))</f>
        <v>45</v>
      </c>
      <c r="AX723" s="8" t="n">
        <f aca="false">AQ723*100</f>
        <v>0</v>
      </c>
      <c r="AY723" s="8" t="n">
        <f aca="false">AR723*100</f>
        <v>0</v>
      </c>
      <c r="AZ723" s="8" t="n">
        <f aca="false">IFERROR(ROUND(AS723*Assumptions!$I$6+AW723*Assumptions!$I$7+AT723*Assumptions!$I$8+AU723*Assumptions!$I$9+AV723*Assumptions!$I$10+AX723*Assumptions!$I$11+AY723*Assumptions!$I$12,2),"")</f>
        <v>36.87</v>
      </c>
      <c r="BA723" s="0" t="str">
        <f aca="false">IF(AZ723="","",IF(AZ723&lt;=Assumptions!$I$18,"Below Expectation",IF(AZ723&lt;=Assumptions!$I$19,"Developing",IF(AZ723&lt;=Assumptions!$I$20,"Meets Expectation",IF(AZ723&lt;=Assumptions!$I$21,"Exceeds","Star Performer")))))</f>
        <v>Below Expectation</v>
      </c>
      <c r="BB723" s="0" t="n">
        <f aca="false">IF(AZ723="",0,IF(AZ723&gt;=Assumptions!$I$26,1,0))</f>
        <v>0</v>
      </c>
      <c r="BC723" s="9" t="n">
        <f aca="false">IF(AL723="",2,AL723+2)</f>
        <v>2</v>
      </c>
      <c r="BD723" s="10" t="n">
        <f aca="false">IF(AM723="",ROUND(AVERAGE($AM$2:$AM$921),3),AM723)</f>
        <v>0</v>
      </c>
      <c r="BE723" s="9" t="n">
        <f aca="false">1-BD723</f>
        <v>1</v>
      </c>
    </row>
    <row r="724" customFormat="false" ht="14.25" hidden="true" customHeight="false" outlineLevel="0" collapsed="false">
      <c r="A724" s="4" t="n">
        <v>563</v>
      </c>
      <c r="B724" s="5" t="n">
        <v>55049906</v>
      </c>
      <c r="C724" s="5" t="s">
        <v>57</v>
      </c>
      <c r="D724" s="5" t="s">
        <v>2468</v>
      </c>
      <c r="E724" s="5" t="s">
        <v>456</v>
      </c>
      <c r="F724" s="5" t="s">
        <v>1353</v>
      </c>
      <c r="G724" s="5" t="s">
        <v>1354</v>
      </c>
      <c r="H724" s="5" t="s">
        <v>1355</v>
      </c>
      <c r="I724" s="5" t="s">
        <v>63</v>
      </c>
      <c r="J724" s="5" t="s">
        <v>100</v>
      </c>
      <c r="K724" s="5" t="s">
        <v>309</v>
      </c>
      <c r="L724" s="6" t="n">
        <v>44677</v>
      </c>
      <c r="M724" s="5" t="s">
        <v>767</v>
      </c>
      <c r="N724" s="6" t="n">
        <v>34590</v>
      </c>
      <c r="O724" s="5" t="s">
        <v>585</v>
      </c>
      <c r="P724" s="5" t="s">
        <v>586</v>
      </c>
      <c r="Q724" s="5" t="s">
        <v>1534</v>
      </c>
      <c r="R724" s="5" t="s">
        <v>345</v>
      </c>
      <c r="S724" s="5" t="s">
        <v>2469</v>
      </c>
      <c r="T724" s="6"/>
      <c r="U724" s="6"/>
      <c r="V724" s="5"/>
      <c r="W724" s="5" t="s">
        <v>631</v>
      </c>
      <c r="X724" s="5" t="s">
        <v>631</v>
      </c>
      <c r="Y724" s="5" t="s">
        <v>631</v>
      </c>
      <c r="Z724" s="5" t="s">
        <v>631</v>
      </c>
      <c r="AA724" s="5" t="s">
        <v>2470</v>
      </c>
      <c r="AB724" s="0" t="n">
        <f aca="false">IFERROR(VALUE(R724),0)</f>
        <v>3.11</v>
      </c>
      <c r="AC724" s="0" t="n">
        <f aca="false">IFERROR(VALUE(M724),"")</f>
        <v>31.8</v>
      </c>
      <c r="AD724" s="0" t="n">
        <f aca="false">IFERROR(VALUE(Q724),"")</f>
        <v>4.1</v>
      </c>
      <c r="AE724" s="0" t="n">
        <f aca="false">IFERROR(VALUE(S724),"")</f>
        <v>8</v>
      </c>
      <c r="AF724" s="0" t="str">
        <f aca="false">IF(V724="","",VLOOKUP(V724,Assumptions!$B$6:$C$9,2,FALSE()))</f>
        <v/>
      </c>
      <c r="AG724" s="0" t="n">
        <f aca="false">IF(W724="","",VLOOKUP(W724,Assumptions!$B$6:$C$9,2,FALSE()))</f>
        <v>2</v>
      </c>
      <c r="AH724" s="0" t="n">
        <f aca="false">IF(X724="","",VLOOKUP(X724,Assumptions!$B$6:$C$9,2,FALSE()))</f>
        <v>2</v>
      </c>
      <c r="AI724" s="0" t="n">
        <f aca="false">IF(Y724="","",VLOOKUP(Y724,Assumptions!$B$6:$C$9,2,FALSE()))</f>
        <v>2</v>
      </c>
      <c r="AJ724" s="0" t="n">
        <f aca="false">IF(Z724="","",VLOOKUP(Z724,Assumptions!$B$6:$C$9,2,FALSE()))</f>
        <v>2</v>
      </c>
      <c r="AK724" s="7" t="n">
        <f aca="false">IFERROR(ROUND(AVERAGE(AF724:AJ724),3),"")</f>
        <v>2</v>
      </c>
      <c r="AL724" s="7" t="str">
        <f aca="false">IF(OR(AF724="",AJ724=""),"",AJ724-AF724)</f>
        <v/>
      </c>
      <c r="AM724" s="7" t="n">
        <f aca="false">IF(COUNT(AF724:AJ724)&gt;=2,ROUND(_xlfn.STDEV.S(AF724:AJ724),3),"")</f>
        <v>0</v>
      </c>
      <c r="AN724" s="7" t="n">
        <f aca="false">ROUND((IF(AF724="",0,AF724)*Assumptions!$F$15)+(IF(AG724="",0,AG724)*Assumptions!$F$16)+(IF(AH724="",0,AH724)*Assumptions!$F$17)+(IF(AI724="",0,AI724)*Assumptions!$F$18)+(IF(AJ724="",0,AJ724)*Assumptions!$F$19),3)</f>
        <v>1.8</v>
      </c>
      <c r="AO724" s="0" t="str">
        <f aca="false">IF(AC724&lt;=20,"",IF(AC724&lt;=Assumptions!$F$6,"20-30",IF(AC724&lt;=Assumptions!$F$7,"30-40",IF(AC724&lt;=Assumptions!$F$8,"40-50",IF(AC724&lt;=Assumptions!$F$9,"50-60",IF(AC724&lt;=Assumptions!$F$10,"60+",""))))))</f>
        <v>30-40</v>
      </c>
      <c r="AP724" s="0" t="str">
        <f aca="false">IFERROR(VLOOKUP(O724,Assumptions!$B$14:$C$26,2,FALSE()),"Other")</f>
        <v>Manager</v>
      </c>
      <c r="AQ724" s="0" t="n">
        <f aca="false">IF(T724="",0,1)</f>
        <v>0</v>
      </c>
      <c r="AR724" s="0" t="n">
        <f aca="false">IF(U724="",0,1)</f>
        <v>0</v>
      </c>
      <c r="AS724" s="8" t="n">
        <f aca="false">IF(AK724="","",IF(MAX($AK$2:$AK$921)=MIN($AK$2:$AK$921),50,ROUND((AK724-MIN($AK$2:$AK$921))/(MAX($AK$2:$AK$921)-MIN($AK$2:$AK$921))*100,2)))</f>
        <v>14.27</v>
      </c>
      <c r="AT724" s="8" t="n">
        <f aca="false">IF(MAX($BC$2:$BC$921)=MIN($BC$2:$BC$921),50,ROUND((BC724-MIN($BC$2:$BC$921))/(MAX($BC$2:$BC$921)-MIN($BC$2:$BC$921))*100,2))</f>
        <v>50</v>
      </c>
      <c r="AU724" s="8" t="n">
        <f aca="false">IF(MAX($BE$2:$BE$921)=MIN($BE$2:$BE$921),50,ROUND((BE724-MIN($BE$2:$BE$921))/(MAX($BE$2:$BE$921)-MIN($BE$2:$BE$921))*100,2))</f>
        <v>100</v>
      </c>
      <c r="AV724" s="8" t="n">
        <f aca="false">IF(MAX($AD$2:$AD$921)=MIN($AD$2:$AD$921),50,ROUND((AD724-MIN($AD$2:$AD$921))/(MAX($AD$2:$AD$921)-MIN($AD$2:$AD$921))*100,2))</f>
        <v>10.85</v>
      </c>
      <c r="AW724" s="8" t="n">
        <f aca="false">IF(MAX($AN$2:$AN$921)=MIN($AN$2:$AN$921),50,ROUND((AN724-MIN($AN$2:$AN$921))/(MAX($AN$2:$AN$921)-MIN($AN$2:$AN$921))*100,2))</f>
        <v>45</v>
      </c>
      <c r="AX724" s="8" t="n">
        <f aca="false">AQ724*100</f>
        <v>0</v>
      </c>
      <c r="AY724" s="8" t="n">
        <f aca="false">AR724*100</f>
        <v>0</v>
      </c>
      <c r="AZ724" s="8" t="n">
        <f aca="false">IFERROR(ROUND(AS724*Assumptions!$I$6+AW724*Assumptions!$I$7+AT724*Assumptions!$I$8+AU724*Assumptions!$I$9+AV724*Assumptions!$I$10+AX724*Assumptions!$I$11+AY724*Assumptions!$I$12,2),"")</f>
        <v>36.87</v>
      </c>
      <c r="BA724" s="0" t="str">
        <f aca="false">IF(AZ724="","",IF(AZ724&lt;=Assumptions!$I$18,"Below Expectation",IF(AZ724&lt;=Assumptions!$I$19,"Developing",IF(AZ724&lt;=Assumptions!$I$20,"Meets Expectation",IF(AZ724&lt;=Assumptions!$I$21,"Exceeds","Star Performer")))))</f>
        <v>Below Expectation</v>
      </c>
      <c r="BB724" s="0" t="n">
        <f aca="false">IF(AZ724="",0,IF(AZ724&gt;=Assumptions!$I$26,1,0))</f>
        <v>0</v>
      </c>
      <c r="BC724" s="9" t="n">
        <f aca="false">IF(AL724="",2,AL724+2)</f>
        <v>2</v>
      </c>
      <c r="BD724" s="10" t="n">
        <f aca="false">IF(AM724="",ROUND(AVERAGE($AM$2:$AM$921),3),AM724)</f>
        <v>0</v>
      </c>
      <c r="BE724" s="9" t="n">
        <f aca="false">1-BD724</f>
        <v>1</v>
      </c>
    </row>
    <row r="725" customFormat="false" ht="14.25" hidden="false" customHeight="false" outlineLevel="0" collapsed="false">
      <c r="A725" s="4" t="n">
        <v>597</v>
      </c>
      <c r="B725" s="5" t="n">
        <v>55052382</v>
      </c>
      <c r="C725" s="5" t="s">
        <v>106</v>
      </c>
      <c r="D725" s="5" t="s">
        <v>2471</v>
      </c>
      <c r="E725" s="5" t="s">
        <v>108</v>
      </c>
      <c r="F725" s="5" t="s">
        <v>590</v>
      </c>
      <c r="G725" s="5" t="s">
        <v>2250</v>
      </c>
      <c r="H725" s="5" t="s">
        <v>2251</v>
      </c>
      <c r="I725" s="5" t="s">
        <v>63</v>
      </c>
      <c r="J725" s="5" t="s">
        <v>112</v>
      </c>
      <c r="K725" s="5" t="s">
        <v>309</v>
      </c>
      <c r="L725" s="6" t="n">
        <v>44732</v>
      </c>
      <c r="M725" s="5" t="s">
        <v>1664</v>
      </c>
      <c r="N725" s="6" t="n">
        <v>37258</v>
      </c>
      <c r="O725" s="5" t="s">
        <v>1264</v>
      </c>
      <c r="P725" s="5" t="s">
        <v>1559</v>
      </c>
      <c r="Q725" s="5" t="s">
        <v>345</v>
      </c>
      <c r="R725" s="5" t="s">
        <v>115</v>
      </c>
      <c r="S725" s="5" t="s">
        <v>345</v>
      </c>
      <c r="T725" s="6"/>
      <c r="U725" s="6"/>
      <c r="V725" s="5"/>
      <c r="W725" s="5" t="s">
        <v>631</v>
      </c>
      <c r="X725" s="5" t="s">
        <v>631</v>
      </c>
      <c r="Y725" s="5" t="s">
        <v>83</v>
      </c>
      <c r="Z725" s="5" t="s">
        <v>631</v>
      </c>
      <c r="AA725" s="5" t="s">
        <v>2472</v>
      </c>
      <c r="AB725" s="0" t="n">
        <f aca="false">IFERROR(VALUE(R725),0)</f>
        <v>0</v>
      </c>
      <c r="AC725" s="0" t="n">
        <f aca="false">IFERROR(VALUE(M725),"")</f>
        <v>24.5</v>
      </c>
      <c r="AD725" s="0" t="n">
        <f aca="false">IFERROR(VALUE(Q725),"")</f>
        <v>3.11</v>
      </c>
      <c r="AE725" s="0" t="n">
        <f aca="false">IFERROR(VALUE(S725),"")</f>
        <v>3.11</v>
      </c>
      <c r="AF725" s="0" t="str">
        <f aca="false">IF(V725="","",VLOOKUP(V725,Assumptions!$B$6:$C$9,2,FALSE()))</f>
        <v/>
      </c>
      <c r="AG725" s="0" t="n">
        <f aca="false">IF(W725="","",VLOOKUP(W725,Assumptions!$B$6:$C$9,2,FALSE()))</f>
        <v>2</v>
      </c>
      <c r="AH725" s="0" t="n">
        <f aca="false">IF(X725="","",VLOOKUP(X725,Assumptions!$B$6:$C$9,2,FALSE()))</f>
        <v>2</v>
      </c>
      <c r="AI725" s="0" t="n">
        <f aca="false">IF(Y725="","",VLOOKUP(Y725,Assumptions!$B$6:$C$9,2,FALSE()))</f>
        <v>4</v>
      </c>
      <c r="AJ725" s="0" t="n">
        <f aca="false">IF(Z725="","",VLOOKUP(Z725,Assumptions!$B$6:$C$9,2,FALSE()))</f>
        <v>2</v>
      </c>
      <c r="AK725" s="7" t="n">
        <f aca="false">IFERROR(ROUND(AVERAGE(AF725:AJ725),3),"")</f>
        <v>2.5</v>
      </c>
      <c r="AL725" s="7" t="str">
        <f aca="false">IF(OR(AF725="",AJ725=""),"",AJ725-AF725)</f>
        <v/>
      </c>
      <c r="AM725" s="7" t="n">
        <f aca="false">IF(COUNT(AF725:AJ725)&gt;=2,ROUND(_xlfn.STDEV.S(AF725:AJ725),3),"")</f>
        <v>1</v>
      </c>
      <c r="AN725" s="7" t="n">
        <f aca="false">ROUND((IF(AF725="",0,AF725)*Assumptions!$F$15)+(IF(AG725="",0,AG725)*Assumptions!$F$16)+(IF(AH725="",0,AH725)*Assumptions!$F$17)+(IF(AI725="",0,AI725)*Assumptions!$F$18)+(IF(AJ725="",0,AJ725)*Assumptions!$F$19),3)</f>
        <v>2.3</v>
      </c>
      <c r="AO725" s="0" t="str">
        <f aca="false">IF(AC725&lt;=20,"",IF(AC725&lt;=Assumptions!$F$6,"20-30",IF(AC725&lt;=Assumptions!$F$7,"30-40",IF(AC725&lt;=Assumptions!$F$8,"40-50",IF(AC725&lt;=Assumptions!$F$9,"50-60",IF(AC725&lt;=Assumptions!$F$10,"60+",""))))))</f>
        <v>20-30</v>
      </c>
      <c r="AP725" s="0" t="str">
        <f aca="false">IFERROR(VLOOKUP(O725,Assumptions!$B$14:$C$26,2,FALSE()),"Other")</f>
        <v>Manager</v>
      </c>
      <c r="AQ725" s="0" t="n">
        <f aca="false">IF(T725="",0,1)</f>
        <v>0</v>
      </c>
      <c r="AR725" s="0" t="n">
        <f aca="false">IF(U725="",0,1)</f>
        <v>0</v>
      </c>
      <c r="AS725" s="8" t="n">
        <f aca="false">IF(AK725="","",IF(MAX($AK$2:$AK$921)=MIN($AK$2:$AK$921),50,ROUND((AK725-MIN($AK$2:$AK$921))/(MAX($AK$2:$AK$921)-MIN($AK$2:$AK$921))*100,2)))</f>
        <v>35.71</v>
      </c>
      <c r="AT725" s="8" t="n">
        <f aca="false">IF(MAX($BC$2:$BC$921)=MIN($BC$2:$BC$921),50,ROUND((BC725-MIN($BC$2:$BC$921))/(MAX($BC$2:$BC$921)-MIN($BC$2:$BC$921))*100,2))</f>
        <v>50</v>
      </c>
      <c r="AU725" s="8" t="n">
        <f aca="false">IF(MAX($BE$2:$BE$921)=MIN($BE$2:$BE$921),50,ROUND((BE725-MIN($BE$2:$BE$921))/(MAX($BE$2:$BE$921)-MIN($BE$2:$BE$921))*100,2))</f>
        <v>42.26</v>
      </c>
      <c r="AV725" s="8" t="n">
        <f aca="false">IF(MAX($AD$2:$AD$921)=MIN($AD$2:$AD$921),50,ROUND((AD725-MIN($AD$2:$AD$921))/(MAX($AD$2:$AD$921)-MIN($AD$2:$AD$921))*100,2))</f>
        <v>8.15</v>
      </c>
      <c r="AW725" s="8" t="n">
        <f aca="false">IF(MAX($AN$2:$AN$921)=MIN($AN$2:$AN$921),50,ROUND((AN725-MIN($AN$2:$AN$921))/(MAX($AN$2:$AN$921)-MIN($AN$2:$AN$921))*100,2))</f>
        <v>57.5</v>
      </c>
      <c r="AX725" s="8" t="n">
        <f aca="false">AQ725*100</f>
        <v>0</v>
      </c>
      <c r="AY725" s="8" t="n">
        <f aca="false">AR725*100</f>
        <v>0</v>
      </c>
      <c r="AZ725" s="8" t="n">
        <f aca="false">IFERROR(ROUND(AS725*Assumptions!$I$6+AW725*Assumptions!$I$7+AT725*Assumptions!$I$8+AU725*Assumptions!$I$9+AV725*Assumptions!$I$10+AX725*Assumptions!$I$11+AY725*Assumptions!$I$12,2),"")</f>
        <v>36.87</v>
      </c>
      <c r="BA725" s="0" t="str">
        <f aca="false">IF(AZ725="","",IF(AZ725&lt;=Assumptions!$I$18,"Below Expectation",IF(AZ725&lt;=Assumptions!$I$19,"Developing",IF(AZ725&lt;=Assumptions!$I$20,"Meets Expectation",IF(AZ725&lt;=Assumptions!$I$21,"Exceeds","Star Performer")))))</f>
        <v>Below Expectation</v>
      </c>
      <c r="BB725" s="0" t="n">
        <f aca="false">IF(AZ725="",0,IF(AZ725&gt;=Assumptions!$I$26,1,0))</f>
        <v>0</v>
      </c>
      <c r="BC725" s="9" t="n">
        <f aca="false">IF(AL725="",2,AL725+2)</f>
        <v>2</v>
      </c>
      <c r="BD725" s="10" t="n">
        <f aca="false">IF(AM725="",ROUND(AVERAGE($AM$2:$AM$921),3),AM725)</f>
        <v>1</v>
      </c>
      <c r="BE725" s="9" t="n">
        <f aca="false">1-BD725</f>
        <v>0</v>
      </c>
    </row>
    <row r="726" customFormat="false" ht="14.25" hidden="false" customHeight="false" outlineLevel="0" collapsed="false">
      <c r="A726" s="4" t="n">
        <v>691</v>
      </c>
      <c r="B726" s="5" t="n">
        <v>55061523</v>
      </c>
      <c r="C726" s="5" t="s">
        <v>106</v>
      </c>
      <c r="D726" s="5" t="s">
        <v>2473</v>
      </c>
      <c r="E726" s="5" t="s">
        <v>1494</v>
      </c>
      <c r="F726" s="5" t="s">
        <v>1975</v>
      </c>
      <c r="G726" s="5" t="s">
        <v>2474</v>
      </c>
      <c r="H726" s="5" t="s">
        <v>2475</v>
      </c>
      <c r="I726" s="5" t="s">
        <v>63</v>
      </c>
      <c r="J726" s="5" t="s">
        <v>112</v>
      </c>
      <c r="K726" s="5" t="s">
        <v>309</v>
      </c>
      <c r="L726" s="6" t="n">
        <v>44887</v>
      </c>
      <c r="M726" s="5" t="s">
        <v>1425</v>
      </c>
      <c r="N726" s="6" t="n">
        <v>36322</v>
      </c>
      <c r="O726" s="5" t="s">
        <v>585</v>
      </c>
      <c r="P726" s="5" t="s">
        <v>586</v>
      </c>
      <c r="Q726" s="5" t="s">
        <v>468</v>
      </c>
      <c r="R726" s="5" t="s">
        <v>115</v>
      </c>
      <c r="S726" s="5" t="s">
        <v>468</v>
      </c>
      <c r="T726" s="6"/>
      <c r="U726" s="6"/>
      <c r="V726" s="5"/>
      <c r="W726" s="5" t="s">
        <v>631</v>
      </c>
      <c r="X726" s="5" t="s">
        <v>631</v>
      </c>
      <c r="Y726" s="5" t="s">
        <v>141</v>
      </c>
      <c r="Z726" s="5" t="s">
        <v>631</v>
      </c>
      <c r="AA726" s="5" t="s">
        <v>2476</v>
      </c>
      <c r="AB726" s="0" t="n">
        <f aca="false">IFERROR(VALUE(R726),0)</f>
        <v>0</v>
      </c>
      <c r="AC726" s="0" t="n">
        <f aca="false">IFERROR(VALUE(M726),"")</f>
        <v>26.11</v>
      </c>
      <c r="AD726" s="0" t="n">
        <f aca="false">IFERROR(VALUE(Q726),"")</f>
        <v>3.6</v>
      </c>
      <c r="AE726" s="0" t="n">
        <f aca="false">IFERROR(VALUE(S726),"")</f>
        <v>3.6</v>
      </c>
      <c r="AF726" s="0" t="str">
        <f aca="false">IF(V726="","",VLOOKUP(V726,Assumptions!$B$6:$C$9,2,FALSE()))</f>
        <v/>
      </c>
      <c r="AG726" s="0" t="n">
        <f aca="false">IF(W726="","",VLOOKUP(W726,Assumptions!$B$6:$C$9,2,FALSE()))</f>
        <v>2</v>
      </c>
      <c r="AH726" s="0" t="n">
        <f aca="false">IF(X726="","",VLOOKUP(X726,Assumptions!$B$6:$C$9,2,FALSE()))</f>
        <v>2</v>
      </c>
      <c r="AI726" s="0" t="n">
        <f aca="false">IF(Y726="","",VLOOKUP(Y726,Assumptions!$B$6:$C$9,2,FALSE()))</f>
        <v>3</v>
      </c>
      <c r="AJ726" s="0" t="n">
        <f aca="false">IF(Z726="","",VLOOKUP(Z726,Assumptions!$B$6:$C$9,2,FALSE()))</f>
        <v>2</v>
      </c>
      <c r="AK726" s="7" t="n">
        <f aca="false">IFERROR(ROUND(AVERAGE(AF726:AJ726),3),"")</f>
        <v>2.25</v>
      </c>
      <c r="AL726" s="7" t="str">
        <f aca="false">IF(OR(AF726="",AJ726=""),"",AJ726-AF726)</f>
        <v/>
      </c>
      <c r="AM726" s="7" t="n">
        <f aca="false">IF(COUNT(AF726:AJ726)&gt;=2,ROUND(_xlfn.STDEV.S(AF726:AJ726),3),"")</f>
        <v>0.5</v>
      </c>
      <c r="AN726" s="7" t="n">
        <f aca="false">ROUND((IF(AF726="",0,AF726)*Assumptions!$F$15)+(IF(AG726="",0,AG726)*Assumptions!$F$16)+(IF(AH726="",0,AH726)*Assumptions!$F$17)+(IF(AI726="",0,AI726)*Assumptions!$F$18)+(IF(AJ726="",0,AJ726)*Assumptions!$F$19),3)</f>
        <v>2.05</v>
      </c>
      <c r="AO726" s="0" t="str">
        <f aca="false">IF(AC726&lt;=20,"",IF(AC726&lt;=Assumptions!$F$6,"20-30",IF(AC726&lt;=Assumptions!$F$7,"30-40",IF(AC726&lt;=Assumptions!$F$8,"40-50",IF(AC726&lt;=Assumptions!$F$9,"50-60",IF(AC726&lt;=Assumptions!$F$10,"60+",""))))))</f>
        <v>20-30</v>
      </c>
      <c r="AP726" s="0" t="str">
        <f aca="false">IFERROR(VLOOKUP(O726,Assumptions!$B$14:$C$26,2,FALSE()),"Other")</f>
        <v>Manager</v>
      </c>
      <c r="AQ726" s="0" t="n">
        <f aca="false">IF(T726="",0,1)</f>
        <v>0</v>
      </c>
      <c r="AR726" s="0" t="n">
        <f aca="false">IF(U726="",0,1)</f>
        <v>0</v>
      </c>
      <c r="AS726" s="8" t="n">
        <f aca="false">IF(AK726="","",IF(MAX($AK$2:$AK$921)=MIN($AK$2:$AK$921),50,ROUND((AK726-MIN($AK$2:$AK$921))/(MAX($AK$2:$AK$921)-MIN($AK$2:$AK$921))*100,2)))</f>
        <v>24.99</v>
      </c>
      <c r="AT726" s="8" t="n">
        <f aca="false">IF(MAX($BC$2:$BC$921)=MIN($BC$2:$BC$921),50,ROUND((BC726-MIN($BC$2:$BC$921))/(MAX($BC$2:$BC$921)-MIN($BC$2:$BC$921))*100,2))</f>
        <v>50</v>
      </c>
      <c r="AU726" s="8" t="n">
        <f aca="false">IF(MAX($BE$2:$BE$921)=MIN($BE$2:$BE$921),50,ROUND((BE726-MIN($BE$2:$BE$921))/(MAX($BE$2:$BE$921)-MIN($BE$2:$BE$921))*100,2))</f>
        <v>71.13</v>
      </c>
      <c r="AV726" s="8" t="n">
        <f aca="false">IF(MAX($AD$2:$AD$921)=MIN($AD$2:$AD$921),50,ROUND((AD726-MIN($AD$2:$AD$921))/(MAX($AD$2:$AD$921)-MIN($AD$2:$AD$921))*100,2))</f>
        <v>9.49</v>
      </c>
      <c r="AW726" s="8" t="n">
        <f aca="false">IF(MAX($AN$2:$AN$921)=MIN($AN$2:$AN$921),50,ROUND((AN726-MIN($AN$2:$AN$921))/(MAX($AN$2:$AN$921)-MIN($AN$2:$AN$921))*100,2))</f>
        <v>51.25</v>
      </c>
      <c r="AX726" s="8" t="n">
        <f aca="false">AQ726*100</f>
        <v>0</v>
      </c>
      <c r="AY726" s="8" t="n">
        <f aca="false">AR726*100</f>
        <v>0</v>
      </c>
      <c r="AZ726" s="8" t="n">
        <f aca="false">IFERROR(ROUND(AS726*Assumptions!$I$6+AW726*Assumptions!$I$7+AT726*Assumptions!$I$8+AU726*Assumptions!$I$9+AV726*Assumptions!$I$10+AX726*Assumptions!$I$11+AY726*Assumptions!$I$12,2),"")</f>
        <v>36.87</v>
      </c>
      <c r="BA726" s="0" t="str">
        <f aca="false">IF(AZ726="","",IF(AZ726&lt;=Assumptions!$I$18,"Below Expectation",IF(AZ726&lt;=Assumptions!$I$19,"Developing",IF(AZ726&lt;=Assumptions!$I$20,"Meets Expectation",IF(AZ726&lt;=Assumptions!$I$21,"Exceeds","Star Performer")))))</f>
        <v>Below Expectation</v>
      </c>
      <c r="BB726" s="0" t="n">
        <f aca="false">IF(AZ726="",0,IF(AZ726&gt;=Assumptions!$I$26,1,0))</f>
        <v>0</v>
      </c>
      <c r="BC726" s="9" t="n">
        <f aca="false">IF(AL726="",2,AL726+2)</f>
        <v>2</v>
      </c>
      <c r="BD726" s="10" t="n">
        <f aca="false">IF(AM726="",ROUND(AVERAGE($AM$2:$AM$921),3),AM726)</f>
        <v>0.5</v>
      </c>
      <c r="BE726" s="9" t="n">
        <f aca="false">1-BD726</f>
        <v>0.5</v>
      </c>
    </row>
    <row r="727" customFormat="false" ht="14.25" hidden="true" customHeight="false" outlineLevel="0" collapsed="false">
      <c r="A727" s="4" t="n">
        <v>571</v>
      </c>
      <c r="B727" s="5" t="n">
        <v>55051840</v>
      </c>
      <c r="C727" s="5" t="s">
        <v>57</v>
      </c>
      <c r="D727" s="5" t="s">
        <v>2477</v>
      </c>
      <c r="E727" s="5" t="s">
        <v>456</v>
      </c>
      <c r="F727" s="5" t="s">
        <v>1770</v>
      </c>
      <c r="G727" s="5" t="s">
        <v>1771</v>
      </c>
      <c r="H727" s="5" t="s">
        <v>1770</v>
      </c>
      <c r="I727" s="5" t="s">
        <v>63</v>
      </c>
      <c r="J727" s="5" t="s">
        <v>100</v>
      </c>
      <c r="K727" s="5" t="s">
        <v>65</v>
      </c>
      <c r="L727" s="6" t="n">
        <v>44718</v>
      </c>
      <c r="M727" s="5" t="s">
        <v>819</v>
      </c>
      <c r="N727" s="6" t="n">
        <v>35308</v>
      </c>
      <c r="O727" s="5" t="s">
        <v>1264</v>
      </c>
      <c r="P727" s="5" t="s">
        <v>1559</v>
      </c>
      <c r="Q727" s="5" t="s">
        <v>287</v>
      </c>
      <c r="R727" s="5" t="s">
        <v>382</v>
      </c>
      <c r="S727" s="5" t="s">
        <v>70</v>
      </c>
      <c r="T727" s="6"/>
      <c r="U727" s="6"/>
      <c r="V727" s="5"/>
      <c r="W727" s="5" t="s">
        <v>631</v>
      </c>
      <c r="X727" s="5" t="s">
        <v>631</v>
      </c>
      <c r="Y727" s="5" t="s">
        <v>631</v>
      </c>
      <c r="Z727" s="5" t="s">
        <v>631</v>
      </c>
      <c r="AA727" s="5" t="s">
        <v>2478</v>
      </c>
      <c r="AB727" s="0" t="n">
        <f aca="false">IFERROR(VALUE(R727),0)</f>
        <v>5.4</v>
      </c>
      <c r="AC727" s="0" t="n">
        <f aca="false">IFERROR(VALUE(M727),"")</f>
        <v>29.9</v>
      </c>
      <c r="AD727" s="0" t="n">
        <f aca="false">IFERROR(VALUE(Q727),"")</f>
        <v>4</v>
      </c>
      <c r="AE727" s="0" t="n">
        <f aca="false">IFERROR(VALUE(S727),"")</f>
        <v>9.4</v>
      </c>
      <c r="AF727" s="0" t="str">
        <f aca="false">IF(V727="","",VLOOKUP(V727,Assumptions!$B$6:$C$9,2,FALSE()))</f>
        <v/>
      </c>
      <c r="AG727" s="0" t="n">
        <f aca="false">IF(W727="","",VLOOKUP(W727,Assumptions!$B$6:$C$9,2,FALSE()))</f>
        <v>2</v>
      </c>
      <c r="AH727" s="0" t="n">
        <f aca="false">IF(X727="","",VLOOKUP(X727,Assumptions!$B$6:$C$9,2,FALSE()))</f>
        <v>2</v>
      </c>
      <c r="AI727" s="0" t="n">
        <f aca="false">IF(Y727="","",VLOOKUP(Y727,Assumptions!$B$6:$C$9,2,FALSE()))</f>
        <v>2</v>
      </c>
      <c r="AJ727" s="0" t="n">
        <f aca="false">IF(Z727="","",VLOOKUP(Z727,Assumptions!$B$6:$C$9,2,FALSE()))</f>
        <v>2</v>
      </c>
      <c r="AK727" s="7" t="n">
        <f aca="false">IFERROR(ROUND(AVERAGE(AF727:AJ727),3),"")</f>
        <v>2</v>
      </c>
      <c r="AL727" s="7" t="str">
        <f aca="false">IF(OR(AF727="",AJ727=""),"",AJ727-AF727)</f>
        <v/>
      </c>
      <c r="AM727" s="7" t="n">
        <f aca="false">IF(COUNT(AF727:AJ727)&gt;=2,ROUND(_xlfn.STDEV.S(AF727:AJ727),3),"")</f>
        <v>0</v>
      </c>
      <c r="AN727" s="7" t="n">
        <f aca="false">ROUND((IF(AF727="",0,AF727)*Assumptions!$F$15)+(IF(AG727="",0,AG727)*Assumptions!$F$16)+(IF(AH727="",0,AH727)*Assumptions!$F$17)+(IF(AI727="",0,AI727)*Assumptions!$F$18)+(IF(AJ727="",0,AJ727)*Assumptions!$F$19),3)</f>
        <v>1.8</v>
      </c>
      <c r="AO727" s="0" t="str">
        <f aca="false">IF(AC727&lt;=20,"",IF(AC727&lt;=Assumptions!$F$6,"20-30",IF(AC727&lt;=Assumptions!$F$7,"30-40",IF(AC727&lt;=Assumptions!$F$8,"40-50",IF(AC727&lt;=Assumptions!$F$9,"50-60",IF(AC727&lt;=Assumptions!$F$10,"60+",""))))))</f>
        <v>20-30</v>
      </c>
      <c r="AP727" s="0" t="str">
        <f aca="false">IFERROR(VLOOKUP(O727,Assumptions!$B$14:$C$26,2,FALSE()),"Other")</f>
        <v>Manager</v>
      </c>
      <c r="AQ727" s="0" t="n">
        <f aca="false">IF(T727="",0,1)</f>
        <v>0</v>
      </c>
      <c r="AR727" s="0" t="n">
        <f aca="false">IF(U727="",0,1)</f>
        <v>0</v>
      </c>
      <c r="AS727" s="8" t="n">
        <f aca="false">IF(AK727="","",IF(MAX($AK$2:$AK$921)=MIN($AK$2:$AK$921),50,ROUND((AK727-MIN($AK$2:$AK$921))/(MAX($AK$2:$AK$921)-MIN($AK$2:$AK$921))*100,2)))</f>
        <v>14.27</v>
      </c>
      <c r="AT727" s="8" t="n">
        <f aca="false">IF(MAX($BC$2:$BC$921)=MIN($BC$2:$BC$921),50,ROUND((BC727-MIN($BC$2:$BC$921))/(MAX($BC$2:$BC$921)-MIN($BC$2:$BC$921))*100,2))</f>
        <v>50</v>
      </c>
      <c r="AU727" s="8" t="n">
        <f aca="false">IF(MAX($BE$2:$BE$921)=MIN($BE$2:$BE$921),50,ROUND((BE727-MIN($BE$2:$BE$921))/(MAX($BE$2:$BE$921)-MIN($BE$2:$BE$921))*100,2))</f>
        <v>100</v>
      </c>
      <c r="AV727" s="8" t="n">
        <f aca="false">IF(MAX($AD$2:$AD$921)=MIN($AD$2:$AD$921),50,ROUND((AD727-MIN($AD$2:$AD$921))/(MAX($AD$2:$AD$921)-MIN($AD$2:$AD$921))*100,2))</f>
        <v>10.57</v>
      </c>
      <c r="AW727" s="8" t="n">
        <f aca="false">IF(MAX($AN$2:$AN$921)=MIN($AN$2:$AN$921),50,ROUND((AN727-MIN($AN$2:$AN$921))/(MAX($AN$2:$AN$921)-MIN($AN$2:$AN$921))*100,2))</f>
        <v>45</v>
      </c>
      <c r="AX727" s="8" t="n">
        <f aca="false">AQ727*100</f>
        <v>0</v>
      </c>
      <c r="AY727" s="8" t="n">
        <f aca="false">AR727*100</f>
        <v>0</v>
      </c>
      <c r="AZ727" s="8" t="n">
        <f aca="false">IFERROR(ROUND(AS727*Assumptions!$I$6+AW727*Assumptions!$I$7+AT727*Assumptions!$I$8+AU727*Assumptions!$I$9+AV727*Assumptions!$I$10+AX727*Assumptions!$I$11+AY727*Assumptions!$I$12,2),"")</f>
        <v>36.84</v>
      </c>
      <c r="BA727" s="0" t="str">
        <f aca="false">IF(AZ727="","",IF(AZ727&lt;=Assumptions!$I$18,"Below Expectation",IF(AZ727&lt;=Assumptions!$I$19,"Developing",IF(AZ727&lt;=Assumptions!$I$20,"Meets Expectation",IF(AZ727&lt;=Assumptions!$I$21,"Exceeds","Star Performer")))))</f>
        <v>Below Expectation</v>
      </c>
      <c r="BB727" s="0" t="n">
        <f aca="false">IF(AZ727="",0,IF(AZ727&gt;=Assumptions!$I$26,1,0))</f>
        <v>0</v>
      </c>
      <c r="BC727" s="9" t="n">
        <f aca="false">IF(AL727="",2,AL727+2)</f>
        <v>2</v>
      </c>
      <c r="BD727" s="10" t="n">
        <f aca="false">IF(AM727="",ROUND(AVERAGE($AM$2:$AM$921),3),AM727)</f>
        <v>0</v>
      </c>
      <c r="BE727" s="9" t="n">
        <f aca="false">1-BD727</f>
        <v>1</v>
      </c>
    </row>
    <row r="728" customFormat="false" ht="14.25" hidden="true" customHeight="false" outlineLevel="0" collapsed="false">
      <c r="A728" s="4" t="n">
        <v>529</v>
      </c>
      <c r="B728" s="5" t="n">
        <v>55046543</v>
      </c>
      <c r="C728" s="5" t="s">
        <v>85</v>
      </c>
      <c r="D728" s="5" t="s">
        <v>2479</v>
      </c>
      <c r="E728" s="5" t="s">
        <v>235</v>
      </c>
      <c r="F728" s="5" t="s">
        <v>1731</v>
      </c>
      <c r="G728" s="5" t="s">
        <v>1732</v>
      </c>
      <c r="H728" s="5" t="s">
        <v>1731</v>
      </c>
      <c r="I728" s="5" t="s">
        <v>63</v>
      </c>
      <c r="J728" s="5" t="s">
        <v>76</v>
      </c>
      <c r="K728" s="5" t="s">
        <v>65</v>
      </c>
      <c r="L728" s="6" t="n">
        <v>44593</v>
      </c>
      <c r="M728" s="5" t="s">
        <v>1867</v>
      </c>
      <c r="N728" s="6" t="n">
        <v>35824</v>
      </c>
      <c r="O728" s="5" t="s">
        <v>1264</v>
      </c>
      <c r="P728" s="5" t="s">
        <v>1559</v>
      </c>
      <c r="Q728" s="5" t="s">
        <v>545</v>
      </c>
      <c r="R728" s="5" t="s">
        <v>115</v>
      </c>
      <c r="S728" s="5" t="s">
        <v>545</v>
      </c>
      <c r="T728" s="6"/>
      <c r="U728" s="6"/>
      <c r="V728" s="5"/>
      <c r="W728" s="5" t="s">
        <v>631</v>
      </c>
      <c r="X728" s="5" t="s">
        <v>141</v>
      </c>
      <c r="Y728" s="5" t="s">
        <v>631</v>
      </c>
      <c r="Z728" s="5" t="s">
        <v>631</v>
      </c>
      <c r="AA728" s="5" t="s">
        <v>2480</v>
      </c>
      <c r="AB728" s="0" t="n">
        <f aca="false">IFERROR(VALUE(R728),0)</f>
        <v>0</v>
      </c>
      <c r="AC728" s="0" t="n">
        <f aca="false">IFERROR(VALUE(M728),"")</f>
        <v>28.4</v>
      </c>
      <c r="AD728" s="0" t="n">
        <f aca="false">IFERROR(VALUE(Q728),"")</f>
        <v>4.4</v>
      </c>
      <c r="AE728" s="0" t="n">
        <f aca="false">IFERROR(VALUE(S728),"")</f>
        <v>4.4</v>
      </c>
      <c r="AF728" s="0" t="str">
        <f aca="false">IF(V728="","",VLOOKUP(V728,Assumptions!$B$6:$C$9,2,FALSE()))</f>
        <v/>
      </c>
      <c r="AG728" s="0" t="n">
        <f aca="false">IF(W728="","",VLOOKUP(W728,Assumptions!$B$6:$C$9,2,FALSE()))</f>
        <v>2</v>
      </c>
      <c r="AH728" s="0" t="n">
        <f aca="false">IF(X728="","",VLOOKUP(X728,Assumptions!$B$6:$C$9,2,FALSE()))</f>
        <v>3</v>
      </c>
      <c r="AI728" s="0" t="n">
        <f aca="false">IF(Y728="","",VLOOKUP(Y728,Assumptions!$B$6:$C$9,2,FALSE()))</f>
        <v>2</v>
      </c>
      <c r="AJ728" s="0" t="n">
        <f aca="false">IF(Z728="","",VLOOKUP(Z728,Assumptions!$B$6:$C$9,2,FALSE()))</f>
        <v>2</v>
      </c>
      <c r="AK728" s="7" t="n">
        <f aca="false">IFERROR(ROUND(AVERAGE(AF728:AJ728),3),"")</f>
        <v>2.25</v>
      </c>
      <c r="AL728" s="7" t="str">
        <f aca="false">IF(OR(AF728="",AJ728=""),"",AJ728-AF728)</f>
        <v/>
      </c>
      <c r="AM728" s="7" t="n">
        <f aca="false">IF(COUNT(AF728:AJ728)&gt;=2,ROUND(_xlfn.STDEV.S(AF728:AJ728),3),"")</f>
        <v>0.5</v>
      </c>
      <c r="AN728" s="7" t="n">
        <f aca="false">ROUND((IF(AF728="",0,AF728)*Assumptions!$F$15)+(IF(AG728="",0,AG728)*Assumptions!$F$16)+(IF(AH728="",0,AH728)*Assumptions!$F$17)+(IF(AI728="",0,AI728)*Assumptions!$F$18)+(IF(AJ728="",0,AJ728)*Assumptions!$F$19),3)</f>
        <v>2</v>
      </c>
      <c r="AO728" s="0" t="str">
        <f aca="false">IF(AC728&lt;=20,"",IF(AC728&lt;=Assumptions!$F$6,"20-30",IF(AC728&lt;=Assumptions!$F$7,"30-40",IF(AC728&lt;=Assumptions!$F$8,"40-50",IF(AC728&lt;=Assumptions!$F$9,"50-60",IF(AC728&lt;=Assumptions!$F$10,"60+",""))))))</f>
        <v>20-30</v>
      </c>
      <c r="AP728" s="0" t="str">
        <f aca="false">IFERROR(VLOOKUP(O728,Assumptions!$B$14:$C$26,2,FALSE()),"Other")</f>
        <v>Manager</v>
      </c>
      <c r="AQ728" s="0" t="n">
        <f aca="false">IF(T728="",0,1)</f>
        <v>0</v>
      </c>
      <c r="AR728" s="0" t="n">
        <f aca="false">IF(U728="",0,1)</f>
        <v>0</v>
      </c>
      <c r="AS728" s="8" t="n">
        <f aca="false">IF(AK728="","",IF(MAX($AK$2:$AK$921)=MIN($AK$2:$AK$921),50,ROUND((AK728-MIN($AK$2:$AK$921))/(MAX($AK$2:$AK$921)-MIN($AK$2:$AK$921))*100,2)))</f>
        <v>24.99</v>
      </c>
      <c r="AT728" s="8" t="n">
        <f aca="false">IF(MAX($BC$2:$BC$921)=MIN($BC$2:$BC$921),50,ROUND((BC728-MIN($BC$2:$BC$921))/(MAX($BC$2:$BC$921)-MIN($BC$2:$BC$921))*100,2))</f>
        <v>50</v>
      </c>
      <c r="AU728" s="8" t="n">
        <f aca="false">IF(MAX($BE$2:$BE$921)=MIN($BE$2:$BE$921),50,ROUND((BE728-MIN($BE$2:$BE$921))/(MAX($BE$2:$BE$921)-MIN($BE$2:$BE$921))*100,2))</f>
        <v>71.13</v>
      </c>
      <c r="AV728" s="8" t="n">
        <f aca="false">IF(MAX($AD$2:$AD$921)=MIN($AD$2:$AD$921),50,ROUND((AD728-MIN($AD$2:$AD$921))/(MAX($AD$2:$AD$921)-MIN($AD$2:$AD$921))*100,2))</f>
        <v>11.66</v>
      </c>
      <c r="AW728" s="8" t="n">
        <f aca="false">IF(MAX($AN$2:$AN$921)=MIN($AN$2:$AN$921),50,ROUND((AN728-MIN($AN$2:$AN$921))/(MAX($AN$2:$AN$921)-MIN($AN$2:$AN$921))*100,2))</f>
        <v>50</v>
      </c>
      <c r="AX728" s="8" t="n">
        <f aca="false">AQ728*100</f>
        <v>0</v>
      </c>
      <c r="AY728" s="8" t="n">
        <f aca="false">AR728*100</f>
        <v>0</v>
      </c>
      <c r="AZ728" s="8" t="n">
        <f aca="false">IFERROR(ROUND(AS728*Assumptions!$I$6+AW728*Assumptions!$I$7+AT728*Assumptions!$I$8+AU728*Assumptions!$I$9+AV728*Assumptions!$I$10+AX728*Assumptions!$I$11+AY728*Assumptions!$I$12,2),"")</f>
        <v>36.83</v>
      </c>
      <c r="BA728" s="0" t="str">
        <f aca="false">IF(AZ728="","",IF(AZ728&lt;=Assumptions!$I$18,"Below Expectation",IF(AZ728&lt;=Assumptions!$I$19,"Developing",IF(AZ728&lt;=Assumptions!$I$20,"Meets Expectation",IF(AZ728&lt;=Assumptions!$I$21,"Exceeds","Star Performer")))))</f>
        <v>Below Expectation</v>
      </c>
      <c r="BB728" s="0" t="n">
        <f aca="false">IF(AZ728="",0,IF(AZ728&gt;=Assumptions!$I$26,1,0))</f>
        <v>0</v>
      </c>
      <c r="BC728" s="9" t="n">
        <f aca="false">IF(AL728="",2,AL728+2)</f>
        <v>2</v>
      </c>
      <c r="BD728" s="10" t="n">
        <f aca="false">IF(AM728="",ROUND(AVERAGE($AM$2:$AM$921),3),AM728)</f>
        <v>0.5</v>
      </c>
      <c r="BE728" s="9" t="n">
        <f aca="false">1-BD728</f>
        <v>0.5</v>
      </c>
    </row>
    <row r="729" customFormat="false" ht="14.25" hidden="false" customHeight="false" outlineLevel="0" collapsed="false">
      <c r="A729" s="4" t="n">
        <v>532</v>
      </c>
      <c r="B729" s="5" t="n">
        <v>55046546</v>
      </c>
      <c r="C729" s="5" t="s">
        <v>106</v>
      </c>
      <c r="D729" s="5" t="s">
        <v>2481</v>
      </c>
      <c r="E729" s="5" t="s">
        <v>108</v>
      </c>
      <c r="F729" s="5" t="s">
        <v>463</v>
      </c>
      <c r="G729" s="5" t="s">
        <v>589</v>
      </c>
      <c r="H729" s="5" t="s">
        <v>590</v>
      </c>
      <c r="I729" s="5" t="s">
        <v>63</v>
      </c>
      <c r="J729" s="5" t="s">
        <v>112</v>
      </c>
      <c r="K729" s="5" t="s">
        <v>65</v>
      </c>
      <c r="L729" s="6" t="n">
        <v>44593</v>
      </c>
      <c r="M729" s="5" t="s">
        <v>614</v>
      </c>
      <c r="N729" s="6" t="n">
        <v>36106</v>
      </c>
      <c r="O729" s="5" t="s">
        <v>1264</v>
      </c>
      <c r="P729" s="5" t="s">
        <v>1559</v>
      </c>
      <c r="Q729" s="5" t="s">
        <v>545</v>
      </c>
      <c r="R729" s="5" t="s">
        <v>115</v>
      </c>
      <c r="S729" s="5" t="s">
        <v>545</v>
      </c>
      <c r="T729" s="6"/>
      <c r="U729" s="6"/>
      <c r="V729" s="5"/>
      <c r="W729" s="5" t="s">
        <v>631</v>
      </c>
      <c r="X729" s="5" t="s">
        <v>141</v>
      </c>
      <c r="Y729" s="5" t="s">
        <v>631</v>
      </c>
      <c r="Z729" s="5" t="s">
        <v>631</v>
      </c>
      <c r="AA729" s="5" t="s">
        <v>2482</v>
      </c>
      <c r="AB729" s="0" t="n">
        <f aca="false">IFERROR(VALUE(R729),0)</f>
        <v>0</v>
      </c>
      <c r="AC729" s="0" t="n">
        <f aca="false">IFERROR(VALUE(M729),"")</f>
        <v>27.7</v>
      </c>
      <c r="AD729" s="0" t="n">
        <f aca="false">IFERROR(VALUE(Q729),"")</f>
        <v>4.4</v>
      </c>
      <c r="AE729" s="0" t="n">
        <f aca="false">IFERROR(VALUE(S729),"")</f>
        <v>4.4</v>
      </c>
      <c r="AF729" s="0" t="str">
        <f aca="false">IF(V729="","",VLOOKUP(V729,Assumptions!$B$6:$C$9,2,FALSE()))</f>
        <v/>
      </c>
      <c r="AG729" s="0" t="n">
        <f aca="false">IF(W729="","",VLOOKUP(W729,Assumptions!$B$6:$C$9,2,FALSE()))</f>
        <v>2</v>
      </c>
      <c r="AH729" s="0" t="n">
        <f aca="false">IF(X729="","",VLOOKUP(X729,Assumptions!$B$6:$C$9,2,FALSE()))</f>
        <v>3</v>
      </c>
      <c r="AI729" s="0" t="n">
        <f aca="false">IF(Y729="","",VLOOKUP(Y729,Assumptions!$B$6:$C$9,2,FALSE()))</f>
        <v>2</v>
      </c>
      <c r="AJ729" s="0" t="n">
        <f aca="false">IF(Z729="","",VLOOKUP(Z729,Assumptions!$B$6:$C$9,2,FALSE()))</f>
        <v>2</v>
      </c>
      <c r="AK729" s="7" t="n">
        <f aca="false">IFERROR(ROUND(AVERAGE(AF729:AJ729),3),"")</f>
        <v>2.25</v>
      </c>
      <c r="AL729" s="7" t="str">
        <f aca="false">IF(OR(AF729="",AJ729=""),"",AJ729-AF729)</f>
        <v/>
      </c>
      <c r="AM729" s="7" t="n">
        <f aca="false">IF(COUNT(AF729:AJ729)&gt;=2,ROUND(_xlfn.STDEV.S(AF729:AJ729),3),"")</f>
        <v>0.5</v>
      </c>
      <c r="AN729" s="7" t="n">
        <f aca="false">ROUND((IF(AF729="",0,AF729)*Assumptions!$F$15)+(IF(AG729="",0,AG729)*Assumptions!$F$16)+(IF(AH729="",0,AH729)*Assumptions!$F$17)+(IF(AI729="",0,AI729)*Assumptions!$F$18)+(IF(AJ729="",0,AJ729)*Assumptions!$F$19),3)</f>
        <v>2</v>
      </c>
      <c r="AO729" s="0" t="str">
        <f aca="false">IF(AC729&lt;=20,"",IF(AC729&lt;=Assumptions!$F$6,"20-30",IF(AC729&lt;=Assumptions!$F$7,"30-40",IF(AC729&lt;=Assumptions!$F$8,"40-50",IF(AC729&lt;=Assumptions!$F$9,"50-60",IF(AC729&lt;=Assumptions!$F$10,"60+",""))))))</f>
        <v>20-30</v>
      </c>
      <c r="AP729" s="0" t="str">
        <f aca="false">IFERROR(VLOOKUP(O729,Assumptions!$B$14:$C$26,2,FALSE()),"Other")</f>
        <v>Manager</v>
      </c>
      <c r="AQ729" s="0" t="n">
        <f aca="false">IF(T729="",0,1)</f>
        <v>0</v>
      </c>
      <c r="AR729" s="0" t="n">
        <f aca="false">IF(U729="",0,1)</f>
        <v>0</v>
      </c>
      <c r="AS729" s="8" t="n">
        <f aca="false">IF(AK729="","",IF(MAX($AK$2:$AK$921)=MIN($AK$2:$AK$921),50,ROUND((AK729-MIN($AK$2:$AK$921))/(MAX($AK$2:$AK$921)-MIN($AK$2:$AK$921))*100,2)))</f>
        <v>24.99</v>
      </c>
      <c r="AT729" s="8" t="n">
        <f aca="false">IF(MAX($BC$2:$BC$921)=MIN($BC$2:$BC$921),50,ROUND((BC729-MIN($BC$2:$BC$921))/(MAX($BC$2:$BC$921)-MIN($BC$2:$BC$921))*100,2))</f>
        <v>50</v>
      </c>
      <c r="AU729" s="8" t="n">
        <f aca="false">IF(MAX($BE$2:$BE$921)=MIN($BE$2:$BE$921),50,ROUND((BE729-MIN($BE$2:$BE$921))/(MAX($BE$2:$BE$921)-MIN($BE$2:$BE$921))*100,2))</f>
        <v>71.13</v>
      </c>
      <c r="AV729" s="8" t="n">
        <f aca="false">IF(MAX($AD$2:$AD$921)=MIN($AD$2:$AD$921),50,ROUND((AD729-MIN($AD$2:$AD$921))/(MAX($AD$2:$AD$921)-MIN($AD$2:$AD$921))*100,2))</f>
        <v>11.66</v>
      </c>
      <c r="AW729" s="8" t="n">
        <f aca="false">IF(MAX($AN$2:$AN$921)=MIN($AN$2:$AN$921),50,ROUND((AN729-MIN($AN$2:$AN$921))/(MAX($AN$2:$AN$921)-MIN($AN$2:$AN$921))*100,2))</f>
        <v>50</v>
      </c>
      <c r="AX729" s="8" t="n">
        <f aca="false">AQ729*100</f>
        <v>0</v>
      </c>
      <c r="AY729" s="8" t="n">
        <f aca="false">AR729*100</f>
        <v>0</v>
      </c>
      <c r="AZ729" s="8" t="n">
        <f aca="false">IFERROR(ROUND(AS729*Assumptions!$I$6+AW729*Assumptions!$I$7+AT729*Assumptions!$I$8+AU729*Assumptions!$I$9+AV729*Assumptions!$I$10+AX729*Assumptions!$I$11+AY729*Assumptions!$I$12,2),"")</f>
        <v>36.83</v>
      </c>
      <c r="BA729" s="0" t="str">
        <f aca="false">IF(AZ729="","",IF(AZ729&lt;=Assumptions!$I$18,"Below Expectation",IF(AZ729&lt;=Assumptions!$I$19,"Developing",IF(AZ729&lt;=Assumptions!$I$20,"Meets Expectation",IF(AZ729&lt;=Assumptions!$I$21,"Exceeds","Star Performer")))))</f>
        <v>Below Expectation</v>
      </c>
      <c r="BB729" s="0" t="n">
        <f aca="false">IF(AZ729="",0,IF(AZ729&gt;=Assumptions!$I$26,1,0))</f>
        <v>0</v>
      </c>
      <c r="BC729" s="9" t="n">
        <f aca="false">IF(AL729="",2,AL729+2)</f>
        <v>2</v>
      </c>
      <c r="BD729" s="10" t="n">
        <f aca="false">IF(AM729="",ROUND(AVERAGE($AM$2:$AM$921),3),AM729)</f>
        <v>0.5</v>
      </c>
      <c r="BE729" s="9" t="n">
        <f aca="false">1-BD729</f>
        <v>0.5</v>
      </c>
    </row>
    <row r="730" customFormat="false" ht="14.25" hidden="true" customHeight="false" outlineLevel="0" collapsed="false">
      <c r="A730" s="4" t="n">
        <v>637</v>
      </c>
      <c r="B730" s="5" t="n">
        <v>55055901</v>
      </c>
      <c r="C730" s="5" t="s">
        <v>57</v>
      </c>
      <c r="D730" s="5" t="s">
        <v>2483</v>
      </c>
      <c r="E730" s="5" t="s">
        <v>275</v>
      </c>
      <c r="F730" s="5" t="s">
        <v>608</v>
      </c>
      <c r="G730" s="5" t="s">
        <v>609</v>
      </c>
      <c r="H730" s="5" t="s">
        <v>608</v>
      </c>
      <c r="I730" s="5" t="s">
        <v>63</v>
      </c>
      <c r="J730" s="5" t="s">
        <v>100</v>
      </c>
      <c r="K730" s="5" t="s">
        <v>309</v>
      </c>
      <c r="L730" s="6" t="n">
        <v>44789</v>
      </c>
      <c r="M730" s="5" t="s">
        <v>741</v>
      </c>
      <c r="N730" s="6" t="n">
        <v>34890</v>
      </c>
      <c r="O730" s="5" t="s">
        <v>365</v>
      </c>
      <c r="P730" s="5" t="s">
        <v>365</v>
      </c>
      <c r="Q730" s="5" t="s">
        <v>231</v>
      </c>
      <c r="R730" s="5" t="s">
        <v>1318</v>
      </c>
      <c r="S730" s="5" t="s">
        <v>458</v>
      </c>
      <c r="T730" s="6"/>
      <c r="U730" s="6"/>
      <c r="V730" s="5"/>
      <c r="W730" s="5" t="s">
        <v>631</v>
      </c>
      <c r="X730" s="5" t="s">
        <v>631</v>
      </c>
      <c r="Y730" s="5" t="s">
        <v>631</v>
      </c>
      <c r="Z730" s="5" t="s">
        <v>631</v>
      </c>
      <c r="AA730" s="5" t="s">
        <v>2484</v>
      </c>
      <c r="AB730" s="0" t="n">
        <f aca="false">IFERROR(VALUE(R730),0)</f>
        <v>4.11</v>
      </c>
      <c r="AC730" s="0" t="n">
        <f aca="false">IFERROR(VALUE(M730),"")</f>
        <v>30.1</v>
      </c>
      <c r="AD730" s="0" t="n">
        <f aca="false">IFERROR(VALUE(Q730),"")</f>
        <v>3.9</v>
      </c>
      <c r="AE730" s="0" t="n">
        <f aca="false">IFERROR(VALUE(S730),"")</f>
        <v>8.8</v>
      </c>
      <c r="AF730" s="0" t="str">
        <f aca="false">IF(V730="","",VLOOKUP(V730,Assumptions!$B$6:$C$9,2,FALSE()))</f>
        <v/>
      </c>
      <c r="AG730" s="0" t="n">
        <f aca="false">IF(W730="","",VLOOKUP(W730,Assumptions!$B$6:$C$9,2,FALSE()))</f>
        <v>2</v>
      </c>
      <c r="AH730" s="0" t="n">
        <f aca="false">IF(X730="","",VLOOKUP(X730,Assumptions!$B$6:$C$9,2,FALSE()))</f>
        <v>2</v>
      </c>
      <c r="AI730" s="0" t="n">
        <f aca="false">IF(Y730="","",VLOOKUP(Y730,Assumptions!$B$6:$C$9,2,FALSE()))</f>
        <v>2</v>
      </c>
      <c r="AJ730" s="0" t="n">
        <f aca="false">IF(Z730="","",VLOOKUP(Z730,Assumptions!$B$6:$C$9,2,FALSE()))</f>
        <v>2</v>
      </c>
      <c r="AK730" s="7" t="n">
        <f aca="false">IFERROR(ROUND(AVERAGE(AF730:AJ730),3),"")</f>
        <v>2</v>
      </c>
      <c r="AL730" s="7" t="str">
        <f aca="false">IF(OR(AF730="",AJ730=""),"",AJ730-AF730)</f>
        <v/>
      </c>
      <c r="AM730" s="7" t="n">
        <f aca="false">IF(COUNT(AF730:AJ730)&gt;=2,ROUND(_xlfn.STDEV.S(AF730:AJ730),3),"")</f>
        <v>0</v>
      </c>
      <c r="AN730" s="7" t="n">
        <f aca="false">ROUND((IF(AF730="",0,AF730)*Assumptions!$F$15)+(IF(AG730="",0,AG730)*Assumptions!$F$16)+(IF(AH730="",0,AH730)*Assumptions!$F$17)+(IF(AI730="",0,AI730)*Assumptions!$F$18)+(IF(AJ730="",0,AJ730)*Assumptions!$F$19),3)</f>
        <v>1.8</v>
      </c>
      <c r="AO730" s="0" t="str">
        <f aca="false">IF(AC730&lt;=20,"",IF(AC730&lt;=Assumptions!$F$6,"20-30",IF(AC730&lt;=Assumptions!$F$7,"30-40",IF(AC730&lt;=Assumptions!$F$8,"40-50",IF(AC730&lt;=Assumptions!$F$9,"50-60",IF(AC730&lt;=Assumptions!$F$10,"60+",""))))))</f>
        <v>30-40</v>
      </c>
      <c r="AP730" s="0" t="str">
        <f aca="false">IFERROR(VLOOKUP(O730,Assumptions!$B$14:$C$26,2,FALSE()),"Other")</f>
        <v>Manager</v>
      </c>
      <c r="AQ730" s="0" t="n">
        <f aca="false">IF(T730="",0,1)</f>
        <v>0</v>
      </c>
      <c r="AR730" s="0" t="n">
        <f aca="false">IF(U730="",0,1)</f>
        <v>0</v>
      </c>
      <c r="AS730" s="8" t="n">
        <f aca="false">IF(AK730="","",IF(MAX($AK$2:$AK$921)=MIN($AK$2:$AK$921),50,ROUND((AK730-MIN($AK$2:$AK$921))/(MAX($AK$2:$AK$921)-MIN($AK$2:$AK$921))*100,2)))</f>
        <v>14.27</v>
      </c>
      <c r="AT730" s="8" t="n">
        <f aca="false">IF(MAX($BC$2:$BC$921)=MIN($BC$2:$BC$921),50,ROUND((BC730-MIN($BC$2:$BC$921))/(MAX($BC$2:$BC$921)-MIN($BC$2:$BC$921))*100,2))</f>
        <v>50</v>
      </c>
      <c r="AU730" s="8" t="n">
        <f aca="false">IF(MAX($BE$2:$BE$921)=MIN($BE$2:$BE$921),50,ROUND((BE730-MIN($BE$2:$BE$921))/(MAX($BE$2:$BE$921)-MIN($BE$2:$BE$921))*100,2))</f>
        <v>100</v>
      </c>
      <c r="AV730" s="8" t="n">
        <f aca="false">IF(MAX($AD$2:$AD$921)=MIN($AD$2:$AD$921),50,ROUND((AD730-MIN($AD$2:$AD$921))/(MAX($AD$2:$AD$921)-MIN($AD$2:$AD$921))*100,2))</f>
        <v>10.3</v>
      </c>
      <c r="AW730" s="8" t="n">
        <f aca="false">IF(MAX($AN$2:$AN$921)=MIN($AN$2:$AN$921),50,ROUND((AN730-MIN($AN$2:$AN$921))/(MAX($AN$2:$AN$921)-MIN($AN$2:$AN$921))*100,2))</f>
        <v>45</v>
      </c>
      <c r="AX730" s="8" t="n">
        <f aca="false">AQ730*100</f>
        <v>0</v>
      </c>
      <c r="AY730" s="8" t="n">
        <f aca="false">AR730*100</f>
        <v>0</v>
      </c>
      <c r="AZ730" s="8" t="n">
        <f aca="false">IFERROR(ROUND(AS730*Assumptions!$I$6+AW730*Assumptions!$I$7+AT730*Assumptions!$I$8+AU730*Assumptions!$I$9+AV730*Assumptions!$I$10+AX730*Assumptions!$I$11+AY730*Assumptions!$I$12,2),"")</f>
        <v>36.81</v>
      </c>
      <c r="BA730" s="0" t="str">
        <f aca="false">IF(AZ730="","",IF(AZ730&lt;=Assumptions!$I$18,"Below Expectation",IF(AZ730&lt;=Assumptions!$I$19,"Developing",IF(AZ730&lt;=Assumptions!$I$20,"Meets Expectation",IF(AZ730&lt;=Assumptions!$I$21,"Exceeds","Star Performer")))))</f>
        <v>Below Expectation</v>
      </c>
      <c r="BB730" s="0" t="n">
        <f aca="false">IF(AZ730="",0,IF(AZ730&gt;=Assumptions!$I$26,1,0))</f>
        <v>0</v>
      </c>
      <c r="BC730" s="9" t="n">
        <f aca="false">IF(AL730="",2,AL730+2)</f>
        <v>2</v>
      </c>
      <c r="BD730" s="10" t="n">
        <f aca="false">IF(AM730="",ROUND(AVERAGE($AM$2:$AM$921),3),AM730)</f>
        <v>0</v>
      </c>
      <c r="BE730" s="9" t="n">
        <f aca="false">1-BD730</f>
        <v>1</v>
      </c>
    </row>
    <row r="731" customFormat="false" ht="14.25" hidden="true" customHeight="false" outlineLevel="0" collapsed="false">
      <c r="A731" s="4" t="n">
        <v>638</v>
      </c>
      <c r="B731" s="5" t="n">
        <v>55056032</v>
      </c>
      <c r="C731" s="5" t="s">
        <v>85</v>
      </c>
      <c r="D731" s="5" t="s">
        <v>2485</v>
      </c>
      <c r="E731" s="5" t="s">
        <v>315</v>
      </c>
      <c r="F731" s="5" t="s">
        <v>2251</v>
      </c>
      <c r="G731" s="5" t="s">
        <v>2250</v>
      </c>
      <c r="H731" s="5" t="s">
        <v>2251</v>
      </c>
      <c r="I731" s="5" t="s">
        <v>63</v>
      </c>
      <c r="J731" s="5" t="s">
        <v>76</v>
      </c>
      <c r="K731" s="5" t="s">
        <v>65</v>
      </c>
      <c r="L731" s="6" t="n">
        <v>44791</v>
      </c>
      <c r="M731" s="5" t="s">
        <v>578</v>
      </c>
      <c r="N731" s="6" t="n">
        <v>37349</v>
      </c>
      <c r="O731" s="5" t="s">
        <v>1264</v>
      </c>
      <c r="P731" s="5" t="s">
        <v>1559</v>
      </c>
      <c r="Q731" s="5" t="s">
        <v>231</v>
      </c>
      <c r="R731" s="5" t="s">
        <v>115</v>
      </c>
      <c r="S731" s="5" t="s">
        <v>231</v>
      </c>
      <c r="T731" s="6"/>
      <c r="U731" s="6"/>
      <c r="V731" s="5"/>
      <c r="W731" s="5" t="s">
        <v>631</v>
      </c>
      <c r="X731" s="5" t="s">
        <v>631</v>
      </c>
      <c r="Y731" s="5" t="s">
        <v>631</v>
      </c>
      <c r="Z731" s="5" t="s">
        <v>631</v>
      </c>
      <c r="AA731" s="5" t="s">
        <v>2486</v>
      </c>
      <c r="AB731" s="0" t="n">
        <f aca="false">IFERROR(VALUE(R731),0)</f>
        <v>0</v>
      </c>
      <c r="AC731" s="0" t="n">
        <f aca="false">IFERROR(VALUE(M731),"")</f>
        <v>24.2</v>
      </c>
      <c r="AD731" s="0" t="n">
        <f aca="false">IFERROR(VALUE(Q731),"")</f>
        <v>3.9</v>
      </c>
      <c r="AE731" s="0" t="n">
        <f aca="false">IFERROR(VALUE(S731),"")</f>
        <v>3.9</v>
      </c>
      <c r="AF731" s="0" t="str">
        <f aca="false">IF(V731="","",VLOOKUP(V731,Assumptions!$B$6:$C$9,2,FALSE()))</f>
        <v/>
      </c>
      <c r="AG731" s="0" t="n">
        <f aca="false">IF(W731="","",VLOOKUP(W731,Assumptions!$B$6:$C$9,2,FALSE()))</f>
        <v>2</v>
      </c>
      <c r="AH731" s="0" t="n">
        <f aca="false">IF(X731="","",VLOOKUP(X731,Assumptions!$B$6:$C$9,2,FALSE()))</f>
        <v>2</v>
      </c>
      <c r="AI731" s="0" t="n">
        <f aca="false">IF(Y731="","",VLOOKUP(Y731,Assumptions!$B$6:$C$9,2,FALSE()))</f>
        <v>2</v>
      </c>
      <c r="AJ731" s="0" t="n">
        <f aca="false">IF(Z731="","",VLOOKUP(Z731,Assumptions!$B$6:$C$9,2,FALSE()))</f>
        <v>2</v>
      </c>
      <c r="AK731" s="7" t="n">
        <f aca="false">IFERROR(ROUND(AVERAGE(AF731:AJ731),3),"")</f>
        <v>2</v>
      </c>
      <c r="AL731" s="7" t="str">
        <f aca="false">IF(OR(AF731="",AJ731=""),"",AJ731-AF731)</f>
        <v/>
      </c>
      <c r="AM731" s="7" t="n">
        <f aca="false">IF(COUNT(AF731:AJ731)&gt;=2,ROUND(_xlfn.STDEV.S(AF731:AJ731),3),"")</f>
        <v>0</v>
      </c>
      <c r="AN731" s="7" t="n">
        <f aca="false">ROUND((IF(AF731="",0,AF731)*Assumptions!$F$15)+(IF(AG731="",0,AG731)*Assumptions!$F$16)+(IF(AH731="",0,AH731)*Assumptions!$F$17)+(IF(AI731="",0,AI731)*Assumptions!$F$18)+(IF(AJ731="",0,AJ731)*Assumptions!$F$19),3)</f>
        <v>1.8</v>
      </c>
      <c r="AO731" s="0" t="str">
        <f aca="false">IF(AC731&lt;=20,"",IF(AC731&lt;=Assumptions!$F$6,"20-30",IF(AC731&lt;=Assumptions!$F$7,"30-40",IF(AC731&lt;=Assumptions!$F$8,"40-50",IF(AC731&lt;=Assumptions!$F$9,"50-60",IF(AC731&lt;=Assumptions!$F$10,"60+",""))))))</f>
        <v>20-30</v>
      </c>
      <c r="AP731" s="0" t="str">
        <f aca="false">IFERROR(VLOOKUP(O731,Assumptions!$B$14:$C$26,2,FALSE()),"Other")</f>
        <v>Manager</v>
      </c>
      <c r="AQ731" s="0" t="n">
        <f aca="false">IF(T731="",0,1)</f>
        <v>0</v>
      </c>
      <c r="AR731" s="0" t="n">
        <f aca="false">IF(U731="",0,1)</f>
        <v>0</v>
      </c>
      <c r="AS731" s="8" t="n">
        <f aca="false">IF(AK731="","",IF(MAX($AK$2:$AK$921)=MIN($AK$2:$AK$921),50,ROUND((AK731-MIN($AK$2:$AK$921))/(MAX($AK$2:$AK$921)-MIN($AK$2:$AK$921))*100,2)))</f>
        <v>14.27</v>
      </c>
      <c r="AT731" s="8" t="n">
        <f aca="false">IF(MAX($BC$2:$BC$921)=MIN($BC$2:$BC$921),50,ROUND((BC731-MIN($BC$2:$BC$921))/(MAX($BC$2:$BC$921)-MIN($BC$2:$BC$921))*100,2))</f>
        <v>50</v>
      </c>
      <c r="AU731" s="8" t="n">
        <f aca="false">IF(MAX($BE$2:$BE$921)=MIN($BE$2:$BE$921),50,ROUND((BE731-MIN($BE$2:$BE$921))/(MAX($BE$2:$BE$921)-MIN($BE$2:$BE$921))*100,2))</f>
        <v>100</v>
      </c>
      <c r="AV731" s="8" t="n">
        <f aca="false">IF(MAX($AD$2:$AD$921)=MIN($AD$2:$AD$921),50,ROUND((AD731-MIN($AD$2:$AD$921))/(MAX($AD$2:$AD$921)-MIN($AD$2:$AD$921))*100,2))</f>
        <v>10.3</v>
      </c>
      <c r="AW731" s="8" t="n">
        <f aca="false">IF(MAX($AN$2:$AN$921)=MIN($AN$2:$AN$921),50,ROUND((AN731-MIN($AN$2:$AN$921))/(MAX($AN$2:$AN$921)-MIN($AN$2:$AN$921))*100,2))</f>
        <v>45</v>
      </c>
      <c r="AX731" s="8" t="n">
        <f aca="false">AQ731*100</f>
        <v>0</v>
      </c>
      <c r="AY731" s="8" t="n">
        <f aca="false">AR731*100</f>
        <v>0</v>
      </c>
      <c r="AZ731" s="8" t="n">
        <f aca="false">IFERROR(ROUND(AS731*Assumptions!$I$6+AW731*Assumptions!$I$7+AT731*Assumptions!$I$8+AU731*Assumptions!$I$9+AV731*Assumptions!$I$10+AX731*Assumptions!$I$11+AY731*Assumptions!$I$12,2),"")</f>
        <v>36.81</v>
      </c>
      <c r="BA731" s="0" t="str">
        <f aca="false">IF(AZ731="","",IF(AZ731&lt;=Assumptions!$I$18,"Below Expectation",IF(AZ731&lt;=Assumptions!$I$19,"Developing",IF(AZ731&lt;=Assumptions!$I$20,"Meets Expectation",IF(AZ731&lt;=Assumptions!$I$21,"Exceeds","Star Performer")))))</f>
        <v>Below Expectation</v>
      </c>
      <c r="BB731" s="0" t="n">
        <f aca="false">IF(AZ731="",0,IF(AZ731&gt;=Assumptions!$I$26,1,0))</f>
        <v>0</v>
      </c>
      <c r="BC731" s="9" t="n">
        <f aca="false">IF(AL731="",2,AL731+2)</f>
        <v>2</v>
      </c>
      <c r="BD731" s="10" t="n">
        <f aca="false">IF(AM731="",ROUND(AVERAGE($AM$2:$AM$921),3),AM731)</f>
        <v>0</v>
      </c>
      <c r="BE731" s="9" t="n">
        <f aca="false">1-BD731</f>
        <v>1</v>
      </c>
    </row>
    <row r="732" customFormat="false" ht="14.25" hidden="true" customHeight="false" outlineLevel="0" collapsed="false">
      <c r="A732" s="4" t="n">
        <v>639</v>
      </c>
      <c r="B732" s="5" t="n">
        <v>55056033</v>
      </c>
      <c r="C732" s="5" t="s">
        <v>85</v>
      </c>
      <c r="D732" s="5" t="s">
        <v>2487</v>
      </c>
      <c r="E732" s="5" t="s">
        <v>315</v>
      </c>
      <c r="F732" s="5" t="s">
        <v>2251</v>
      </c>
      <c r="G732" s="5" t="s">
        <v>2250</v>
      </c>
      <c r="H732" s="5" t="s">
        <v>2251</v>
      </c>
      <c r="I732" s="5" t="s">
        <v>63</v>
      </c>
      <c r="J732" s="5" t="s">
        <v>76</v>
      </c>
      <c r="K732" s="5" t="s">
        <v>309</v>
      </c>
      <c r="L732" s="6" t="n">
        <v>44791</v>
      </c>
      <c r="M732" s="5" t="s">
        <v>941</v>
      </c>
      <c r="N732" s="6" t="n">
        <v>36708</v>
      </c>
      <c r="O732" s="5" t="s">
        <v>1264</v>
      </c>
      <c r="P732" s="5" t="s">
        <v>1559</v>
      </c>
      <c r="Q732" s="5" t="s">
        <v>231</v>
      </c>
      <c r="R732" s="5" t="s">
        <v>115</v>
      </c>
      <c r="S732" s="5" t="s">
        <v>231</v>
      </c>
      <c r="T732" s="6"/>
      <c r="U732" s="6"/>
      <c r="V732" s="5"/>
      <c r="W732" s="5" t="s">
        <v>631</v>
      </c>
      <c r="X732" s="5" t="s">
        <v>631</v>
      </c>
      <c r="Y732" s="5" t="s">
        <v>631</v>
      </c>
      <c r="Z732" s="5" t="s">
        <v>631</v>
      </c>
      <c r="AA732" s="5" t="s">
        <v>2488</v>
      </c>
      <c r="AB732" s="0" t="n">
        <f aca="false">IFERROR(VALUE(R732),0)</f>
        <v>0</v>
      </c>
      <c r="AC732" s="0" t="n">
        <f aca="false">IFERROR(VALUE(M732),"")</f>
        <v>25.11</v>
      </c>
      <c r="AD732" s="0" t="n">
        <f aca="false">IFERROR(VALUE(Q732),"")</f>
        <v>3.9</v>
      </c>
      <c r="AE732" s="0" t="n">
        <f aca="false">IFERROR(VALUE(S732),"")</f>
        <v>3.9</v>
      </c>
      <c r="AF732" s="0" t="str">
        <f aca="false">IF(V732="","",VLOOKUP(V732,Assumptions!$B$6:$C$9,2,FALSE()))</f>
        <v/>
      </c>
      <c r="AG732" s="0" t="n">
        <f aca="false">IF(W732="","",VLOOKUP(W732,Assumptions!$B$6:$C$9,2,FALSE()))</f>
        <v>2</v>
      </c>
      <c r="AH732" s="0" t="n">
        <f aca="false">IF(X732="","",VLOOKUP(X732,Assumptions!$B$6:$C$9,2,FALSE()))</f>
        <v>2</v>
      </c>
      <c r="AI732" s="0" t="n">
        <f aca="false">IF(Y732="","",VLOOKUP(Y732,Assumptions!$B$6:$C$9,2,FALSE()))</f>
        <v>2</v>
      </c>
      <c r="AJ732" s="0" t="n">
        <f aca="false">IF(Z732="","",VLOOKUP(Z732,Assumptions!$B$6:$C$9,2,FALSE()))</f>
        <v>2</v>
      </c>
      <c r="AK732" s="7" t="n">
        <f aca="false">IFERROR(ROUND(AVERAGE(AF732:AJ732),3),"")</f>
        <v>2</v>
      </c>
      <c r="AL732" s="7" t="str">
        <f aca="false">IF(OR(AF732="",AJ732=""),"",AJ732-AF732)</f>
        <v/>
      </c>
      <c r="AM732" s="7" t="n">
        <f aca="false">IF(COUNT(AF732:AJ732)&gt;=2,ROUND(_xlfn.STDEV.S(AF732:AJ732),3),"")</f>
        <v>0</v>
      </c>
      <c r="AN732" s="7" t="n">
        <f aca="false">ROUND((IF(AF732="",0,AF732)*Assumptions!$F$15)+(IF(AG732="",0,AG732)*Assumptions!$F$16)+(IF(AH732="",0,AH732)*Assumptions!$F$17)+(IF(AI732="",0,AI732)*Assumptions!$F$18)+(IF(AJ732="",0,AJ732)*Assumptions!$F$19),3)</f>
        <v>1.8</v>
      </c>
      <c r="AO732" s="0" t="str">
        <f aca="false">IF(AC732&lt;=20,"",IF(AC732&lt;=Assumptions!$F$6,"20-30",IF(AC732&lt;=Assumptions!$F$7,"30-40",IF(AC732&lt;=Assumptions!$F$8,"40-50",IF(AC732&lt;=Assumptions!$F$9,"50-60",IF(AC732&lt;=Assumptions!$F$10,"60+",""))))))</f>
        <v>20-30</v>
      </c>
      <c r="AP732" s="0" t="str">
        <f aca="false">IFERROR(VLOOKUP(O732,Assumptions!$B$14:$C$26,2,FALSE()),"Other")</f>
        <v>Manager</v>
      </c>
      <c r="AQ732" s="0" t="n">
        <f aca="false">IF(T732="",0,1)</f>
        <v>0</v>
      </c>
      <c r="AR732" s="0" t="n">
        <f aca="false">IF(U732="",0,1)</f>
        <v>0</v>
      </c>
      <c r="AS732" s="8" t="n">
        <f aca="false">IF(AK732="","",IF(MAX($AK$2:$AK$921)=MIN($AK$2:$AK$921),50,ROUND((AK732-MIN($AK$2:$AK$921))/(MAX($AK$2:$AK$921)-MIN($AK$2:$AK$921))*100,2)))</f>
        <v>14.27</v>
      </c>
      <c r="AT732" s="8" t="n">
        <f aca="false">IF(MAX($BC$2:$BC$921)=MIN($BC$2:$BC$921),50,ROUND((BC732-MIN($BC$2:$BC$921))/(MAX($BC$2:$BC$921)-MIN($BC$2:$BC$921))*100,2))</f>
        <v>50</v>
      </c>
      <c r="AU732" s="8" t="n">
        <f aca="false">IF(MAX($BE$2:$BE$921)=MIN($BE$2:$BE$921),50,ROUND((BE732-MIN($BE$2:$BE$921))/(MAX($BE$2:$BE$921)-MIN($BE$2:$BE$921))*100,2))</f>
        <v>100</v>
      </c>
      <c r="AV732" s="8" t="n">
        <f aca="false">IF(MAX($AD$2:$AD$921)=MIN($AD$2:$AD$921),50,ROUND((AD732-MIN($AD$2:$AD$921))/(MAX($AD$2:$AD$921)-MIN($AD$2:$AD$921))*100,2))</f>
        <v>10.3</v>
      </c>
      <c r="AW732" s="8" t="n">
        <f aca="false">IF(MAX($AN$2:$AN$921)=MIN($AN$2:$AN$921),50,ROUND((AN732-MIN($AN$2:$AN$921))/(MAX($AN$2:$AN$921)-MIN($AN$2:$AN$921))*100,2))</f>
        <v>45</v>
      </c>
      <c r="AX732" s="8" t="n">
        <f aca="false">AQ732*100</f>
        <v>0</v>
      </c>
      <c r="AY732" s="8" t="n">
        <f aca="false">AR732*100</f>
        <v>0</v>
      </c>
      <c r="AZ732" s="8" t="n">
        <f aca="false">IFERROR(ROUND(AS732*Assumptions!$I$6+AW732*Assumptions!$I$7+AT732*Assumptions!$I$8+AU732*Assumptions!$I$9+AV732*Assumptions!$I$10+AX732*Assumptions!$I$11+AY732*Assumptions!$I$12,2),"")</f>
        <v>36.81</v>
      </c>
      <c r="BA732" s="0" t="str">
        <f aca="false">IF(AZ732="","",IF(AZ732&lt;=Assumptions!$I$18,"Below Expectation",IF(AZ732&lt;=Assumptions!$I$19,"Developing",IF(AZ732&lt;=Assumptions!$I$20,"Meets Expectation",IF(AZ732&lt;=Assumptions!$I$21,"Exceeds","Star Performer")))))</f>
        <v>Below Expectation</v>
      </c>
      <c r="BB732" s="0" t="n">
        <f aca="false">IF(AZ732="",0,IF(AZ732&gt;=Assumptions!$I$26,1,0))</f>
        <v>0</v>
      </c>
      <c r="BC732" s="9" t="n">
        <f aca="false">IF(AL732="",2,AL732+2)</f>
        <v>2</v>
      </c>
      <c r="BD732" s="10" t="n">
        <f aca="false">IF(AM732="",ROUND(AVERAGE($AM$2:$AM$921),3),AM732)</f>
        <v>0</v>
      </c>
      <c r="BE732" s="9" t="n">
        <f aca="false">1-BD732</f>
        <v>1</v>
      </c>
    </row>
    <row r="733" customFormat="false" ht="14.25" hidden="true" customHeight="false" outlineLevel="0" collapsed="false">
      <c r="A733" s="4" t="n">
        <v>650</v>
      </c>
      <c r="B733" s="5" t="n">
        <v>55056902</v>
      </c>
      <c r="C733" s="5" t="s">
        <v>858</v>
      </c>
      <c r="D733" s="5" t="s">
        <v>2489</v>
      </c>
      <c r="E733" s="5" t="s">
        <v>860</v>
      </c>
      <c r="F733" s="5" t="s">
        <v>2048</v>
      </c>
      <c r="G733" s="5" t="s">
        <v>2049</v>
      </c>
      <c r="H733" s="5" t="s">
        <v>2050</v>
      </c>
      <c r="I733" s="5" t="s">
        <v>63</v>
      </c>
      <c r="J733" s="5" t="s">
        <v>100</v>
      </c>
      <c r="K733" s="5" t="s">
        <v>309</v>
      </c>
      <c r="L733" s="6" t="n">
        <v>44809</v>
      </c>
      <c r="M733" s="5" t="s">
        <v>1414</v>
      </c>
      <c r="N733" s="6" t="n">
        <v>35889</v>
      </c>
      <c r="O733" s="5" t="s">
        <v>585</v>
      </c>
      <c r="P733" s="5" t="s">
        <v>586</v>
      </c>
      <c r="Q733" s="5" t="s">
        <v>231</v>
      </c>
      <c r="R733" s="5" t="s">
        <v>115</v>
      </c>
      <c r="S733" s="5" t="s">
        <v>231</v>
      </c>
      <c r="T733" s="6"/>
      <c r="U733" s="6"/>
      <c r="V733" s="5"/>
      <c r="W733" s="5" t="s">
        <v>631</v>
      </c>
      <c r="X733" s="5" t="s">
        <v>631</v>
      </c>
      <c r="Y733" s="5" t="s">
        <v>631</v>
      </c>
      <c r="Z733" s="5" t="s">
        <v>631</v>
      </c>
      <c r="AA733" s="5" t="s">
        <v>2490</v>
      </c>
      <c r="AB733" s="0" t="n">
        <f aca="false">IFERROR(VALUE(R733),0)</f>
        <v>0</v>
      </c>
      <c r="AC733" s="0" t="n">
        <f aca="false">IFERROR(VALUE(M733),"")</f>
        <v>28.2</v>
      </c>
      <c r="AD733" s="0" t="n">
        <f aca="false">IFERROR(VALUE(Q733),"")</f>
        <v>3.9</v>
      </c>
      <c r="AE733" s="0" t="n">
        <f aca="false">IFERROR(VALUE(S733),"")</f>
        <v>3.9</v>
      </c>
      <c r="AF733" s="0" t="str">
        <f aca="false">IF(V733="","",VLOOKUP(V733,Assumptions!$B$6:$C$9,2,FALSE()))</f>
        <v/>
      </c>
      <c r="AG733" s="0" t="n">
        <f aca="false">IF(W733="","",VLOOKUP(W733,Assumptions!$B$6:$C$9,2,FALSE()))</f>
        <v>2</v>
      </c>
      <c r="AH733" s="0" t="n">
        <f aca="false">IF(X733="","",VLOOKUP(X733,Assumptions!$B$6:$C$9,2,FALSE()))</f>
        <v>2</v>
      </c>
      <c r="AI733" s="0" t="n">
        <f aca="false">IF(Y733="","",VLOOKUP(Y733,Assumptions!$B$6:$C$9,2,FALSE()))</f>
        <v>2</v>
      </c>
      <c r="AJ733" s="0" t="n">
        <f aca="false">IF(Z733="","",VLOOKUP(Z733,Assumptions!$B$6:$C$9,2,FALSE()))</f>
        <v>2</v>
      </c>
      <c r="AK733" s="7" t="n">
        <f aca="false">IFERROR(ROUND(AVERAGE(AF733:AJ733),3),"")</f>
        <v>2</v>
      </c>
      <c r="AL733" s="7" t="str">
        <f aca="false">IF(OR(AF733="",AJ733=""),"",AJ733-AF733)</f>
        <v/>
      </c>
      <c r="AM733" s="7" t="n">
        <f aca="false">IF(COUNT(AF733:AJ733)&gt;=2,ROUND(_xlfn.STDEV.S(AF733:AJ733),3),"")</f>
        <v>0</v>
      </c>
      <c r="AN733" s="7" t="n">
        <f aca="false">ROUND((IF(AF733="",0,AF733)*Assumptions!$F$15)+(IF(AG733="",0,AG733)*Assumptions!$F$16)+(IF(AH733="",0,AH733)*Assumptions!$F$17)+(IF(AI733="",0,AI733)*Assumptions!$F$18)+(IF(AJ733="",0,AJ733)*Assumptions!$F$19),3)</f>
        <v>1.8</v>
      </c>
      <c r="AO733" s="0" t="str">
        <f aca="false">IF(AC733&lt;=20,"",IF(AC733&lt;=Assumptions!$F$6,"20-30",IF(AC733&lt;=Assumptions!$F$7,"30-40",IF(AC733&lt;=Assumptions!$F$8,"40-50",IF(AC733&lt;=Assumptions!$F$9,"50-60",IF(AC733&lt;=Assumptions!$F$10,"60+",""))))))</f>
        <v>20-30</v>
      </c>
      <c r="AP733" s="0" t="str">
        <f aca="false">IFERROR(VLOOKUP(O733,Assumptions!$B$14:$C$26,2,FALSE()),"Other")</f>
        <v>Manager</v>
      </c>
      <c r="AQ733" s="0" t="n">
        <f aca="false">IF(T733="",0,1)</f>
        <v>0</v>
      </c>
      <c r="AR733" s="0" t="n">
        <f aca="false">IF(U733="",0,1)</f>
        <v>0</v>
      </c>
      <c r="AS733" s="8" t="n">
        <f aca="false">IF(AK733="","",IF(MAX($AK$2:$AK$921)=MIN($AK$2:$AK$921),50,ROUND((AK733-MIN($AK$2:$AK$921))/(MAX($AK$2:$AK$921)-MIN($AK$2:$AK$921))*100,2)))</f>
        <v>14.27</v>
      </c>
      <c r="AT733" s="8" t="n">
        <f aca="false">IF(MAX($BC$2:$BC$921)=MIN($BC$2:$BC$921),50,ROUND((BC733-MIN($BC$2:$BC$921))/(MAX($BC$2:$BC$921)-MIN($BC$2:$BC$921))*100,2))</f>
        <v>50</v>
      </c>
      <c r="AU733" s="8" t="n">
        <f aca="false">IF(MAX($BE$2:$BE$921)=MIN($BE$2:$BE$921),50,ROUND((BE733-MIN($BE$2:$BE$921))/(MAX($BE$2:$BE$921)-MIN($BE$2:$BE$921))*100,2))</f>
        <v>100</v>
      </c>
      <c r="AV733" s="8" t="n">
        <f aca="false">IF(MAX($AD$2:$AD$921)=MIN($AD$2:$AD$921),50,ROUND((AD733-MIN($AD$2:$AD$921))/(MAX($AD$2:$AD$921)-MIN($AD$2:$AD$921))*100,2))</f>
        <v>10.3</v>
      </c>
      <c r="AW733" s="8" t="n">
        <f aca="false">IF(MAX($AN$2:$AN$921)=MIN($AN$2:$AN$921),50,ROUND((AN733-MIN($AN$2:$AN$921))/(MAX($AN$2:$AN$921)-MIN($AN$2:$AN$921))*100,2))</f>
        <v>45</v>
      </c>
      <c r="AX733" s="8" t="n">
        <f aca="false">AQ733*100</f>
        <v>0</v>
      </c>
      <c r="AY733" s="8" t="n">
        <f aca="false">AR733*100</f>
        <v>0</v>
      </c>
      <c r="AZ733" s="8" t="n">
        <f aca="false">IFERROR(ROUND(AS733*Assumptions!$I$6+AW733*Assumptions!$I$7+AT733*Assumptions!$I$8+AU733*Assumptions!$I$9+AV733*Assumptions!$I$10+AX733*Assumptions!$I$11+AY733*Assumptions!$I$12,2),"")</f>
        <v>36.81</v>
      </c>
      <c r="BA733" s="0" t="str">
        <f aca="false">IF(AZ733="","",IF(AZ733&lt;=Assumptions!$I$18,"Below Expectation",IF(AZ733&lt;=Assumptions!$I$19,"Developing",IF(AZ733&lt;=Assumptions!$I$20,"Meets Expectation",IF(AZ733&lt;=Assumptions!$I$21,"Exceeds","Star Performer")))))</f>
        <v>Below Expectation</v>
      </c>
      <c r="BB733" s="0" t="n">
        <f aca="false">IF(AZ733="",0,IF(AZ733&gt;=Assumptions!$I$26,1,0))</f>
        <v>0</v>
      </c>
      <c r="BC733" s="9" t="n">
        <f aca="false">IF(AL733="",2,AL733+2)</f>
        <v>2</v>
      </c>
      <c r="BD733" s="10" t="n">
        <f aca="false">IF(AM733="",ROUND(AVERAGE($AM$2:$AM$921),3),AM733)</f>
        <v>0</v>
      </c>
      <c r="BE733" s="9" t="n">
        <f aca="false">1-BD733</f>
        <v>1</v>
      </c>
    </row>
    <row r="734" customFormat="false" ht="14.25" hidden="true" customHeight="false" outlineLevel="0" collapsed="false">
      <c r="A734" s="4" t="n">
        <v>324</v>
      </c>
      <c r="B734" s="5" t="n">
        <v>10086957</v>
      </c>
      <c r="C734" s="5" t="s">
        <v>526</v>
      </c>
      <c r="D734" s="5" t="s">
        <v>2491</v>
      </c>
      <c r="E734" s="5" t="s">
        <v>558</v>
      </c>
      <c r="F734" s="5" t="s">
        <v>258</v>
      </c>
      <c r="G734" s="5" t="s">
        <v>259</v>
      </c>
      <c r="H734" s="5" t="s">
        <v>260</v>
      </c>
      <c r="I734" s="5" t="s">
        <v>63</v>
      </c>
      <c r="J734" s="5" t="s">
        <v>100</v>
      </c>
      <c r="K734" s="5" t="s">
        <v>65</v>
      </c>
      <c r="L734" s="6" t="n">
        <v>44655</v>
      </c>
      <c r="M734" s="5" t="s">
        <v>855</v>
      </c>
      <c r="N734" s="6" t="n">
        <v>29747</v>
      </c>
      <c r="O734" s="5" t="s">
        <v>262</v>
      </c>
      <c r="P734" s="5" t="s">
        <v>263</v>
      </c>
      <c r="Q734" s="5" t="s">
        <v>554</v>
      </c>
      <c r="R734" s="5" t="s">
        <v>734</v>
      </c>
      <c r="S734" s="5" t="s">
        <v>1646</v>
      </c>
      <c r="T734" s="6"/>
      <c r="U734" s="6"/>
      <c r="V734" s="5"/>
      <c r="W734" s="5" t="s">
        <v>631</v>
      </c>
      <c r="X734" s="5" t="s">
        <v>141</v>
      </c>
      <c r="Y734" s="5" t="s">
        <v>631</v>
      </c>
      <c r="Z734" s="5" t="s">
        <v>631</v>
      </c>
      <c r="AA734" s="5" t="s">
        <v>2492</v>
      </c>
      <c r="AB734" s="0" t="n">
        <f aca="false">IFERROR(VALUE(R734),0)</f>
        <v>13.7</v>
      </c>
      <c r="AC734" s="0" t="n">
        <f aca="false">IFERROR(VALUE(M734),"")</f>
        <v>44.11</v>
      </c>
      <c r="AD734" s="0" t="n">
        <f aca="false">IFERROR(VALUE(Q734),"")</f>
        <v>4.2</v>
      </c>
      <c r="AE734" s="0" t="n">
        <f aca="false">IFERROR(VALUE(S734),"")</f>
        <v>17.9</v>
      </c>
      <c r="AF734" s="0" t="str">
        <f aca="false">IF(V734="","",VLOOKUP(V734,Assumptions!$B$6:$C$9,2,FALSE()))</f>
        <v/>
      </c>
      <c r="AG734" s="0" t="n">
        <f aca="false">IF(W734="","",VLOOKUP(W734,Assumptions!$B$6:$C$9,2,FALSE()))</f>
        <v>2</v>
      </c>
      <c r="AH734" s="0" t="n">
        <f aca="false">IF(X734="","",VLOOKUP(X734,Assumptions!$B$6:$C$9,2,FALSE()))</f>
        <v>3</v>
      </c>
      <c r="AI734" s="0" t="n">
        <f aca="false">IF(Y734="","",VLOOKUP(Y734,Assumptions!$B$6:$C$9,2,FALSE()))</f>
        <v>2</v>
      </c>
      <c r="AJ734" s="0" t="n">
        <f aca="false">IF(Z734="","",VLOOKUP(Z734,Assumptions!$B$6:$C$9,2,FALSE()))</f>
        <v>2</v>
      </c>
      <c r="AK734" s="7" t="n">
        <f aca="false">IFERROR(ROUND(AVERAGE(AF734:AJ734),3),"")</f>
        <v>2.25</v>
      </c>
      <c r="AL734" s="7" t="str">
        <f aca="false">IF(OR(AF734="",AJ734=""),"",AJ734-AF734)</f>
        <v/>
      </c>
      <c r="AM734" s="7" t="n">
        <f aca="false">IF(COUNT(AF734:AJ734)&gt;=2,ROUND(_xlfn.STDEV.S(AF734:AJ734),3),"")</f>
        <v>0.5</v>
      </c>
      <c r="AN734" s="7" t="n">
        <f aca="false">ROUND((IF(AF734="",0,AF734)*Assumptions!$F$15)+(IF(AG734="",0,AG734)*Assumptions!$F$16)+(IF(AH734="",0,AH734)*Assumptions!$F$17)+(IF(AI734="",0,AI734)*Assumptions!$F$18)+(IF(AJ734="",0,AJ734)*Assumptions!$F$19),3)</f>
        <v>2</v>
      </c>
      <c r="AO734" s="0" t="str">
        <f aca="false">IF(AC734&lt;=20,"",IF(AC734&lt;=Assumptions!$F$6,"20-30",IF(AC734&lt;=Assumptions!$F$7,"30-40",IF(AC734&lt;=Assumptions!$F$8,"40-50",IF(AC734&lt;=Assumptions!$F$9,"50-60",IF(AC734&lt;=Assumptions!$F$10,"60+",""))))))</f>
        <v>40-50</v>
      </c>
      <c r="AP734" s="0" t="str">
        <f aca="false">IFERROR(VLOOKUP(O734,Assumptions!$B$14:$C$26,2,FALSE()),"Other")</f>
        <v>Manager</v>
      </c>
      <c r="AQ734" s="0" t="n">
        <f aca="false">IF(T734="",0,1)</f>
        <v>0</v>
      </c>
      <c r="AR734" s="0" t="n">
        <f aca="false">IF(U734="",0,1)</f>
        <v>0</v>
      </c>
      <c r="AS734" s="8" t="n">
        <f aca="false">IF(AK734="","",IF(MAX($AK$2:$AK$921)=MIN($AK$2:$AK$921),50,ROUND((AK734-MIN($AK$2:$AK$921))/(MAX($AK$2:$AK$921)-MIN($AK$2:$AK$921))*100,2)))</f>
        <v>24.99</v>
      </c>
      <c r="AT734" s="8" t="n">
        <f aca="false">IF(MAX($BC$2:$BC$921)=MIN($BC$2:$BC$921),50,ROUND((BC734-MIN($BC$2:$BC$921))/(MAX($BC$2:$BC$921)-MIN($BC$2:$BC$921))*100,2))</f>
        <v>50</v>
      </c>
      <c r="AU734" s="8" t="n">
        <f aca="false">IF(MAX($BE$2:$BE$921)=MIN($BE$2:$BE$921),50,ROUND((BE734-MIN($BE$2:$BE$921))/(MAX($BE$2:$BE$921)-MIN($BE$2:$BE$921))*100,2))</f>
        <v>71.13</v>
      </c>
      <c r="AV734" s="8" t="n">
        <f aca="false">IF(MAX($AD$2:$AD$921)=MIN($AD$2:$AD$921),50,ROUND((AD734-MIN($AD$2:$AD$921))/(MAX($AD$2:$AD$921)-MIN($AD$2:$AD$921))*100,2))</f>
        <v>11.12</v>
      </c>
      <c r="AW734" s="8" t="n">
        <f aca="false">IF(MAX($AN$2:$AN$921)=MIN($AN$2:$AN$921),50,ROUND((AN734-MIN($AN$2:$AN$921))/(MAX($AN$2:$AN$921)-MIN($AN$2:$AN$921))*100,2))</f>
        <v>50</v>
      </c>
      <c r="AX734" s="8" t="n">
        <f aca="false">AQ734*100</f>
        <v>0</v>
      </c>
      <c r="AY734" s="8" t="n">
        <f aca="false">AR734*100</f>
        <v>0</v>
      </c>
      <c r="AZ734" s="8" t="n">
        <f aca="false">IFERROR(ROUND(AS734*Assumptions!$I$6+AW734*Assumptions!$I$7+AT734*Assumptions!$I$8+AU734*Assumptions!$I$9+AV734*Assumptions!$I$10+AX734*Assumptions!$I$11+AY734*Assumptions!$I$12,2),"")</f>
        <v>36.78</v>
      </c>
      <c r="BA734" s="0" t="str">
        <f aca="false">IF(AZ734="","",IF(AZ734&lt;=Assumptions!$I$18,"Below Expectation",IF(AZ734&lt;=Assumptions!$I$19,"Developing",IF(AZ734&lt;=Assumptions!$I$20,"Meets Expectation",IF(AZ734&lt;=Assumptions!$I$21,"Exceeds","Star Performer")))))</f>
        <v>Below Expectation</v>
      </c>
      <c r="BB734" s="0" t="n">
        <f aca="false">IF(AZ734="",0,IF(AZ734&gt;=Assumptions!$I$26,1,0))</f>
        <v>0</v>
      </c>
      <c r="BC734" s="9" t="n">
        <f aca="false">IF(AL734="",2,AL734+2)</f>
        <v>2</v>
      </c>
      <c r="BD734" s="10" t="n">
        <f aca="false">IF(AM734="",ROUND(AVERAGE($AM$2:$AM$921),3),AM734)</f>
        <v>0.5</v>
      </c>
      <c r="BE734" s="9" t="n">
        <f aca="false">1-BD734</f>
        <v>0.5</v>
      </c>
    </row>
    <row r="735" customFormat="false" ht="14.25" hidden="true" customHeight="false" outlineLevel="0" collapsed="false">
      <c r="A735" s="4" t="n">
        <v>544</v>
      </c>
      <c r="B735" s="5" t="n">
        <v>55048412</v>
      </c>
      <c r="C735" s="5" t="s">
        <v>85</v>
      </c>
      <c r="D735" s="5" t="s">
        <v>2493</v>
      </c>
      <c r="E735" s="5" t="s">
        <v>1289</v>
      </c>
      <c r="F735" s="5" t="s">
        <v>1382</v>
      </c>
      <c r="G735" s="5" t="s">
        <v>1383</v>
      </c>
      <c r="H735" s="5" t="s">
        <v>1382</v>
      </c>
      <c r="I735" s="5" t="s">
        <v>63</v>
      </c>
      <c r="J735" s="5" t="s">
        <v>76</v>
      </c>
      <c r="K735" s="5" t="s">
        <v>309</v>
      </c>
      <c r="L735" s="6" t="n">
        <v>44641</v>
      </c>
      <c r="M735" s="5" t="s">
        <v>998</v>
      </c>
      <c r="N735" s="6" t="n">
        <v>36270</v>
      </c>
      <c r="O735" s="5" t="s">
        <v>1264</v>
      </c>
      <c r="P735" s="5" t="s">
        <v>1559</v>
      </c>
      <c r="Q735" s="5" t="s">
        <v>554</v>
      </c>
      <c r="R735" s="5" t="s">
        <v>531</v>
      </c>
      <c r="S735" s="5" t="s">
        <v>545</v>
      </c>
      <c r="T735" s="6"/>
      <c r="U735" s="6"/>
      <c r="V735" s="5"/>
      <c r="W735" s="5" t="s">
        <v>631</v>
      </c>
      <c r="X735" s="5" t="s">
        <v>141</v>
      </c>
      <c r="Y735" s="5" t="s">
        <v>631</v>
      </c>
      <c r="Z735" s="5" t="s">
        <v>631</v>
      </c>
      <c r="AA735" s="5" t="s">
        <v>2494</v>
      </c>
      <c r="AB735" s="0" t="n">
        <f aca="false">IFERROR(VALUE(R735),0)</f>
        <v>0.2</v>
      </c>
      <c r="AC735" s="0" t="n">
        <f aca="false">IFERROR(VALUE(M735),"")</f>
        <v>27.1</v>
      </c>
      <c r="AD735" s="0" t="n">
        <f aca="false">IFERROR(VALUE(Q735),"")</f>
        <v>4.2</v>
      </c>
      <c r="AE735" s="0" t="n">
        <f aca="false">IFERROR(VALUE(S735),"")</f>
        <v>4.4</v>
      </c>
      <c r="AF735" s="0" t="str">
        <f aca="false">IF(V735="","",VLOOKUP(V735,Assumptions!$B$6:$C$9,2,FALSE()))</f>
        <v/>
      </c>
      <c r="AG735" s="0" t="n">
        <f aca="false">IF(W735="","",VLOOKUP(W735,Assumptions!$B$6:$C$9,2,FALSE()))</f>
        <v>2</v>
      </c>
      <c r="AH735" s="0" t="n">
        <f aca="false">IF(X735="","",VLOOKUP(X735,Assumptions!$B$6:$C$9,2,FALSE()))</f>
        <v>3</v>
      </c>
      <c r="AI735" s="0" t="n">
        <f aca="false">IF(Y735="","",VLOOKUP(Y735,Assumptions!$B$6:$C$9,2,FALSE()))</f>
        <v>2</v>
      </c>
      <c r="AJ735" s="0" t="n">
        <f aca="false">IF(Z735="","",VLOOKUP(Z735,Assumptions!$B$6:$C$9,2,FALSE()))</f>
        <v>2</v>
      </c>
      <c r="AK735" s="7" t="n">
        <f aca="false">IFERROR(ROUND(AVERAGE(AF735:AJ735),3),"")</f>
        <v>2.25</v>
      </c>
      <c r="AL735" s="7" t="str">
        <f aca="false">IF(OR(AF735="",AJ735=""),"",AJ735-AF735)</f>
        <v/>
      </c>
      <c r="AM735" s="7" t="n">
        <f aca="false">IF(COUNT(AF735:AJ735)&gt;=2,ROUND(_xlfn.STDEV.S(AF735:AJ735),3),"")</f>
        <v>0.5</v>
      </c>
      <c r="AN735" s="7" t="n">
        <f aca="false">ROUND((IF(AF735="",0,AF735)*Assumptions!$F$15)+(IF(AG735="",0,AG735)*Assumptions!$F$16)+(IF(AH735="",0,AH735)*Assumptions!$F$17)+(IF(AI735="",0,AI735)*Assumptions!$F$18)+(IF(AJ735="",0,AJ735)*Assumptions!$F$19),3)</f>
        <v>2</v>
      </c>
      <c r="AO735" s="0" t="str">
        <f aca="false">IF(AC735&lt;=20,"",IF(AC735&lt;=Assumptions!$F$6,"20-30",IF(AC735&lt;=Assumptions!$F$7,"30-40",IF(AC735&lt;=Assumptions!$F$8,"40-50",IF(AC735&lt;=Assumptions!$F$9,"50-60",IF(AC735&lt;=Assumptions!$F$10,"60+",""))))))</f>
        <v>20-30</v>
      </c>
      <c r="AP735" s="0" t="str">
        <f aca="false">IFERROR(VLOOKUP(O735,Assumptions!$B$14:$C$26,2,FALSE()),"Other")</f>
        <v>Manager</v>
      </c>
      <c r="AQ735" s="0" t="n">
        <f aca="false">IF(T735="",0,1)</f>
        <v>0</v>
      </c>
      <c r="AR735" s="0" t="n">
        <f aca="false">IF(U735="",0,1)</f>
        <v>0</v>
      </c>
      <c r="AS735" s="8" t="n">
        <f aca="false">IF(AK735="","",IF(MAX($AK$2:$AK$921)=MIN($AK$2:$AK$921),50,ROUND((AK735-MIN($AK$2:$AK$921))/(MAX($AK$2:$AK$921)-MIN($AK$2:$AK$921))*100,2)))</f>
        <v>24.99</v>
      </c>
      <c r="AT735" s="8" t="n">
        <f aca="false">IF(MAX($BC$2:$BC$921)=MIN($BC$2:$BC$921),50,ROUND((BC735-MIN($BC$2:$BC$921))/(MAX($BC$2:$BC$921)-MIN($BC$2:$BC$921))*100,2))</f>
        <v>50</v>
      </c>
      <c r="AU735" s="8" t="n">
        <f aca="false">IF(MAX($BE$2:$BE$921)=MIN($BE$2:$BE$921),50,ROUND((BE735-MIN($BE$2:$BE$921))/(MAX($BE$2:$BE$921)-MIN($BE$2:$BE$921))*100,2))</f>
        <v>71.13</v>
      </c>
      <c r="AV735" s="8" t="n">
        <f aca="false">IF(MAX($AD$2:$AD$921)=MIN($AD$2:$AD$921),50,ROUND((AD735-MIN($AD$2:$AD$921))/(MAX($AD$2:$AD$921)-MIN($AD$2:$AD$921))*100,2))</f>
        <v>11.12</v>
      </c>
      <c r="AW735" s="8" t="n">
        <f aca="false">IF(MAX($AN$2:$AN$921)=MIN($AN$2:$AN$921),50,ROUND((AN735-MIN($AN$2:$AN$921))/(MAX($AN$2:$AN$921)-MIN($AN$2:$AN$921))*100,2))</f>
        <v>50</v>
      </c>
      <c r="AX735" s="8" t="n">
        <f aca="false">AQ735*100</f>
        <v>0</v>
      </c>
      <c r="AY735" s="8" t="n">
        <f aca="false">AR735*100</f>
        <v>0</v>
      </c>
      <c r="AZ735" s="8" t="n">
        <f aca="false">IFERROR(ROUND(AS735*Assumptions!$I$6+AW735*Assumptions!$I$7+AT735*Assumptions!$I$8+AU735*Assumptions!$I$9+AV735*Assumptions!$I$10+AX735*Assumptions!$I$11+AY735*Assumptions!$I$12,2),"")</f>
        <v>36.78</v>
      </c>
      <c r="BA735" s="0" t="str">
        <f aca="false">IF(AZ735="","",IF(AZ735&lt;=Assumptions!$I$18,"Below Expectation",IF(AZ735&lt;=Assumptions!$I$19,"Developing",IF(AZ735&lt;=Assumptions!$I$20,"Meets Expectation",IF(AZ735&lt;=Assumptions!$I$21,"Exceeds","Star Performer")))))</f>
        <v>Below Expectation</v>
      </c>
      <c r="BB735" s="0" t="n">
        <f aca="false">IF(AZ735="",0,IF(AZ735&gt;=Assumptions!$I$26,1,0))</f>
        <v>0</v>
      </c>
      <c r="BC735" s="9" t="n">
        <f aca="false">IF(AL735="",2,AL735+2)</f>
        <v>2</v>
      </c>
      <c r="BD735" s="10" t="n">
        <f aca="false">IF(AM735="",ROUND(AVERAGE($AM$2:$AM$921),3),AM735)</f>
        <v>0.5</v>
      </c>
      <c r="BE735" s="9" t="n">
        <f aca="false">1-BD735</f>
        <v>0.5</v>
      </c>
    </row>
    <row r="736" customFormat="false" ht="14.25" hidden="true" customHeight="false" outlineLevel="0" collapsed="false">
      <c r="A736" s="4" t="n">
        <v>661</v>
      </c>
      <c r="B736" s="5" t="n">
        <v>55058033</v>
      </c>
      <c r="C736" s="5" t="s">
        <v>85</v>
      </c>
      <c r="D736" s="5" t="s">
        <v>2495</v>
      </c>
      <c r="E736" s="5" t="s">
        <v>137</v>
      </c>
      <c r="F736" s="5" t="s">
        <v>590</v>
      </c>
      <c r="G736" s="5" t="s">
        <v>589</v>
      </c>
      <c r="H736" s="5" t="s">
        <v>590</v>
      </c>
      <c r="I736" s="5" t="s">
        <v>63</v>
      </c>
      <c r="J736" s="5" t="s">
        <v>76</v>
      </c>
      <c r="K736" s="5" t="s">
        <v>309</v>
      </c>
      <c r="L736" s="6" t="n">
        <v>44830</v>
      </c>
      <c r="M736" s="5" t="s">
        <v>1167</v>
      </c>
      <c r="N736" s="6" t="n">
        <v>36445</v>
      </c>
      <c r="O736" s="5" t="s">
        <v>1264</v>
      </c>
      <c r="P736" s="5" t="s">
        <v>1559</v>
      </c>
      <c r="Q736" s="5" t="s">
        <v>445</v>
      </c>
      <c r="R736" s="5" t="s">
        <v>115</v>
      </c>
      <c r="S736" s="5" t="s">
        <v>445</v>
      </c>
      <c r="T736" s="6"/>
      <c r="U736" s="6"/>
      <c r="V736" s="5"/>
      <c r="W736" s="5" t="s">
        <v>631</v>
      </c>
      <c r="X736" s="5" t="s">
        <v>631</v>
      </c>
      <c r="Y736" s="5" t="s">
        <v>631</v>
      </c>
      <c r="Z736" s="5" t="s">
        <v>631</v>
      </c>
      <c r="AA736" s="5" t="s">
        <v>2496</v>
      </c>
      <c r="AB736" s="0" t="n">
        <f aca="false">IFERROR(VALUE(R736),0)</f>
        <v>0</v>
      </c>
      <c r="AC736" s="0" t="n">
        <f aca="false">IFERROR(VALUE(M736),"")</f>
        <v>26.7</v>
      </c>
      <c r="AD736" s="0" t="n">
        <f aca="false">IFERROR(VALUE(Q736),"")</f>
        <v>3.8</v>
      </c>
      <c r="AE736" s="0" t="n">
        <f aca="false">IFERROR(VALUE(S736),"")</f>
        <v>3.8</v>
      </c>
      <c r="AF736" s="0" t="str">
        <f aca="false">IF(V736="","",VLOOKUP(V736,Assumptions!$B$6:$C$9,2,FALSE()))</f>
        <v/>
      </c>
      <c r="AG736" s="0" t="n">
        <f aca="false">IF(W736="","",VLOOKUP(W736,Assumptions!$B$6:$C$9,2,FALSE()))</f>
        <v>2</v>
      </c>
      <c r="AH736" s="0" t="n">
        <f aca="false">IF(X736="","",VLOOKUP(X736,Assumptions!$B$6:$C$9,2,FALSE()))</f>
        <v>2</v>
      </c>
      <c r="AI736" s="0" t="n">
        <f aca="false">IF(Y736="","",VLOOKUP(Y736,Assumptions!$B$6:$C$9,2,FALSE()))</f>
        <v>2</v>
      </c>
      <c r="AJ736" s="0" t="n">
        <f aca="false">IF(Z736="","",VLOOKUP(Z736,Assumptions!$B$6:$C$9,2,FALSE()))</f>
        <v>2</v>
      </c>
      <c r="AK736" s="7" t="n">
        <f aca="false">IFERROR(ROUND(AVERAGE(AF736:AJ736),3),"")</f>
        <v>2</v>
      </c>
      <c r="AL736" s="7" t="str">
        <f aca="false">IF(OR(AF736="",AJ736=""),"",AJ736-AF736)</f>
        <v/>
      </c>
      <c r="AM736" s="7" t="n">
        <f aca="false">IF(COUNT(AF736:AJ736)&gt;=2,ROUND(_xlfn.STDEV.S(AF736:AJ736),3),"")</f>
        <v>0</v>
      </c>
      <c r="AN736" s="7" t="n">
        <f aca="false">ROUND((IF(AF736="",0,AF736)*Assumptions!$F$15)+(IF(AG736="",0,AG736)*Assumptions!$F$16)+(IF(AH736="",0,AH736)*Assumptions!$F$17)+(IF(AI736="",0,AI736)*Assumptions!$F$18)+(IF(AJ736="",0,AJ736)*Assumptions!$F$19),3)</f>
        <v>1.8</v>
      </c>
      <c r="AO736" s="0" t="str">
        <f aca="false">IF(AC736&lt;=20,"",IF(AC736&lt;=Assumptions!$F$6,"20-30",IF(AC736&lt;=Assumptions!$F$7,"30-40",IF(AC736&lt;=Assumptions!$F$8,"40-50",IF(AC736&lt;=Assumptions!$F$9,"50-60",IF(AC736&lt;=Assumptions!$F$10,"60+",""))))))</f>
        <v>20-30</v>
      </c>
      <c r="AP736" s="0" t="str">
        <f aca="false">IFERROR(VLOOKUP(O736,Assumptions!$B$14:$C$26,2,FALSE()),"Other")</f>
        <v>Manager</v>
      </c>
      <c r="AQ736" s="0" t="n">
        <f aca="false">IF(T736="",0,1)</f>
        <v>0</v>
      </c>
      <c r="AR736" s="0" t="n">
        <f aca="false">IF(U736="",0,1)</f>
        <v>0</v>
      </c>
      <c r="AS736" s="8" t="n">
        <f aca="false">IF(AK736="","",IF(MAX($AK$2:$AK$921)=MIN($AK$2:$AK$921),50,ROUND((AK736-MIN($AK$2:$AK$921))/(MAX($AK$2:$AK$921)-MIN($AK$2:$AK$921))*100,2)))</f>
        <v>14.27</v>
      </c>
      <c r="AT736" s="8" t="n">
        <f aca="false">IF(MAX($BC$2:$BC$921)=MIN($BC$2:$BC$921),50,ROUND((BC736-MIN($BC$2:$BC$921))/(MAX($BC$2:$BC$921)-MIN($BC$2:$BC$921))*100,2))</f>
        <v>50</v>
      </c>
      <c r="AU736" s="8" t="n">
        <f aca="false">IF(MAX($BE$2:$BE$921)=MIN($BE$2:$BE$921),50,ROUND((BE736-MIN($BE$2:$BE$921))/(MAX($BE$2:$BE$921)-MIN($BE$2:$BE$921))*100,2))</f>
        <v>100</v>
      </c>
      <c r="AV736" s="8" t="n">
        <f aca="false">IF(MAX($AD$2:$AD$921)=MIN($AD$2:$AD$921),50,ROUND((AD736-MIN($AD$2:$AD$921))/(MAX($AD$2:$AD$921)-MIN($AD$2:$AD$921))*100,2))</f>
        <v>10.03</v>
      </c>
      <c r="AW736" s="8" t="n">
        <f aca="false">IF(MAX($AN$2:$AN$921)=MIN($AN$2:$AN$921),50,ROUND((AN736-MIN($AN$2:$AN$921))/(MAX($AN$2:$AN$921)-MIN($AN$2:$AN$921))*100,2))</f>
        <v>45</v>
      </c>
      <c r="AX736" s="8" t="n">
        <f aca="false">AQ736*100</f>
        <v>0</v>
      </c>
      <c r="AY736" s="8" t="n">
        <f aca="false">AR736*100</f>
        <v>0</v>
      </c>
      <c r="AZ736" s="8" t="n">
        <f aca="false">IFERROR(ROUND(AS736*Assumptions!$I$6+AW736*Assumptions!$I$7+AT736*Assumptions!$I$8+AU736*Assumptions!$I$9+AV736*Assumptions!$I$10+AX736*Assumptions!$I$11+AY736*Assumptions!$I$12,2),"")</f>
        <v>36.78</v>
      </c>
      <c r="BA736" s="0" t="str">
        <f aca="false">IF(AZ736="","",IF(AZ736&lt;=Assumptions!$I$18,"Below Expectation",IF(AZ736&lt;=Assumptions!$I$19,"Developing",IF(AZ736&lt;=Assumptions!$I$20,"Meets Expectation",IF(AZ736&lt;=Assumptions!$I$21,"Exceeds","Star Performer")))))</f>
        <v>Below Expectation</v>
      </c>
      <c r="BB736" s="0" t="n">
        <f aca="false">IF(AZ736="",0,IF(AZ736&gt;=Assumptions!$I$26,1,0))</f>
        <v>0</v>
      </c>
      <c r="BC736" s="9" t="n">
        <f aca="false">IF(AL736="",2,AL736+2)</f>
        <v>2</v>
      </c>
      <c r="BD736" s="10" t="n">
        <f aca="false">IF(AM736="",ROUND(AVERAGE($AM$2:$AM$921),3),AM736)</f>
        <v>0</v>
      </c>
      <c r="BE736" s="9" t="n">
        <f aca="false">1-BD736</f>
        <v>1</v>
      </c>
    </row>
    <row r="737" customFormat="false" ht="14.25" hidden="true" customHeight="false" outlineLevel="0" collapsed="false">
      <c r="A737" s="4" t="n">
        <v>669</v>
      </c>
      <c r="B737" s="5" t="n">
        <v>55059037</v>
      </c>
      <c r="C737" s="5" t="s">
        <v>57</v>
      </c>
      <c r="D737" s="5" t="s">
        <v>2497</v>
      </c>
      <c r="E737" s="5" t="s">
        <v>456</v>
      </c>
      <c r="F737" s="5" t="s">
        <v>608</v>
      </c>
      <c r="G737" s="5" t="s">
        <v>609</v>
      </c>
      <c r="H737" s="5" t="s">
        <v>608</v>
      </c>
      <c r="I737" s="5" t="s">
        <v>63</v>
      </c>
      <c r="J737" s="5" t="s">
        <v>100</v>
      </c>
      <c r="K737" s="5" t="s">
        <v>309</v>
      </c>
      <c r="L737" s="6" t="n">
        <v>44844</v>
      </c>
      <c r="M737" s="5" t="s">
        <v>739</v>
      </c>
      <c r="N737" s="6" t="n">
        <v>35150</v>
      </c>
      <c r="O737" s="5" t="s">
        <v>365</v>
      </c>
      <c r="P737" s="5" t="s">
        <v>365</v>
      </c>
      <c r="Q737" s="5" t="s">
        <v>335</v>
      </c>
      <c r="R737" s="5" t="s">
        <v>545</v>
      </c>
      <c r="S737" s="5" t="s">
        <v>1830</v>
      </c>
      <c r="T737" s="6"/>
      <c r="U737" s="6"/>
      <c r="V737" s="5"/>
      <c r="W737" s="5" t="s">
        <v>631</v>
      </c>
      <c r="X737" s="5" t="s">
        <v>631</v>
      </c>
      <c r="Y737" s="5" t="s">
        <v>631</v>
      </c>
      <c r="Z737" s="5" t="s">
        <v>631</v>
      </c>
      <c r="AA737" s="5" t="s">
        <v>2498</v>
      </c>
      <c r="AB737" s="0" t="n">
        <f aca="false">IFERROR(VALUE(R737),0)</f>
        <v>4.4</v>
      </c>
      <c r="AC737" s="0" t="n">
        <f aca="false">IFERROR(VALUE(M737),"")</f>
        <v>30.2</v>
      </c>
      <c r="AD737" s="0" t="n">
        <f aca="false">IFERROR(VALUE(Q737),"")</f>
        <v>3.7</v>
      </c>
      <c r="AE737" s="0" t="n">
        <f aca="false">IFERROR(VALUE(S737),"")</f>
        <v>7.11</v>
      </c>
      <c r="AF737" s="0" t="str">
        <f aca="false">IF(V737="","",VLOOKUP(V737,Assumptions!$B$6:$C$9,2,FALSE()))</f>
        <v/>
      </c>
      <c r="AG737" s="0" t="n">
        <f aca="false">IF(W737="","",VLOOKUP(W737,Assumptions!$B$6:$C$9,2,FALSE()))</f>
        <v>2</v>
      </c>
      <c r="AH737" s="0" t="n">
        <f aca="false">IF(X737="","",VLOOKUP(X737,Assumptions!$B$6:$C$9,2,FALSE()))</f>
        <v>2</v>
      </c>
      <c r="AI737" s="0" t="n">
        <f aca="false">IF(Y737="","",VLOOKUP(Y737,Assumptions!$B$6:$C$9,2,FALSE()))</f>
        <v>2</v>
      </c>
      <c r="AJ737" s="0" t="n">
        <f aca="false">IF(Z737="","",VLOOKUP(Z737,Assumptions!$B$6:$C$9,2,FALSE()))</f>
        <v>2</v>
      </c>
      <c r="AK737" s="7" t="n">
        <f aca="false">IFERROR(ROUND(AVERAGE(AF737:AJ737),3),"")</f>
        <v>2</v>
      </c>
      <c r="AL737" s="7" t="str">
        <f aca="false">IF(OR(AF737="",AJ737=""),"",AJ737-AF737)</f>
        <v/>
      </c>
      <c r="AM737" s="7" t="n">
        <f aca="false">IF(COUNT(AF737:AJ737)&gt;=2,ROUND(_xlfn.STDEV.S(AF737:AJ737),3),"")</f>
        <v>0</v>
      </c>
      <c r="AN737" s="7" t="n">
        <f aca="false">ROUND((IF(AF737="",0,AF737)*Assumptions!$F$15)+(IF(AG737="",0,AG737)*Assumptions!$F$16)+(IF(AH737="",0,AH737)*Assumptions!$F$17)+(IF(AI737="",0,AI737)*Assumptions!$F$18)+(IF(AJ737="",0,AJ737)*Assumptions!$F$19),3)</f>
        <v>1.8</v>
      </c>
      <c r="AO737" s="0" t="str">
        <f aca="false">IF(AC737&lt;=20,"",IF(AC737&lt;=Assumptions!$F$6,"20-30",IF(AC737&lt;=Assumptions!$F$7,"30-40",IF(AC737&lt;=Assumptions!$F$8,"40-50",IF(AC737&lt;=Assumptions!$F$9,"50-60",IF(AC737&lt;=Assumptions!$F$10,"60+",""))))))</f>
        <v>30-40</v>
      </c>
      <c r="AP737" s="0" t="str">
        <f aca="false">IFERROR(VLOOKUP(O737,Assumptions!$B$14:$C$26,2,FALSE()),"Other")</f>
        <v>Manager</v>
      </c>
      <c r="AQ737" s="0" t="n">
        <f aca="false">IF(T737="",0,1)</f>
        <v>0</v>
      </c>
      <c r="AR737" s="0" t="n">
        <f aca="false">IF(U737="",0,1)</f>
        <v>0</v>
      </c>
      <c r="AS737" s="8" t="n">
        <f aca="false">IF(AK737="","",IF(MAX($AK$2:$AK$921)=MIN($AK$2:$AK$921),50,ROUND((AK737-MIN($AK$2:$AK$921))/(MAX($AK$2:$AK$921)-MIN($AK$2:$AK$921))*100,2)))</f>
        <v>14.27</v>
      </c>
      <c r="AT737" s="8" t="n">
        <f aca="false">IF(MAX($BC$2:$BC$921)=MIN($BC$2:$BC$921),50,ROUND((BC737-MIN($BC$2:$BC$921))/(MAX($BC$2:$BC$921)-MIN($BC$2:$BC$921))*100,2))</f>
        <v>50</v>
      </c>
      <c r="AU737" s="8" t="n">
        <f aca="false">IF(MAX($BE$2:$BE$921)=MIN($BE$2:$BE$921),50,ROUND((BE737-MIN($BE$2:$BE$921))/(MAX($BE$2:$BE$921)-MIN($BE$2:$BE$921))*100,2))</f>
        <v>100</v>
      </c>
      <c r="AV737" s="8" t="n">
        <f aca="false">IF(MAX($AD$2:$AD$921)=MIN($AD$2:$AD$921),50,ROUND((AD737-MIN($AD$2:$AD$921))/(MAX($AD$2:$AD$921)-MIN($AD$2:$AD$921))*100,2))</f>
        <v>9.76</v>
      </c>
      <c r="AW737" s="8" t="n">
        <f aca="false">IF(MAX($AN$2:$AN$921)=MIN($AN$2:$AN$921),50,ROUND((AN737-MIN($AN$2:$AN$921))/(MAX($AN$2:$AN$921)-MIN($AN$2:$AN$921))*100,2))</f>
        <v>45</v>
      </c>
      <c r="AX737" s="8" t="n">
        <f aca="false">AQ737*100</f>
        <v>0</v>
      </c>
      <c r="AY737" s="8" t="n">
        <f aca="false">AR737*100</f>
        <v>0</v>
      </c>
      <c r="AZ737" s="8" t="n">
        <f aca="false">IFERROR(ROUND(AS737*Assumptions!$I$6+AW737*Assumptions!$I$7+AT737*Assumptions!$I$8+AU737*Assumptions!$I$9+AV737*Assumptions!$I$10+AX737*Assumptions!$I$11+AY737*Assumptions!$I$12,2),"")</f>
        <v>36.76</v>
      </c>
      <c r="BA737" s="0" t="str">
        <f aca="false">IF(AZ737="","",IF(AZ737&lt;=Assumptions!$I$18,"Below Expectation",IF(AZ737&lt;=Assumptions!$I$19,"Developing",IF(AZ737&lt;=Assumptions!$I$20,"Meets Expectation",IF(AZ737&lt;=Assumptions!$I$21,"Exceeds","Star Performer")))))</f>
        <v>Below Expectation</v>
      </c>
      <c r="BB737" s="0" t="n">
        <f aca="false">IF(AZ737="",0,IF(AZ737&gt;=Assumptions!$I$26,1,0))</f>
        <v>0</v>
      </c>
      <c r="BC737" s="9" t="n">
        <f aca="false">IF(AL737="",2,AL737+2)</f>
        <v>2</v>
      </c>
      <c r="BD737" s="10" t="n">
        <f aca="false">IF(AM737="",ROUND(AVERAGE($AM$2:$AM$921),3),AM737)</f>
        <v>0</v>
      </c>
      <c r="BE737" s="9" t="n">
        <f aca="false">1-BD737</f>
        <v>1</v>
      </c>
    </row>
    <row r="738" customFormat="false" ht="14.25" hidden="true" customHeight="false" outlineLevel="0" collapsed="false">
      <c r="A738" s="4" t="n">
        <v>670</v>
      </c>
      <c r="B738" s="5" t="n">
        <v>55059066</v>
      </c>
      <c r="C738" s="5" t="s">
        <v>57</v>
      </c>
      <c r="D738" s="5" t="s">
        <v>2499</v>
      </c>
      <c r="E738" s="5" t="s">
        <v>607</v>
      </c>
      <c r="F738" s="5" t="s">
        <v>608</v>
      </c>
      <c r="G738" s="5" t="s">
        <v>609</v>
      </c>
      <c r="H738" s="5" t="s">
        <v>608</v>
      </c>
      <c r="I738" s="5" t="s">
        <v>63</v>
      </c>
      <c r="J738" s="5" t="s">
        <v>100</v>
      </c>
      <c r="K738" s="5" t="s">
        <v>65</v>
      </c>
      <c r="L738" s="6" t="n">
        <v>44846</v>
      </c>
      <c r="M738" s="5" t="s">
        <v>1986</v>
      </c>
      <c r="N738" s="6" t="n">
        <v>34517</v>
      </c>
      <c r="O738" s="5" t="s">
        <v>365</v>
      </c>
      <c r="P738" s="5" t="s">
        <v>365</v>
      </c>
      <c r="Q738" s="5" t="s">
        <v>335</v>
      </c>
      <c r="R738" s="5" t="s">
        <v>445</v>
      </c>
      <c r="S738" s="5" t="s">
        <v>723</v>
      </c>
      <c r="T738" s="6"/>
      <c r="U738" s="6"/>
      <c r="V738" s="5"/>
      <c r="W738" s="5" t="s">
        <v>631</v>
      </c>
      <c r="X738" s="5" t="s">
        <v>631</v>
      </c>
      <c r="Y738" s="5" t="s">
        <v>631</v>
      </c>
      <c r="Z738" s="5" t="s">
        <v>631</v>
      </c>
      <c r="AA738" s="5" t="s">
        <v>2500</v>
      </c>
      <c r="AB738" s="0" t="n">
        <f aca="false">IFERROR(VALUE(R738),0)</f>
        <v>3.8</v>
      </c>
      <c r="AC738" s="0" t="n">
        <f aca="false">IFERROR(VALUE(M738),"")</f>
        <v>31.11</v>
      </c>
      <c r="AD738" s="0" t="n">
        <f aca="false">IFERROR(VALUE(Q738),"")</f>
        <v>3.7</v>
      </c>
      <c r="AE738" s="0" t="n">
        <f aca="false">IFERROR(VALUE(S738),"")</f>
        <v>7.3</v>
      </c>
      <c r="AF738" s="0" t="str">
        <f aca="false">IF(V738="","",VLOOKUP(V738,Assumptions!$B$6:$C$9,2,FALSE()))</f>
        <v/>
      </c>
      <c r="AG738" s="0" t="n">
        <f aca="false">IF(W738="","",VLOOKUP(W738,Assumptions!$B$6:$C$9,2,FALSE()))</f>
        <v>2</v>
      </c>
      <c r="AH738" s="0" t="n">
        <f aca="false">IF(X738="","",VLOOKUP(X738,Assumptions!$B$6:$C$9,2,FALSE()))</f>
        <v>2</v>
      </c>
      <c r="AI738" s="0" t="n">
        <f aca="false">IF(Y738="","",VLOOKUP(Y738,Assumptions!$B$6:$C$9,2,FALSE()))</f>
        <v>2</v>
      </c>
      <c r="AJ738" s="0" t="n">
        <f aca="false">IF(Z738="","",VLOOKUP(Z738,Assumptions!$B$6:$C$9,2,FALSE()))</f>
        <v>2</v>
      </c>
      <c r="AK738" s="7" t="n">
        <f aca="false">IFERROR(ROUND(AVERAGE(AF738:AJ738),3),"")</f>
        <v>2</v>
      </c>
      <c r="AL738" s="7" t="str">
        <f aca="false">IF(OR(AF738="",AJ738=""),"",AJ738-AF738)</f>
        <v/>
      </c>
      <c r="AM738" s="7" t="n">
        <f aca="false">IF(COUNT(AF738:AJ738)&gt;=2,ROUND(_xlfn.STDEV.S(AF738:AJ738),3),"")</f>
        <v>0</v>
      </c>
      <c r="AN738" s="7" t="n">
        <f aca="false">ROUND((IF(AF738="",0,AF738)*Assumptions!$F$15)+(IF(AG738="",0,AG738)*Assumptions!$F$16)+(IF(AH738="",0,AH738)*Assumptions!$F$17)+(IF(AI738="",0,AI738)*Assumptions!$F$18)+(IF(AJ738="",0,AJ738)*Assumptions!$F$19),3)</f>
        <v>1.8</v>
      </c>
      <c r="AO738" s="0" t="str">
        <f aca="false">IF(AC738&lt;=20,"",IF(AC738&lt;=Assumptions!$F$6,"20-30",IF(AC738&lt;=Assumptions!$F$7,"30-40",IF(AC738&lt;=Assumptions!$F$8,"40-50",IF(AC738&lt;=Assumptions!$F$9,"50-60",IF(AC738&lt;=Assumptions!$F$10,"60+",""))))))</f>
        <v>30-40</v>
      </c>
      <c r="AP738" s="0" t="str">
        <f aca="false">IFERROR(VLOOKUP(O738,Assumptions!$B$14:$C$26,2,FALSE()),"Other")</f>
        <v>Manager</v>
      </c>
      <c r="AQ738" s="0" t="n">
        <f aca="false">IF(T738="",0,1)</f>
        <v>0</v>
      </c>
      <c r="AR738" s="0" t="n">
        <f aca="false">IF(U738="",0,1)</f>
        <v>0</v>
      </c>
      <c r="AS738" s="8" t="n">
        <f aca="false">IF(AK738="","",IF(MAX($AK$2:$AK$921)=MIN($AK$2:$AK$921),50,ROUND((AK738-MIN($AK$2:$AK$921))/(MAX($AK$2:$AK$921)-MIN($AK$2:$AK$921))*100,2)))</f>
        <v>14.27</v>
      </c>
      <c r="AT738" s="8" t="n">
        <f aca="false">IF(MAX($BC$2:$BC$921)=MIN($BC$2:$BC$921),50,ROUND((BC738-MIN($BC$2:$BC$921))/(MAX($BC$2:$BC$921)-MIN($BC$2:$BC$921))*100,2))</f>
        <v>50</v>
      </c>
      <c r="AU738" s="8" t="n">
        <f aca="false">IF(MAX($BE$2:$BE$921)=MIN($BE$2:$BE$921),50,ROUND((BE738-MIN($BE$2:$BE$921))/(MAX($BE$2:$BE$921)-MIN($BE$2:$BE$921))*100,2))</f>
        <v>100</v>
      </c>
      <c r="AV738" s="8" t="n">
        <f aca="false">IF(MAX($AD$2:$AD$921)=MIN($AD$2:$AD$921),50,ROUND((AD738-MIN($AD$2:$AD$921))/(MAX($AD$2:$AD$921)-MIN($AD$2:$AD$921))*100,2))</f>
        <v>9.76</v>
      </c>
      <c r="AW738" s="8" t="n">
        <f aca="false">IF(MAX($AN$2:$AN$921)=MIN($AN$2:$AN$921),50,ROUND((AN738-MIN($AN$2:$AN$921))/(MAX($AN$2:$AN$921)-MIN($AN$2:$AN$921))*100,2))</f>
        <v>45</v>
      </c>
      <c r="AX738" s="8" t="n">
        <f aca="false">AQ738*100</f>
        <v>0</v>
      </c>
      <c r="AY738" s="8" t="n">
        <f aca="false">AR738*100</f>
        <v>0</v>
      </c>
      <c r="AZ738" s="8" t="n">
        <f aca="false">IFERROR(ROUND(AS738*Assumptions!$I$6+AW738*Assumptions!$I$7+AT738*Assumptions!$I$8+AU738*Assumptions!$I$9+AV738*Assumptions!$I$10+AX738*Assumptions!$I$11+AY738*Assumptions!$I$12,2),"")</f>
        <v>36.76</v>
      </c>
      <c r="BA738" s="0" t="str">
        <f aca="false">IF(AZ738="","",IF(AZ738&lt;=Assumptions!$I$18,"Below Expectation",IF(AZ738&lt;=Assumptions!$I$19,"Developing",IF(AZ738&lt;=Assumptions!$I$20,"Meets Expectation",IF(AZ738&lt;=Assumptions!$I$21,"Exceeds","Star Performer")))))</f>
        <v>Below Expectation</v>
      </c>
      <c r="BB738" s="0" t="n">
        <f aca="false">IF(AZ738="",0,IF(AZ738&gt;=Assumptions!$I$26,1,0))</f>
        <v>0</v>
      </c>
      <c r="BC738" s="9" t="n">
        <f aca="false">IF(AL738="",2,AL738+2)</f>
        <v>2</v>
      </c>
      <c r="BD738" s="10" t="n">
        <f aca="false">IF(AM738="",ROUND(AVERAGE($AM$2:$AM$921),3),AM738)</f>
        <v>0</v>
      </c>
      <c r="BE738" s="9" t="n">
        <f aca="false">1-BD738</f>
        <v>1</v>
      </c>
    </row>
    <row r="739" customFormat="false" ht="14.25" hidden="true" customHeight="false" outlineLevel="0" collapsed="false">
      <c r="A739" s="4" t="n">
        <v>682</v>
      </c>
      <c r="B739" s="5" t="n">
        <v>55059526</v>
      </c>
      <c r="C739" s="5" t="s">
        <v>85</v>
      </c>
      <c r="D739" s="5" t="s">
        <v>2501</v>
      </c>
      <c r="E739" s="5" t="s">
        <v>235</v>
      </c>
      <c r="F739" s="5" t="s">
        <v>590</v>
      </c>
      <c r="G739" s="5" t="s">
        <v>589</v>
      </c>
      <c r="H739" s="5" t="s">
        <v>590</v>
      </c>
      <c r="I739" s="5" t="s">
        <v>63</v>
      </c>
      <c r="J739" s="5" t="s">
        <v>76</v>
      </c>
      <c r="K739" s="5" t="s">
        <v>309</v>
      </c>
      <c r="L739" s="6" t="n">
        <v>44851</v>
      </c>
      <c r="M739" s="5" t="s">
        <v>124</v>
      </c>
      <c r="N739" s="6" t="n">
        <v>36827</v>
      </c>
      <c r="O739" s="5" t="s">
        <v>1264</v>
      </c>
      <c r="P739" s="5" t="s">
        <v>1559</v>
      </c>
      <c r="Q739" s="5" t="s">
        <v>335</v>
      </c>
      <c r="R739" s="5" t="s">
        <v>115</v>
      </c>
      <c r="S739" s="5" t="s">
        <v>335</v>
      </c>
      <c r="T739" s="6"/>
      <c r="U739" s="6"/>
      <c r="V739" s="5"/>
      <c r="W739" s="5" t="s">
        <v>631</v>
      </c>
      <c r="X739" s="5" t="s">
        <v>631</v>
      </c>
      <c r="Y739" s="5" t="s">
        <v>631</v>
      </c>
      <c r="Z739" s="5" t="s">
        <v>631</v>
      </c>
      <c r="AA739" s="5" t="s">
        <v>1870</v>
      </c>
      <c r="AB739" s="0" t="n">
        <f aca="false">IFERROR(VALUE(R739),0)</f>
        <v>0</v>
      </c>
      <c r="AC739" s="0" t="n">
        <f aca="false">IFERROR(VALUE(M739),"")</f>
        <v>25.7</v>
      </c>
      <c r="AD739" s="0" t="n">
        <f aca="false">IFERROR(VALUE(Q739),"")</f>
        <v>3.7</v>
      </c>
      <c r="AE739" s="0" t="n">
        <f aca="false">IFERROR(VALUE(S739),"")</f>
        <v>3.7</v>
      </c>
      <c r="AF739" s="0" t="str">
        <f aca="false">IF(V739="","",VLOOKUP(V739,Assumptions!$B$6:$C$9,2,FALSE()))</f>
        <v/>
      </c>
      <c r="AG739" s="0" t="n">
        <f aca="false">IF(W739="","",VLOOKUP(W739,Assumptions!$B$6:$C$9,2,FALSE()))</f>
        <v>2</v>
      </c>
      <c r="AH739" s="0" t="n">
        <f aca="false">IF(X739="","",VLOOKUP(X739,Assumptions!$B$6:$C$9,2,FALSE()))</f>
        <v>2</v>
      </c>
      <c r="AI739" s="0" t="n">
        <f aca="false">IF(Y739="","",VLOOKUP(Y739,Assumptions!$B$6:$C$9,2,FALSE()))</f>
        <v>2</v>
      </c>
      <c r="AJ739" s="0" t="n">
        <f aca="false">IF(Z739="","",VLOOKUP(Z739,Assumptions!$B$6:$C$9,2,FALSE()))</f>
        <v>2</v>
      </c>
      <c r="AK739" s="7" t="n">
        <f aca="false">IFERROR(ROUND(AVERAGE(AF739:AJ739),3),"")</f>
        <v>2</v>
      </c>
      <c r="AL739" s="7" t="str">
        <f aca="false">IF(OR(AF739="",AJ739=""),"",AJ739-AF739)</f>
        <v/>
      </c>
      <c r="AM739" s="7" t="n">
        <f aca="false">IF(COUNT(AF739:AJ739)&gt;=2,ROUND(_xlfn.STDEV.S(AF739:AJ739),3),"")</f>
        <v>0</v>
      </c>
      <c r="AN739" s="7" t="n">
        <f aca="false">ROUND((IF(AF739="",0,AF739)*Assumptions!$F$15)+(IF(AG739="",0,AG739)*Assumptions!$F$16)+(IF(AH739="",0,AH739)*Assumptions!$F$17)+(IF(AI739="",0,AI739)*Assumptions!$F$18)+(IF(AJ739="",0,AJ739)*Assumptions!$F$19),3)</f>
        <v>1.8</v>
      </c>
      <c r="AO739" s="0" t="str">
        <f aca="false">IF(AC739&lt;=20,"",IF(AC739&lt;=Assumptions!$F$6,"20-30",IF(AC739&lt;=Assumptions!$F$7,"30-40",IF(AC739&lt;=Assumptions!$F$8,"40-50",IF(AC739&lt;=Assumptions!$F$9,"50-60",IF(AC739&lt;=Assumptions!$F$10,"60+",""))))))</f>
        <v>20-30</v>
      </c>
      <c r="AP739" s="0" t="str">
        <f aca="false">IFERROR(VLOOKUP(O739,Assumptions!$B$14:$C$26,2,FALSE()),"Other")</f>
        <v>Manager</v>
      </c>
      <c r="AQ739" s="0" t="n">
        <f aca="false">IF(T739="",0,1)</f>
        <v>0</v>
      </c>
      <c r="AR739" s="0" t="n">
        <f aca="false">IF(U739="",0,1)</f>
        <v>0</v>
      </c>
      <c r="AS739" s="8" t="n">
        <f aca="false">IF(AK739="","",IF(MAX($AK$2:$AK$921)=MIN($AK$2:$AK$921),50,ROUND((AK739-MIN($AK$2:$AK$921))/(MAX($AK$2:$AK$921)-MIN($AK$2:$AK$921))*100,2)))</f>
        <v>14.27</v>
      </c>
      <c r="AT739" s="8" t="n">
        <f aca="false">IF(MAX($BC$2:$BC$921)=MIN($BC$2:$BC$921),50,ROUND((BC739-MIN($BC$2:$BC$921))/(MAX($BC$2:$BC$921)-MIN($BC$2:$BC$921))*100,2))</f>
        <v>50</v>
      </c>
      <c r="AU739" s="8" t="n">
        <f aca="false">IF(MAX($BE$2:$BE$921)=MIN($BE$2:$BE$921),50,ROUND((BE739-MIN($BE$2:$BE$921))/(MAX($BE$2:$BE$921)-MIN($BE$2:$BE$921))*100,2))</f>
        <v>100</v>
      </c>
      <c r="AV739" s="8" t="n">
        <f aca="false">IF(MAX($AD$2:$AD$921)=MIN($AD$2:$AD$921),50,ROUND((AD739-MIN($AD$2:$AD$921))/(MAX($AD$2:$AD$921)-MIN($AD$2:$AD$921))*100,2))</f>
        <v>9.76</v>
      </c>
      <c r="AW739" s="8" t="n">
        <f aca="false">IF(MAX($AN$2:$AN$921)=MIN($AN$2:$AN$921),50,ROUND((AN739-MIN($AN$2:$AN$921))/(MAX($AN$2:$AN$921)-MIN($AN$2:$AN$921))*100,2))</f>
        <v>45</v>
      </c>
      <c r="AX739" s="8" t="n">
        <f aca="false">AQ739*100</f>
        <v>0</v>
      </c>
      <c r="AY739" s="8" t="n">
        <f aca="false">AR739*100</f>
        <v>0</v>
      </c>
      <c r="AZ739" s="8" t="n">
        <f aca="false">IFERROR(ROUND(AS739*Assumptions!$I$6+AW739*Assumptions!$I$7+AT739*Assumptions!$I$8+AU739*Assumptions!$I$9+AV739*Assumptions!$I$10+AX739*Assumptions!$I$11+AY739*Assumptions!$I$12,2),"")</f>
        <v>36.76</v>
      </c>
      <c r="BA739" s="0" t="str">
        <f aca="false">IF(AZ739="","",IF(AZ739&lt;=Assumptions!$I$18,"Below Expectation",IF(AZ739&lt;=Assumptions!$I$19,"Developing",IF(AZ739&lt;=Assumptions!$I$20,"Meets Expectation",IF(AZ739&lt;=Assumptions!$I$21,"Exceeds","Star Performer")))))</f>
        <v>Below Expectation</v>
      </c>
      <c r="BB739" s="0" t="n">
        <f aca="false">IF(AZ739="",0,IF(AZ739&gt;=Assumptions!$I$26,1,0))</f>
        <v>0</v>
      </c>
      <c r="BC739" s="9" t="n">
        <f aca="false">IF(AL739="",2,AL739+2)</f>
        <v>2</v>
      </c>
      <c r="BD739" s="10" t="n">
        <f aca="false">IF(AM739="",ROUND(AVERAGE($AM$2:$AM$921),3),AM739)</f>
        <v>0</v>
      </c>
      <c r="BE739" s="9" t="n">
        <f aca="false">1-BD739</f>
        <v>1</v>
      </c>
    </row>
    <row r="740" customFormat="false" ht="14.25" hidden="true" customHeight="false" outlineLevel="0" collapsed="false">
      <c r="A740" s="4" t="n">
        <v>568</v>
      </c>
      <c r="B740" s="5" t="n">
        <v>55050300</v>
      </c>
      <c r="C740" s="5" t="s">
        <v>57</v>
      </c>
      <c r="D740" s="5" t="s">
        <v>2502</v>
      </c>
      <c r="E740" s="5" t="s">
        <v>275</v>
      </c>
      <c r="F740" s="5" t="s">
        <v>608</v>
      </c>
      <c r="G740" s="5" t="s">
        <v>609</v>
      </c>
      <c r="H740" s="5" t="s">
        <v>608</v>
      </c>
      <c r="I740" s="5" t="s">
        <v>63</v>
      </c>
      <c r="J740" s="5" t="s">
        <v>100</v>
      </c>
      <c r="K740" s="5" t="s">
        <v>65</v>
      </c>
      <c r="L740" s="6" t="n">
        <v>44687</v>
      </c>
      <c r="M740" s="5" t="s">
        <v>852</v>
      </c>
      <c r="N740" s="6" t="n">
        <v>33034</v>
      </c>
      <c r="O740" s="5" t="s">
        <v>365</v>
      </c>
      <c r="P740" s="5" t="s">
        <v>365</v>
      </c>
      <c r="Q740" s="5" t="s">
        <v>1534</v>
      </c>
      <c r="R740" s="5" t="s">
        <v>404</v>
      </c>
      <c r="S740" s="5" t="s">
        <v>546</v>
      </c>
      <c r="T740" s="6"/>
      <c r="U740" s="6"/>
      <c r="V740" s="5"/>
      <c r="W740" s="5" t="s">
        <v>631</v>
      </c>
      <c r="X740" s="5" t="s">
        <v>141</v>
      </c>
      <c r="Y740" s="5" t="s">
        <v>631</v>
      </c>
      <c r="Z740" s="5" t="s">
        <v>631</v>
      </c>
      <c r="AA740" s="5" t="s">
        <v>2503</v>
      </c>
      <c r="AB740" s="0" t="n">
        <f aca="false">IFERROR(VALUE(R740),0)</f>
        <v>5.9</v>
      </c>
      <c r="AC740" s="0" t="n">
        <f aca="false">IFERROR(VALUE(M740),"")</f>
        <v>35.11</v>
      </c>
      <c r="AD740" s="0" t="n">
        <f aca="false">IFERROR(VALUE(Q740),"")</f>
        <v>4.1</v>
      </c>
      <c r="AE740" s="0" t="n">
        <f aca="false">IFERROR(VALUE(S740),"")</f>
        <v>9.1</v>
      </c>
      <c r="AF740" s="0" t="str">
        <f aca="false">IF(V740="","",VLOOKUP(V740,Assumptions!$B$6:$C$9,2,FALSE()))</f>
        <v/>
      </c>
      <c r="AG740" s="0" t="n">
        <f aca="false">IF(W740="","",VLOOKUP(W740,Assumptions!$B$6:$C$9,2,FALSE()))</f>
        <v>2</v>
      </c>
      <c r="AH740" s="0" t="n">
        <f aca="false">IF(X740="","",VLOOKUP(X740,Assumptions!$B$6:$C$9,2,FALSE()))</f>
        <v>3</v>
      </c>
      <c r="AI740" s="0" t="n">
        <f aca="false">IF(Y740="","",VLOOKUP(Y740,Assumptions!$B$6:$C$9,2,FALSE()))</f>
        <v>2</v>
      </c>
      <c r="AJ740" s="0" t="n">
        <f aca="false">IF(Z740="","",VLOOKUP(Z740,Assumptions!$B$6:$C$9,2,FALSE()))</f>
        <v>2</v>
      </c>
      <c r="AK740" s="7" t="n">
        <f aca="false">IFERROR(ROUND(AVERAGE(AF740:AJ740),3),"")</f>
        <v>2.25</v>
      </c>
      <c r="AL740" s="7" t="str">
        <f aca="false">IF(OR(AF740="",AJ740=""),"",AJ740-AF740)</f>
        <v/>
      </c>
      <c r="AM740" s="7" t="n">
        <f aca="false">IF(COUNT(AF740:AJ740)&gt;=2,ROUND(_xlfn.STDEV.S(AF740:AJ740),3),"")</f>
        <v>0.5</v>
      </c>
      <c r="AN740" s="7" t="n">
        <f aca="false">ROUND((IF(AF740="",0,AF740)*Assumptions!$F$15)+(IF(AG740="",0,AG740)*Assumptions!$F$16)+(IF(AH740="",0,AH740)*Assumptions!$F$17)+(IF(AI740="",0,AI740)*Assumptions!$F$18)+(IF(AJ740="",0,AJ740)*Assumptions!$F$19),3)</f>
        <v>2</v>
      </c>
      <c r="AO740" s="0" t="str">
        <f aca="false">IF(AC740&lt;=20,"",IF(AC740&lt;=Assumptions!$F$6,"20-30",IF(AC740&lt;=Assumptions!$F$7,"30-40",IF(AC740&lt;=Assumptions!$F$8,"40-50",IF(AC740&lt;=Assumptions!$F$9,"50-60",IF(AC740&lt;=Assumptions!$F$10,"60+",""))))))</f>
        <v>30-40</v>
      </c>
      <c r="AP740" s="0" t="str">
        <f aca="false">IFERROR(VLOOKUP(O740,Assumptions!$B$14:$C$26,2,FALSE()),"Other")</f>
        <v>Manager</v>
      </c>
      <c r="AQ740" s="0" t="n">
        <f aca="false">IF(T740="",0,1)</f>
        <v>0</v>
      </c>
      <c r="AR740" s="0" t="n">
        <f aca="false">IF(U740="",0,1)</f>
        <v>0</v>
      </c>
      <c r="AS740" s="8" t="n">
        <f aca="false">IF(AK740="","",IF(MAX($AK$2:$AK$921)=MIN($AK$2:$AK$921),50,ROUND((AK740-MIN($AK$2:$AK$921))/(MAX($AK$2:$AK$921)-MIN($AK$2:$AK$921))*100,2)))</f>
        <v>24.99</v>
      </c>
      <c r="AT740" s="8" t="n">
        <f aca="false">IF(MAX($BC$2:$BC$921)=MIN($BC$2:$BC$921),50,ROUND((BC740-MIN($BC$2:$BC$921))/(MAX($BC$2:$BC$921)-MIN($BC$2:$BC$921))*100,2))</f>
        <v>50</v>
      </c>
      <c r="AU740" s="8" t="n">
        <f aca="false">IF(MAX($BE$2:$BE$921)=MIN($BE$2:$BE$921),50,ROUND((BE740-MIN($BE$2:$BE$921))/(MAX($BE$2:$BE$921)-MIN($BE$2:$BE$921))*100,2))</f>
        <v>71.13</v>
      </c>
      <c r="AV740" s="8" t="n">
        <f aca="false">IF(MAX($AD$2:$AD$921)=MIN($AD$2:$AD$921),50,ROUND((AD740-MIN($AD$2:$AD$921))/(MAX($AD$2:$AD$921)-MIN($AD$2:$AD$921))*100,2))</f>
        <v>10.85</v>
      </c>
      <c r="AW740" s="8" t="n">
        <f aca="false">IF(MAX($AN$2:$AN$921)=MIN($AN$2:$AN$921),50,ROUND((AN740-MIN($AN$2:$AN$921))/(MAX($AN$2:$AN$921)-MIN($AN$2:$AN$921))*100,2))</f>
        <v>50</v>
      </c>
      <c r="AX740" s="8" t="n">
        <f aca="false">AQ740*100</f>
        <v>0</v>
      </c>
      <c r="AY740" s="8" t="n">
        <f aca="false">AR740*100</f>
        <v>0</v>
      </c>
      <c r="AZ740" s="8" t="n">
        <f aca="false">IFERROR(ROUND(AS740*Assumptions!$I$6+AW740*Assumptions!$I$7+AT740*Assumptions!$I$8+AU740*Assumptions!$I$9+AV740*Assumptions!$I$10+AX740*Assumptions!$I$11+AY740*Assumptions!$I$12,2),"")</f>
        <v>36.75</v>
      </c>
      <c r="BA740" s="0" t="str">
        <f aca="false">IF(AZ740="","",IF(AZ740&lt;=Assumptions!$I$18,"Below Expectation",IF(AZ740&lt;=Assumptions!$I$19,"Developing",IF(AZ740&lt;=Assumptions!$I$20,"Meets Expectation",IF(AZ740&lt;=Assumptions!$I$21,"Exceeds","Star Performer")))))</f>
        <v>Below Expectation</v>
      </c>
      <c r="BB740" s="0" t="n">
        <f aca="false">IF(AZ740="",0,IF(AZ740&gt;=Assumptions!$I$26,1,0))</f>
        <v>0</v>
      </c>
      <c r="BC740" s="9" t="n">
        <f aca="false">IF(AL740="",2,AL740+2)</f>
        <v>2</v>
      </c>
      <c r="BD740" s="10" t="n">
        <f aca="false">IF(AM740="",ROUND(AVERAGE($AM$2:$AM$921),3),AM740)</f>
        <v>0.5</v>
      </c>
      <c r="BE740" s="9" t="n">
        <f aca="false">1-BD740</f>
        <v>0.5</v>
      </c>
    </row>
    <row r="741" customFormat="false" ht="14.25" hidden="false" customHeight="false" outlineLevel="0" collapsed="false">
      <c r="A741" s="4" t="n">
        <v>582</v>
      </c>
      <c r="B741" s="5" t="n">
        <v>55052296</v>
      </c>
      <c r="C741" s="5" t="s">
        <v>106</v>
      </c>
      <c r="D741" s="5" t="s">
        <v>2504</v>
      </c>
      <c r="E741" s="5" t="s">
        <v>108</v>
      </c>
      <c r="F741" s="5" t="s">
        <v>590</v>
      </c>
      <c r="G741" s="5" t="s">
        <v>2250</v>
      </c>
      <c r="H741" s="5" t="s">
        <v>2251</v>
      </c>
      <c r="I741" s="5" t="s">
        <v>63</v>
      </c>
      <c r="J741" s="5" t="s">
        <v>112</v>
      </c>
      <c r="K741" s="5" t="s">
        <v>309</v>
      </c>
      <c r="L741" s="6" t="n">
        <v>44732</v>
      </c>
      <c r="M741" s="5" t="s">
        <v>1726</v>
      </c>
      <c r="N741" s="6" t="n">
        <v>36745</v>
      </c>
      <c r="O741" s="5" t="s">
        <v>1264</v>
      </c>
      <c r="P741" s="5" t="s">
        <v>1559</v>
      </c>
      <c r="Q741" s="5" t="s">
        <v>345</v>
      </c>
      <c r="R741" s="5" t="s">
        <v>115</v>
      </c>
      <c r="S741" s="5" t="s">
        <v>345</v>
      </c>
      <c r="T741" s="6"/>
      <c r="U741" s="6"/>
      <c r="V741" s="5"/>
      <c r="W741" s="5" t="s">
        <v>631</v>
      </c>
      <c r="X741" s="5" t="s">
        <v>631</v>
      </c>
      <c r="Y741" s="5" t="s">
        <v>141</v>
      </c>
      <c r="Z741" s="5" t="s">
        <v>631</v>
      </c>
      <c r="AA741" s="5" t="s">
        <v>2505</v>
      </c>
      <c r="AB741" s="0" t="n">
        <f aca="false">IFERROR(VALUE(R741),0)</f>
        <v>0</v>
      </c>
      <c r="AC741" s="0" t="n">
        <f aca="false">IFERROR(VALUE(M741),"")</f>
        <v>25.1</v>
      </c>
      <c r="AD741" s="0" t="n">
        <f aca="false">IFERROR(VALUE(Q741),"")</f>
        <v>3.11</v>
      </c>
      <c r="AE741" s="0" t="n">
        <f aca="false">IFERROR(VALUE(S741),"")</f>
        <v>3.11</v>
      </c>
      <c r="AF741" s="0" t="str">
        <f aca="false">IF(V741="","",VLOOKUP(V741,Assumptions!$B$6:$C$9,2,FALSE()))</f>
        <v/>
      </c>
      <c r="AG741" s="0" t="n">
        <f aca="false">IF(W741="","",VLOOKUP(W741,Assumptions!$B$6:$C$9,2,FALSE()))</f>
        <v>2</v>
      </c>
      <c r="AH741" s="0" t="n">
        <f aca="false">IF(X741="","",VLOOKUP(X741,Assumptions!$B$6:$C$9,2,FALSE()))</f>
        <v>2</v>
      </c>
      <c r="AI741" s="0" t="n">
        <f aca="false">IF(Y741="","",VLOOKUP(Y741,Assumptions!$B$6:$C$9,2,FALSE()))</f>
        <v>3</v>
      </c>
      <c r="AJ741" s="0" t="n">
        <f aca="false">IF(Z741="","",VLOOKUP(Z741,Assumptions!$B$6:$C$9,2,FALSE()))</f>
        <v>2</v>
      </c>
      <c r="AK741" s="7" t="n">
        <f aca="false">IFERROR(ROUND(AVERAGE(AF741:AJ741),3),"")</f>
        <v>2.25</v>
      </c>
      <c r="AL741" s="7" t="str">
        <f aca="false">IF(OR(AF741="",AJ741=""),"",AJ741-AF741)</f>
        <v/>
      </c>
      <c r="AM741" s="7" t="n">
        <f aca="false">IF(COUNT(AF741:AJ741)&gt;=2,ROUND(_xlfn.STDEV.S(AF741:AJ741),3),"")</f>
        <v>0.5</v>
      </c>
      <c r="AN741" s="7" t="n">
        <f aca="false">ROUND((IF(AF741="",0,AF741)*Assumptions!$F$15)+(IF(AG741="",0,AG741)*Assumptions!$F$16)+(IF(AH741="",0,AH741)*Assumptions!$F$17)+(IF(AI741="",0,AI741)*Assumptions!$F$18)+(IF(AJ741="",0,AJ741)*Assumptions!$F$19),3)</f>
        <v>2.05</v>
      </c>
      <c r="AO741" s="0" t="str">
        <f aca="false">IF(AC741&lt;=20,"",IF(AC741&lt;=Assumptions!$F$6,"20-30",IF(AC741&lt;=Assumptions!$F$7,"30-40",IF(AC741&lt;=Assumptions!$F$8,"40-50",IF(AC741&lt;=Assumptions!$F$9,"50-60",IF(AC741&lt;=Assumptions!$F$10,"60+",""))))))</f>
        <v>20-30</v>
      </c>
      <c r="AP741" s="0" t="str">
        <f aca="false">IFERROR(VLOOKUP(O741,Assumptions!$B$14:$C$26,2,FALSE()),"Other")</f>
        <v>Manager</v>
      </c>
      <c r="AQ741" s="0" t="n">
        <f aca="false">IF(T741="",0,1)</f>
        <v>0</v>
      </c>
      <c r="AR741" s="0" t="n">
        <f aca="false">IF(U741="",0,1)</f>
        <v>0</v>
      </c>
      <c r="AS741" s="8" t="n">
        <f aca="false">IF(AK741="","",IF(MAX($AK$2:$AK$921)=MIN($AK$2:$AK$921),50,ROUND((AK741-MIN($AK$2:$AK$921))/(MAX($AK$2:$AK$921)-MIN($AK$2:$AK$921))*100,2)))</f>
        <v>24.99</v>
      </c>
      <c r="AT741" s="8" t="n">
        <f aca="false">IF(MAX($BC$2:$BC$921)=MIN($BC$2:$BC$921),50,ROUND((BC741-MIN($BC$2:$BC$921))/(MAX($BC$2:$BC$921)-MIN($BC$2:$BC$921))*100,2))</f>
        <v>50</v>
      </c>
      <c r="AU741" s="8" t="n">
        <f aca="false">IF(MAX($BE$2:$BE$921)=MIN($BE$2:$BE$921),50,ROUND((BE741-MIN($BE$2:$BE$921))/(MAX($BE$2:$BE$921)-MIN($BE$2:$BE$921))*100,2))</f>
        <v>71.13</v>
      </c>
      <c r="AV741" s="8" t="n">
        <f aca="false">IF(MAX($AD$2:$AD$921)=MIN($AD$2:$AD$921),50,ROUND((AD741-MIN($AD$2:$AD$921))/(MAX($AD$2:$AD$921)-MIN($AD$2:$AD$921))*100,2))</f>
        <v>8.15</v>
      </c>
      <c r="AW741" s="8" t="n">
        <f aca="false">IF(MAX($AN$2:$AN$921)=MIN($AN$2:$AN$921),50,ROUND((AN741-MIN($AN$2:$AN$921))/(MAX($AN$2:$AN$921)-MIN($AN$2:$AN$921))*100,2))</f>
        <v>51.25</v>
      </c>
      <c r="AX741" s="8" t="n">
        <f aca="false">AQ741*100</f>
        <v>0</v>
      </c>
      <c r="AY741" s="8" t="n">
        <f aca="false">AR741*100</f>
        <v>0</v>
      </c>
      <c r="AZ741" s="8" t="n">
        <f aca="false">IFERROR(ROUND(AS741*Assumptions!$I$6+AW741*Assumptions!$I$7+AT741*Assumptions!$I$8+AU741*Assumptions!$I$9+AV741*Assumptions!$I$10+AX741*Assumptions!$I$11+AY741*Assumptions!$I$12,2),"")</f>
        <v>36.73</v>
      </c>
      <c r="BA741" s="0" t="str">
        <f aca="false">IF(AZ741="","",IF(AZ741&lt;=Assumptions!$I$18,"Below Expectation",IF(AZ741&lt;=Assumptions!$I$19,"Developing",IF(AZ741&lt;=Assumptions!$I$20,"Meets Expectation",IF(AZ741&lt;=Assumptions!$I$21,"Exceeds","Star Performer")))))</f>
        <v>Below Expectation</v>
      </c>
      <c r="BB741" s="0" t="n">
        <f aca="false">IF(AZ741="",0,IF(AZ741&gt;=Assumptions!$I$26,1,0))</f>
        <v>0</v>
      </c>
      <c r="BC741" s="9" t="n">
        <f aca="false">IF(AL741="",2,AL741+2)</f>
        <v>2</v>
      </c>
      <c r="BD741" s="10" t="n">
        <f aca="false">IF(AM741="",ROUND(AVERAGE($AM$2:$AM$921),3),AM741)</f>
        <v>0.5</v>
      </c>
      <c r="BE741" s="9" t="n">
        <f aca="false">1-BD741</f>
        <v>0.5</v>
      </c>
    </row>
    <row r="742" customFormat="false" ht="14.25" hidden="true" customHeight="false" outlineLevel="0" collapsed="false">
      <c r="A742" s="4" t="n">
        <v>612</v>
      </c>
      <c r="B742" s="5" t="n">
        <v>55054309</v>
      </c>
      <c r="C742" s="5" t="s">
        <v>666</v>
      </c>
      <c r="D742" s="5" t="s">
        <v>2506</v>
      </c>
      <c r="E742" s="5" t="s">
        <v>841</v>
      </c>
      <c r="F742" s="5" t="s">
        <v>590</v>
      </c>
      <c r="G742" s="5" t="s">
        <v>589</v>
      </c>
      <c r="H742" s="5" t="s">
        <v>590</v>
      </c>
      <c r="I742" s="5" t="s">
        <v>63</v>
      </c>
      <c r="J742" s="5" t="s">
        <v>100</v>
      </c>
      <c r="K742" s="5" t="s">
        <v>309</v>
      </c>
      <c r="L742" s="6" t="n">
        <v>44763</v>
      </c>
      <c r="M742" s="5" t="s">
        <v>226</v>
      </c>
      <c r="N742" s="6" t="n">
        <v>36802</v>
      </c>
      <c r="O742" s="5" t="s">
        <v>1264</v>
      </c>
      <c r="P742" s="5" t="s">
        <v>1559</v>
      </c>
      <c r="Q742" s="5" t="s">
        <v>591</v>
      </c>
      <c r="R742" s="5" t="s">
        <v>115</v>
      </c>
      <c r="S742" s="5" t="s">
        <v>591</v>
      </c>
      <c r="T742" s="6"/>
      <c r="U742" s="6"/>
      <c r="V742" s="5"/>
      <c r="W742" s="5" t="s">
        <v>631</v>
      </c>
      <c r="X742" s="5" t="s">
        <v>631</v>
      </c>
      <c r="Y742" s="5" t="s">
        <v>141</v>
      </c>
      <c r="Z742" s="5" t="s">
        <v>631</v>
      </c>
      <c r="AA742" s="5" t="s">
        <v>2507</v>
      </c>
      <c r="AB742" s="0" t="n">
        <f aca="false">IFERROR(VALUE(R742),0)</f>
        <v>0</v>
      </c>
      <c r="AC742" s="0" t="n">
        <f aca="false">IFERROR(VALUE(M742),"")</f>
        <v>25.8</v>
      </c>
      <c r="AD742" s="0" t="n">
        <f aca="false">IFERROR(VALUE(Q742),"")</f>
        <v>3.1</v>
      </c>
      <c r="AE742" s="0" t="n">
        <f aca="false">IFERROR(VALUE(S742),"")</f>
        <v>3.1</v>
      </c>
      <c r="AF742" s="0" t="str">
        <f aca="false">IF(V742="","",VLOOKUP(V742,Assumptions!$B$6:$C$9,2,FALSE()))</f>
        <v/>
      </c>
      <c r="AG742" s="0" t="n">
        <f aca="false">IF(W742="","",VLOOKUP(W742,Assumptions!$B$6:$C$9,2,FALSE()))</f>
        <v>2</v>
      </c>
      <c r="AH742" s="0" t="n">
        <f aca="false">IF(X742="","",VLOOKUP(X742,Assumptions!$B$6:$C$9,2,FALSE()))</f>
        <v>2</v>
      </c>
      <c r="AI742" s="0" t="n">
        <f aca="false">IF(Y742="","",VLOOKUP(Y742,Assumptions!$B$6:$C$9,2,FALSE()))</f>
        <v>3</v>
      </c>
      <c r="AJ742" s="0" t="n">
        <f aca="false">IF(Z742="","",VLOOKUP(Z742,Assumptions!$B$6:$C$9,2,FALSE()))</f>
        <v>2</v>
      </c>
      <c r="AK742" s="7" t="n">
        <f aca="false">IFERROR(ROUND(AVERAGE(AF742:AJ742),3),"")</f>
        <v>2.25</v>
      </c>
      <c r="AL742" s="7" t="str">
        <f aca="false">IF(OR(AF742="",AJ742=""),"",AJ742-AF742)</f>
        <v/>
      </c>
      <c r="AM742" s="7" t="n">
        <f aca="false">IF(COUNT(AF742:AJ742)&gt;=2,ROUND(_xlfn.STDEV.S(AF742:AJ742),3),"")</f>
        <v>0.5</v>
      </c>
      <c r="AN742" s="7" t="n">
        <f aca="false">ROUND((IF(AF742="",0,AF742)*Assumptions!$F$15)+(IF(AG742="",0,AG742)*Assumptions!$F$16)+(IF(AH742="",0,AH742)*Assumptions!$F$17)+(IF(AI742="",0,AI742)*Assumptions!$F$18)+(IF(AJ742="",0,AJ742)*Assumptions!$F$19),3)</f>
        <v>2.05</v>
      </c>
      <c r="AO742" s="0" t="str">
        <f aca="false">IF(AC742&lt;=20,"",IF(AC742&lt;=Assumptions!$F$6,"20-30",IF(AC742&lt;=Assumptions!$F$7,"30-40",IF(AC742&lt;=Assumptions!$F$8,"40-50",IF(AC742&lt;=Assumptions!$F$9,"50-60",IF(AC742&lt;=Assumptions!$F$10,"60+",""))))))</f>
        <v>20-30</v>
      </c>
      <c r="AP742" s="0" t="str">
        <f aca="false">IFERROR(VLOOKUP(O742,Assumptions!$B$14:$C$26,2,FALSE()),"Other")</f>
        <v>Manager</v>
      </c>
      <c r="AQ742" s="0" t="n">
        <f aca="false">IF(T742="",0,1)</f>
        <v>0</v>
      </c>
      <c r="AR742" s="0" t="n">
        <f aca="false">IF(U742="",0,1)</f>
        <v>0</v>
      </c>
      <c r="AS742" s="8" t="n">
        <f aca="false">IF(AK742="","",IF(MAX($AK$2:$AK$921)=MIN($AK$2:$AK$921),50,ROUND((AK742-MIN($AK$2:$AK$921))/(MAX($AK$2:$AK$921)-MIN($AK$2:$AK$921))*100,2)))</f>
        <v>24.99</v>
      </c>
      <c r="AT742" s="8" t="n">
        <f aca="false">IF(MAX($BC$2:$BC$921)=MIN($BC$2:$BC$921),50,ROUND((BC742-MIN($BC$2:$BC$921))/(MAX($BC$2:$BC$921)-MIN($BC$2:$BC$921))*100,2))</f>
        <v>50</v>
      </c>
      <c r="AU742" s="8" t="n">
        <f aca="false">IF(MAX($BE$2:$BE$921)=MIN($BE$2:$BE$921),50,ROUND((BE742-MIN($BE$2:$BE$921))/(MAX($BE$2:$BE$921)-MIN($BE$2:$BE$921))*100,2))</f>
        <v>71.13</v>
      </c>
      <c r="AV742" s="8" t="n">
        <f aca="false">IF(MAX($AD$2:$AD$921)=MIN($AD$2:$AD$921),50,ROUND((AD742-MIN($AD$2:$AD$921))/(MAX($AD$2:$AD$921)-MIN($AD$2:$AD$921))*100,2))</f>
        <v>8.13</v>
      </c>
      <c r="AW742" s="8" t="n">
        <f aca="false">IF(MAX($AN$2:$AN$921)=MIN($AN$2:$AN$921),50,ROUND((AN742-MIN($AN$2:$AN$921))/(MAX($AN$2:$AN$921)-MIN($AN$2:$AN$921))*100,2))</f>
        <v>51.25</v>
      </c>
      <c r="AX742" s="8" t="n">
        <f aca="false">AQ742*100</f>
        <v>0</v>
      </c>
      <c r="AY742" s="8" t="n">
        <f aca="false">AR742*100</f>
        <v>0</v>
      </c>
      <c r="AZ742" s="8" t="n">
        <f aca="false">IFERROR(ROUND(AS742*Assumptions!$I$6+AW742*Assumptions!$I$7+AT742*Assumptions!$I$8+AU742*Assumptions!$I$9+AV742*Assumptions!$I$10+AX742*Assumptions!$I$11+AY742*Assumptions!$I$12,2),"")</f>
        <v>36.73</v>
      </c>
      <c r="BA742" s="0" t="str">
        <f aca="false">IF(AZ742="","",IF(AZ742&lt;=Assumptions!$I$18,"Below Expectation",IF(AZ742&lt;=Assumptions!$I$19,"Developing",IF(AZ742&lt;=Assumptions!$I$20,"Meets Expectation",IF(AZ742&lt;=Assumptions!$I$21,"Exceeds","Star Performer")))))</f>
        <v>Below Expectation</v>
      </c>
      <c r="BB742" s="0" t="n">
        <f aca="false">IF(AZ742="",0,IF(AZ742&gt;=Assumptions!$I$26,1,0))</f>
        <v>0</v>
      </c>
      <c r="BC742" s="9" t="n">
        <f aca="false">IF(AL742="",2,AL742+2)</f>
        <v>2</v>
      </c>
      <c r="BD742" s="10" t="n">
        <f aca="false">IF(AM742="",ROUND(AVERAGE($AM$2:$AM$921),3),AM742)</f>
        <v>0.5</v>
      </c>
      <c r="BE742" s="9" t="n">
        <f aca="false">1-BD742</f>
        <v>0.5</v>
      </c>
    </row>
    <row r="743" customFormat="false" ht="14.25" hidden="true" customHeight="false" outlineLevel="0" collapsed="false">
      <c r="A743" s="4" t="n">
        <v>643</v>
      </c>
      <c r="B743" s="5" t="n">
        <v>55056719</v>
      </c>
      <c r="C743" s="5" t="s">
        <v>85</v>
      </c>
      <c r="D743" s="5" t="s">
        <v>2508</v>
      </c>
      <c r="E743" s="5" t="s">
        <v>87</v>
      </c>
      <c r="F743" s="5" t="s">
        <v>602</v>
      </c>
      <c r="G743" s="5" t="s">
        <v>603</v>
      </c>
      <c r="H743" s="5" t="s">
        <v>602</v>
      </c>
      <c r="I743" s="5" t="s">
        <v>63</v>
      </c>
      <c r="J743" s="5" t="s">
        <v>76</v>
      </c>
      <c r="K743" s="5" t="s">
        <v>65</v>
      </c>
      <c r="L743" s="6" t="n">
        <v>44805</v>
      </c>
      <c r="M743" s="5" t="s">
        <v>2039</v>
      </c>
      <c r="N743" s="6" t="n">
        <v>31898</v>
      </c>
      <c r="O743" s="5" t="s">
        <v>365</v>
      </c>
      <c r="P743" s="5" t="s">
        <v>365</v>
      </c>
      <c r="Q743" s="5" t="s">
        <v>231</v>
      </c>
      <c r="R743" s="5" t="s">
        <v>790</v>
      </c>
      <c r="S743" s="5" t="s">
        <v>218</v>
      </c>
      <c r="T743" s="6"/>
      <c r="U743" s="6"/>
      <c r="V743" s="5"/>
      <c r="W743" s="5" t="s">
        <v>631</v>
      </c>
      <c r="X743" s="5" t="s">
        <v>141</v>
      </c>
      <c r="Y743" s="5" t="s">
        <v>631</v>
      </c>
      <c r="Z743" s="5" t="s">
        <v>631</v>
      </c>
      <c r="AA743" s="5" t="s">
        <v>2509</v>
      </c>
      <c r="AB743" s="0" t="n">
        <f aca="false">IFERROR(VALUE(R743),0)</f>
        <v>10.9</v>
      </c>
      <c r="AC743" s="0" t="n">
        <f aca="false">IFERROR(VALUE(M743),"")</f>
        <v>39.1</v>
      </c>
      <c r="AD743" s="0" t="n">
        <f aca="false">IFERROR(VALUE(Q743),"")</f>
        <v>3.9</v>
      </c>
      <c r="AE743" s="0" t="n">
        <f aca="false">IFERROR(VALUE(S743),"")</f>
        <v>14.6</v>
      </c>
      <c r="AF743" s="0" t="str">
        <f aca="false">IF(V743="","",VLOOKUP(V743,Assumptions!$B$6:$C$9,2,FALSE()))</f>
        <v/>
      </c>
      <c r="AG743" s="0" t="n">
        <f aca="false">IF(W743="","",VLOOKUP(W743,Assumptions!$B$6:$C$9,2,FALSE()))</f>
        <v>2</v>
      </c>
      <c r="AH743" s="0" t="n">
        <f aca="false">IF(X743="","",VLOOKUP(X743,Assumptions!$B$6:$C$9,2,FALSE()))</f>
        <v>3</v>
      </c>
      <c r="AI743" s="0" t="n">
        <f aca="false">IF(Y743="","",VLOOKUP(Y743,Assumptions!$B$6:$C$9,2,FALSE()))</f>
        <v>2</v>
      </c>
      <c r="AJ743" s="0" t="n">
        <f aca="false">IF(Z743="","",VLOOKUP(Z743,Assumptions!$B$6:$C$9,2,FALSE()))</f>
        <v>2</v>
      </c>
      <c r="AK743" s="7" t="n">
        <f aca="false">IFERROR(ROUND(AVERAGE(AF743:AJ743),3),"")</f>
        <v>2.25</v>
      </c>
      <c r="AL743" s="7" t="str">
        <f aca="false">IF(OR(AF743="",AJ743=""),"",AJ743-AF743)</f>
        <v/>
      </c>
      <c r="AM743" s="7" t="n">
        <f aca="false">IF(COUNT(AF743:AJ743)&gt;=2,ROUND(_xlfn.STDEV.S(AF743:AJ743),3),"")</f>
        <v>0.5</v>
      </c>
      <c r="AN743" s="7" t="n">
        <f aca="false">ROUND((IF(AF743="",0,AF743)*Assumptions!$F$15)+(IF(AG743="",0,AG743)*Assumptions!$F$16)+(IF(AH743="",0,AH743)*Assumptions!$F$17)+(IF(AI743="",0,AI743)*Assumptions!$F$18)+(IF(AJ743="",0,AJ743)*Assumptions!$F$19),3)</f>
        <v>2</v>
      </c>
      <c r="AO743" s="0" t="str">
        <f aca="false">IF(AC743&lt;=20,"",IF(AC743&lt;=Assumptions!$F$6,"20-30",IF(AC743&lt;=Assumptions!$F$7,"30-40",IF(AC743&lt;=Assumptions!$F$8,"40-50",IF(AC743&lt;=Assumptions!$F$9,"50-60",IF(AC743&lt;=Assumptions!$F$10,"60+",""))))))</f>
        <v>30-40</v>
      </c>
      <c r="AP743" s="0" t="str">
        <f aca="false">IFERROR(VLOOKUP(O743,Assumptions!$B$14:$C$26,2,FALSE()),"Other")</f>
        <v>Manager</v>
      </c>
      <c r="AQ743" s="0" t="n">
        <f aca="false">IF(T743="",0,1)</f>
        <v>0</v>
      </c>
      <c r="AR743" s="0" t="n">
        <f aca="false">IF(U743="",0,1)</f>
        <v>0</v>
      </c>
      <c r="AS743" s="8" t="n">
        <f aca="false">IF(AK743="","",IF(MAX($AK$2:$AK$921)=MIN($AK$2:$AK$921),50,ROUND((AK743-MIN($AK$2:$AK$921))/(MAX($AK$2:$AK$921)-MIN($AK$2:$AK$921))*100,2)))</f>
        <v>24.99</v>
      </c>
      <c r="AT743" s="8" t="n">
        <f aca="false">IF(MAX($BC$2:$BC$921)=MIN($BC$2:$BC$921),50,ROUND((BC743-MIN($BC$2:$BC$921))/(MAX($BC$2:$BC$921)-MIN($BC$2:$BC$921))*100,2))</f>
        <v>50</v>
      </c>
      <c r="AU743" s="8" t="n">
        <f aca="false">IF(MAX($BE$2:$BE$921)=MIN($BE$2:$BE$921),50,ROUND((BE743-MIN($BE$2:$BE$921))/(MAX($BE$2:$BE$921)-MIN($BE$2:$BE$921))*100,2))</f>
        <v>71.13</v>
      </c>
      <c r="AV743" s="8" t="n">
        <f aca="false">IF(MAX($AD$2:$AD$921)=MIN($AD$2:$AD$921),50,ROUND((AD743-MIN($AD$2:$AD$921))/(MAX($AD$2:$AD$921)-MIN($AD$2:$AD$921))*100,2))</f>
        <v>10.3</v>
      </c>
      <c r="AW743" s="8" t="n">
        <f aca="false">IF(MAX($AN$2:$AN$921)=MIN($AN$2:$AN$921),50,ROUND((AN743-MIN($AN$2:$AN$921))/(MAX($AN$2:$AN$921)-MIN($AN$2:$AN$921))*100,2))</f>
        <v>50</v>
      </c>
      <c r="AX743" s="8" t="n">
        <f aca="false">AQ743*100</f>
        <v>0</v>
      </c>
      <c r="AY743" s="8" t="n">
        <f aca="false">AR743*100</f>
        <v>0</v>
      </c>
      <c r="AZ743" s="8" t="n">
        <f aca="false">IFERROR(ROUND(AS743*Assumptions!$I$6+AW743*Assumptions!$I$7+AT743*Assumptions!$I$8+AU743*Assumptions!$I$9+AV743*Assumptions!$I$10+AX743*Assumptions!$I$11+AY743*Assumptions!$I$12,2),"")</f>
        <v>36.7</v>
      </c>
      <c r="BA743" s="0" t="str">
        <f aca="false">IF(AZ743="","",IF(AZ743&lt;=Assumptions!$I$18,"Below Expectation",IF(AZ743&lt;=Assumptions!$I$19,"Developing",IF(AZ743&lt;=Assumptions!$I$20,"Meets Expectation",IF(AZ743&lt;=Assumptions!$I$21,"Exceeds","Star Performer")))))</f>
        <v>Below Expectation</v>
      </c>
      <c r="BB743" s="0" t="n">
        <f aca="false">IF(AZ743="",0,IF(AZ743&gt;=Assumptions!$I$26,1,0))</f>
        <v>0</v>
      </c>
      <c r="BC743" s="9" t="n">
        <f aca="false">IF(AL743="",2,AL743+2)</f>
        <v>2</v>
      </c>
      <c r="BD743" s="10" t="n">
        <f aca="false">IF(AM743="",ROUND(AVERAGE($AM$2:$AM$921),3),AM743)</f>
        <v>0.5</v>
      </c>
      <c r="BE743" s="9" t="n">
        <f aca="false">1-BD743</f>
        <v>0.5</v>
      </c>
    </row>
    <row r="744" customFormat="false" ht="14.25" hidden="true" customHeight="false" outlineLevel="0" collapsed="false">
      <c r="A744" s="4" t="n">
        <v>646</v>
      </c>
      <c r="B744" s="5" t="n">
        <v>55056738</v>
      </c>
      <c r="C744" s="5" t="s">
        <v>57</v>
      </c>
      <c r="D744" s="5" t="s">
        <v>2510</v>
      </c>
      <c r="E744" s="5" t="s">
        <v>520</v>
      </c>
      <c r="F744" s="5" t="s">
        <v>608</v>
      </c>
      <c r="G744" s="5" t="s">
        <v>609</v>
      </c>
      <c r="H744" s="5" t="s">
        <v>608</v>
      </c>
      <c r="I744" s="5" t="s">
        <v>63</v>
      </c>
      <c r="J744" s="5" t="s">
        <v>100</v>
      </c>
      <c r="K744" s="5" t="s">
        <v>65</v>
      </c>
      <c r="L744" s="6" t="n">
        <v>44806</v>
      </c>
      <c r="M744" s="5" t="s">
        <v>2438</v>
      </c>
      <c r="N744" s="6" t="n">
        <v>33636</v>
      </c>
      <c r="O744" s="5" t="s">
        <v>365</v>
      </c>
      <c r="P744" s="5" t="s">
        <v>365</v>
      </c>
      <c r="Q744" s="5" t="s">
        <v>231</v>
      </c>
      <c r="R744" s="5" t="s">
        <v>439</v>
      </c>
      <c r="S744" s="5" t="s">
        <v>391</v>
      </c>
      <c r="T744" s="6"/>
      <c r="U744" s="6"/>
      <c r="V744" s="5"/>
      <c r="W744" s="5" t="s">
        <v>631</v>
      </c>
      <c r="X744" s="5" t="s">
        <v>141</v>
      </c>
      <c r="Y744" s="5" t="s">
        <v>631</v>
      </c>
      <c r="Z744" s="5" t="s">
        <v>631</v>
      </c>
      <c r="AA744" s="5" t="s">
        <v>2511</v>
      </c>
      <c r="AB744" s="0" t="n">
        <f aca="false">IFERROR(VALUE(R744),0)</f>
        <v>7.1</v>
      </c>
      <c r="AC744" s="0" t="n">
        <f aca="false">IFERROR(VALUE(M744),"")</f>
        <v>34.4</v>
      </c>
      <c r="AD744" s="0" t="n">
        <f aca="false">IFERROR(VALUE(Q744),"")</f>
        <v>3.9</v>
      </c>
      <c r="AE744" s="0" t="n">
        <f aca="false">IFERROR(VALUE(S744),"")</f>
        <v>10.1</v>
      </c>
      <c r="AF744" s="0" t="str">
        <f aca="false">IF(V744="","",VLOOKUP(V744,Assumptions!$B$6:$C$9,2,FALSE()))</f>
        <v/>
      </c>
      <c r="AG744" s="0" t="n">
        <f aca="false">IF(W744="","",VLOOKUP(W744,Assumptions!$B$6:$C$9,2,FALSE()))</f>
        <v>2</v>
      </c>
      <c r="AH744" s="0" t="n">
        <f aca="false">IF(X744="","",VLOOKUP(X744,Assumptions!$B$6:$C$9,2,FALSE()))</f>
        <v>3</v>
      </c>
      <c r="AI744" s="0" t="n">
        <f aca="false">IF(Y744="","",VLOOKUP(Y744,Assumptions!$B$6:$C$9,2,FALSE()))</f>
        <v>2</v>
      </c>
      <c r="AJ744" s="0" t="n">
        <f aca="false">IF(Z744="","",VLOOKUP(Z744,Assumptions!$B$6:$C$9,2,FALSE()))</f>
        <v>2</v>
      </c>
      <c r="AK744" s="7" t="n">
        <f aca="false">IFERROR(ROUND(AVERAGE(AF744:AJ744),3),"")</f>
        <v>2.25</v>
      </c>
      <c r="AL744" s="7" t="str">
        <f aca="false">IF(OR(AF744="",AJ744=""),"",AJ744-AF744)</f>
        <v/>
      </c>
      <c r="AM744" s="7" t="n">
        <f aca="false">IF(COUNT(AF744:AJ744)&gt;=2,ROUND(_xlfn.STDEV.S(AF744:AJ744),3),"")</f>
        <v>0.5</v>
      </c>
      <c r="AN744" s="7" t="n">
        <f aca="false">ROUND((IF(AF744="",0,AF744)*Assumptions!$F$15)+(IF(AG744="",0,AG744)*Assumptions!$F$16)+(IF(AH744="",0,AH744)*Assumptions!$F$17)+(IF(AI744="",0,AI744)*Assumptions!$F$18)+(IF(AJ744="",0,AJ744)*Assumptions!$F$19),3)</f>
        <v>2</v>
      </c>
      <c r="AO744" s="0" t="str">
        <f aca="false">IF(AC744&lt;=20,"",IF(AC744&lt;=Assumptions!$F$6,"20-30",IF(AC744&lt;=Assumptions!$F$7,"30-40",IF(AC744&lt;=Assumptions!$F$8,"40-50",IF(AC744&lt;=Assumptions!$F$9,"50-60",IF(AC744&lt;=Assumptions!$F$10,"60+",""))))))</f>
        <v>30-40</v>
      </c>
      <c r="AP744" s="0" t="str">
        <f aca="false">IFERROR(VLOOKUP(O744,Assumptions!$B$14:$C$26,2,FALSE()),"Other")</f>
        <v>Manager</v>
      </c>
      <c r="AQ744" s="0" t="n">
        <f aca="false">IF(T744="",0,1)</f>
        <v>0</v>
      </c>
      <c r="AR744" s="0" t="n">
        <f aca="false">IF(U744="",0,1)</f>
        <v>0</v>
      </c>
      <c r="AS744" s="8" t="n">
        <f aca="false">IF(AK744="","",IF(MAX($AK$2:$AK$921)=MIN($AK$2:$AK$921),50,ROUND((AK744-MIN($AK$2:$AK$921))/(MAX($AK$2:$AK$921)-MIN($AK$2:$AK$921))*100,2)))</f>
        <v>24.99</v>
      </c>
      <c r="AT744" s="8" t="n">
        <f aca="false">IF(MAX($BC$2:$BC$921)=MIN($BC$2:$BC$921),50,ROUND((BC744-MIN($BC$2:$BC$921))/(MAX($BC$2:$BC$921)-MIN($BC$2:$BC$921))*100,2))</f>
        <v>50</v>
      </c>
      <c r="AU744" s="8" t="n">
        <f aca="false">IF(MAX($BE$2:$BE$921)=MIN($BE$2:$BE$921),50,ROUND((BE744-MIN($BE$2:$BE$921))/(MAX($BE$2:$BE$921)-MIN($BE$2:$BE$921))*100,2))</f>
        <v>71.13</v>
      </c>
      <c r="AV744" s="8" t="n">
        <f aca="false">IF(MAX($AD$2:$AD$921)=MIN($AD$2:$AD$921),50,ROUND((AD744-MIN($AD$2:$AD$921))/(MAX($AD$2:$AD$921)-MIN($AD$2:$AD$921))*100,2))</f>
        <v>10.3</v>
      </c>
      <c r="AW744" s="8" t="n">
        <f aca="false">IF(MAX($AN$2:$AN$921)=MIN($AN$2:$AN$921),50,ROUND((AN744-MIN($AN$2:$AN$921))/(MAX($AN$2:$AN$921)-MIN($AN$2:$AN$921))*100,2))</f>
        <v>50</v>
      </c>
      <c r="AX744" s="8" t="n">
        <f aca="false">AQ744*100</f>
        <v>0</v>
      </c>
      <c r="AY744" s="8" t="n">
        <f aca="false">AR744*100</f>
        <v>0</v>
      </c>
      <c r="AZ744" s="8" t="n">
        <f aca="false">IFERROR(ROUND(AS744*Assumptions!$I$6+AW744*Assumptions!$I$7+AT744*Assumptions!$I$8+AU744*Assumptions!$I$9+AV744*Assumptions!$I$10+AX744*Assumptions!$I$11+AY744*Assumptions!$I$12,2),"")</f>
        <v>36.7</v>
      </c>
      <c r="BA744" s="0" t="str">
        <f aca="false">IF(AZ744="","",IF(AZ744&lt;=Assumptions!$I$18,"Below Expectation",IF(AZ744&lt;=Assumptions!$I$19,"Developing",IF(AZ744&lt;=Assumptions!$I$20,"Meets Expectation",IF(AZ744&lt;=Assumptions!$I$21,"Exceeds","Star Performer")))))</f>
        <v>Below Expectation</v>
      </c>
      <c r="BB744" s="0" t="n">
        <f aca="false">IF(AZ744="",0,IF(AZ744&gt;=Assumptions!$I$26,1,0))</f>
        <v>0</v>
      </c>
      <c r="BC744" s="9" t="n">
        <f aca="false">IF(AL744="",2,AL744+2)</f>
        <v>2</v>
      </c>
      <c r="BD744" s="10" t="n">
        <f aca="false">IF(AM744="",ROUND(AVERAGE($AM$2:$AM$921),3),AM744)</f>
        <v>0.5</v>
      </c>
      <c r="BE744" s="9" t="n">
        <f aca="false">1-BD744</f>
        <v>0.5</v>
      </c>
    </row>
    <row r="745" customFormat="false" ht="14.25" hidden="true" customHeight="false" outlineLevel="0" collapsed="false">
      <c r="A745" s="4" t="n">
        <v>696</v>
      </c>
      <c r="B745" s="5" t="n">
        <v>55063292</v>
      </c>
      <c r="C745" s="5" t="s">
        <v>85</v>
      </c>
      <c r="D745" s="5" t="s">
        <v>2512</v>
      </c>
      <c r="E745" s="5" t="s">
        <v>1070</v>
      </c>
      <c r="F745" s="5" t="s">
        <v>2180</v>
      </c>
      <c r="G745" s="5" t="s">
        <v>2181</v>
      </c>
      <c r="H745" s="5" t="s">
        <v>2182</v>
      </c>
      <c r="I745" s="5" t="s">
        <v>63</v>
      </c>
      <c r="J745" s="5" t="s">
        <v>76</v>
      </c>
      <c r="K745" s="5" t="s">
        <v>65</v>
      </c>
      <c r="L745" s="6" t="n">
        <v>44917</v>
      </c>
      <c r="M745" s="5" t="s">
        <v>104</v>
      </c>
      <c r="N745" s="6" t="n">
        <v>34585</v>
      </c>
      <c r="O745" s="5" t="s">
        <v>585</v>
      </c>
      <c r="P745" s="5" t="s">
        <v>586</v>
      </c>
      <c r="Q745" s="5" t="s">
        <v>164</v>
      </c>
      <c r="R745" s="5" t="s">
        <v>591</v>
      </c>
      <c r="S745" s="5" t="s">
        <v>723</v>
      </c>
      <c r="T745" s="6"/>
      <c r="U745" s="6"/>
      <c r="V745" s="5"/>
      <c r="W745" s="5" t="s">
        <v>631</v>
      </c>
      <c r="X745" s="5" t="s">
        <v>631</v>
      </c>
      <c r="Y745" s="5" t="s">
        <v>631</v>
      </c>
      <c r="Z745" s="5" t="s">
        <v>631</v>
      </c>
      <c r="AA745" s="5" t="s">
        <v>2513</v>
      </c>
      <c r="AB745" s="0" t="n">
        <f aca="false">IFERROR(VALUE(R745),0)</f>
        <v>3.1</v>
      </c>
      <c r="AC745" s="0" t="n">
        <f aca="false">IFERROR(VALUE(M745),"")</f>
        <v>31.9</v>
      </c>
      <c r="AD745" s="0" t="n">
        <f aca="false">IFERROR(VALUE(Q745),"")</f>
        <v>3.5</v>
      </c>
      <c r="AE745" s="0" t="n">
        <f aca="false">IFERROR(VALUE(S745),"")</f>
        <v>7.3</v>
      </c>
      <c r="AF745" s="0" t="str">
        <f aca="false">IF(V745="","",VLOOKUP(V745,Assumptions!$B$6:$C$9,2,FALSE()))</f>
        <v/>
      </c>
      <c r="AG745" s="0" t="n">
        <f aca="false">IF(W745="","",VLOOKUP(W745,Assumptions!$B$6:$C$9,2,FALSE()))</f>
        <v>2</v>
      </c>
      <c r="AH745" s="0" t="n">
        <f aca="false">IF(X745="","",VLOOKUP(X745,Assumptions!$B$6:$C$9,2,FALSE()))</f>
        <v>2</v>
      </c>
      <c r="AI745" s="0" t="n">
        <f aca="false">IF(Y745="","",VLOOKUP(Y745,Assumptions!$B$6:$C$9,2,FALSE()))</f>
        <v>2</v>
      </c>
      <c r="AJ745" s="0" t="n">
        <f aca="false">IF(Z745="","",VLOOKUP(Z745,Assumptions!$B$6:$C$9,2,FALSE()))</f>
        <v>2</v>
      </c>
      <c r="AK745" s="7" t="n">
        <f aca="false">IFERROR(ROUND(AVERAGE(AF745:AJ745),3),"")</f>
        <v>2</v>
      </c>
      <c r="AL745" s="7" t="str">
        <f aca="false">IF(OR(AF745="",AJ745=""),"",AJ745-AF745)</f>
        <v/>
      </c>
      <c r="AM745" s="7" t="n">
        <f aca="false">IF(COUNT(AF745:AJ745)&gt;=2,ROUND(_xlfn.STDEV.S(AF745:AJ745),3),"")</f>
        <v>0</v>
      </c>
      <c r="AN745" s="7" t="n">
        <f aca="false">ROUND((IF(AF745="",0,AF745)*Assumptions!$F$15)+(IF(AG745="",0,AG745)*Assumptions!$F$16)+(IF(AH745="",0,AH745)*Assumptions!$F$17)+(IF(AI745="",0,AI745)*Assumptions!$F$18)+(IF(AJ745="",0,AJ745)*Assumptions!$F$19),3)</f>
        <v>1.8</v>
      </c>
      <c r="AO745" s="0" t="str">
        <f aca="false">IF(AC745&lt;=20,"",IF(AC745&lt;=Assumptions!$F$6,"20-30",IF(AC745&lt;=Assumptions!$F$7,"30-40",IF(AC745&lt;=Assumptions!$F$8,"40-50",IF(AC745&lt;=Assumptions!$F$9,"50-60",IF(AC745&lt;=Assumptions!$F$10,"60+",""))))))</f>
        <v>30-40</v>
      </c>
      <c r="AP745" s="0" t="str">
        <f aca="false">IFERROR(VLOOKUP(O745,Assumptions!$B$14:$C$26,2,FALSE()),"Other")</f>
        <v>Manager</v>
      </c>
      <c r="AQ745" s="0" t="n">
        <f aca="false">IF(T745="",0,1)</f>
        <v>0</v>
      </c>
      <c r="AR745" s="0" t="n">
        <f aca="false">IF(U745="",0,1)</f>
        <v>0</v>
      </c>
      <c r="AS745" s="8" t="n">
        <f aca="false">IF(AK745="","",IF(MAX($AK$2:$AK$921)=MIN($AK$2:$AK$921),50,ROUND((AK745-MIN($AK$2:$AK$921))/(MAX($AK$2:$AK$921)-MIN($AK$2:$AK$921))*100,2)))</f>
        <v>14.27</v>
      </c>
      <c r="AT745" s="8" t="n">
        <f aca="false">IF(MAX($BC$2:$BC$921)=MIN($BC$2:$BC$921),50,ROUND((BC745-MIN($BC$2:$BC$921))/(MAX($BC$2:$BC$921)-MIN($BC$2:$BC$921))*100,2))</f>
        <v>50</v>
      </c>
      <c r="AU745" s="8" t="n">
        <f aca="false">IF(MAX($BE$2:$BE$921)=MIN($BE$2:$BE$921),50,ROUND((BE745-MIN($BE$2:$BE$921))/(MAX($BE$2:$BE$921)-MIN($BE$2:$BE$921))*100,2))</f>
        <v>100</v>
      </c>
      <c r="AV745" s="8" t="n">
        <f aca="false">IF(MAX($AD$2:$AD$921)=MIN($AD$2:$AD$921),50,ROUND((AD745-MIN($AD$2:$AD$921))/(MAX($AD$2:$AD$921)-MIN($AD$2:$AD$921))*100,2))</f>
        <v>9.21</v>
      </c>
      <c r="AW745" s="8" t="n">
        <f aca="false">IF(MAX($AN$2:$AN$921)=MIN($AN$2:$AN$921),50,ROUND((AN745-MIN($AN$2:$AN$921))/(MAX($AN$2:$AN$921)-MIN($AN$2:$AN$921))*100,2))</f>
        <v>45</v>
      </c>
      <c r="AX745" s="8" t="n">
        <f aca="false">AQ745*100</f>
        <v>0</v>
      </c>
      <c r="AY745" s="8" t="n">
        <f aca="false">AR745*100</f>
        <v>0</v>
      </c>
      <c r="AZ745" s="8" t="n">
        <f aca="false">IFERROR(ROUND(AS745*Assumptions!$I$6+AW745*Assumptions!$I$7+AT745*Assumptions!$I$8+AU745*Assumptions!$I$9+AV745*Assumptions!$I$10+AX745*Assumptions!$I$11+AY745*Assumptions!$I$12,2),"")</f>
        <v>36.7</v>
      </c>
      <c r="BA745" s="0" t="str">
        <f aca="false">IF(AZ745="","",IF(AZ745&lt;=Assumptions!$I$18,"Below Expectation",IF(AZ745&lt;=Assumptions!$I$19,"Developing",IF(AZ745&lt;=Assumptions!$I$20,"Meets Expectation",IF(AZ745&lt;=Assumptions!$I$21,"Exceeds","Star Performer")))))</f>
        <v>Below Expectation</v>
      </c>
      <c r="BB745" s="0" t="n">
        <f aca="false">IF(AZ745="",0,IF(AZ745&gt;=Assumptions!$I$26,1,0))</f>
        <v>0</v>
      </c>
      <c r="BC745" s="9" t="n">
        <f aca="false">IF(AL745="",2,AL745+2)</f>
        <v>2</v>
      </c>
      <c r="BD745" s="10" t="n">
        <f aca="false">IF(AM745="",ROUND(AVERAGE($AM$2:$AM$921),3),AM745)</f>
        <v>0</v>
      </c>
      <c r="BE745" s="9" t="n">
        <f aca="false">1-BD745</f>
        <v>1</v>
      </c>
    </row>
    <row r="746" customFormat="false" ht="14.25" hidden="true" customHeight="false" outlineLevel="0" collapsed="false">
      <c r="A746" s="4" t="n">
        <v>679</v>
      </c>
      <c r="B746" s="5" t="n">
        <v>55059490</v>
      </c>
      <c r="C746" s="5" t="s">
        <v>85</v>
      </c>
      <c r="D746" s="5" t="s">
        <v>2514</v>
      </c>
      <c r="E746" s="5" t="s">
        <v>339</v>
      </c>
      <c r="F746" s="5" t="s">
        <v>1731</v>
      </c>
      <c r="G746" s="5" t="s">
        <v>1732</v>
      </c>
      <c r="H746" s="5" t="s">
        <v>1731</v>
      </c>
      <c r="I746" s="5" t="s">
        <v>63</v>
      </c>
      <c r="J746" s="5" t="s">
        <v>76</v>
      </c>
      <c r="K746" s="5" t="s">
        <v>309</v>
      </c>
      <c r="L746" s="6" t="n">
        <v>44851</v>
      </c>
      <c r="M746" s="5" t="s">
        <v>941</v>
      </c>
      <c r="N746" s="6" t="n">
        <v>36713</v>
      </c>
      <c r="O746" s="5" t="s">
        <v>1264</v>
      </c>
      <c r="P746" s="5" t="s">
        <v>1559</v>
      </c>
      <c r="Q746" s="5" t="s">
        <v>335</v>
      </c>
      <c r="R746" s="5" t="s">
        <v>115</v>
      </c>
      <c r="S746" s="5" t="s">
        <v>335</v>
      </c>
      <c r="T746" s="6"/>
      <c r="U746" s="6"/>
      <c r="V746" s="5"/>
      <c r="W746" s="5" t="s">
        <v>631</v>
      </c>
      <c r="X746" s="5" t="s">
        <v>141</v>
      </c>
      <c r="Y746" s="5" t="s">
        <v>631</v>
      </c>
      <c r="Z746" s="5" t="s">
        <v>631</v>
      </c>
      <c r="AA746" s="5" t="s">
        <v>1992</v>
      </c>
      <c r="AB746" s="0" t="n">
        <f aca="false">IFERROR(VALUE(R746),0)</f>
        <v>0</v>
      </c>
      <c r="AC746" s="0" t="n">
        <f aca="false">IFERROR(VALUE(M746),"")</f>
        <v>25.11</v>
      </c>
      <c r="AD746" s="0" t="n">
        <f aca="false">IFERROR(VALUE(Q746),"")</f>
        <v>3.7</v>
      </c>
      <c r="AE746" s="0" t="n">
        <f aca="false">IFERROR(VALUE(S746),"")</f>
        <v>3.7</v>
      </c>
      <c r="AF746" s="0" t="str">
        <f aca="false">IF(V746="","",VLOOKUP(V746,Assumptions!$B$6:$C$9,2,FALSE()))</f>
        <v/>
      </c>
      <c r="AG746" s="0" t="n">
        <f aca="false">IF(W746="","",VLOOKUP(W746,Assumptions!$B$6:$C$9,2,FALSE()))</f>
        <v>2</v>
      </c>
      <c r="AH746" s="0" t="n">
        <f aca="false">IF(X746="","",VLOOKUP(X746,Assumptions!$B$6:$C$9,2,FALSE()))</f>
        <v>3</v>
      </c>
      <c r="AI746" s="0" t="n">
        <f aca="false">IF(Y746="","",VLOOKUP(Y746,Assumptions!$B$6:$C$9,2,FALSE()))</f>
        <v>2</v>
      </c>
      <c r="AJ746" s="0" t="n">
        <f aca="false">IF(Z746="","",VLOOKUP(Z746,Assumptions!$B$6:$C$9,2,FALSE()))</f>
        <v>2</v>
      </c>
      <c r="AK746" s="7" t="n">
        <f aca="false">IFERROR(ROUND(AVERAGE(AF746:AJ746),3),"")</f>
        <v>2.25</v>
      </c>
      <c r="AL746" s="7" t="str">
        <f aca="false">IF(OR(AF746="",AJ746=""),"",AJ746-AF746)</f>
        <v/>
      </c>
      <c r="AM746" s="7" t="n">
        <f aca="false">IF(COUNT(AF746:AJ746)&gt;=2,ROUND(_xlfn.STDEV.S(AF746:AJ746),3),"")</f>
        <v>0.5</v>
      </c>
      <c r="AN746" s="7" t="n">
        <f aca="false">ROUND((IF(AF746="",0,AF746)*Assumptions!$F$15)+(IF(AG746="",0,AG746)*Assumptions!$F$16)+(IF(AH746="",0,AH746)*Assumptions!$F$17)+(IF(AI746="",0,AI746)*Assumptions!$F$18)+(IF(AJ746="",0,AJ746)*Assumptions!$F$19),3)</f>
        <v>2</v>
      </c>
      <c r="AO746" s="0" t="str">
        <f aca="false">IF(AC746&lt;=20,"",IF(AC746&lt;=Assumptions!$F$6,"20-30",IF(AC746&lt;=Assumptions!$F$7,"30-40",IF(AC746&lt;=Assumptions!$F$8,"40-50",IF(AC746&lt;=Assumptions!$F$9,"50-60",IF(AC746&lt;=Assumptions!$F$10,"60+",""))))))</f>
        <v>20-30</v>
      </c>
      <c r="AP746" s="0" t="str">
        <f aca="false">IFERROR(VLOOKUP(O746,Assumptions!$B$14:$C$26,2,FALSE()),"Other")</f>
        <v>Manager</v>
      </c>
      <c r="AQ746" s="0" t="n">
        <f aca="false">IF(T746="",0,1)</f>
        <v>0</v>
      </c>
      <c r="AR746" s="0" t="n">
        <f aca="false">IF(U746="",0,1)</f>
        <v>0</v>
      </c>
      <c r="AS746" s="8" t="n">
        <f aca="false">IF(AK746="","",IF(MAX($AK$2:$AK$921)=MIN($AK$2:$AK$921),50,ROUND((AK746-MIN($AK$2:$AK$921))/(MAX($AK$2:$AK$921)-MIN($AK$2:$AK$921))*100,2)))</f>
        <v>24.99</v>
      </c>
      <c r="AT746" s="8" t="n">
        <f aca="false">IF(MAX($BC$2:$BC$921)=MIN($BC$2:$BC$921),50,ROUND((BC746-MIN($BC$2:$BC$921))/(MAX($BC$2:$BC$921)-MIN($BC$2:$BC$921))*100,2))</f>
        <v>50</v>
      </c>
      <c r="AU746" s="8" t="n">
        <f aca="false">IF(MAX($BE$2:$BE$921)=MIN($BE$2:$BE$921),50,ROUND((BE746-MIN($BE$2:$BE$921))/(MAX($BE$2:$BE$921)-MIN($BE$2:$BE$921))*100,2))</f>
        <v>71.13</v>
      </c>
      <c r="AV746" s="8" t="n">
        <f aca="false">IF(MAX($AD$2:$AD$921)=MIN($AD$2:$AD$921),50,ROUND((AD746-MIN($AD$2:$AD$921))/(MAX($AD$2:$AD$921)-MIN($AD$2:$AD$921))*100,2))</f>
        <v>9.76</v>
      </c>
      <c r="AW746" s="8" t="n">
        <f aca="false">IF(MAX($AN$2:$AN$921)=MIN($AN$2:$AN$921),50,ROUND((AN746-MIN($AN$2:$AN$921))/(MAX($AN$2:$AN$921)-MIN($AN$2:$AN$921))*100,2))</f>
        <v>50</v>
      </c>
      <c r="AX746" s="8" t="n">
        <f aca="false">AQ746*100</f>
        <v>0</v>
      </c>
      <c r="AY746" s="8" t="n">
        <f aca="false">AR746*100</f>
        <v>0</v>
      </c>
      <c r="AZ746" s="8" t="n">
        <f aca="false">IFERROR(ROUND(AS746*Assumptions!$I$6+AW746*Assumptions!$I$7+AT746*Assumptions!$I$8+AU746*Assumptions!$I$9+AV746*Assumptions!$I$10+AX746*Assumptions!$I$11+AY746*Assumptions!$I$12,2),"")</f>
        <v>36.64</v>
      </c>
      <c r="BA746" s="0" t="str">
        <f aca="false">IF(AZ746="","",IF(AZ746&lt;=Assumptions!$I$18,"Below Expectation",IF(AZ746&lt;=Assumptions!$I$19,"Developing",IF(AZ746&lt;=Assumptions!$I$20,"Meets Expectation",IF(AZ746&lt;=Assumptions!$I$21,"Exceeds","Star Performer")))))</f>
        <v>Below Expectation</v>
      </c>
      <c r="BB746" s="0" t="n">
        <f aca="false">IF(AZ746="",0,IF(AZ746&gt;=Assumptions!$I$26,1,0))</f>
        <v>0</v>
      </c>
      <c r="BC746" s="9" t="n">
        <f aca="false">IF(AL746="",2,AL746+2)</f>
        <v>2</v>
      </c>
      <c r="BD746" s="10" t="n">
        <f aca="false">IF(AM746="",ROUND(AVERAGE($AM$2:$AM$921),3),AM746)</f>
        <v>0.5</v>
      </c>
      <c r="BE746" s="9" t="n">
        <f aca="false">1-BD746</f>
        <v>0.5</v>
      </c>
    </row>
    <row r="747" customFormat="false" ht="14.25" hidden="true" customHeight="false" outlineLevel="0" collapsed="false">
      <c r="A747" s="4" t="n">
        <v>575</v>
      </c>
      <c r="B747" s="5" t="n">
        <v>55052271</v>
      </c>
      <c r="C747" s="5" t="s">
        <v>85</v>
      </c>
      <c r="D747" s="5" t="s">
        <v>2515</v>
      </c>
      <c r="E747" s="5" t="s">
        <v>235</v>
      </c>
      <c r="F747" s="5" t="s">
        <v>2251</v>
      </c>
      <c r="G747" s="5" t="s">
        <v>2250</v>
      </c>
      <c r="H747" s="5" t="s">
        <v>2251</v>
      </c>
      <c r="I747" s="5" t="s">
        <v>63</v>
      </c>
      <c r="J747" s="5" t="s">
        <v>76</v>
      </c>
      <c r="K747" s="5" t="s">
        <v>309</v>
      </c>
      <c r="L747" s="6" t="n">
        <v>44732</v>
      </c>
      <c r="M747" s="5" t="s">
        <v>1664</v>
      </c>
      <c r="N747" s="6" t="n">
        <v>37246</v>
      </c>
      <c r="O747" s="5" t="s">
        <v>1264</v>
      </c>
      <c r="P747" s="5" t="s">
        <v>1559</v>
      </c>
      <c r="Q747" s="5" t="s">
        <v>345</v>
      </c>
      <c r="R747" s="5" t="s">
        <v>115</v>
      </c>
      <c r="S747" s="5" t="s">
        <v>345</v>
      </c>
      <c r="T747" s="6"/>
      <c r="U747" s="6"/>
      <c r="V747" s="5"/>
      <c r="W747" s="5" t="s">
        <v>631</v>
      </c>
      <c r="X747" s="5" t="s">
        <v>631</v>
      </c>
      <c r="Y747" s="5" t="s">
        <v>631</v>
      </c>
      <c r="Z747" s="5" t="s">
        <v>631</v>
      </c>
      <c r="AA747" s="5" t="s">
        <v>2516</v>
      </c>
      <c r="AB747" s="0" t="n">
        <f aca="false">IFERROR(VALUE(R747),0)</f>
        <v>0</v>
      </c>
      <c r="AC747" s="0" t="n">
        <f aca="false">IFERROR(VALUE(M747),"")</f>
        <v>24.5</v>
      </c>
      <c r="AD747" s="0" t="n">
        <f aca="false">IFERROR(VALUE(Q747),"")</f>
        <v>3.11</v>
      </c>
      <c r="AE747" s="0" t="n">
        <f aca="false">IFERROR(VALUE(S747),"")</f>
        <v>3.11</v>
      </c>
      <c r="AF747" s="0" t="str">
        <f aca="false">IF(V747="","",VLOOKUP(V747,Assumptions!$B$6:$C$9,2,FALSE()))</f>
        <v/>
      </c>
      <c r="AG747" s="0" t="n">
        <f aca="false">IF(W747="","",VLOOKUP(W747,Assumptions!$B$6:$C$9,2,FALSE()))</f>
        <v>2</v>
      </c>
      <c r="AH747" s="0" t="n">
        <f aca="false">IF(X747="","",VLOOKUP(X747,Assumptions!$B$6:$C$9,2,FALSE()))</f>
        <v>2</v>
      </c>
      <c r="AI747" s="0" t="n">
        <f aca="false">IF(Y747="","",VLOOKUP(Y747,Assumptions!$B$6:$C$9,2,FALSE()))</f>
        <v>2</v>
      </c>
      <c r="AJ747" s="0" t="n">
        <f aca="false">IF(Z747="","",VLOOKUP(Z747,Assumptions!$B$6:$C$9,2,FALSE()))</f>
        <v>2</v>
      </c>
      <c r="AK747" s="7" t="n">
        <f aca="false">IFERROR(ROUND(AVERAGE(AF747:AJ747),3),"")</f>
        <v>2</v>
      </c>
      <c r="AL747" s="7" t="str">
        <f aca="false">IF(OR(AF747="",AJ747=""),"",AJ747-AF747)</f>
        <v/>
      </c>
      <c r="AM747" s="7" t="n">
        <f aca="false">IF(COUNT(AF747:AJ747)&gt;=2,ROUND(_xlfn.STDEV.S(AF747:AJ747),3),"")</f>
        <v>0</v>
      </c>
      <c r="AN747" s="7" t="n">
        <f aca="false">ROUND((IF(AF747="",0,AF747)*Assumptions!$F$15)+(IF(AG747="",0,AG747)*Assumptions!$F$16)+(IF(AH747="",0,AH747)*Assumptions!$F$17)+(IF(AI747="",0,AI747)*Assumptions!$F$18)+(IF(AJ747="",0,AJ747)*Assumptions!$F$19),3)</f>
        <v>1.8</v>
      </c>
      <c r="AO747" s="0" t="str">
        <f aca="false">IF(AC747&lt;=20,"",IF(AC747&lt;=Assumptions!$F$6,"20-30",IF(AC747&lt;=Assumptions!$F$7,"30-40",IF(AC747&lt;=Assumptions!$F$8,"40-50",IF(AC747&lt;=Assumptions!$F$9,"50-60",IF(AC747&lt;=Assumptions!$F$10,"60+",""))))))</f>
        <v>20-30</v>
      </c>
      <c r="AP747" s="0" t="str">
        <f aca="false">IFERROR(VLOOKUP(O747,Assumptions!$B$14:$C$26,2,FALSE()),"Other")</f>
        <v>Manager</v>
      </c>
      <c r="AQ747" s="0" t="n">
        <f aca="false">IF(T747="",0,1)</f>
        <v>0</v>
      </c>
      <c r="AR747" s="0" t="n">
        <f aca="false">IF(U747="",0,1)</f>
        <v>0</v>
      </c>
      <c r="AS747" s="8" t="n">
        <f aca="false">IF(AK747="","",IF(MAX($AK$2:$AK$921)=MIN($AK$2:$AK$921),50,ROUND((AK747-MIN($AK$2:$AK$921))/(MAX($AK$2:$AK$921)-MIN($AK$2:$AK$921))*100,2)))</f>
        <v>14.27</v>
      </c>
      <c r="AT747" s="8" t="n">
        <f aca="false">IF(MAX($BC$2:$BC$921)=MIN($BC$2:$BC$921),50,ROUND((BC747-MIN($BC$2:$BC$921))/(MAX($BC$2:$BC$921)-MIN($BC$2:$BC$921))*100,2))</f>
        <v>50</v>
      </c>
      <c r="AU747" s="8" t="n">
        <f aca="false">IF(MAX($BE$2:$BE$921)=MIN($BE$2:$BE$921),50,ROUND((BE747-MIN($BE$2:$BE$921))/(MAX($BE$2:$BE$921)-MIN($BE$2:$BE$921))*100,2))</f>
        <v>100</v>
      </c>
      <c r="AV747" s="8" t="n">
        <f aca="false">IF(MAX($AD$2:$AD$921)=MIN($AD$2:$AD$921),50,ROUND((AD747-MIN($AD$2:$AD$921))/(MAX($AD$2:$AD$921)-MIN($AD$2:$AD$921))*100,2))</f>
        <v>8.15</v>
      </c>
      <c r="AW747" s="8" t="n">
        <f aca="false">IF(MAX($AN$2:$AN$921)=MIN($AN$2:$AN$921),50,ROUND((AN747-MIN($AN$2:$AN$921))/(MAX($AN$2:$AN$921)-MIN($AN$2:$AN$921))*100,2))</f>
        <v>45</v>
      </c>
      <c r="AX747" s="8" t="n">
        <f aca="false">AQ747*100</f>
        <v>0</v>
      </c>
      <c r="AY747" s="8" t="n">
        <f aca="false">AR747*100</f>
        <v>0</v>
      </c>
      <c r="AZ747" s="8" t="n">
        <f aca="false">IFERROR(ROUND(AS747*Assumptions!$I$6+AW747*Assumptions!$I$7+AT747*Assumptions!$I$8+AU747*Assumptions!$I$9+AV747*Assumptions!$I$10+AX747*Assumptions!$I$11+AY747*Assumptions!$I$12,2),"")</f>
        <v>36.6</v>
      </c>
      <c r="BA747" s="0" t="str">
        <f aca="false">IF(AZ747="","",IF(AZ747&lt;=Assumptions!$I$18,"Below Expectation",IF(AZ747&lt;=Assumptions!$I$19,"Developing",IF(AZ747&lt;=Assumptions!$I$20,"Meets Expectation",IF(AZ747&lt;=Assumptions!$I$21,"Exceeds","Star Performer")))))</f>
        <v>Below Expectation</v>
      </c>
      <c r="BB747" s="0" t="n">
        <f aca="false">IF(AZ747="",0,IF(AZ747&gt;=Assumptions!$I$26,1,0))</f>
        <v>0</v>
      </c>
      <c r="BC747" s="9" t="n">
        <f aca="false">IF(AL747="",2,AL747+2)</f>
        <v>2</v>
      </c>
      <c r="BD747" s="10" t="n">
        <f aca="false">IF(AM747="",ROUND(AVERAGE($AM$2:$AM$921),3),AM747)</f>
        <v>0</v>
      </c>
      <c r="BE747" s="9" t="n">
        <f aca="false">1-BD747</f>
        <v>1</v>
      </c>
    </row>
    <row r="748" customFormat="false" ht="14.25" hidden="true" customHeight="false" outlineLevel="0" collapsed="false">
      <c r="A748" s="4" t="n">
        <v>576</v>
      </c>
      <c r="B748" s="5" t="n">
        <v>55052273</v>
      </c>
      <c r="C748" s="5" t="s">
        <v>85</v>
      </c>
      <c r="D748" s="5" t="s">
        <v>2517</v>
      </c>
      <c r="E748" s="5" t="s">
        <v>1292</v>
      </c>
      <c r="F748" s="5" t="s">
        <v>2251</v>
      </c>
      <c r="G748" s="5" t="s">
        <v>2250</v>
      </c>
      <c r="H748" s="5" t="s">
        <v>2251</v>
      </c>
      <c r="I748" s="5" t="s">
        <v>63</v>
      </c>
      <c r="J748" s="5" t="s">
        <v>76</v>
      </c>
      <c r="K748" s="5" t="s">
        <v>309</v>
      </c>
      <c r="L748" s="6" t="n">
        <v>44732</v>
      </c>
      <c r="M748" s="5" t="s">
        <v>984</v>
      </c>
      <c r="N748" s="6" t="n">
        <v>37208</v>
      </c>
      <c r="O748" s="5" t="s">
        <v>1264</v>
      </c>
      <c r="P748" s="5" t="s">
        <v>1559</v>
      </c>
      <c r="Q748" s="5" t="s">
        <v>345</v>
      </c>
      <c r="R748" s="5" t="s">
        <v>115</v>
      </c>
      <c r="S748" s="5" t="s">
        <v>345</v>
      </c>
      <c r="T748" s="6"/>
      <c r="U748" s="6"/>
      <c r="V748" s="5"/>
      <c r="W748" s="5" t="s">
        <v>631</v>
      </c>
      <c r="X748" s="5" t="s">
        <v>631</v>
      </c>
      <c r="Y748" s="5" t="s">
        <v>631</v>
      </c>
      <c r="Z748" s="5" t="s">
        <v>631</v>
      </c>
      <c r="AA748" s="5" t="s">
        <v>2516</v>
      </c>
      <c r="AB748" s="0" t="n">
        <f aca="false">IFERROR(VALUE(R748),0)</f>
        <v>0</v>
      </c>
      <c r="AC748" s="0" t="n">
        <f aca="false">IFERROR(VALUE(M748),"")</f>
        <v>24.6</v>
      </c>
      <c r="AD748" s="0" t="n">
        <f aca="false">IFERROR(VALUE(Q748),"")</f>
        <v>3.11</v>
      </c>
      <c r="AE748" s="0" t="n">
        <f aca="false">IFERROR(VALUE(S748),"")</f>
        <v>3.11</v>
      </c>
      <c r="AF748" s="0" t="str">
        <f aca="false">IF(V748="","",VLOOKUP(V748,Assumptions!$B$6:$C$9,2,FALSE()))</f>
        <v/>
      </c>
      <c r="AG748" s="0" t="n">
        <f aca="false">IF(W748="","",VLOOKUP(W748,Assumptions!$B$6:$C$9,2,FALSE()))</f>
        <v>2</v>
      </c>
      <c r="AH748" s="0" t="n">
        <f aca="false">IF(X748="","",VLOOKUP(X748,Assumptions!$B$6:$C$9,2,FALSE()))</f>
        <v>2</v>
      </c>
      <c r="AI748" s="0" t="n">
        <f aca="false">IF(Y748="","",VLOOKUP(Y748,Assumptions!$B$6:$C$9,2,FALSE()))</f>
        <v>2</v>
      </c>
      <c r="AJ748" s="0" t="n">
        <f aca="false">IF(Z748="","",VLOOKUP(Z748,Assumptions!$B$6:$C$9,2,FALSE()))</f>
        <v>2</v>
      </c>
      <c r="AK748" s="7" t="n">
        <f aca="false">IFERROR(ROUND(AVERAGE(AF748:AJ748),3),"")</f>
        <v>2</v>
      </c>
      <c r="AL748" s="7" t="str">
        <f aca="false">IF(OR(AF748="",AJ748=""),"",AJ748-AF748)</f>
        <v/>
      </c>
      <c r="AM748" s="7" t="n">
        <f aca="false">IF(COUNT(AF748:AJ748)&gt;=2,ROUND(_xlfn.STDEV.S(AF748:AJ748),3),"")</f>
        <v>0</v>
      </c>
      <c r="AN748" s="7" t="n">
        <f aca="false">ROUND((IF(AF748="",0,AF748)*Assumptions!$F$15)+(IF(AG748="",0,AG748)*Assumptions!$F$16)+(IF(AH748="",0,AH748)*Assumptions!$F$17)+(IF(AI748="",0,AI748)*Assumptions!$F$18)+(IF(AJ748="",0,AJ748)*Assumptions!$F$19),3)</f>
        <v>1.8</v>
      </c>
      <c r="AO748" s="0" t="str">
        <f aca="false">IF(AC748&lt;=20,"",IF(AC748&lt;=Assumptions!$F$6,"20-30",IF(AC748&lt;=Assumptions!$F$7,"30-40",IF(AC748&lt;=Assumptions!$F$8,"40-50",IF(AC748&lt;=Assumptions!$F$9,"50-60",IF(AC748&lt;=Assumptions!$F$10,"60+",""))))))</f>
        <v>20-30</v>
      </c>
      <c r="AP748" s="0" t="str">
        <f aca="false">IFERROR(VLOOKUP(O748,Assumptions!$B$14:$C$26,2,FALSE()),"Other")</f>
        <v>Manager</v>
      </c>
      <c r="AQ748" s="0" t="n">
        <f aca="false">IF(T748="",0,1)</f>
        <v>0</v>
      </c>
      <c r="AR748" s="0" t="n">
        <f aca="false">IF(U748="",0,1)</f>
        <v>0</v>
      </c>
      <c r="AS748" s="8" t="n">
        <f aca="false">IF(AK748="","",IF(MAX($AK$2:$AK$921)=MIN($AK$2:$AK$921),50,ROUND((AK748-MIN($AK$2:$AK$921))/(MAX($AK$2:$AK$921)-MIN($AK$2:$AK$921))*100,2)))</f>
        <v>14.27</v>
      </c>
      <c r="AT748" s="8" t="n">
        <f aca="false">IF(MAX($BC$2:$BC$921)=MIN($BC$2:$BC$921),50,ROUND((BC748-MIN($BC$2:$BC$921))/(MAX($BC$2:$BC$921)-MIN($BC$2:$BC$921))*100,2))</f>
        <v>50</v>
      </c>
      <c r="AU748" s="8" t="n">
        <f aca="false">IF(MAX($BE$2:$BE$921)=MIN($BE$2:$BE$921),50,ROUND((BE748-MIN($BE$2:$BE$921))/(MAX($BE$2:$BE$921)-MIN($BE$2:$BE$921))*100,2))</f>
        <v>100</v>
      </c>
      <c r="AV748" s="8" t="n">
        <f aca="false">IF(MAX($AD$2:$AD$921)=MIN($AD$2:$AD$921),50,ROUND((AD748-MIN($AD$2:$AD$921))/(MAX($AD$2:$AD$921)-MIN($AD$2:$AD$921))*100,2))</f>
        <v>8.15</v>
      </c>
      <c r="AW748" s="8" t="n">
        <f aca="false">IF(MAX($AN$2:$AN$921)=MIN($AN$2:$AN$921),50,ROUND((AN748-MIN($AN$2:$AN$921))/(MAX($AN$2:$AN$921)-MIN($AN$2:$AN$921))*100,2))</f>
        <v>45</v>
      </c>
      <c r="AX748" s="8" t="n">
        <f aca="false">AQ748*100</f>
        <v>0</v>
      </c>
      <c r="AY748" s="8" t="n">
        <f aca="false">AR748*100</f>
        <v>0</v>
      </c>
      <c r="AZ748" s="8" t="n">
        <f aca="false">IFERROR(ROUND(AS748*Assumptions!$I$6+AW748*Assumptions!$I$7+AT748*Assumptions!$I$8+AU748*Assumptions!$I$9+AV748*Assumptions!$I$10+AX748*Assumptions!$I$11+AY748*Assumptions!$I$12,2),"")</f>
        <v>36.6</v>
      </c>
      <c r="BA748" s="0" t="str">
        <f aca="false">IF(AZ748="","",IF(AZ748&lt;=Assumptions!$I$18,"Below Expectation",IF(AZ748&lt;=Assumptions!$I$19,"Developing",IF(AZ748&lt;=Assumptions!$I$20,"Meets Expectation",IF(AZ748&lt;=Assumptions!$I$21,"Exceeds","Star Performer")))))</f>
        <v>Below Expectation</v>
      </c>
      <c r="BB748" s="0" t="n">
        <f aca="false">IF(AZ748="",0,IF(AZ748&gt;=Assumptions!$I$26,1,0))</f>
        <v>0</v>
      </c>
      <c r="BC748" s="9" t="n">
        <f aca="false">IF(AL748="",2,AL748+2)</f>
        <v>2</v>
      </c>
      <c r="BD748" s="10" t="n">
        <f aca="false">IF(AM748="",ROUND(AVERAGE($AM$2:$AM$921),3),AM748)</f>
        <v>0</v>
      </c>
      <c r="BE748" s="9" t="n">
        <f aca="false">1-BD748</f>
        <v>1</v>
      </c>
    </row>
    <row r="749" customFormat="false" ht="14.25" hidden="true" customHeight="false" outlineLevel="0" collapsed="false">
      <c r="A749" s="4" t="n">
        <v>577</v>
      </c>
      <c r="B749" s="5" t="n">
        <v>55052278</v>
      </c>
      <c r="C749" s="5" t="s">
        <v>85</v>
      </c>
      <c r="D749" s="5" t="s">
        <v>2518</v>
      </c>
      <c r="E749" s="5" t="s">
        <v>235</v>
      </c>
      <c r="F749" s="5" t="s">
        <v>2251</v>
      </c>
      <c r="G749" s="5" t="s">
        <v>2250</v>
      </c>
      <c r="H749" s="5" t="s">
        <v>2251</v>
      </c>
      <c r="I749" s="5" t="s">
        <v>63</v>
      </c>
      <c r="J749" s="5" t="s">
        <v>76</v>
      </c>
      <c r="K749" s="5" t="s">
        <v>309</v>
      </c>
      <c r="L749" s="6" t="n">
        <v>44732</v>
      </c>
      <c r="M749" s="5" t="s">
        <v>1908</v>
      </c>
      <c r="N749" s="6" t="n">
        <v>37011</v>
      </c>
      <c r="O749" s="5" t="s">
        <v>1264</v>
      </c>
      <c r="P749" s="5" t="s">
        <v>1559</v>
      </c>
      <c r="Q749" s="5" t="s">
        <v>345</v>
      </c>
      <c r="R749" s="5" t="s">
        <v>115</v>
      </c>
      <c r="S749" s="5" t="s">
        <v>345</v>
      </c>
      <c r="T749" s="6"/>
      <c r="U749" s="6"/>
      <c r="V749" s="5"/>
      <c r="W749" s="5" t="s">
        <v>631</v>
      </c>
      <c r="X749" s="5" t="s">
        <v>631</v>
      </c>
      <c r="Y749" s="5" t="s">
        <v>631</v>
      </c>
      <c r="Z749" s="5" t="s">
        <v>631</v>
      </c>
      <c r="AA749" s="5" t="s">
        <v>2519</v>
      </c>
      <c r="AB749" s="0" t="n">
        <f aca="false">IFERROR(VALUE(R749),0)</f>
        <v>0</v>
      </c>
      <c r="AC749" s="0" t="n">
        <f aca="false">IFERROR(VALUE(M749),"")</f>
        <v>25.1</v>
      </c>
      <c r="AD749" s="0" t="n">
        <f aca="false">IFERROR(VALUE(Q749),"")</f>
        <v>3.11</v>
      </c>
      <c r="AE749" s="0" t="n">
        <f aca="false">IFERROR(VALUE(S749),"")</f>
        <v>3.11</v>
      </c>
      <c r="AF749" s="0" t="str">
        <f aca="false">IF(V749="","",VLOOKUP(V749,Assumptions!$B$6:$C$9,2,FALSE()))</f>
        <v/>
      </c>
      <c r="AG749" s="0" t="n">
        <f aca="false">IF(W749="","",VLOOKUP(W749,Assumptions!$B$6:$C$9,2,FALSE()))</f>
        <v>2</v>
      </c>
      <c r="AH749" s="0" t="n">
        <f aca="false">IF(X749="","",VLOOKUP(X749,Assumptions!$B$6:$C$9,2,FALSE()))</f>
        <v>2</v>
      </c>
      <c r="AI749" s="0" t="n">
        <f aca="false">IF(Y749="","",VLOOKUP(Y749,Assumptions!$B$6:$C$9,2,FALSE()))</f>
        <v>2</v>
      </c>
      <c r="AJ749" s="0" t="n">
        <f aca="false">IF(Z749="","",VLOOKUP(Z749,Assumptions!$B$6:$C$9,2,FALSE()))</f>
        <v>2</v>
      </c>
      <c r="AK749" s="7" t="n">
        <f aca="false">IFERROR(ROUND(AVERAGE(AF749:AJ749),3),"")</f>
        <v>2</v>
      </c>
      <c r="AL749" s="7" t="str">
        <f aca="false">IF(OR(AF749="",AJ749=""),"",AJ749-AF749)</f>
        <v/>
      </c>
      <c r="AM749" s="7" t="n">
        <f aca="false">IF(COUNT(AF749:AJ749)&gt;=2,ROUND(_xlfn.STDEV.S(AF749:AJ749),3),"")</f>
        <v>0</v>
      </c>
      <c r="AN749" s="7" t="n">
        <f aca="false">ROUND((IF(AF749="",0,AF749)*Assumptions!$F$15)+(IF(AG749="",0,AG749)*Assumptions!$F$16)+(IF(AH749="",0,AH749)*Assumptions!$F$17)+(IF(AI749="",0,AI749)*Assumptions!$F$18)+(IF(AJ749="",0,AJ749)*Assumptions!$F$19),3)</f>
        <v>1.8</v>
      </c>
      <c r="AO749" s="0" t="str">
        <f aca="false">IF(AC749&lt;=20,"",IF(AC749&lt;=Assumptions!$F$6,"20-30",IF(AC749&lt;=Assumptions!$F$7,"30-40",IF(AC749&lt;=Assumptions!$F$8,"40-50",IF(AC749&lt;=Assumptions!$F$9,"50-60",IF(AC749&lt;=Assumptions!$F$10,"60+",""))))))</f>
        <v>20-30</v>
      </c>
      <c r="AP749" s="0" t="str">
        <f aca="false">IFERROR(VLOOKUP(O749,Assumptions!$B$14:$C$26,2,FALSE()),"Other")</f>
        <v>Manager</v>
      </c>
      <c r="AQ749" s="0" t="n">
        <f aca="false">IF(T749="",0,1)</f>
        <v>0</v>
      </c>
      <c r="AR749" s="0" t="n">
        <f aca="false">IF(U749="",0,1)</f>
        <v>0</v>
      </c>
      <c r="AS749" s="8" t="n">
        <f aca="false">IF(AK749="","",IF(MAX($AK$2:$AK$921)=MIN($AK$2:$AK$921),50,ROUND((AK749-MIN($AK$2:$AK$921))/(MAX($AK$2:$AK$921)-MIN($AK$2:$AK$921))*100,2)))</f>
        <v>14.27</v>
      </c>
      <c r="AT749" s="8" t="n">
        <f aca="false">IF(MAX($BC$2:$BC$921)=MIN($BC$2:$BC$921),50,ROUND((BC749-MIN($BC$2:$BC$921))/(MAX($BC$2:$BC$921)-MIN($BC$2:$BC$921))*100,2))</f>
        <v>50</v>
      </c>
      <c r="AU749" s="8" t="n">
        <f aca="false">IF(MAX($BE$2:$BE$921)=MIN($BE$2:$BE$921),50,ROUND((BE749-MIN($BE$2:$BE$921))/(MAX($BE$2:$BE$921)-MIN($BE$2:$BE$921))*100,2))</f>
        <v>100</v>
      </c>
      <c r="AV749" s="8" t="n">
        <f aca="false">IF(MAX($AD$2:$AD$921)=MIN($AD$2:$AD$921),50,ROUND((AD749-MIN($AD$2:$AD$921))/(MAX($AD$2:$AD$921)-MIN($AD$2:$AD$921))*100,2))</f>
        <v>8.15</v>
      </c>
      <c r="AW749" s="8" t="n">
        <f aca="false">IF(MAX($AN$2:$AN$921)=MIN($AN$2:$AN$921),50,ROUND((AN749-MIN($AN$2:$AN$921))/(MAX($AN$2:$AN$921)-MIN($AN$2:$AN$921))*100,2))</f>
        <v>45</v>
      </c>
      <c r="AX749" s="8" t="n">
        <f aca="false">AQ749*100</f>
        <v>0</v>
      </c>
      <c r="AY749" s="8" t="n">
        <f aca="false">AR749*100</f>
        <v>0</v>
      </c>
      <c r="AZ749" s="8" t="n">
        <f aca="false">IFERROR(ROUND(AS749*Assumptions!$I$6+AW749*Assumptions!$I$7+AT749*Assumptions!$I$8+AU749*Assumptions!$I$9+AV749*Assumptions!$I$10+AX749*Assumptions!$I$11+AY749*Assumptions!$I$12,2),"")</f>
        <v>36.6</v>
      </c>
      <c r="BA749" s="0" t="str">
        <f aca="false">IF(AZ749="","",IF(AZ749&lt;=Assumptions!$I$18,"Below Expectation",IF(AZ749&lt;=Assumptions!$I$19,"Developing",IF(AZ749&lt;=Assumptions!$I$20,"Meets Expectation",IF(AZ749&lt;=Assumptions!$I$21,"Exceeds","Star Performer")))))</f>
        <v>Below Expectation</v>
      </c>
      <c r="BB749" s="0" t="n">
        <f aca="false">IF(AZ749="",0,IF(AZ749&gt;=Assumptions!$I$26,1,0))</f>
        <v>0</v>
      </c>
      <c r="BC749" s="9" t="n">
        <f aca="false">IF(AL749="",2,AL749+2)</f>
        <v>2</v>
      </c>
      <c r="BD749" s="10" t="n">
        <f aca="false">IF(AM749="",ROUND(AVERAGE($AM$2:$AM$921),3),AM749)</f>
        <v>0</v>
      </c>
      <c r="BE749" s="9" t="n">
        <f aca="false">1-BD749</f>
        <v>1</v>
      </c>
    </row>
    <row r="750" customFormat="false" ht="14.25" hidden="true" customHeight="false" outlineLevel="0" collapsed="false">
      <c r="A750" s="4" t="n">
        <v>578</v>
      </c>
      <c r="B750" s="5" t="n">
        <v>55052281</v>
      </c>
      <c r="C750" s="5" t="s">
        <v>85</v>
      </c>
      <c r="D750" s="5" t="s">
        <v>2520</v>
      </c>
      <c r="E750" s="5" t="s">
        <v>315</v>
      </c>
      <c r="F750" s="5" t="s">
        <v>2251</v>
      </c>
      <c r="G750" s="5" t="s">
        <v>2250</v>
      </c>
      <c r="H750" s="5" t="s">
        <v>2251</v>
      </c>
      <c r="I750" s="5" t="s">
        <v>63</v>
      </c>
      <c r="J750" s="5" t="s">
        <v>76</v>
      </c>
      <c r="K750" s="5" t="s">
        <v>309</v>
      </c>
      <c r="L750" s="6" t="n">
        <v>44732</v>
      </c>
      <c r="M750" s="5" t="s">
        <v>282</v>
      </c>
      <c r="N750" s="6" t="n">
        <v>37397</v>
      </c>
      <c r="O750" s="5" t="s">
        <v>1264</v>
      </c>
      <c r="P750" s="5" t="s">
        <v>1559</v>
      </c>
      <c r="Q750" s="5" t="s">
        <v>345</v>
      </c>
      <c r="R750" s="5" t="s">
        <v>115</v>
      </c>
      <c r="S750" s="5" t="s">
        <v>345</v>
      </c>
      <c r="T750" s="6"/>
      <c r="U750" s="6"/>
      <c r="V750" s="5"/>
      <c r="W750" s="5" t="s">
        <v>631</v>
      </c>
      <c r="X750" s="5" t="s">
        <v>631</v>
      </c>
      <c r="Y750" s="5" t="s">
        <v>631</v>
      </c>
      <c r="Z750" s="5" t="s">
        <v>631</v>
      </c>
      <c r="AA750" s="5" t="s">
        <v>2521</v>
      </c>
      <c r="AB750" s="0" t="n">
        <f aca="false">IFERROR(VALUE(R750),0)</f>
        <v>0</v>
      </c>
      <c r="AC750" s="0" t="n">
        <f aca="false">IFERROR(VALUE(M750),"")</f>
        <v>24</v>
      </c>
      <c r="AD750" s="0" t="n">
        <f aca="false">IFERROR(VALUE(Q750),"")</f>
        <v>3.11</v>
      </c>
      <c r="AE750" s="0" t="n">
        <f aca="false">IFERROR(VALUE(S750),"")</f>
        <v>3.11</v>
      </c>
      <c r="AF750" s="0" t="str">
        <f aca="false">IF(V750="","",VLOOKUP(V750,Assumptions!$B$6:$C$9,2,FALSE()))</f>
        <v/>
      </c>
      <c r="AG750" s="0" t="n">
        <f aca="false">IF(W750="","",VLOOKUP(W750,Assumptions!$B$6:$C$9,2,FALSE()))</f>
        <v>2</v>
      </c>
      <c r="AH750" s="0" t="n">
        <f aca="false">IF(X750="","",VLOOKUP(X750,Assumptions!$B$6:$C$9,2,FALSE()))</f>
        <v>2</v>
      </c>
      <c r="AI750" s="0" t="n">
        <f aca="false">IF(Y750="","",VLOOKUP(Y750,Assumptions!$B$6:$C$9,2,FALSE()))</f>
        <v>2</v>
      </c>
      <c r="AJ750" s="0" t="n">
        <f aca="false">IF(Z750="","",VLOOKUP(Z750,Assumptions!$B$6:$C$9,2,FALSE()))</f>
        <v>2</v>
      </c>
      <c r="AK750" s="7" t="n">
        <f aca="false">IFERROR(ROUND(AVERAGE(AF750:AJ750),3),"")</f>
        <v>2</v>
      </c>
      <c r="AL750" s="7" t="str">
        <f aca="false">IF(OR(AF750="",AJ750=""),"",AJ750-AF750)</f>
        <v/>
      </c>
      <c r="AM750" s="7" t="n">
        <f aca="false">IF(COUNT(AF750:AJ750)&gt;=2,ROUND(_xlfn.STDEV.S(AF750:AJ750),3),"")</f>
        <v>0</v>
      </c>
      <c r="AN750" s="7" t="n">
        <f aca="false">ROUND((IF(AF750="",0,AF750)*Assumptions!$F$15)+(IF(AG750="",0,AG750)*Assumptions!$F$16)+(IF(AH750="",0,AH750)*Assumptions!$F$17)+(IF(AI750="",0,AI750)*Assumptions!$F$18)+(IF(AJ750="",0,AJ750)*Assumptions!$F$19),3)</f>
        <v>1.8</v>
      </c>
      <c r="AO750" s="0" t="str">
        <f aca="false">IF(AC750&lt;=20,"",IF(AC750&lt;=Assumptions!$F$6,"20-30",IF(AC750&lt;=Assumptions!$F$7,"30-40",IF(AC750&lt;=Assumptions!$F$8,"40-50",IF(AC750&lt;=Assumptions!$F$9,"50-60",IF(AC750&lt;=Assumptions!$F$10,"60+",""))))))</f>
        <v>20-30</v>
      </c>
      <c r="AP750" s="0" t="str">
        <f aca="false">IFERROR(VLOOKUP(O750,Assumptions!$B$14:$C$26,2,FALSE()),"Other")</f>
        <v>Manager</v>
      </c>
      <c r="AQ750" s="0" t="n">
        <f aca="false">IF(T750="",0,1)</f>
        <v>0</v>
      </c>
      <c r="AR750" s="0" t="n">
        <f aca="false">IF(U750="",0,1)</f>
        <v>0</v>
      </c>
      <c r="AS750" s="8" t="n">
        <f aca="false">IF(AK750="","",IF(MAX($AK$2:$AK$921)=MIN($AK$2:$AK$921),50,ROUND((AK750-MIN($AK$2:$AK$921))/(MAX($AK$2:$AK$921)-MIN($AK$2:$AK$921))*100,2)))</f>
        <v>14.27</v>
      </c>
      <c r="AT750" s="8" t="n">
        <f aca="false">IF(MAX($BC$2:$BC$921)=MIN($BC$2:$BC$921),50,ROUND((BC750-MIN($BC$2:$BC$921))/(MAX($BC$2:$BC$921)-MIN($BC$2:$BC$921))*100,2))</f>
        <v>50</v>
      </c>
      <c r="AU750" s="8" t="n">
        <f aca="false">IF(MAX($BE$2:$BE$921)=MIN($BE$2:$BE$921),50,ROUND((BE750-MIN($BE$2:$BE$921))/(MAX($BE$2:$BE$921)-MIN($BE$2:$BE$921))*100,2))</f>
        <v>100</v>
      </c>
      <c r="AV750" s="8" t="n">
        <f aca="false">IF(MAX($AD$2:$AD$921)=MIN($AD$2:$AD$921),50,ROUND((AD750-MIN($AD$2:$AD$921))/(MAX($AD$2:$AD$921)-MIN($AD$2:$AD$921))*100,2))</f>
        <v>8.15</v>
      </c>
      <c r="AW750" s="8" t="n">
        <f aca="false">IF(MAX($AN$2:$AN$921)=MIN($AN$2:$AN$921),50,ROUND((AN750-MIN($AN$2:$AN$921))/(MAX($AN$2:$AN$921)-MIN($AN$2:$AN$921))*100,2))</f>
        <v>45</v>
      </c>
      <c r="AX750" s="8" t="n">
        <f aca="false">AQ750*100</f>
        <v>0</v>
      </c>
      <c r="AY750" s="8" t="n">
        <f aca="false">AR750*100</f>
        <v>0</v>
      </c>
      <c r="AZ750" s="8" t="n">
        <f aca="false">IFERROR(ROUND(AS750*Assumptions!$I$6+AW750*Assumptions!$I$7+AT750*Assumptions!$I$8+AU750*Assumptions!$I$9+AV750*Assumptions!$I$10+AX750*Assumptions!$I$11+AY750*Assumptions!$I$12,2),"")</f>
        <v>36.6</v>
      </c>
      <c r="BA750" s="0" t="str">
        <f aca="false">IF(AZ750="","",IF(AZ750&lt;=Assumptions!$I$18,"Below Expectation",IF(AZ750&lt;=Assumptions!$I$19,"Developing",IF(AZ750&lt;=Assumptions!$I$20,"Meets Expectation",IF(AZ750&lt;=Assumptions!$I$21,"Exceeds","Star Performer")))))</f>
        <v>Below Expectation</v>
      </c>
      <c r="BB750" s="0" t="n">
        <f aca="false">IF(AZ750="",0,IF(AZ750&gt;=Assumptions!$I$26,1,0))</f>
        <v>0</v>
      </c>
      <c r="BC750" s="9" t="n">
        <f aca="false">IF(AL750="",2,AL750+2)</f>
        <v>2</v>
      </c>
      <c r="BD750" s="10" t="n">
        <f aca="false">IF(AM750="",ROUND(AVERAGE($AM$2:$AM$921),3),AM750)</f>
        <v>0</v>
      </c>
      <c r="BE750" s="9" t="n">
        <f aca="false">1-BD750</f>
        <v>1</v>
      </c>
    </row>
    <row r="751" customFormat="false" ht="14.25" hidden="false" customHeight="false" outlineLevel="0" collapsed="false">
      <c r="A751" s="4" t="n">
        <v>579</v>
      </c>
      <c r="B751" s="5" t="n">
        <v>55052283</v>
      </c>
      <c r="C751" s="5" t="s">
        <v>106</v>
      </c>
      <c r="D751" s="5" t="s">
        <v>2522</v>
      </c>
      <c r="E751" s="5" t="s">
        <v>108</v>
      </c>
      <c r="F751" s="5" t="s">
        <v>2251</v>
      </c>
      <c r="G751" s="5" t="s">
        <v>2250</v>
      </c>
      <c r="H751" s="5" t="s">
        <v>2251</v>
      </c>
      <c r="I751" s="5" t="s">
        <v>63</v>
      </c>
      <c r="J751" s="5" t="s">
        <v>112</v>
      </c>
      <c r="K751" s="5" t="s">
        <v>309</v>
      </c>
      <c r="L751" s="6" t="n">
        <v>44732</v>
      </c>
      <c r="M751" s="5" t="s">
        <v>1789</v>
      </c>
      <c r="N751" s="6" t="n">
        <v>37120</v>
      </c>
      <c r="O751" s="5" t="s">
        <v>1264</v>
      </c>
      <c r="P751" s="5" t="s">
        <v>1559</v>
      </c>
      <c r="Q751" s="5" t="s">
        <v>345</v>
      </c>
      <c r="R751" s="5" t="s">
        <v>115</v>
      </c>
      <c r="S751" s="5" t="s">
        <v>345</v>
      </c>
      <c r="T751" s="6"/>
      <c r="U751" s="6"/>
      <c r="V751" s="5"/>
      <c r="W751" s="5" t="s">
        <v>631</v>
      </c>
      <c r="X751" s="5" t="s">
        <v>631</v>
      </c>
      <c r="Y751" s="5" t="s">
        <v>631</v>
      </c>
      <c r="Z751" s="5" t="s">
        <v>631</v>
      </c>
      <c r="AA751" s="5" t="s">
        <v>2523</v>
      </c>
      <c r="AB751" s="0" t="n">
        <f aca="false">IFERROR(VALUE(R751),0)</f>
        <v>0</v>
      </c>
      <c r="AC751" s="0" t="n">
        <f aca="false">IFERROR(VALUE(M751),"")</f>
        <v>24.9</v>
      </c>
      <c r="AD751" s="0" t="n">
        <f aca="false">IFERROR(VALUE(Q751),"")</f>
        <v>3.11</v>
      </c>
      <c r="AE751" s="0" t="n">
        <f aca="false">IFERROR(VALUE(S751),"")</f>
        <v>3.11</v>
      </c>
      <c r="AF751" s="0" t="str">
        <f aca="false">IF(V751="","",VLOOKUP(V751,Assumptions!$B$6:$C$9,2,FALSE()))</f>
        <v/>
      </c>
      <c r="AG751" s="0" t="n">
        <f aca="false">IF(W751="","",VLOOKUP(W751,Assumptions!$B$6:$C$9,2,FALSE()))</f>
        <v>2</v>
      </c>
      <c r="AH751" s="0" t="n">
        <f aca="false">IF(X751="","",VLOOKUP(X751,Assumptions!$B$6:$C$9,2,FALSE()))</f>
        <v>2</v>
      </c>
      <c r="AI751" s="0" t="n">
        <f aca="false">IF(Y751="","",VLOOKUP(Y751,Assumptions!$B$6:$C$9,2,FALSE()))</f>
        <v>2</v>
      </c>
      <c r="AJ751" s="0" t="n">
        <f aca="false">IF(Z751="","",VLOOKUP(Z751,Assumptions!$B$6:$C$9,2,FALSE()))</f>
        <v>2</v>
      </c>
      <c r="AK751" s="7" t="n">
        <f aca="false">IFERROR(ROUND(AVERAGE(AF751:AJ751),3),"")</f>
        <v>2</v>
      </c>
      <c r="AL751" s="7" t="str">
        <f aca="false">IF(OR(AF751="",AJ751=""),"",AJ751-AF751)</f>
        <v/>
      </c>
      <c r="AM751" s="7" t="n">
        <f aca="false">IF(COUNT(AF751:AJ751)&gt;=2,ROUND(_xlfn.STDEV.S(AF751:AJ751),3),"")</f>
        <v>0</v>
      </c>
      <c r="AN751" s="7" t="n">
        <f aca="false">ROUND((IF(AF751="",0,AF751)*Assumptions!$F$15)+(IF(AG751="",0,AG751)*Assumptions!$F$16)+(IF(AH751="",0,AH751)*Assumptions!$F$17)+(IF(AI751="",0,AI751)*Assumptions!$F$18)+(IF(AJ751="",0,AJ751)*Assumptions!$F$19),3)</f>
        <v>1.8</v>
      </c>
      <c r="AO751" s="0" t="str">
        <f aca="false">IF(AC751&lt;=20,"",IF(AC751&lt;=Assumptions!$F$6,"20-30",IF(AC751&lt;=Assumptions!$F$7,"30-40",IF(AC751&lt;=Assumptions!$F$8,"40-50",IF(AC751&lt;=Assumptions!$F$9,"50-60",IF(AC751&lt;=Assumptions!$F$10,"60+",""))))))</f>
        <v>20-30</v>
      </c>
      <c r="AP751" s="0" t="str">
        <f aca="false">IFERROR(VLOOKUP(O751,Assumptions!$B$14:$C$26,2,FALSE()),"Other")</f>
        <v>Manager</v>
      </c>
      <c r="AQ751" s="0" t="n">
        <f aca="false">IF(T751="",0,1)</f>
        <v>0</v>
      </c>
      <c r="AR751" s="0" t="n">
        <f aca="false">IF(U751="",0,1)</f>
        <v>0</v>
      </c>
      <c r="AS751" s="8" t="n">
        <f aca="false">IF(AK751="","",IF(MAX($AK$2:$AK$921)=MIN($AK$2:$AK$921),50,ROUND((AK751-MIN($AK$2:$AK$921))/(MAX($AK$2:$AK$921)-MIN($AK$2:$AK$921))*100,2)))</f>
        <v>14.27</v>
      </c>
      <c r="AT751" s="8" t="n">
        <f aca="false">IF(MAX($BC$2:$BC$921)=MIN($BC$2:$BC$921),50,ROUND((BC751-MIN($BC$2:$BC$921))/(MAX($BC$2:$BC$921)-MIN($BC$2:$BC$921))*100,2))</f>
        <v>50</v>
      </c>
      <c r="AU751" s="8" t="n">
        <f aca="false">IF(MAX($BE$2:$BE$921)=MIN($BE$2:$BE$921),50,ROUND((BE751-MIN($BE$2:$BE$921))/(MAX($BE$2:$BE$921)-MIN($BE$2:$BE$921))*100,2))</f>
        <v>100</v>
      </c>
      <c r="AV751" s="8" t="n">
        <f aca="false">IF(MAX($AD$2:$AD$921)=MIN($AD$2:$AD$921),50,ROUND((AD751-MIN($AD$2:$AD$921))/(MAX($AD$2:$AD$921)-MIN($AD$2:$AD$921))*100,2))</f>
        <v>8.15</v>
      </c>
      <c r="AW751" s="8" t="n">
        <f aca="false">IF(MAX($AN$2:$AN$921)=MIN($AN$2:$AN$921),50,ROUND((AN751-MIN($AN$2:$AN$921))/(MAX($AN$2:$AN$921)-MIN($AN$2:$AN$921))*100,2))</f>
        <v>45</v>
      </c>
      <c r="AX751" s="8" t="n">
        <f aca="false">AQ751*100</f>
        <v>0</v>
      </c>
      <c r="AY751" s="8" t="n">
        <f aca="false">AR751*100</f>
        <v>0</v>
      </c>
      <c r="AZ751" s="8" t="n">
        <f aca="false">IFERROR(ROUND(AS751*Assumptions!$I$6+AW751*Assumptions!$I$7+AT751*Assumptions!$I$8+AU751*Assumptions!$I$9+AV751*Assumptions!$I$10+AX751*Assumptions!$I$11+AY751*Assumptions!$I$12,2),"")</f>
        <v>36.6</v>
      </c>
      <c r="BA751" s="0" t="str">
        <f aca="false">IF(AZ751="","",IF(AZ751&lt;=Assumptions!$I$18,"Below Expectation",IF(AZ751&lt;=Assumptions!$I$19,"Developing",IF(AZ751&lt;=Assumptions!$I$20,"Meets Expectation",IF(AZ751&lt;=Assumptions!$I$21,"Exceeds","Star Performer")))))</f>
        <v>Below Expectation</v>
      </c>
      <c r="BB751" s="0" t="n">
        <f aca="false">IF(AZ751="",0,IF(AZ751&gt;=Assumptions!$I$26,1,0))</f>
        <v>0</v>
      </c>
      <c r="BC751" s="9" t="n">
        <f aca="false">IF(AL751="",2,AL751+2)</f>
        <v>2</v>
      </c>
      <c r="BD751" s="10" t="n">
        <f aca="false">IF(AM751="",ROUND(AVERAGE($AM$2:$AM$921),3),AM751)</f>
        <v>0</v>
      </c>
      <c r="BE751" s="9" t="n">
        <f aca="false">1-BD751</f>
        <v>1</v>
      </c>
    </row>
    <row r="752" customFormat="false" ht="14.25" hidden="true" customHeight="false" outlineLevel="0" collapsed="false">
      <c r="A752" s="4" t="n">
        <v>580</v>
      </c>
      <c r="B752" s="5" t="n">
        <v>55052285</v>
      </c>
      <c r="C752" s="5" t="s">
        <v>85</v>
      </c>
      <c r="D752" s="5" t="s">
        <v>2524</v>
      </c>
      <c r="E752" s="5" t="s">
        <v>137</v>
      </c>
      <c r="F752" s="5" t="s">
        <v>2251</v>
      </c>
      <c r="G752" s="5" t="s">
        <v>2250</v>
      </c>
      <c r="H752" s="5" t="s">
        <v>2251</v>
      </c>
      <c r="I752" s="5" t="s">
        <v>63</v>
      </c>
      <c r="J752" s="5" t="s">
        <v>76</v>
      </c>
      <c r="K752" s="5" t="s">
        <v>309</v>
      </c>
      <c r="L752" s="6" t="n">
        <v>44732</v>
      </c>
      <c r="M752" s="5" t="s">
        <v>984</v>
      </c>
      <c r="N752" s="6" t="n">
        <v>37218</v>
      </c>
      <c r="O752" s="5" t="s">
        <v>1264</v>
      </c>
      <c r="P752" s="5" t="s">
        <v>1559</v>
      </c>
      <c r="Q752" s="5" t="s">
        <v>345</v>
      </c>
      <c r="R752" s="5" t="s">
        <v>115</v>
      </c>
      <c r="S752" s="5" t="s">
        <v>345</v>
      </c>
      <c r="T752" s="6"/>
      <c r="U752" s="6"/>
      <c r="V752" s="5"/>
      <c r="W752" s="5" t="s">
        <v>631</v>
      </c>
      <c r="X752" s="5" t="s">
        <v>631</v>
      </c>
      <c r="Y752" s="5" t="s">
        <v>631</v>
      </c>
      <c r="Z752" s="5" t="s">
        <v>631</v>
      </c>
      <c r="AA752" s="5" t="s">
        <v>2525</v>
      </c>
      <c r="AB752" s="0" t="n">
        <f aca="false">IFERROR(VALUE(R752),0)</f>
        <v>0</v>
      </c>
      <c r="AC752" s="0" t="n">
        <f aca="false">IFERROR(VALUE(M752),"")</f>
        <v>24.6</v>
      </c>
      <c r="AD752" s="0" t="n">
        <f aca="false">IFERROR(VALUE(Q752),"")</f>
        <v>3.11</v>
      </c>
      <c r="AE752" s="0" t="n">
        <f aca="false">IFERROR(VALUE(S752),"")</f>
        <v>3.11</v>
      </c>
      <c r="AF752" s="0" t="str">
        <f aca="false">IF(V752="","",VLOOKUP(V752,Assumptions!$B$6:$C$9,2,FALSE()))</f>
        <v/>
      </c>
      <c r="AG752" s="0" t="n">
        <f aca="false">IF(W752="","",VLOOKUP(W752,Assumptions!$B$6:$C$9,2,FALSE()))</f>
        <v>2</v>
      </c>
      <c r="AH752" s="0" t="n">
        <f aca="false">IF(X752="","",VLOOKUP(X752,Assumptions!$B$6:$C$9,2,FALSE()))</f>
        <v>2</v>
      </c>
      <c r="AI752" s="0" t="n">
        <f aca="false">IF(Y752="","",VLOOKUP(Y752,Assumptions!$B$6:$C$9,2,FALSE()))</f>
        <v>2</v>
      </c>
      <c r="AJ752" s="0" t="n">
        <f aca="false">IF(Z752="","",VLOOKUP(Z752,Assumptions!$B$6:$C$9,2,FALSE()))</f>
        <v>2</v>
      </c>
      <c r="AK752" s="7" t="n">
        <f aca="false">IFERROR(ROUND(AVERAGE(AF752:AJ752),3),"")</f>
        <v>2</v>
      </c>
      <c r="AL752" s="7" t="str">
        <f aca="false">IF(OR(AF752="",AJ752=""),"",AJ752-AF752)</f>
        <v/>
      </c>
      <c r="AM752" s="7" t="n">
        <f aca="false">IF(COUNT(AF752:AJ752)&gt;=2,ROUND(_xlfn.STDEV.S(AF752:AJ752),3),"")</f>
        <v>0</v>
      </c>
      <c r="AN752" s="7" t="n">
        <f aca="false">ROUND((IF(AF752="",0,AF752)*Assumptions!$F$15)+(IF(AG752="",0,AG752)*Assumptions!$F$16)+(IF(AH752="",0,AH752)*Assumptions!$F$17)+(IF(AI752="",0,AI752)*Assumptions!$F$18)+(IF(AJ752="",0,AJ752)*Assumptions!$F$19),3)</f>
        <v>1.8</v>
      </c>
      <c r="AO752" s="0" t="str">
        <f aca="false">IF(AC752&lt;=20,"",IF(AC752&lt;=Assumptions!$F$6,"20-30",IF(AC752&lt;=Assumptions!$F$7,"30-40",IF(AC752&lt;=Assumptions!$F$8,"40-50",IF(AC752&lt;=Assumptions!$F$9,"50-60",IF(AC752&lt;=Assumptions!$F$10,"60+",""))))))</f>
        <v>20-30</v>
      </c>
      <c r="AP752" s="0" t="str">
        <f aca="false">IFERROR(VLOOKUP(O752,Assumptions!$B$14:$C$26,2,FALSE()),"Other")</f>
        <v>Manager</v>
      </c>
      <c r="AQ752" s="0" t="n">
        <f aca="false">IF(T752="",0,1)</f>
        <v>0</v>
      </c>
      <c r="AR752" s="0" t="n">
        <f aca="false">IF(U752="",0,1)</f>
        <v>0</v>
      </c>
      <c r="AS752" s="8" t="n">
        <f aca="false">IF(AK752="","",IF(MAX($AK$2:$AK$921)=MIN($AK$2:$AK$921),50,ROUND((AK752-MIN($AK$2:$AK$921))/(MAX($AK$2:$AK$921)-MIN($AK$2:$AK$921))*100,2)))</f>
        <v>14.27</v>
      </c>
      <c r="AT752" s="8" t="n">
        <f aca="false">IF(MAX($BC$2:$BC$921)=MIN($BC$2:$BC$921),50,ROUND((BC752-MIN($BC$2:$BC$921))/(MAX($BC$2:$BC$921)-MIN($BC$2:$BC$921))*100,2))</f>
        <v>50</v>
      </c>
      <c r="AU752" s="8" t="n">
        <f aca="false">IF(MAX($BE$2:$BE$921)=MIN($BE$2:$BE$921),50,ROUND((BE752-MIN($BE$2:$BE$921))/(MAX($BE$2:$BE$921)-MIN($BE$2:$BE$921))*100,2))</f>
        <v>100</v>
      </c>
      <c r="AV752" s="8" t="n">
        <f aca="false">IF(MAX($AD$2:$AD$921)=MIN($AD$2:$AD$921),50,ROUND((AD752-MIN($AD$2:$AD$921))/(MAX($AD$2:$AD$921)-MIN($AD$2:$AD$921))*100,2))</f>
        <v>8.15</v>
      </c>
      <c r="AW752" s="8" t="n">
        <f aca="false">IF(MAX($AN$2:$AN$921)=MIN($AN$2:$AN$921),50,ROUND((AN752-MIN($AN$2:$AN$921))/(MAX($AN$2:$AN$921)-MIN($AN$2:$AN$921))*100,2))</f>
        <v>45</v>
      </c>
      <c r="AX752" s="8" t="n">
        <f aca="false">AQ752*100</f>
        <v>0</v>
      </c>
      <c r="AY752" s="8" t="n">
        <f aca="false">AR752*100</f>
        <v>0</v>
      </c>
      <c r="AZ752" s="8" t="n">
        <f aca="false">IFERROR(ROUND(AS752*Assumptions!$I$6+AW752*Assumptions!$I$7+AT752*Assumptions!$I$8+AU752*Assumptions!$I$9+AV752*Assumptions!$I$10+AX752*Assumptions!$I$11+AY752*Assumptions!$I$12,2),"")</f>
        <v>36.6</v>
      </c>
      <c r="BA752" s="0" t="str">
        <f aca="false">IF(AZ752="","",IF(AZ752&lt;=Assumptions!$I$18,"Below Expectation",IF(AZ752&lt;=Assumptions!$I$19,"Developing",IF(AZ752&lt;=Assumptions!$I$20,"Meets Expectation",IF(AZ752&lt;=Assumptions!$I$21,"Exceeds","Star Performer")))))</f>
        <v>Below Expectation</v>
      </c>
      <c r="BB752" s="0" t="n">
        <f aca="false">IF(AZ752="",0,IF(AZ752&gt;=Assumptions!$I$26,1,0))</f>
        <v>0</v>
      </c>
      <c r="BC752" s="9" t="n">
        <f aca="false">IF(AL752="",2,AL752+2)</f>
        <v>2</v>
      </c>
      <c r="BD752" s="10" t="n">
        <f aca="false">IF(AM752="",ROUND(AVERAGE($AM$2:$AM$921),3),AM752)</f>
        <v>0</v>
      </c>
      <c r="BE752" s="9" t="n">
        <f aca="false">1-BD752</f>
        <v>1</v>
      </c>
    </row>
    <row r="753" customFormat="false" ht="14.25" hidden="true" customHeight="false" outlineLevel="0" collapsed="false">
      <c r="A753" s="4" t="n">
        <v>583</v>
      </c>
      <c r="B753" s="5" t="n">
        <v>55052298</v>
      </c>
      <c r="C753" s="5" t="s">
        <v>85</v>
      </c>
      <c r="D753" s="5" t="s">
        <v>2526</v>
      </c>
      <c r="E753" s="5" t="s">
        <v>315</v>
      </c>
      <c r="F753" s="5" t="s">
        <v>2251</v>
      </c>
      <c r="G753" s="5" t="s">
        <v>2250</v>
      </c>
      <c r="H753" s="5" t="s">
        <v>2251</v>
      </c>
      <c r="I753" s="5" t="s">
        <v>63</v>
      </c>
      <c r="J753" s="5" t="s">
        <v>76</v>
      </c>
      <c r="K753" s="5" t="s">
        <v>309</v>
      </c>
      <c r="L753" s="6" t="n">
        <v>44732</v>
      </c>
      <c r="M753" s="5" t="s">
        <v>353</v>
      </c>
      <c r="N753" s="6" t="n">
        <v>37425</v>
      </c>
      <c r="O753" s="5" t="s">
        <v>1264</v>
      </c>
      <c r="P753" s="5" t="s">
        <v>1559</v>
      </c>
      <c r="Q753" s="5" t="s">
        <v>345</v>
      </c>
      <c r="R753" s="5" t="s">
        <v>115</v>
      </c>
      <c r="S753" s="5" t="s">
        <v>345</v>
      </c>
      <c r="T753" s="6"/>
      <c r="U753" s="6"/>
      <c r="V753" s="5"/>
      <c r="W753" s="5" t="s">
        <v>631</v>
      </c>
      <c r="X753" s="5" t="s">
        <v>631</v>
      </c>
      <c r="Y753" s="5" t="s">
        <v>631</v>
      </c>
      <c r="Z753" s="5" t="s">
        <v>631</v>
      </c>
      <c r="AA753" s="5" t="s">
        <v>2527</v>
      </c>
      <c r="AB753" s="0" t="n">
        <f aca="false">IFERROR(VALUE(R753),0)</f>
        <v>0</v>
      </c>
      <c r="AC753" s="0" t="n">
        <f aca="false">IFERROR(VALUE(M753),"")</f>
        <v>23.11</v>
      </c>
      <c r="AD753" s="0" t="n">
        <f aca="false">IFERROR(VALUE(Q753),"")</f>
        <v>3.11</v>
      </c>
      <c r="AE753" s="0" t="n">
        <f aca="false">IFERROR(VALUE(S753),"")</f>
        <v>3.11</v>
      </c>
      <c r="AF753" s="0" t="str">
        <f aca="false">IF(V753="","",VLOOKUP(V753,Assumptions!$B$6:$C$9,2,FALSE()))</f>
        <v/>
      </c>
      <c r="AG753" s="0" t="n">
        <f aca="false">IF(W753="","",VLOOKUP(W753,Assumptions!$B$6:$C$9,2,FALSE()))</f>
        <v>2</v>
      </c>
      <c r="AH753" s="0" t="n">
        <f aca="false">IF(X753="","",VLOOKUP(X753,Assumptions!$B$6:$C$9,2,FALSE()))</f>
        <v>2</v>
      </c>
      <c r="AI753" s="0" t="n">
        <f aca="false">IF(Y753="","",VLOOKUP(Y753,Assumptions!$B$6:$C$9,2,FALSE()))</f>
        <v>2</v>
      </c>
      <c r="AJ753" s="0" t="n">
        <f aca="false">IF(Z753="","",VLOOKUP(Z753,Assumptions!$B$6:$C$9,2,FALSE()))</f>
        <v>2</v>
      </c>
      <c r="AK753" s="7" t="n">
        <f aca="false">IFERROR(ROUND(AVERAGE(AF753:AJ753),3),"")</f>
        <v>2</v>
      </c>
      <c r="AL753" s="7" t="str">
        <f aca="false">IF(OR(AF753="",AJ753=""),"",AJ753-AF753)</f>
        <v/>
      </c>
      <c r="AM753" s="7" t="n">
        <f aca="false">IF(COUNT(AF753:AJ753)&gt;=2,ROUND(_xlfn.STDEV.S(AF753:AJ753),3),"")</f>
        <v>0</v>
      </c>
      <c r="AN753" s="7" t="n">
        <f aca="false">ROUND((IF(AF753="",0,AF753)*Assumptions!$F$15)+(IF(AG753="",0,AG753)*Assumptions!$F$16)+(IF(AH753="",0,AH753)*Assumptions!$F$17)+(IF(AI753="",0,AI753)*Assumptions!$F$18)+(IF(AJ753="",0,AJ753)*Assumptions!$F$19),3)</f>
        <v>1.8</v>
      </c>
      <c r="AO753" s="0" t="str">
        <f aca="false">IF(AC753&lt;=20,"",IF(AC753&lt;=Assumptions!$F$6,"20-30",IF(AC753&lt;=Assumptions!$F$7,"30-40",IF(AC753&lt;=Assumptions!$F$8,"40-50",IF(AC753&lt;=Assumptions!$F$9,"50-60",IF(AC753&lt;=Assumptions!$F$10,"60+",""))))))</f>
        <v>20-30</v>
      </c>
      <c r="AP753" s="0" t="str">
        <f aca="false">IFERROR(VLOOKUP(O753,Assumptions!$B$14:$C$26,2,FALSE()),"Other")</f>
        <v>Manager</v>
      </c>
      <c r="AQ753" s="0" t="n">
        <f aca="false">IF(T753="",0,1)</f>
        <v>0</v>
      </c>
      <c r="AR753" s="0" t="n">
        <f aca="false">IF(U753="",0,1)</f>
        <v>0</v>
      </c>
      <c r="AS753" s="8" t="n">
        <f aca="false">IF(AK753="","",IF(MAX($AK$2:$AK$921)=MIN($AK$2:$AK$921),50,ROUND((AK753-MIN($AK$2:$AK$921))/(MAX($AK$2:$AK$921)-MIN($AK$2:$AK$921))*100,2)))</f>
        <v>14.27</v>
      </c>
      <c r="AT753" s="8" t="n">
        <f aca="false">IF(MAX($BC$2:$BC$921)=MIN($BC$2:$BC$921),50,ROUND((BC753-MIN($BC$2:$BC$921))/(MAX($BC$2:$BC$921)-MIN($BC$2:$BC$921))*100,2))</f>
        <v>50</v>
      </c>
      <c r="AU753" s="8" t="n">
        <f aca="false">IF(MAX($BE$2:$BE$921)=MIN($BE$2:$BE$921),50,ROUND((BE753-MIN($BE$2:$BE$921))/(MAX($BE$2:$BE$921)-MIN($BE$2:$BE$921))*100,2))</f>
        <v>100</v>
      </c>
      <c r="AV753" s="8" t="n">
        <f aca="false">IF(MAX($AD$2:$AD$921)=MIN($AD$2:$AD$921),50,ROUND((AD753-MIN($AD$2:$AD$921))/(MAX($AD$2:$AD$921)-MIN($AD$2:$AD$921))*100,2))</f>
        <v>8.15</v>
      </c>
      <c r="AW753" s="8" t="n">
        <f aca="false">IF(MAX($AN$2:$AN$921)=MIN($AN$2:$AN$921),50,ROUND((AN753-MIN($AN$2:$AN$921))/(MAX($AN$2:$AN$921)-MIN($AN$2:$AN$921))*100,2))</f>
        <v>45</v>
      </c>
      <c r="AX753" s="8" t="n">
        <f aca="false">AQ753*100</f>
        <v>0</v>
      </c>
      <c r="AY753" s="8" t="n">
        <f aca="false">AR753*100</f>
        <v>0</v>
      </c>
      <c r="AZ753" s="8" t="n">
        <f aca="false">IFERROR(ROUND(AS753*Assumptions!$I$6+AW753*Assumptions!$I$7+AT753*Assumptions!$I$8+AU753*Assumptions!$I$9+AV753*Assumptions!$I$10+AX753*Assumptions!$I$11+AY753*Assumptions!$I$12,2),"")</f>
        <v>36.6</v>
      </c>
      <c r="BA753" s="0" t="str">
        <f aca="false">IF(AZ753="","",IF(AZ753&lt;=Assumptions!$I$18,"Below Expectation",IF(AZ753&lt;=Assumptions!$I$19,"Developing",IF(AZ753&lt;=Assumptions!$I$20,"Meets Expectation",IF(AZ753&lt;=Assumptions!$I$21,"Exceeds","Star Performer")))))</f>
        <v>Below Expectation</v>
      </c>
      <c r="BB753" s="0" t="n">
        <f aca="false">IF(AZ753="",0,IF(AZ753&gt;=Assumptions!$I$26,1,0))</f>
        <v>0</v>
      </c>
      <c r="BC753" s="9" t="n">
        <f aca="false">IF(AL753="",2,AL753+2)</f>
        <v>2</v>
      </c>
      <c r="BD753" s="10" t="n">
        <f aca="false">IF(AM753="",ROUND(AVERAGE($AM$2:$AM$921),3),AM753)</f>
        <v>0</v>
      </c>
      <c r="BE753" s="9" t="n">
        <f aca="false">1-BD753</f>
        <v>1</v>
      </c>
    </row>
    <row r="754" customFormat="false" ht="14.25" hidden="true" customHeight="false" outlineLevel="0" collapsed="false">
      <c r="A754" s="4" t="n">
        <v>585</v>
      </c>
      <c r="B754" s="5" t="n">
        <v>55052307</v>
      </c>
      <c r="C754" s="5" t="s">
        <v>85</v>
      </c>
      <c r="D754" s="5" t="s">
        <v>2528</v>
      </c>
      <c r="E754" s="5" t="s">
        <v>1292</v>
      </c>
      <c r="F754" s="5" t="s">
        <v>2251</v>
      </c>
      <c r="G754" s="5" t="s">
        <v>2250</v>
      </c>
      <c r="H754" s="5" t="s">
        <v>2251</v>
      </c>
      <c r="I754" s="5" t="s">
        <v>63</v>
      </c>
      <c r="J754" s="5" t="s">
        <v>76</v>
      </c>
      <c r="K754" s="5" t="s">
        <v>309</v>
      </c>
      <c r="L754" s="6" t="n">
        <v>44732</v>
      </c>
      <c r="M754" s="5" t="s">
        <v>530</v>
      </c>
      <c r="N754" s="6" t="n">
        <v>37158</v>
      </c>
      <c r="O754" s="5" t="s">
        <v>1264</v>
      </c>
      <c r="P754" s="5" t="s">
        <v>1559</v>
      </c>
      <c r="Q754" s="5" t="s">
        <v>345</v>
      </c>
      <c r="R754" s="5" t="s">
        <v>115</v>
      </c>
      <c r="S754" s="5" t="s">
        <v>345</v>
      </c>
      <c r="T754" s="6"/>
      <c r="U754" s="6"/>
      <c r="V754" s="5"/>
      <c r="W754" s="5" t="s">
        <v>631</v>
      </c>
      <c r="X754" s="5" t="s">
        <v>631</v>
      </c>
      <c r="Y754" s="5" t="s">
        <v>631</v>
      </c>
      <c r="Z754" s="5" t="s">
        <v>631</v>
      </c>
      <c r="AA754" s="5" t="s">
        <v>2529</v>
      </c>
      <c r="AB754" s="0" t="n">
        <f aca="false">IFERROR(VALUE(R754),0)</f>
        <v>0</v>
      </c>
      <c r="AC754" s="0" t="n">
        <f aca="false">IFERROR(VALUE(M754),"")</f>
        <v>24.8</v>
      </c>
      <c r="AD754" s="0" t="n">
        <f aca="false">IFERROR(VALUE(Q754),"")</f>
        <v>3.11</v>
      </c>
      <c r="AE754" s="0" t="n">
        <f aca="false">IFERROR(VALUE(S754),"")</f>
        <v>3.11</v>
      </c>
      <c r="AF754" s="0" t="str">
        <f aca="false">IF(V754="","",VLOOKUP(V754,Assumptions!$B$6:$C$9,2,FALSE()))</f>
        <v/>
      </c>
      <c r="AG754" s="0" t="n">
        <f aca="false">IF(W754="","",VLOOKUP(W754,Assumptions!$B$6:$C$9,2,FALSE()))</f>
        <v>2</v>
      </c>
      <c r="AH754" s="0" t="n">
        <f aca="false">IF(X754="","",VLOOKUP(X754,Assumptions!$B$6:$C$9,2,FALSE()))</f>
        <v>2</v>
      </c>
      <c r="AI754" s="0" t="n">
        <f aca="false">IF(Y754="","",VLOOKUP(Y754,Assumptions!$B$6:$C$9,2,FALSE()))</f>
        <v>2</v>
      </c>
      <c r="AJ754" s="0" t="n">
        <f aca="false">IF(Z754="","",VLOOKUP(Z754,Assumptions!$B$6:$C$9,2,FALSE()))</f>
        <v>2</v>
      </c>
      <c r="AK754" s="7" t="n">
        <f aca="false">IFERROR(ROUND(AVERAGE(AF754:AJ754),3),"")</f>
        <v>2</v>
      </c>
      <c r="AL754" s="7" t="str">
        <f aca="false">IF(OR(AF754="",AJ754=""),"",AJ754-AF754)</f>
        <v/>
      </c>
      <c r="AM754" s="7" t="n">
        <f aca="false">IF(COUNT(AF754:AJ754)&gt;=2,ROUND(_xlfn.STDEV.S(AF754:AJ754),3),"")</f>
        <v>0</v>
      </c>
      <c r="AN754" s="7" t="n">
        <f aca="false">ROUND((IF(AF754="",0,AF754)*Assumptions!$F$15)+(IF(AG754="",0,AG754)*Assumptions!$F$16)+(IF(AH754="",0,AH754)*Assumptions!$F$17)+(IF(AI754="",0,AI754)*Assumptions!$F$18)+(IF(AJ754="",0,AJ754)*Assumptions!$F$19),3)</f>
        <v>1.8</v>
      </c>
      <c r="AO754" s="0" t="str">
        <f aca="false">IF(AC754&lt;=20,"",IF(AC754&lt;=Assumptions!$F$6,"20-30",IF(AC754&lt;=Assumptions!$F$7,"30-40",IF(AC754&lt;=Assumptions!$F$8,"40-50",IF(AC754&lt;=Assumptions!$F$9,"50-60",IF(AC754&lt;=Assumptions!$F$10,"60+",""))))))</f>
        <v>20-30</v>
      </c>
      <c r="AP754" s="0" t="str">
        <f aca="false">IFERROR(VLOOKUP(O754,Assumptions!$B$14:$C$26,2,FALSE()),"Other")</f>
        <v>Manager</v>
      </c>
      <c r="AQ754" s="0" t="n">
        <f aca="false">IF(T754="",0,1)</f>
        <v>0</v>
      </c>
      <c r="AR754" s="0" t="n">
        <f aca="false">IF(U754="",0,1)</f>
        <v>0</v>
      </c>
      <c r="AS754" s="8" t="n">
        <f aca="false">IF(AK754="","",IF(MAX($AK$2:$AK$921)=MIN($AK$2:$AK$921),50,ROUND((AK754-MIN($AK$2:$AK$921))/(MAX($AK$2:$AK$921)-MIN($AK$2:$AK$921))*100,2)))</f>
        <v>14.27</v>
      </c>
      <c r="AT754" s="8" t="n">
        <f aca="false">IF(MAX($BC$2:$BC$921)=MIN($BC$2:$BC$921),50,ROUND((BC754-MIN($BC$2:$BC$921))/(MAX($BC$2:$BC$921)-MIN($BC$2:$BC$921))*100,2))</f>
        <v>50</v>
      </c>
      <c r="AU754" s="8" t="n">
        <f aca="false">IF(MAX($BE$2:$BE$921)=MIN($BE$2:$BE$921),50,ROUND((BE754-MIN($BE$2:$BE$921))/(MAX($BE$2:$BE$921)-MIN($BE$2:$BE$921))*100,2))</f>
        <v>100</v>
      </c>
      <c r="AV754" s="8" t="n">
        <f aca="false">IF(MAX($AD$2:$AD$921)=MIN($AD$2:$AD$921),50,ROUND((AD754-MIN($AD$2:$AD$921))/(MAX($AD$2:$AD$921)-MIN($AD$2:$AD$921))*100,2))</f>
        <v>8.15</v>
      </c>
      <c r="AW754" s="8" t="n">
        <f aca="false">IF(MAX($AN$2:$AN$921)=MIN($AN$2:$AN$921),50,ROUND((AN754-MIN($AN$2:$AN$921))/(MAX($AN$2:$AN$921)-MIN($AN$2:$AN$921))*100,2))</f>
        <v>45</v>
      </c>
      <c r="AX754" s="8" t="n">
        <f aca="false">AQ754*100</f>
        <v>0</v>
      </c>
      <c r="AY754" s="8" t="n">
        <f aca="false">AR754*100</f>
        <v>0</v>
      </c>
      <c r="AZ754" s="8" t="n">
        <f aca="false">IFERROR(ROUND(AS754*Assumptions!$I$6+AW754*Assumptions!$I$7+AT754*Assumptions!$I$8+AU754*Assumptions!$I$9+AV754*Assumptions!$I$10+AX754*Assumptions!$I$11+AY754*Assumptions!$I$12,2),"")</f>
        <v>36.6</v>
      </c>
      <c r="BA754" s="0" t="str">
        <f aca="false">IF(AZ754="","",IF(AZ754&lt;=Assumptions!$I$18,"Below Expectation",IF(AZ754&lt;=Assumptions!$I$19,"Developing",IF(AZ754&lt;=Assumptions!$I$20,"Meets Expectation",IF(AZ754&lt;=Assumptions!$I$21,"Exceeds","Star Performer")))))</f>
        <v>Below Expectation</v>
      </c>
      <c r="BB754" s="0" t="n">
        <f aca="false">IF(AZ754="",0,IF(AZ754&gt;=Assumptions!$I$26,1,0))</f>
        <v>0</v>
      </c>
      <c r="BC754" s="9" t="n">
        <f aca="false">IF(AL754="",2,AL754+2)</f>
        <v>2</v>
      </c>
      <c r="BD754" s="10" t="n">
        <f aca="false">IF(AM754="",ROUND(AVERAGE($AM$2:$AM$921),3),AM754)</f>
        <v>0</v>
      </c>
      <c r="BE754" s="9" t="n">
        <f aca="false">1-BD754</f>
        <v>1</v>
      </c>
    </row>
    <row r="755" customFormat="false" ht="14.25" hidden="true" customHeight="false" outlineLevel="0" collapsed="false">
      <c r="A755" s="4" t="n">
        <v>589</v>
      </c>
      <c r="B755" s="5" t="n">
        <v>55052316</v>
      </c>
      <c r="C755" s="5" t="s">
        <v>85</v>
      </c>
      <c r="D755" s="5" t="s">
        <v>2530</v>
      </c>
      <c r="E755" s="5" t="s">
        <v>1292</v>
      </c>
      <c r="F755" s="5" t="s">
        <v>2251</v>
      </c>
      <c r="G755" s="5" t="s">
        <v>2250</v>
      </c>
      <c r="H755" s="5" t="s">
        <v>2251</v>
      </c>
      <c r="I755" s="5" t="s">
        <v>63</v>
      </c>
      <c r="J755" s="5" t="s">
        <v>76</v>
      </c>
      <c r="K755" s="5" t="s">
        <v>309</v>
      </c>
      <c r="L755" s="6" t="n">
        <v>44732</v>
      </c>
      <c r="M755" s="5" t="s">
        <v>910</v>
      </c>
      <c r="N755" s="6" t="n">
        <v>37065</v>
      </c>
      <c r="O755" s="5" t="s">
        <v>1264</v>
      </c>
      <c r="P755" s="5" t="s">
        <v>1559</v>
      </c>
      <c r="Q755" s="5" t="s">
        <v>345</v>
      </c>
      <c r="R755" s="5" t="s">
        <v>115</v>
      </c>
      <c r="S755" s="5" t="s">
        <v>345</v>
      </c>
      <c r="T755" s="6"/>
      <c r="U755" s="6"/>
      <c r="V755" s="5"/>
      <c r="W755" s="5" t="s">
        <v>631</v>
      </c>
      <c r="X755" s="5" t="s">
        <v>631</v>
      </c>
      <c r="Y755" s="5" t="s">
        <v>631</v>
      </c>
      <c r="Z755" s="5" t="s">
        <v>631</v>
      </c>
      <c r="AA755" s="5" t="s">
        <v>2529</v>
      </c>
      <c r="AB755" s="0" t="n">
        <f aca="false">IFERROR(VALUE(R755),0)</f>
        <v>0</v>
      </c>
      <c r="AC755" s="0" t="n">
        <f aca="false">IFERROR(VALUE(M755),"")</f>
        <v>24.11</v>
      </c>
      <c r="AD755" s="0" t="n">
        <f aca="false">IFERROR(VALUE(Q755),"")</f>
        <v>3.11</v>
      </c>
      <c r="AE755" s="0" t="n">
        <f aca="false">IFERROR(VALUE(S755),"")</f>
        <v>3.11</v>
      </c>
      <c r="AF755" s="0" t="str">
        <f aca="false">IF(V755="","",VLOOKUP(V755,Assumptions!$B$6:$C$9,2,FALSE()))</f>
        <v/>
      </c>
      <c r="AG755" s="0" t="n">
        <f aca="false">IF(W755="","",VLOOKUP(W755,Assumptions!$B$6:$C$9,2,FALSE()))</f>
        <v>2</v>
      </c>
      <c r="AH755" s="0" t="n">
        <f aca="false">IF(X755="","",VLOOKUP(X755,Assumptions!$B$6:$C$9,2,FALSE()))</f>
        <v>2</v>
      </c>
      <c r="AI755" s="0" t="n">
        <f aca="false">IF(Y755="","",VLOOKUP(Y755,Assumptions!$B$6:$C$9,2,FALSE()))</f>
        <v>2</v>
      </c>
      <c r="AJ755" s="0" t="n">
        <f aca="false">IF(Z755="","",VLOOKUP(Z755,Assumptions!$B$6:$C$9,2,FALSE()))</f>
        <v>2</v>
      </c>
      <c r="AK755" s="7" t="n">
        <f aca="false">IFERROR(ROUND(AVERAGE(AF755:AJ755),3),"")</f>
        <v>2</v>
      </c>
      <c r="AL755" s="7" t="str">
        <f aca="false">IF(OR(AF755="",AJ755=""),"",AJ755-AF755)</f>
        <v/>
      </c>
      <c r="AM755" s="7" t="n">
        <f aca="false">IF(COUNT(AF755:AJ755)&gt;=2,ROUND(_xlfn.STDEV.S(AF755:AJ755),3),"")</f>
        <v>0</v>
      </c>
      <c r="AN755" s="7" t="n">
        <f aca="false">ROUND((IF(AF755="",0,AF755)*Assumptions!$F$15)+(IF(AG755="",0,AG755)*Assumptions!$F$16)+(IF(AH755="",0,AH755)*Assumptions!$F$17)+(IF(AI755="",0,AI755)*Assumptions!$F$18)+(IF(AJ755="",0,AJ755)*Assumptions!$F$19),3)</f>
        <v>1.8</v>
      </c>
      <c r="AO755" s="0" t="str">
        <f aca="false">IF(AC755&lt;=20,"",IF(AC755&lt;=Assumptions!$F$6,"20-30",IF(AC755&lt;=Assumptions!$F$7,"30-40",IF(AC755&lt;=Assumptions!$F$8,"40-50",IF(AC755&lt;=Assumptions!$F$9,"50-60",IF(AC755&lt;=Assumptions!$F$10,"60+",""))))))</f>
        <v>20-30</v>
      </c>
      <c r="AP755" s="0" t="str">
        <f aca="false">IFERROR(VLOOKUP(O755,Assumptions!$B$14:$C$26,2,FALSE()),"Other")</f>
        <v>Manager</v>
      </c>
      <c r="AQ755" s="0" t="n">
        <f aca="false">IF(T755="",0,1)</f>
        <v>0</v>
      </c>
      <c r="AR755" s="0" t="n">
        <f aca="false">IF(U755="",0,1)</f>
        <v>0</v>
      </c>
      <c r="AS755" s="8" t="n">
        <f aca="false">IF(AK755="","",IF(MAX($AK$2:$AK$921)=MIN($AK$2:$AK$921),50,ROUND((AK755-MIN($AK$2:$AK$921))/(MAX($AK$2:$AK$921)-MIN($AK$2:$AK$921))*100,2)))</f>
        <v>14.27</v>
      </c>
      <c r="AT755" s="8" t="n">
        <f aca="false">IF(MAX($BC$2:$BC$921)=MIN($BC$2:$BC$921),50,ROUND((BC755-MIN($BC$2:$BC$921))/(MAX($BC$2:$BC$921)-MIN($BC$2:$BC$921))*100,2))</f>
        <v>50</v>
      </c>
      <c r="AU755" s="8" t="n">
        <f aca="false">IF(MAX($BE$2:$BE$921)=MIN($BE$2:$BE$921),50,ROUND((BE755-MIN($BE$2:$BE$921))/(MAX($BE$2:$BE$921)-MIN($BE$2:$BE$921))*100,2))</f>
        <v>100</v>
      </c>
      <c r="AV755" s="8" t="n">
        <f aca="false">IF(MAX($AD$2:$AD$921)=MIN($AD$2:$AD$921),50,ROUND((AD755-MIN($AD$2:$AD$921))/(MAX($AD$2:$AD$921)-MIN($AD$2:$AD$921))*100,2))</f>
        <v>8.15</v>
      </c>
      <c r="AW755" s="8" t="n">
        <f aca="false">IF(MAX($AN$2:$AN$921)=MIN($AN$2:$AN$921),50,ROUND((AN755-MIN($AN$2:$AN$921))/(MAX($AN$2:$AN$921)-MIN($AN$2:$AN$921))*100,2))</f>
        <v>45</v>
      </c>
      <c r="AX755" s="8" t="n">
        <f aca="false">AQ755*100</f>
        <v>0</v>
      </c>
      <c r="AY755" s="8" t="n">
        <f aca="false">AR755*100</f>
        <v>0</v>
      </c>
      <c r="AZ755" s="8" t="n">
        <f aca="false">IFERROR(ROUND(AS755*Assumptions!$I$6+AW755*Assumptions!$I$7+AT755*Assumptions!$I$8+AU755*Assumptions!$I$9+AV755*Assumptions!$I$10+AX755*Assumptions!$I$11+AY755*Assumptions!$I$12,2),"")</f>
        <v>36.6</v>
      </c>
      <c r="BA755" s="0" t="str">
        <f aca="false">IF(AZ755="","",IF(AZ755&lt;=Assumptions!$I$18,"Below Expectation",IF(AZ755&lt;=Assumptions!$I$19,"Developing",IF(AZ755&lt;=Assumptions!$I$20,"Meets Expectation",IF(AZ755&lt;=Assumptions!$I$21,"Exceeds","Star Performer")))))</f>
        <v>Below Expectation</v>
      </c>
      <c r="BB755" s="0" t="n">
        <f aca="false">IF(AZ755="",0,IF(AZ755&gt;=Assumptions!$I$26,1,0))</f>
        <v>0</v>
      </c>
      <c r="BC755" s="9" t="n">
        <f aca="false">IF(AL755="",2,AL755+2)</f>
        <v>2</v>
      </c>
      <c r="BD755" s="10" t="n">
        <f aca="false">IF(AM755="",ROUND(AVERAGE($AM$2:$AM$921),3),AM755)</f>
        <v>0</v>
      </c>
      <c r="BE755" s="9" t="n">
        <f aca="false">1-BD755</f>
        <v>1</v>
      </c>
    </row>
    <row r="756" customFormat="false" ht="14.25" hidden="true" customHeight="false" outlineLevel="0" collapsed="false">
      <c r="A756" s="4" t="n">
        <v>590</v>
      </c>
      <c r="B756" s="5" t="n">
        <v>55052320</v>
      </c>
      <c r="C756" s="5" t="s">
        <v>85</v>
      </c>
      <c r="D756" s="5" t="s">
        <v>2531</v>
      </c>
      <c r="E756" s="5" t="s">
        <v>315</v>
      </c>
      <c r="F756" s="5" t="s">
        <v>2251</v>
      </c>
      <c r="G756" s="5" t="s">
        <v>2250</v>
      </c>
      <c r="H756" s="5" t="s">
        <v>2251</v>
      </c>
      <c r="I756" s="5" t="s">
        <v>63</v>
      </c>
      <c r="J756" s="5" t="s">
        <v>76</v>
      </c>
      <c r="K756" s="5" t="s">
        <v>309</v>
      </c>
      <c r="L756" s="6" t="n">
        <v>44732</v>
      </c>
      <c r="M756" s="5" t="s">
        <v>226</v>
      </c>
      <c r="N756" s="6" t="n">
        <v>36793</v>
      </c>
      <c r="O756" s="5" t="s">
        <v>1264</v>
      </c>
      <c r="P756" s="5" t="s">
        <v>1559</v>
      </c>
      <c r="Q756" s="5" t="s">
        <v>345</v>
      </c>
      <c r="R756" s="5" t="s">
        <v>115</v>
      </c>
      <c r="S756" s="5" t="s">
        <v>345</v>
      </c>
      <c r="T756" s="6"/>
      <c r="U756" s="6"/>
      <c r="V756" s="5"/>
      <c r="W756" s="5" t="s">
        <v>631</v>
      </c>
      <c r="X756" s="5" t="s">
        <v>631</v>
      </c>
      <c r="Y756" s="5" t="s">
        <v>631</v>
      </c>
      <c r="Z756" s="5" t="s">
        <v>631</v>
      </c>
      <c r="AA756" s="5" t="s">
        <v>2532</v>
      </c>
      <c r="AB756" s="0" t="n">
        <f aca="false">IFERROR(VALUE(R756),0)</f>
        <v>0</v>
      </c>
      <c r="AC756" s="0" t="n">
        <f aca="false">IFERROR(VALUE(M756),"")</f>
        <v>25.8</v>
      </c>
      <c r="AD756" s="0" t="n">
        <f aca="false">IFERROR(VALUE(Q756),"")</f>
        <v>3.11</v>
      </c>
      <c r="AE756" s="0" t="n">
        <f aca="false">IFERROR(VALUE(S756),"")</f>
        <v>3.11</v>
      </c>
      <c r="AF756" s="0" t="str">
        <f aca="false">IF(V756="","",VLOOKUP(V756,Assumptions!$B$6:$C$9,2,FALSE()))</f>
        <v/>
      </c>
      <c r="AG756" s="0" t="n">
        <f aca="false">IF(W756="","",VLOOKUP(W756,Assumptions!$B$6:$C$9,2,FALSE()))</f>
        <v>2</v>
      </c>
      <c r="AH756" s="0" t="n">
        <f aca="false">IF(X756="","",VLOOKUP(X756,Assumptions!$B$6:$C$9,2,FALSE()))</f>
        <v>2</v>
      </c>
      <c r="AI756" s="0" t="n">
        <f aca="false">IF(Y756="","",VLOOKUP(Y756,Assumptions!$B$6:$C$9,2,FALSE()))</f>
        <v>2</v>
      </c>
      <c r="AJ756" s="0" t="n">
        <f aca="false">IF(Z756="","",VLOOKUP(Z756,Assumptions!$B$6:$C$9,2,FALSE()))</f>
        <v>2</v>
      </c>
      <c r="AK756" s="7" t="n">
        <f aca="false">IFERROR(ROUND(AVERAGE(AF756:AJ756),3),"")</f>
        <v>2</v>
      </c>
      <c r="AL756" s="7" t="str">
        <f aca="false">IF(OR(AF756="",AJ756=""),"",AJ756-AF756)</f>
        <v/>
      </c>
      <c r="AM756" s="7" t="n">
        <f aca="false">IF(COUNT(AF756:AJ756)&gt;=2,ROUND(_xlfn.STDEV.S(AF756:AJ756),3),"")</f>
        <v>0</v>
      </c>
      <c r="AN756" s="7" t="n">
        <f aca="false">ROUND((IF(AF756="",0,AF756)*Assumptions!$F$15)+(IF(AG756="",0,AG756)*Assumptions!$F$16)+(IF(AH756="",0,AH756)*Assumptions!$F$17)+(IF(AI756="",0,AI756)*Assumptions!$F$18)+(IF(AJ756="",0,AJ756)*Assumptions!$F$19),3)</f>
        <v>1.8</v>
      </c>
      <c r="AO756" s="0" t="str">
        <f aca="false">IF(AC756&lt;=20,"",IF(AC756&lt;=Assumptions!$F$6,"20-30",IF(AC756&lt;=Assumptions!$F$7,"30-40",IF(AC756&lt;=Assumptions!$F$8,"40-50",IF(AC756&lt;=Assumptions!$F$9,"50-60",IF(AC756&lt;=Assumptions!$F$10,"60+",""))))))</f>
        <v>20-30</v>
      </c>
      <c r="AP756" s="0" t="str">
        <f aca="false">IFERROR(VLOOKUP(O756,Assumptions!$B$14:$C$26,2,FALSE()),"Other")</f>
        <v>Manager</v>
      </c>
      <c r="AQ756" s="0" t="n">
        <f aca="false">IF(T756="",0,1)</f>
        <v>0</v>
      </c>
      <c r="AR756" s="0" t="n">
        <f aca="false">IF(U756="",0,1)</f>
        <v>0</v>
      </c>
      <c r="AS756" s="8" t="n">
        <f aca="false">IF(AK756="","",IF(MAX($AK$2:$AK$921)=MIN($AK$2:$AK$921),50,ROUND((AK756-MIN($AK$2:$AK$921))/(MAX($AK$2:$AK$921)-MIN($AK$2:$AK$921))*100,2)))</f>
        <v>14.27</v>
      </c>
      <c r="AT756" s="8" t="n">
        <f aca="false">IF(MAX($BC$2:$BC$921)=MIN($BC$2:$BC$921),50,ROUND((BC756-MIN($BC$2:$BC$921))/(MAX($BC$2:$BC$921)-MIN($BC$2:$BC$921))*100,2))</f>
        <v>50</v>
      </c>
      <c r="AU756" s="8" t="n">
        <f aca="false">IF(MAX($BE$2:$BE$921)=MIN($BE$2:$BE$921),50,ROUND((BE756-MIN($BE$2:$BE$921))/(MAX($BE$2:$BE$921)-MIN($BE$2:$BE$921))*100,2))</f>
        <v>100</v>
      </c>
      <c r="AV756" s="8" t="n">
        <f aca="false">IF(MAX($AD$2:$AD$921)=MIN($AD$2:$AD$921),50,ROUND((AD756-MIN($AD$2:$AD$921))/(MAX($AD$2:$AD$921)-MIN($AD$2:$AD$921))*100,2))</f>
        <v>8.15</v>
      </c>
      <c r="AW756" s="8" t="n">
        <f aca="false">IF(MAX($AN$2:$AN$921)=MIN($AN$2:$AN$921),50,ROUND((AN756-MIN($AN$2:$AN$921))/(MAX($AN$2:$AN$921)-MIN($AN$2:$AN$921))*100,2))</f>
        <v>45</v>
      </c>
      <c r="AX756" s="8" t="n">
        <f aca="false">AQ756*100</f>
        <v>0</v>
      </c>
      <c r="AY756" s="8" t="n">
        <f aca="false">AR756*100</f>
        <v>0</v>
      </c>
      <c r="AZ756" s="8" t="n">
        <f aca="false">IFERROR(ROUND(AS756*Assumptions!$I$6+AW756*Assumptions!$I$7+AT756*Assumptions!$I$8+AU756*Assumptions!$I$9+AV756*Assumptions!$I$10+AX756*Assumptions!$I$11+AY756*Assumptions!$I$12,2),"")</f>
        <v>36.6</v>
      </c>
      <c r="BA756" s="0" t="str">
        <f aca="false">IF(AZ756="","",IF(AZ756&lt;=Assumptions!$I$18,"Below Expectation",IF(AZ756&lt;=Assumptions!$I$19,"Developing",IF(AZ756&lt;=Assumptions!$I$20,"Meets Expectation",IF(AZ756&lt;=Assumptions!$I$21,"Exceeds","Star Performer")))))</f>
        <v>Below Expectation</v>
      </c>
      <c r="BB756" s="0" t="n">
        <f aca="false">IF(AZ756="",0,IF(AZ756&gt;=Assumptions!$I$26,1,0))</f>
        <v>0</v>
      </c>
      <c r="BC756" s="9" t="n">
        <f aca="false">IF(AL756="",2,AL756+2)</f>
        <v>2</v>
      </c>
      <c r="BD756" s="10" t="n">
        <f aca="false">IF(AM756="",ROUND(AVERAGE($AM$2:$AM$921),3),AM756)</f>
        <v>0</v>
      </c>
      <c r="BE756" s="9" t="n">
        <f aca="false">1-BD756</f>
        <v>1</v>
      </c>
    </row>
    <row r="757" customFormat="false" ht="14.25" hidden="true" customHeight="false" outlineLevel="0" collapsed="false">
      <c r="A757" s="4" t="n">
        <v>591</v>
      </c>
      <c r="B757" s="5" t="n">
        <v>55052323</v>
      </c>
      <c r="C757" s="5"/>
      <c r="D757" s="5" t="s">
        <v>2533</v>
      </c>
      <c r="E757" s="5" t="s">
        <v>1092</v>
      </c>
      <c r="F757" s="5" t="s">
        <v>2534</v>
      </c>
      <c r="G757" s="5" t="s">
        <v>2250</v>
      </c>
      <c r="H757" s="5" t="s">
        <v>2251</v>
      </c>
      <c r="I757" s="5" t="s">
        <v>63</v>
      </c>
      <c r="J757" s="5" t="s">
        <v>76</v>
      </c>
      <c r="K757" s="5" t="s">
        <v>309</v>
      </c>
      <c r="L757" s="6" t="n">
        <v>44732</v>
      </c>
      <c r="M757" s="5" t="s">
        <v>2337</v>
      </c>
      <c r="N757" s="6" t="n">
        <v>36872</v>
      </c>
      <c r="O757" s="5" t="s">
        <v>1264</v>
      </c>
      <c r="P757" s="5" t="s">
        <v>1559</v>
      </c>
      <c r="Q757" s="5" t="s">
        <v>345</v>
      </c>
      <c r="R757" s="5" t="s">
        <v>115</v>
      </c>
      <c r="S757" s="5" t="s">
        <v>345</v>
      </c>
      <c r="T757" s="6"/>
      <c r="U757" s="6"/>
      <c r="V757" s="5"/>
      <c r="W757" s="5" t="s">
        <v>631</v>
      </c>
      <c r="X757" s="5" t="s">
        <v>631</v>
      </c>
      <c r="Y757" s="5" t="s">
        <v>631</v>
      </c>
      <c r="Z757" s="5" t="s">
        <v>631</v>
      </c>
      <c r="AA757" s="5" t="s">
        <v>2535</v>
      </c>
      <c r="AB757" s="0" t="n">
        <f aca="false">IFERROR(VALUE(R757),0)</f>
        <v>0</v>
      </c>
      <c r="AC757" s="0" t="n">
        <f aca="false">IFERROR(VALUE(M757),"")</f>
        <v>25.5</v>
      </c>
      <c r="AD757" s="0" t="n">
        <f aca="false">IFERROR(VALUE(Q757),"")</f>
        <v>3.11</v>
      </c>
      <c r="AE757" s="0" t="n">
        <f aca="false">IFERROR(VALUE(S757),"")</f>
        <v>3.11</v>
      </c>
      <c r="AF757" s="0" t="str">
        <f aca="false">IF(V757="","",VLOOKUP(V757,Assumptions!$B$6:$C$9,2,FALSE()))</f>
        <v/>
      </c>
      <c r="AG757" s="0" t="n">
        <f aca="false">IF(W757="","",VLOOKUP(W757,Assumptions!$B$6:$C$9,2,FALSE()))</f>
        <v>2</v>
      </c>
      <c r="AH757" s="0" t="n">
        <f aca="false">IF(X757="","",VLOOKUP(X757,Assumptions!$B$6:$C$9,2,FALSE()))</f>
        <v>2</v>
      </c>
      <c r="AI757" s="0" t="n">
        <f aca="false">IF(Y757="","",VLOOKUP(Y757,Assumptions!$B$6:$C$9,2,FALSE()))</f>
        <v>2</v>
      </c>
      <c r="AJ757" s="0" t="n">
        <f aca="false">IF(Z757="","",VLOOKUP(Z757,Assumptions!$B$6:$C$9,2,FALSE()))</f>
        <v>2</v>
      </c>
      <c r="AK757" s="7" t="n">
        <f aca="false">IFERROR(ROUND(AVERAGE(AF757:AJ757),3),"")</f>
        <v>2</v>
      </c>
      <c r="AL757" s="7" t="str">
        <f aca="false">IF(OR(AF757="",AJ757=""),"",AJ757-AF757)</f>
        <v/>
      </c>
      <c r="AM757" s="7" t="n">
        <f aca="false">IF(COUNT(AF757:AJ757)&gt;=2,ROUND(_xlfn.STDEV.S(AF757:AJ757),3),"")</f>
        <v>0</v>
      </c>
      <c r="AN757" s="7" t="n">
        <f aca="false">ROUND((IF(AF757="",0,AF757)*Assumptions!$F$15)+(IF(AG757="",0,AG757)*Assumptions!$F$16)+(IF(AH757="",0,AH757)*Assumptions!$F$17)+(IF(AI757="",0,AI757)*Assumptions!$F$18)+(IF(AJ757="",0,AJ757)*Assumptions!$F$19),3)</f>
        <v>1.8</v>
      </c>
      <c r="AO757" s="0" t="str">
        <f aca="false">IF(AC757&lt;=20,"",IF(AC757&lt;=Assumptions!$F$6,"20-30",IF(AC757&lt;=Assumptions!$F$7,"30-40",IF(AC757&lt;=Assumptions!$F$8,"40-50",IF(AC757&lt;=Assumptions!$F$9,"50-60",IF(AC757&lt;=Assumptions!$F$10,"60+",""))))))</f>
        <v>20-30</v>
      </c>
      <c r="AP757" s="0" t="str">
        <f aca="false">IFERROR(VLOOKUP(O757,Assumptions!$B$14:$C$26,2,FALSE()),"Other")</f>
        <v>Manager</v>
      </c>
      <c r="AQ757" s="0" t="n">
        <f aca="false">IF(T757="",0,1)</f>
        <v>0</v>
      </c>
      <c r="AR757" s="0" t="n">
        <f aca="false">IF(U757="",0,1)</f>
        <v>0</v>
      </c>
      <c r="AS757" s="8" t="n">
        <f aca="false">IF(AK757="","",IF(MAX($AK$2:$AK$921)=MIN($AK$2:$AK$921),50,ROUND((AK757-MIN($AK$2:$AK$921))/(MAX($AK$2:$AK$921)-MIN($AK$2:$AK$921))*100,2)))</f>
        <v>14.27</v>
      </c>
      <c r="AT757" s="8" t="n">
        <f aca="false">IF(MAX($BC$2:$BC$921)=MIN($BC$2:$BC$921),50,ROUND((BC757-MIN($BC$2:$BC$921))/(MAX($BC$2:$BC$921)-MIN($BC$2:$BC$921))*100,2))</f>
        <v>50</v>
      </c>
      <c r="AU757" s="8" t="n">
        <f aca="false">IF(MAX($BE$2:$BE$921)=MIN($BE$2:$BE$921),50,ROUND((BE757-MIN($BE$2:$BE$921))/(MAX($BE$2:$BE$921)-MIN($BE$2:$BE$921))*100,2))</f>
        <v>100</v>
      </c>
      <c r="AV757" s="8" t="n">
        <f aca="false">IF(MAX($AD$2:$AD$921)=MIN($AD$2:$AD$921),50,ROUND((AD757-MIN($AD$2:$AD$921))/(MAX($AD$2:$AD$921)-MIN($AD$2:$AD$921))*100,2))</f>
        <v>8.15</v>
      </c>
      <c r="AW757" s="8" t="n">
        <f aca="false">IF(MAX($AN$2:$AN$921)=MIN($AN$2:$AN$921),50,ROUND((AN757-MIN($AN$2:$AN$921))/(MAX($AN$2:$AN$921)-MIN($AN$2:$AN$921))*100,2))</f>
        <v>45</v>
      </c>
      <c r="AX757" s="8" t="n">
        <f aca="false">AQ757*100</f>
        <v>0</v>
      </c>
      <c r="AY757" s="8" t="n">
        <f aca="false">AR757*100</f>
        <v>0</v>
      </c>
      <c r="AZ757" s="8" t="n">
        <f aca="false">IFERROR(ROUND(AS757*Assumptions!$I$6+AW757*Assumptions!$I$7+AT757*Assumptions!$I$8+AU757*Assumptions!$I$9+AV757*Assumptions!$I$10+AX757*Assumptions!$I$11+AY757*Assumptions!$I$12,2),"")</f>
        <v>36.6</v>
      </c>
      <c r="BA757" s="0" t="str">
        <f aca="false">IF(AZ757="","",IF(AZ757&lt;=Assumptions!$I$18,"Below Expectation",IF(AZ757&lt;=Assumptions!$I$19,"Developing",IF(AZ757&lt;=Assumptions!$I$20,"Meets Expectation",IF(AZ757&lt;=Assumptions!$I$21,"Exceeds","Star Performer")))))</f>
        <v>Below Expectation</v>
      </c>
      <c r="BB757" s="0" t="n">
        <f aca="false">IF(AZ757="",0,IF(AZ757&gt;=Assumptions!$I$26,1,0))</f>
        <v>0</v>
      </c>
      <c r="BC757" s="9" t="n">
        <f aca="false">IF(AL757="",2,AL757+2)</f>
        <v>2</v>
      </c>
      <c r="BD757" s="10" t="n">
        <f aca="false">IF(AM757="",ROUND(AVERAGE($AM$2:$AM$921),3),AM757)</f>
        <v>0</v>
      </c>
      <c r="BE757" s="9" t="n">
        <f aca="false">1-BD757</f>
        <v>1</v>
      </c>
    </row>
    <row r="758" customFormat="false" ht="14.25" hidden="true" customHeight="false" outlineLevel="0" collapsed="false">
      <c r="A758" s="4" t="n">
        <v>592</v>
      </c>
      <c r="B758" s="5" t="n">
        <v>55052330</v>
      </c>
      <c r="C758" s="5" t="s">
        <v>85</v>
      </c>
      <c r="D758" s="5" t="s">
        <v>2536</v>
      </c>
      <c r="E758" s="5" t="s">
        <v>315</v>
      </c>
      <c r="F758" s="5" t="s">
        <v>2251</v>
      </c>
      <c r="G758" s="5" t="s">
        <v>2250</v>
      </c>
      <c r="H758" s="5" t="s">
        <v>2251</v>
      </c>
      <c r="I758" s="5" t="s">
        <v>63</v>
      </c>
      <c r="J758" s="5" t="s">
        <v>76</v>
      </c>
      <c r="K758" s="5" t="s">
        <v>309</v>
      </c>
      <c r="L758" s="6" t="n">
        <v>44732</v>
      </c>
      <c r="M758" s="5" t="s">
        <v>1664</v>
      </c>
      <c r="N758" s="6" t="n">
        <v>37264</v>
      </c>
      <c r="O758" s="5" t="s">
        <v>1264</v>
      </c>
      <c r="P758" s="5" t="s">
        <v>1559</v>
      </c>
      <c r="Q758" s="5" t="s">
        <v>345</v>
      </c>
      <c r="R758" s="5" t="s">
        <v>115</v>
      </c>
      <c r="S758" s="5" t="s">
        <v>345</v>
      </c>
      <c r="T758" s="6"/>
      <c r="U758" s="6"/>
      <c r="V758" s="5"/>
      <c r="W758" s="5" t="s">
        <v>631</v>
      </c>
      <c r="X758" s="5" t="s">
        <v>631</v>
      </c>
      <c r="Y758" s="5" t="s">
        <v>631</v>
      </c>
      <c r="Z758" s="5" t="s">
        <v>631</v>
      </c>
      <c r="AA758" s="5" t="s">
        <v>2519</v>
      </c>
      <c r="AB758" s="0" t="n">
        <f aca="false">IFERROR(VALUE(R758),0)</f>
        <v>0</v>
      </c>
      <c r="AC758" s="0" t="n">
        <f aca="false">IFERROR(VALUE(M758),"")</f>
        <v>24.5</v>
      </c>
      <c r="AD758" s="0" t="n">
        <f aca="false">IFERROR(VALUE(Q758),"")</f>
        <v>3.11</v>
      </c>
      <c r="AE758" s="0" t="n">
        <f aca="false">IFERROR(VALUE(S758),"")</f>
        <v>3.11</v>
      </c>
      <c r="AF758" s="0" t="str">
        <f aca="false">IF(V758="","",VLOOKUP(V758,Assumptions!$B$6:$C$9,2,FALSE()))</f>
        <v/>
      </c>
      <c r="AG758" s="0" t="n">
        <f aca="false">IF(W758="","",VLOOKUP(W758,Assumptions!$B$6:$C$9,2,FALSE()))</f>
        <v>2</v>
      </c>
      <c r="AH758" s="0" t="n">
        <f aca="false">IF(X758="","",VLOOKUP(X758,Assumptions!$B$6:$C$9,2,FALSE()))</f>
        <v>2</v>
      </c>
      <c r="AI758" s="0" t="n">
        <f aca="false">IF(Y758="","",VLOOKUP(Y758,Assumptions!$B$6:$C$9,2,FALSE()))</f>
        <v>2</v>
      </c>
      <c r="AJ758" s="0" t="n">
        <f aca="false">IF(Z758="","",VLOOKUP(Z758,Assumptions!$B$6:$C$9,2,FALSE()))</f>
        <v>2</v>
      </c>
      <c r="AK758" s="7" t="n">
        <f aca="false">IFERROR(ROUND(AVERAGE(AF758:AJ758),3),"")</f>
        <v>2</v>
      </c>
      <c r="AL758" s="7" t="str">
        <f aca="false">IF(OR(AF758="",AJ758=""),"",AJ758-AF758)</f>
        <v/>
      </c>
      <c r="AM758" s="7" t="n">
        <f aca="false">IF(COUNT(AF758:AJ758)&gt;=2,ROUND(_xlfn.STDEV.S(AF758:AJ758),3),"")</f>
        <v>0</v>
      </c>
      <c r="AN758" s="7" t="n">
        <f aca="false">ROUND((IF(AF758="",0,AF758)*Assumptions!$F$15)+(IF(AG758="",0,AG758)*Assumptions!$F$16)+(IF(AH758="",0,AH758)*Assumptions!$F$17)+(IF(AI758="",0,AI758)*Assumptions!$F$18)+(IF(AJ758="",0,AJ758)*Assumptions!$F$19),3)</f>
        <v>1.8</v>
      </c>
      <c r="AO758" s="0" t="str">
        <f aca="false">IF(AC758&lt;=20,"",IF(AC758&lt;=Assumptions!$F$6,"20-30",IF(AC758&lt;=Assumptions!$F$7,"30-40",IF(AC758&lt;=Assumptions!$F$8,"40-50",IF(AC758&lt;=Assumptions!$F$9,"50-60",IF(AC758&lt;=Assumptions!$F$10,"60+",""))))))</f>
        <v>20-30</v>
      </c>
      <c r="AP758" s="0" t="str">
        <f aca="false">IFERROR(VLOOKUP(O758,Assumptions!$B$14:$C$26,2,FALSE()),"Other")</f>
        <v>Manager</v>
      </c>
      <c r="AQ758" s="0" t="n">
        <f aca="false">IF(T758="",0,1)</f>
        <v>0</v>
      </c>
      <c r="AR758" s="0" t="n">
        <f aca="false">IF(U758="",0,1)</f>
        <v>0</v>
      </c>
      <c r="AS758" s="8" t="n">
        <f aca="false">IF(AK758="","",IF(MAX($AK$2:$AK$921)=MIN($AK$2:$AK$921),50,ROUND((AK758-MIN($AK$2:$AK$921))/(MAX($AK$2:$AK$921)-MIN($AK$2:$AK$921))*100,2)))</f>
        <v>14.27</v>
      </c>
      <c r="AT758" s="8" t="n">
        <f aca="false">IF(MAX($BC$2:$BC$921)=MIN($BC$2:$BC$921),50,ROUND((BC758-MIN($BC$2:$BC$921))/(MAX($BC$2:$BC$921)-MIN($BC$2:$BC$921))*100,2))</f>
        <v>50</v>
      </c>
      <c r="AU758" s="8" t="n">
        <f aca="false">IF(MAX($BE$2:$BE$921)=MIN($BE$2:$BE$921),50,ROUND((BE758-MIN($BE$2:$BE$921))/(MAX($BE$2:$BE$921)-MIN($BE$2:$BE$921))*100,2))</f>
        <v>100</v>
      </c>
      <c r="AV758" s="8" t="n">
        <f aca="false">IF(MAX($AD$2:$AD$921)=MIN($AD$2:$AD$921),50,ROUND((AD758-MIN($AD$2:$AD$921))/(MAX($AD$2:$AD$921)-MIN($AD$2:$AD$921))*100,2))</f>
        <v>8.15</v>
      </c>
      <c r="AW758" s="8" t="n">
        <f aca="false">IF(MAX($AN$2:$AN$921)=MIN($AN$2:$AN$921),50,ROUND((AN758-MIN($AN$2:$AN$921))/(MAX($AN$2:$AN$921)-MIN($AN$2:$AN$921))*100,2))</f>
        <v>45</v>
      </c>
      <c r="AX758" s="8" t="n">
        <f aca="false">AQ758*100</f>
        <v>0</v>
      </c>
      <c r="AY758" s="8" t="n">
        <f aca="false">AR758*100</f>
        <v>0</v>
      </c>
      <c r="AZ758" s="8" t="n">
        <f aca="false">IFERROR(ROUND(AS758*Assumptions!$I$6+AW758*Assumptions!$I$7+AT758*Assumptions!$I$8+AU758*Assumptions!$I$9+AV758*Assumptions!$I$10+AX758*Assumptions!$I$11+AY758*Assumptions!$I$12,2),"")</f>
        <v>36.6</v>
      </c>
      <c r="BA758" s="0" t="str">
        <f aca="false">IF(AZ758="","",IF(AZ758&lt;=Assumptions!$I$18,"Below Expectation",IF(AZ758&lt;=Assumptions!$I$19,"Developing",IF(AZ758&lt;=Assumptions!$I$20,"Meets Expectation",IF(AZ758&lt;=Assumptions!$I$21,"Exceeds","Star Performer")))))</f>
        <v>Below Expectation</v>
      </c>
      <c r="BB758" s="0" t="n">
        <f aca="false">IF(AZ758="",0,IF(AZ758&gt;=Assumptions!$I$26,1,0))</f>
        <v>0</v>
      </c>
      <c r="BC758" s="9" t="n">
        <f aca="false">IF(AL758="",2,AL758+2)</f>
        <v>2</v>
      </c>
      <c r="BD758" s="10" t="n">
        <f aca="false">IF(AM758="",ROUND(AVERAGE($AM$2:$AM$921),3),AM758)</f>
        <v>0</v>
      </c>
      <c r="BE758" s="9" t="n">
        <f aca="false">1-BD758</f>
        <v>1</v>
      </c>
    </row>
    <row r="759" customFormat="false" ht="14.25" hidden="true" customHeight="false" outlineLevel="0" collapsed="false">
      <c r="A759" s="4" t="n">
        <v>593</v>
      </c>
      <c r="B759" s="5" t="n">
        <v>55052353</v>
      </c>
      <c r="C759" s="5" t="s">
        <v>85</v>
      </c>
      <c r="D759" s="5" t="s">
        <v>2537</v>
      </c>
      <c r="E759" s="5" t="s">
        <v>137</v>
      </c>
      <c r="F759" s="5" t="s">
        <v>2251</v>
      </c>
      <c r="G759" s="5" t="s">
        <v>2250</v>
      </c>
      <c r="H759" s="5" t="s">
        <v>2251</v>
      </c>
      <c r="I759" s="5" t="s">
        <v>63</v>
      </c>
      <c r="J759" s="5" t="s">
        <v>76</v>
      </c>
      <c r="K759" s="5" t="s">
        <v>309</v>
      </c>
      <c r="L759" s="6" t="n">
        <v>44732</v>
      </c>
      <c r="M759" s="5" t="s">
        <v>1789</v>
      </c>
      <c r="N759" s="6" t="n">
        <v>37139</v>
      </c>
      <c r="O759" s="5" t="s">
        <v>1264</v>
      </c>
      <c r="P759" s="5" t="s">
        <v>1559</v>
      </c>
      <c r="Q759" s="5" t="s">
        <v>345</v>
      </c>
      <c r="R759" s="5" t="s">
        <v>115</v>
      </c>
      <c r="S759" s="5" t="s">
        <v>345</v>
      </c>
      <c r="T759" s="6"/>
      <c r="U759" s="6"/>
      <c r="V759" s="5"/>
      <c r="W759" s="5" t="s">
        <v>631</v>
      </c>
      <c r="X759" s="5" t="s">
        <v>631</v>
      </c>
      <c r="Y759" s="5" t="s">
        <v>631</v>
      </c>
      <c r="Z759" s="5" t="s">
        <v>631</v>
      </c>
      <c r="AA759" s="5" t="s">
        <v>2538</v>
      </c>
      <c r="AB759" s="0" t="n">
        <f aca="false">IFERROR(VALUE(R759),0)</f>
        <v>0</v>
      </c>
      <c r="AC759" s="0" t="n">
        <f aca="false">IFERROR(VALUE(M759),"")</f>
        <v>24.9</v>
      </c>
      <c r="AD759" s="0" t="n">
        <f aca="false">IFERROR(VALUE(Q759),"")</f>
        <v>3.11</v>
      </c>
      <c r="AE759" s="0" t="n">
        <f aca="false">IFERROR(VALUE(S759),"")</f>
        <v>3.11</v>
      </c>
      <c r="AF759" s="0" t="str">
        <f aca="false">IF(V759="","",VLOOKUP(V759,Assumptions!$B$6:$C$9,2,FALSE()))</f>
        <v/>
      </c>
      <c r="AG759" s="0" t="n">
        <f aca="false">IF(W759="","",VLOOKUP(W759,Assumptions!$B$6:$C$9,2,FALSE()))</f>
        <v>2</v>
      </c>
      <c r="AH759" s="0" t="n">
        <f aca="false">IF(X759="","",VLOOKUP(X759,Assumptions!$B$6:$C$9,2,FALSE()))</f>
        <v>2</v>
      </c>
      <c r="AI759" s="0" t="n">
        <f aca="false">IF(Y759="","",VLOOKUP(Y759,Assumptions!$B$6:$C$9,2,FALSE()))</f>
        <v>2</v>
      </c>
      <c r="AJ759" s="0" t="n">
        <f aca="false">IF(Z759="","",VLOOKUP(Z759,Assumptions!$B$6:$C$9,2,FALSE()))</f>
        <v>2</v>
      </c>
      <c r="AK759" s="7" t="n">
        <f aca="false">IFERROR(ROUND(AVERAGE(AF759:AJ759),3),"")</f>
        <v>2</v>
      </c>
      <c r="AL759" s="7" t="str">
        <f aca="false">IF(OR(AF759="",AJ759=""),"",AJ759-AF759)</f>
        <v/>
      </c>
      <c r="AM759" s="7" t="n">
        <f aca="false">IF(COUNT(AF759:AJ759)&gt;=2,ROUND(_xlfn.STDEV.S(AF759:AJ759),3),"")</f>
        <v>0</v>
      </c>
      <c r="AN759" s="7" t="n">
        <f aca="false">ROUND((IF(AF759="",0,AF759)*Assumptions!$F$15)+(IF(AG759="",0,AG759)*Assumptions!$F$16)+(IF(AH759="",0,AH759)*Assumptions!$F$17)+(IF(AI759="",0,AI759)*Assumptions!$F$18)+(IF(AJ759="",0,AJ759)*Assumptions!$F$19),3)</f>
        <v>1.8</v>
      </c>
      <c r="AO759" s="0" t="str">
        <f aca="false">IF(AC759&lt;=20,"",IF(AC759&lt;=Assumptions!$F$6,"20-30",IF(AC759&lt;=Assumptions!$F$7,"30-40",IF(AC759&lt;=Assumptions!$F$8,"40-50",IF(AC759&lt;=Assumptions!$F$9,"50-60",IF(AC759&lt;=Assumptions!$F$10,"60+",""))))))</f>
        <v>20-30</v>
      </c>
      <c r="AP759" s="0" t="str">
        <f aca="false">IFERROR(VLOOKUP(O759,Assumptions!$B$14:$C$26,2,FALSE()),"Other")</f>
        <v>Manager</v>
      </c>
      <c r="AQ759" s="0" t="n">
        <f aca="false">IF(T759="",0,1)</f>
        <v>0</v>
      </c>
      <c r="AR759" s="0" t="n">
        <f aca="false">IF(U759="",0,1)</f>
        <v>0</v>
      </c>
      <c r="AS759" s="8" t="n">
        <f aca="false">IF(AK759="","",IF(MAX($AK$2:$AK$921)=MIN($AK$2:$AK$921),50,ROUND((AK759-MIN($AK$2:$AK$921))/(MAX($AK$2:$AK$921)-MIN($AK$2:$AK$921))*100,2)))</f>
        <v>14.27</v>
      </c>
      <c r="AT759" s="8" t="n">
        <f aca="false">IF(MAX($BC$2:$BC$921)=MIN($BC$2:$BC$921),50,ROUND((BC759-MIN($BC$2:$BC$921))/(MAX($BC$2:$BC$921)-MIN($BC$2:$BC$921))*100,2))</f>
        <v>50</v>
      </c>
      <c r="AU759" s="8" t="n">
        <f aca="false">IF(MAX($BE$2:$BE$921)=MIN($BE$2:$BE$921),50,ROUND((BE759-MIN($BE$2:$BE$921))/(MAX($BE$2:$BE$921)-MIN($BE$2:$BE$921))*100,2))</f>
        <v>100</v>
      </c>
      <c r="AV759" s="8" t="n">
        <f aca="false">IF(MAX($AD$2:$AD$921)=MIN($AD$2:$AD$921),50,ROUND((AD759-MIN($AD$2:$AD$921))/(MAX($AD$2:$AD$921)-MIN($AD$2:$AD$921))*100,2))</f>
        <v>8.15</v>
      </c>
      <c r="AW759" s="8" t="n">
        <f aca="false">IF(MAX($AN$2:$AN$921)=MIN($AN$2:$AN$921),50,ROUND((AN759-MIN($AN$2:$AN$921))/(MAX($AN$2:$AN$921)-MIN($AN$2:$AN$921))*100,2))</f>
        <v>45</v>
      </c>
      <c r="AX759" s="8" t="n">
        <f aca="false">AQ759*100</f>
        <v>0</v>
      </c>
      <c r="AY759" s="8" t="n">
        <f aca="false">AR759*100</f>
        <v>0</v>
      </c>
      <c r="AZ759" s="8" t="n">
        <f aca="false">IFERROR(ROUND(AS759*Assumptions!$I$6+AW759*Assumptions!$I$7+AT759*Assumptions!$I$8+AU759*Assumptions!$I$9+AV759*Assumptions!$I$10+AX759*Assumptions!$I$11+AY759*Assumptions!$I$12,2),"")</f>
        <v>36.6</v>
      </c>
      <c r="BA759" s="0" t="str">
        <f aca="false">IF(AZ759="","",IF(AZ759&lt;=Assumptions!$I$18,"Below Expectation",IF(AZ759&lt;=Assumptions!$I$19,"Developing",IF(AZ759&lt;=Assumptions!$I$20,"Meets Expectation",IF(AZ759&lt;=Assumptions!$I$21,"Exceeds","Star Performer")))))</f>
        <v>Below Expectation</v>
      </c>
      <c r="BB759" s="0" t="n">
        <f aca="false">IF(AZ759="",0,IF(AZ759&gt;=Assumptions!$I$26,1,0))</f>
        <v>0</v>
      </c>
      <c r="BC759" s="9" t="n">
        <f aca="false">IF(AL759="",2,AL759+2)</f>
        <v>2</v>
      </c>
      <c r="BD759" s="10" t="n">
        <f aca="false">IF(AM759="",ROUND(AVERAGE($AM$2:$AM$921),3),AM759)</f>
        <v>0</v>
      </c>
      <c r="BE759" s="9" t="n">
        <f aca="false">1-BD759</f>
        <v>1</v>
      </c>
    </row>
    <row r="760" customFormat="false" ht="14.25" hidden="true" customHeight="false" outlineLevel="0" collapsed="false">
      <c r="A760" s="4" t="n">
        <v>594</v>
      </c>
      <c r="B760" s="5" t="n">
        <v>55052362</v>
      </c>
      <c r="C760" s="5" t="s">
        <v>85</v>
      </c>
      <c r="D760" s="5" t="s">
        <v>2539</v>
      </c>
      <c r="E760" s="5" t="s">
        <v>315</v>
      </c>
      <c r="F760" s="5" t="s">
        <v>2251</v>
      </c>
      <c r="G760" s="5" t="s">
        <v>2250</v>
      </c>
      <c r="H760" s="5" t="s">
        <v>2251</v>
      </c>
      <c r="I760" s="5" t="s">
        <v>63</v>
      </c>
      <c r="J760" s="5" t="s">
        <v>76</v>
      </c>
      <c r="K760" s="5" t="s">
        <v>309</v>
      </c>
      <c r="L760" s="6" t="n">
        <v>44732</v>
      </c>
      <c r="M760" s="5" t="s">
        <v>2540</v>
      </c>
      <c r="N760" s="6" t="n">
        <v>37317</v>
      </c>
      <c r="O760" s="5" t="s">
        <v>1264</v>
      </c>
      <c r="P760" s="5" t="s">
        <v>1559</v>
      </c>
      <c r="Q760" s="5" t="s">
        <v>345</v>
      </c>
      <c r="R760" s="5" t="s">
        <v>115</v>
      </c>
      <c r="S760" s="5" t="s">
        <v>345</v>
      </c>
      <c r="T760" s="6"/>
      <c r="U760" s="6"/>
      <c r="V760" s="5"/>
      <c r="W760" s="5" t="s">
        <v>631</v>
      </c>
      <c r="X760" s="5" t="s">
        <v>631</v>
      </c>
      <c r="Y760" s="5" t="s">
        <v>631</v>
      </c>
      <c r="Z760" s="5" t="s">
        <v>631</v>
      </c>
      <c r="AA760" s="5" t="s">
        <v>2472</v>
      </c>
      <c r="AB760" s="0" t="n">
        <f aca="false">IFERROR(VALUE(R760),0)</f>
        <v>0</v>
      </c>
      <c r="AC760" s="0" t="n">
        <f aca="false">IFERROR(VALUE(M760),"")</f>
        <v>24.3</v>
      </c>
      <c r="AD760" s="0" t="n">
        <f aca="false">IFERROR(VALUE(Q760),"")</f>
        <v>3.11</v>
      </c>
      <c r="AE760" s="0" t="n">
        <f aca="false">IFERROR(VALUE(S760),"")</f>
        <v>3.11</v>
      </c>
      <c r="AF760" s="0" t="str">
        <f aca="false">IF(V760="","",VLOOKUP(V760,Assumptions!$B$6:$C$9,2,FALSE()))</f>
        <v/>
      </c>
      <c r="AG760" s="0" t="n">
        <f aca="false">IF(W760="","",VLOOKUP(W760,Assumptions!$B$6:$C$9,2,FALSE()))</f>
        <v>2</v>
      </c>
      <c r="AH760" s="0" t="n">
        <f aca="false">IF(X760="","",VLOOKUP(X760,Assumptions!$B$6:$C$9,2,FALSE()))</f>
        <v>2</v>
      </c>
      <c r="AI760" s="0" t="n">
        <f aca="false">IF(Y760="","",VLOOKUP(Y760,Assumptions!$B$6:$C$9,2,FALSE()))</f>
        <v>2</v>
      </c>
      <c r="AJ760" s="0" t="n">
        <f aca="false">IF(Z760="","",VLOOKUP(Z760,Assumptions!$B$6:$C$9,2,FALSE()))</f>
        <v>2</v>
      </c>
      <c r="AK760" s="7" t="n">
        <f aca="false">IFERROR(ROUND(AVERAGE(AF760:AJ760),3),"")</f>
        <v>2</v>
      </c>
      <c r="AL760" s="7" t="str">
        <f aca="false">IF(OR(AF760="",AJ760=""),"",AJ760-AF760)</f>
        <v/>
      </c>
      <c r="AM760" s="7" t="n">
        <f aca="false">IF(COUNT(AF760:AJ760)&gt;=2,ROUND(_xlfn.STDEV.S(AF760:AJ760),3),"")</f>
        <v>0</v>
      </c>
      <c r="AN760" s="7" t="n">
        <f aca="false">ROUND((IF(AF760="",0,AF760)*Assumptions!$F$15)+(IF(AG760="",0,AG760)*Assumptions!$F$16)+(IF(AH760="",0,AH760)*Assumptions!$F$17)+(IF(AI760="",0,AI760)*Assumptions!$F$18)+(IF(AJ760="",0,AJ760)*Assumptions!$F$19),3)</f>
        <v>1.8</v>
      </c>
      <c r="AO760" s="0" t="str">
        <f aca="false">IF(AC760&lt;=20,"",IF(AC760&lt;=Assumptions!$F$6,"20-30",IF(AC760&lt;=Assumptions!$F$7,"30-40",IF(AC760&lt;=Assumptions!$F$8,"40-50",IF(AC760&lt;=Assumptions!$F$9,"50-60",IF(AC760&lt;=Assumptions!$F$10,"60+",""))))))</f>
        <v>20-30</v>
      </c>
      <c r="AP760" s="0" t="str">
        <f aca="false">IFERROR(VLOOKUP(O760,Assumptions!$B$14:$C$26,2,FALSE()),"Other")</f>
        <v>Manager</v>
      </c>
      <c r="AQ760" s="0" t="n">
        <f aca="false">IF(T760="",0,1)</f>
        <v>0</v>
      </c>
      <c r="AR760" s="0" t="n">
        <f aca="false">IF(U760="",0,1)</f>
        <v>0</v>
      </c>
      <c r="AS760" s="8" t="n">
        <f aca="false">IF(AK760="","",IF(MAX($AK$2:$AK$921)=MIN($AK$2:$AK$921),50,ROUND((AK760-MIN($AK$2:$AK$921))/(MAX($AK$2:$AK$921)-MIN($AK$2:$AK$921))*100,2)))</f>
        <v>14.27</v>
      </c>
      <c r="AT760" s="8" t="n">
        <f aca="false">IF(MAX($BC$2:$BC$921)=MIN($BC$2:$BC$921),50,ROUND((BC760-MIN($BC$2:$BC$921))/(MAX($BC$2:$BC$921)-MIN($BC$2:$BC$921))*100,2))</f>
        <v>50</v>
      </c>
      <c r="AU760" s="8" t="n">
        <f aca="false">IF(MAX($BE$2:$BE$921)=MIN($BE$2:$BE$921),50,ROUND((BE760-MIN($BE$2:$BE$921))/(MAX($BE$2:$BE$921)-MIN($BE$2:$BE$921))*100,2))</f>
        <v>100</v>
      </c>
      <c r="AV760" s="8" t="n">
        <f aca="false">IF(MAX($AD$2:$AD$921)=MIN($AD$2:$AD$921),50,ROUND((AD760-MIN($AD$2:$AD$921))/(MAX($AD$2:$AD$921)-MIN($AD$2:$AD$921))*100,2))</f>
        <v>8.15</v>
      </c>
      <c r="AW760" s="8" t="n">
        <f aca="false">IF(MAX($AN$2:$AN$921)=MIN($AN$2:$AN$921),50,ROUND((AN760-MIN($AN$2:$AN$921))/(MAX($AN$2:$AN$921)-MIN($AN$2:$AN$921))*100,2))</f>
        <v>45</v>
      </c>
      <c r="AX760" s="8" t="n">
        <f aca="false">AQ760*100</f>
        <v>0</v>
      </c>
      <c r="AY760" s="8" t="n">
        <f aca="false">AR760*100</f>
        <v>0</v>
      </c>
      <c r="AZ760" s="8" t="n">
        <f aca="false">IFERROR(ROUND(AS760*Assumptions!$I$6+AW760*Assumptions!$I$7+AT760*Assumptions!$I$8+AU760*Assumptions!$I$9+AV760*Assumptions!$I$10+AX760*Assumptions!$I$11+AY760*Assumptions!$I$12,2),"")</f>
        <v>36.6</v>
      </c>
      <c r="BA760" s="0" t="str">
        <f aca="false">IF(AZ760="","",IF(AZ760&lt;=Assumptions!$I$18,"Below Expectation",IF(AZ760&lt;=Assumptions!$I$19,"Developing",IF(AZ760&lt;=Assumptions!$I$20,"Meets Expectation",IF(AZ760&lt;=Assumptions!$I$21,"Exceeds","Star Performer")))))</f>
        <v>Below Expectation</v>
      </c>
      <c r="BB760" s="0" t="n">
        <f aca="false">IF(AZ760="",0,IF(AZ760&gt;=Assumptions!$I$26,1,0))</f>
        <v>0</v>
      </c>
      <c r="BC760" s="9" t="n">
        <f aca="false">IF(AL760="",2,AL760+2)</f>
        <v>2</v>
      </c>
      <c r="BD760" s="10" t="n">
        <f aca="false">IF(AM760="",ROUND(AVERAGE($AM$2:$AM$921),3),AM760)</f>
        <v>0</v>
      </c>
      <c r="BE760" s="9" t="n">
        <f aca="false">1-BD760</f>
        <v>1</v>
      </c>
    </row>
    <row r="761" customFormat="false" ht="14.25" hidden="true" customHeight="false" outlineLevel="0" collapsed="false">
      <c r="A761" s="4" t="n">
        <v>595</v>
      </c>
      <c r="B761" s="5" t="n">
        <v>55052370</v>
      </c>
      <c r="C761" s="5" t="s">
        <v>85</v>
      </c>
      <c r="D761" s="5" t="s">
        <v>2541</v>
      </c>
      <c r="E761" s="5" t="s">
        <v>315</v>
      </c>
      <c r="F761" s="5" t="s">
        <v>2251</v>
      </c>
      <c r="G761" s="5" t="s">
        <v>2250</v>
      </c>
      <c r="H761" s="5" t="s">
        <v>2251</v>
      </c>
      <c r="I761" s="5" t="s">
        <v>63</v>
      </c>
      <c r="J761" s="5" t="s">
        <v>76</v>
      </c>
      <c r="K761" s="5" t="s">
        <v>309</v>
      </c>
      <c r="L761" s="6" t="n">
        <v>44732</v>
      </c>
      <c r="M761" s="5" t="s">
        <v>532</v>
      </c>
      <c r="N761" s="6" t="n">
        <v>37089</v>
      </c>
      <c r="O761" s="5" t="s">
        <v>1264</v>
      </c>
      <c r="P761" s="5" t="s">
        <v>1559</v>
      </c>
      <c r="Q761" s="5" t="s">
        <v>345</v>
      </c>
      <c r="R761" s="5" t="s">
        <v>115</v>
      </c>
      <c r="S761" s="5" t="s">
        <v>345</v>
      </c>
      <c r="T761" s="6"/>
      <c r="U761" s="6"/>
      <c r="V761" s="5"/>
      <c r="W761" s="5" t="s">
        <v>631</v>
      </c>
      <c r="X761" s="5" t="s">
        <v>631</v>
      </c>
      <c r="Y761" s="5" t="s">
        <v>631</v>
      </c>
      <c r="Z761" s="5" t="s">
        <v>631</v>
      </c>
      <c r="AA761" s="5" t="s">
        <v>2535</v>
      </c>
      <c r="AB761" s="0" t="n">
        <f aca="false">IFERROR(VALUE(R761),0)</f>
        <v>0</v>
      </c>
      <c r="AC761" s="0" t="n">
        <f aca="false">IFERROR(VALUE(M761),"")</f>
        <v>24.1</v>
      </c>
      <c r="AD761" s="0" t="n">
        <f aca="false">IFERROR(VALUE(Q761),"")</f>
        <v>3.11</v>
      </c>
      <c r="AE761" s="0" t="n">
        <f aca="false">IFERROR(VALUE(S761),"")</f>
        <v>3.11</v>
      </c>
      <c r="AF761" s="0" t="str">
        <f aca="false">IF(V761="","",VLOOKUP(V761,Assumptions!$B$6:$C$9,2,FALSE()))</f>
        <v/>
      </c>
      <c r="AG761" s="0" t="n">
        <f aca="false">IF(W761="","",VLOOKUP(W761,Assumptions!$B$6:$C$9,2,FALSE()))</f>
        <v>2</v>
      </c>
      <c r="AH761" s="0" t="n">
        <f aca="false">IF(X761="","",VLOOKUP(X761,Assumptions!$B$6:$C$9,2,FALSE()))</f>
        <v>2</v>
      </c>
      <c r="AI761" s="0" t="n">
        <f aca="false">IF(Y761="","",VLOOKUP(Y761,Assumptions!$B$6:$C$9,2,FALSE()))</f>
        <v>2</v>
      </c>
      <c r="AJ761" s="0" t="n">
        <f aca="false">IF(Z761="","",VLOOKUP(Z761,Assumptions!$B$6:$C$9,2,FALSE()))</f>
        <v>2</v>
      </c>
      <c r="AK761" s="7" t="n">
        <f aca="false">IFERROR(ROUND(AVERAGE(AF761:AJ761),3),"")</f>
        <v>2</v>
      </c>
      <c r="AL761" s="7" t="str">
        <f aca="false">IF(OR(AF761="",AJ761=""),"",AJ761-AF761)</f>
        <v/>
      </c>
      <c r="AM761" s="7" t="n">
        <f aca="false">IF(COUNT(AF761:AJ761)&gt;=2,ROUND(_xlfn.STDEV.S(AF761:AJ761),3),"")</f>
        <v>0</v>
      </c>
      <c r="AN761" s="7" t="n">
        <f aca="false">ROUND((IF(AF761="",0,AF761)*Assumptions!$F$15)+(IF(AG761="",0,AG761)*Assumptions!$F$16)+(IF(AH761="",0,AH761)*Assumptions!$F$17)+(IF(AI761="",0,AI761)*Assumptions!$F$18)+(IF(AJ761="",0,AJ761)*Assumptions!$F$19),3)</f>
        <v>1.8</v>
      </c>
      <c r="AO761" s="0" t="str">
        <f aca="false">IF(AC761&lt;=20,"",IF(AC761&lt;=Assumptions!$F$6,"20-30",IF(AC761&lt;=Assumptions!$F$7,"30-40",IF(AC761&lt;=Assumptions!$F$8,"40-50",IF(AC761&lt;=Assumptions!$F$9,"50-60",IF(AC761&lt;=Assumptions!$F$10,"60+",""))))))</f>
        <v>20-30</v>
      </c>
      <c r="AP761" s="0" t="str">
        <f aca="false">IFERROR(VLOOKUP(O761,Assumptions!$B$14:$C$26,2,FALSE()),"Other")</f>
        <v>Manager</v>
      </c>
      <c r="AQ761" s="0" t="n">
        <f aca="false">IF(T761="",0,1)</f>
        <v>0</v>
      </c>
      <c r="AR761" s="0" t="n">
        <f aca="false">IF(U761="",0,1)</f>
        <v>0</v>
      </c>
      <c r="AS761" s="8" t="n">
        <f aca="false">IF(AK761="","",IF(MAX($AK$2:$AK$921)=MIN($AK$2:$AK$921),50,ROUND((AK761-MIN($AK$2:$AK$921))/(MAX($AK$2:$AK$921)-MIN($AK$2:$AK$921))*100,2)))</f>
        <v>14.27</v>
      </c>
      <c r="AT761" s="8" t="n">
        <f aca="false">IF(MAX($BC$2:$BC$921)=MIN($BC$2:$BC$921),50,ROUND((BC761-MIN($BC$2:$BC$921))/(MAX($BC$2:$BC$921)-MIN($BC$2:$BC$921))*100,2))</f>
        <v>50</v>
      </c>
      <c r="AU761" s="8" t="n">
        <f aca="false">IF(MAX($BE$2:$BE$921)=MIN($BE$2:$BE$921),50,ROUND((BE761-MIN($BE$2:$BE$921))/(MAX($BE$2:$BE$921)-MIN($BE$2:$BE$921))*100,2))</f>
        <v>100</v>
      </c>
      <c r="AV761" s="8" t="n">
        <f aca="false">IF(MAX($AD$2:$AD$921)=MIN($AD$2:$AD$921),50,ROUND((AD761-MIN($AD$2:$AD$921))/(MAX($AD$2:$AD$921)-MIN($AD$2:$AD$921))*100,2))</f>
        <v>8.15</v>
      </c>
      <c r="AW761" s="8" t="n">
        <f aca="false">IF(MAX($AN$2:$AN$921)=MIN($AN$2:$AN$921),50,ROUND((AN761-MIN($AN$2:$AN$921))/(MAX($AN$2:$AN$921)-MIN($AN$2:$AN$921))*100,2))</f>
        <v>45</v>
      </c>
      <c r="AX761" s="8" t="n">
        <f aca="false">AQ761*100</f>
        <v>0</v>
      </c>
      <c r="AY761" s="8" t="n">
        <f aca="false">AR761*100</f>
        <v>0</v>
      </c>
      <c r="AZ761" s="8" t="n">
        <f aca="false">IFERROR(ROUND(AS761*Assumptions!$I$6+AW761*Assumptions!$I$7+AT761*Assumptions!$I$8+AU761*Assumptions!$I$9+AV761*Assumptions!$I$10+AX761*Assumptions!$I$11+AY761*Assumptions!$I$12,2),"")</f>
        <v>36.6</v>
      </c>
      <c r="BA761" s="0" t="str">
        <f aca="false">IF(AZ761="","",IF(AZ761&lt;=Assumptions!$I$18,"Below Expectation",IF(AZ761&lt;=Assumptions!$I$19,"Developing",IF(AZ761&lt;=Assumptions!$I$20,"Meets Expectation",IF(AZ761&lt;=Assumptions!$I$21,"Exceeds","Star Performer")))))</f>
        <v>Below Expectation</v>
      </c>
      <c r="BB761" s="0" t="n">
        <f aca="false">IF(AZ761="",0,IF(AZ761&gt;=Assumptions!$I$26,1,0))</f>
        <v>0</v>
      </c>
      <c r="BC761" s="9" t="n">
        <f aca="false">IF(AL761="",2,AL761+2)</f>
        <v>2</v>
      </c>
      <c r="BD761" s="10" t="n">
        <f aca="false">IF(AM761="",ROUND(AVERAGE($AM$2:$AM$921),3),AM761)</f>
        <v>0</v>
      </c>
      <c r="BE761" s="9" t="n">
        <f aca="false">1-BD761</f>
        <v>1</v>
      </c>
    </row>
    <row r="762" customFormat="false" ht="14.25" hidden="true" customHeight="false" outlineLevel="0" collapsed="false">
      <c r="A762" s="4" t="n">
        <v>596</v>
      </c>
      <c r="B762" s="5" t="n">
        <v>55052372</v>
      </c>
      <c r="C762" s="5" t="s">
        <v>85</v>
      </c>
      <c r="D762" s="5" t="s">
        <v>2542</v>
      </c>
      <c r="E762" s="5" t="s">
        <v>315</v>
      </c>
      <c r="F762" s="5" t="s">
        <v>2251</v>
      </c>
      <c r="G762" s="5" t="s">
        <v>2250</v>
      </c>
      <c r="H762" s="5" t="s">
        <v>2251</v>
      </c>
      <c r="I762" s="5" t="s">
        <v>63</v>
      </c>
      <c r="J762" s="5" t="s">
        <v>76</v>
      </c>
      <c r="K762" s="5" t="s">
        <v>309</v>
      </c>
      <c r="L762" s="6" t="n">
        <v>44732</v>
      </c>
      <c r="M762" s="5" t="s">
        <v>578</v>
      </c>
      <c r="N762" s="6" t="n">
        <v>37345</v>
      </c>
      <c r="O762" s="5" t="s">
        <v>1264</v>
      </c>
      <c r="P762" s="5" t="s">
        <v>1559</v>
      </c>
      <c r="Q762" s="5" t="s">
        <v>345</v>
      </c>
      <c r="R762" s="5" t="s">
        <v>115</v>
      </c>
      <c r="S762" s="5" t="s">
        <v>345</v>
      </c>
      <c r="T762" s="6"/>
      <c r="U762" s="6"/>
      <c r="V762" s="5"/>
      <c r="W762" s="5" t="s">
        <v>631</v>
      </c>
      <c r="X762" s="5" t="s">
        <v>631</v>
      </c>
      <c r="Y762" s="5" t="s">
        <v>631</v>
      </c>
      <c r="Z762" s="5" t="s">
        <v>631</v>
      </c>
      <c r="AA762" s="5" t="s">
        <v>2527</v>
      </c>
      <c r="AB762" s="0" t="n">
        <f aca="false">IFERROR(VALUE(R762),0)</f>
        <v>0</v>
      </c>
      <c r="AC762" s="0" t="n">
        <f aca="false">IFERROR(VALUE(M762),"")</f>
        <v>24.2</v>
      </c>
      <c r="AD762" s="0" t="n">
        <f aca="false">IFERROR(VALUE(Q762),"")</f>
        <v>3.11</v>
      </c>
      <c r="AE762" s="0" t="n">
        <f aca="false">IFERROR(VALUE(S762),"")</f>
        <v>3.11</v>
      </c>
      <c r="AF762" s="0" t="str">
        <f aca="false">IF(V762="","",VLOOKUP(V762,Assumptions!$B$6:$C$9,2,FALSE()))</f>
        <v/>
      </c>
      <c r="AG762" s="0" t="n">
        <f aca="false">IF(W762="","",VLOOKUP(W762,Assumptions!$B$6:$C$9,2,FALSE()))</f>
        <v>2</v>
      </c>
      <c r="AH762" s="0" t="n">
        <f aca="false">IF(X762="","",VLOOKUP(X762,Assumptions!$B$6:$C$9,2,FALSE()))</f>
        <v>2</v>
      </c>
      <c r="AI762" s="0" t="n">
        <f aca="false">IF(Y762="","",VLOOKUP(Y762,Assumptions!$B$6:$C$9,2,FALSE()))</f>
        <v>2</v>
      </c>
      <c r="AJ762" s="0" t="n">
        <f aca="false">IF(Z762="","",VLOOKUP(Z762,Assumptions!$B$6:$C$9,2,FALSE()))</f>
        <v>2</v>
      </c>
      <c r="AK762" s="7" t="n">
        <f aca="false">IFERROR(ROUND(AVERAGE(AF762:AJ762),3),"")</f>
        <v>2</v>
      </c>
      <c r="AL762" s="7" t="str">
        <f aca="false">IF(OR(AF762="",AJ762=""),"",AJ762-AF762)</f>
        <v/>
      </c>
      <c r="AM762" s="7" t="n">
        <f aca="false">IF(COUNT(AF762:AJ762)&gt;=2,ROUND(_xlfn.STDEV.S(AF762:AJ762),3),"")</f>
        <v>0</v>
      </c>
      <c r="AN762" s="7" t="n">
        <f aca="false">ROUND((IF(AF762="",0,AF762)*Assumptions!$F$15)+(IF(AG762="",0,AG762)*Assumptions!$F$16)+(IF(AH762="",0,AH762)*Assumptions!$F$17)+(IF(AI762="",0,AI762)*Assumptions!$F$18)+(IF(AJ762="",0,AJ762)*Assumptions!$F$19),3)</f>
        <v>1.8</v>
      </c>
      <c r="AO762" s="0" t="str">
        <f aca="false">IF(AC762&lt;=20,"",IF(AC762&lt;=Assumptions!$F$6,"20-30",IF(AC762&lt;=Assumptions!$F$7,"30-40",IF(AC762&lt;=Assumptions!$F$8,"40-50",IF(AC762&lt;=Assumptions!$F$9,"50-60",IF(AC762&lt;=Assumptions!$F$10,"60+",""))))))</f>
        <v>20-30</v>
      </c>
      <c r="AP762" s="0" t="str">
        <f aca="false">IFERROR(VLOOKUP(O762,Assumptions!$B$14:$C$26,2,FALSE()),"Other")</f>
        <v>Manager</v>
      </c>
      <c r="AQ762" s="0" t="n">
        <f aca="false">IF(T762="",0,1)</f>
        <v>0</v>
      </c>
      <c r="AR762" s="0" t="n">
        <f aca="false">IF(U762="",0,1)</f>
        <v>0</v>
      </c>
      <c r="AS762" s="8" t="n">
        <f aca="false">IF(AK762="","",IF(MAX($AK$2:$AK$921)=MIN($AK$2:$AK$921),50,ROUND((AK762-MIN($AK$2:$AK$921))/(MAX($AK$2:$AK$921)-MIN($AK$2:$AK$921))*100,2)))</f>
        <v>14.27</v>
      </c>
      <c r="AT762" s="8" t="n">
        <f aca="false">IF(MAX($BC$2:$BC$921)=MIN($BC$2:$BC$921),50,ROUND((BC762-MIN($BC$2:$BC$921))/(MAX($BC$2:$BC$921)-MIN($BC$2:$BC$921))*100,2))</f>
        <v>50</v>
      </c>
      <c r="AU762" s="8" t="n">
        <f aca="false">IF(MAX($BE$2:$BE$921)=MIN($BE$2:$BE$921),50,ROUND((BE762-MIN($BE$2:$BE$921))/(MAX($BE$2:$BE$921)-MIN($BE$2:$BE$921))*100,2))</f>
        <v>100</v>
      </c>
      <c r="AV762" s="8" t="n">
        <f aca="false">IF(MAX($AD$2:$AD$921)=MIN($AD$2:$AD$921),50,ROUND((AD762-MIN($AD$2:$AD$921))/(MAX($AD$2:$AD$921)-MIN($AD$2:$AD$921))*100,2))</f>
        <v>8.15</v>
      </c>
      <c r="AW762" s="8" t="n">
        <f aca="false">IF(MAX($AN$2:$AN$921)=MIN($AN$2:$AN$921),50,ROUND((AN762-MIN($AN$2:$AN$921))/(MAX($AN$2:$AN$921)-MIN($AN$2:$AN$921))*100,2))</f>
        <v>45</v>
      </c>
      <c r="AX762" s="8" t="n">
        <f aca="false">AQ762*100</f>
        <v>0</v>
      </c>
      <c r="AY762" s="8" t="n">
        <f aca="false">AR762*100</f>
        <v>0</v>
      </c>
      <c r="AZ762" s="8" t="n">
        <f aca="false">IFERROR(ROUND(AS762*Assumptions!$I$6+AW762*Assumptions!$I$7+AT762*Assumptions!$I$8+AU762*Assumptions!$I$9+AV762*Assumptions!$I$10+AX762*Assumptions!$I$11+AY762*Assumptions!$I$12,2),"")</f>
        <v>36.6</v>
      </c>
      <c r="BA762" s="0" t="str">
        <f aca="false">IF(AZ762="","",IF(AZ762&lt;=Assumptions!$I$18,"Below Expectation",IF(AZ762&lt;=Assumptions!$I$19,"Developing",IF(AZ762&lt;=Assumptions!$I$20,"Meets Expectation",IF(AZ762&lt;=Assumptions!$I$21,"Exceeds","Star Performer")))))</f>
        <v>Below Expectation</v>
      </c>
      <c r="BB762" s="0" t="n">
        <f aca="false">IF(AZ762="",0,IF(AZ762&gt;=Assumptions!$I$26,1,0))</f>
        <v>0</v>
      </c>
      <c r="BC762" s="9" t="n">
        <f aca="false">IF(AL762="",2,AL762+2)</f>
        <v>2</v>
      </c>
      <c r="BD762" s="10" t="n">
        <f aca="false">IF(AM762="",ROUND(AVERAGE($AM$2:$AM$921),3),AM762)</f>
        <v>0</v>
      </c>
      <c r="BE762" s="9" t="n">
        <f aca="false">1-BD762</f>
        <v>1</v>
      </c>
    </row>
    <row r="763" customFormat="false" ht="14.25" hidden="true" customHeight="false" outlineLevel="0" collapsed="false">
      <c r="A763" s="4" t="n">
        <v>598</v>
      </c>
      <c r="B763" s="5" t="n">
        <v>55052388</v>
      </c>
      <c r="C763" s="5" t="s">
        <v>85</v>
      </c>
      <c r="D763" s="5" t="s">
        <v>2543</v>
      </c>
      <c r="E763" s="5" t="s">
        <v>315</v>
      </c>
      <c r="F763" s="5" t="s">
        <v>2251</v>
      </c>
      <c r="G763" s="5" t="s">
        <v>2250</v>
      </c>
      <c r="H763" s="5" t="s">
        <v>2251</v>
      </c>
      <c r="I763" s="5" t="s">
        <v>63</v>
      </c>
      <c r="J763" s="5" t="s">
        <v>76</v>
      </c>
      <c r="K763" s="5" t="s">
        <v>309</v>
      </c>
      <c r="L763" s="6" t="n">
        <v>44732</v>
      </c>
      <c r="M763" s="5" t="s">
        <v>2337</v>
      </c>
      <c r="N763" s="6" t="n">
        <v>36892</v>
      </c>
      <c r="O763" s="5" t="s">
        <v>1264</v>
      </c>
      <c r="P763" s="5" t="s">
        <v>1559</v>
      </c>
      <c r="Q763" s="5" t="s">
        <v>345</v>
      </c>
      <c r="R763" s="5" t="s">
        <v>115</v>
      </c>
      <c r="S763" s="5" t="s">
        <v>345</v>
      </c>
      <c r="T763" s="6"/>
      <c r="U763" s="6"/>
      <c r="V763" s="5"/>
      <c r="W763" s="5" t="s">
        <v>631</v>
      </c>
      <c r="X763" s="5" t="s">
        <v>631</v>
      </c>
      <c r="Y763" s="5" t="s">
        <v>631</v>
      </c>
      <c r="Z763" s="5" t="s">
        <v>631</v>
      </c>
      <c r="AA763" s="5" t="s">
        <v>2521</v>
      </c>
      <c r="AB763" s="0" t="n">
        <f aca="false">IFERROR(VALUE(R763),0)</f>
        <v>0</v>
      </c>
      <c r="AC763" s="0" t="n">
        <f aca="false">IFERROR(VALUE(M763),"")</f>
        <v>25.5</v>
      </c>
      <c r="AD763" s="0" t="n">
        <f aca="false">IFERROR(VALUE(Q763),"")</f>
        <v>3.11</v>
      </c>
      <c r="AE763" s="0" t="n">
        <f aca="false">IFERROR(VALUE(S763),"")</f>
        <v>3.11</v>
      </c>
      <c r="AF763" s="0" t="str">
        <f aca="false">IF(V763="","",VLOOKUP(V763,Assumptions!$B$6:$C$9,2,FALSE()))</f>
        <v/>
      </c>
      <c r="AG763" s="0" t="n">
        <f aca="false">IF(W763="","",VLOOKUP(W763,Assumptions!$B$6:$C$9,2,FALSE()))</f>
        <v>2</v>
      </c>
      <c r="AH763" s="0" t="n">
        <f aca="false">IF(X763="","",VLOOKUP(X763,Assumptions!$B$6:$C$9,2,FALSE()))</f>
        <v>2</v>
      </c>
      <c r="AI763" s="0" t="n">
        <f aca="false">IF(Y763="","",VLOOKUP(Y763,Assumptions!$B$6:$C$9,2,FALSE()))</f>
        <v>2</v>
      </c>
      <c r="AJ763" s="0" t="n">
        <f aca="false">IF(Z763="","",VLOOKUP(Z763,Assumptions!$B$6:$C$9,2,FALSE()))</f>
        <v>2</v>
      </c>
      <c r="AK763" s="7" t="n">
        <f aca="false">IFERROR(ROUND(AVERAGE(AF763:AJ763),3),"")</f>
        <v>2</v>
      </c>
      <c r="AL763" s="7" t="str">
        <f aca="false">IF(OR(AF763="",AJ763=""),"",AJ763-AF763)</f>
        <v/>
      </c>
      <c r="AM763" s="7" t="n">
        <f aca="false">IF(COUNT(AF763:AJ763)&gt;=2,ROUND(_xlfn.STDEV.S(AF763:AJ763),3),"")</f>
        <v>0</v>
      </c>
      <c r="AN763" s="7" t="n">
        <f aca="false">ROUND((IF(AF763="",0,AF763)*Assumptions!$F$15)+(IF(AG763="",0,AG763)*Assumptions!$F$16)+(IF(AH763="",0,AH763)*Assumptions!$F$17)+(IF(AI763="",0,AI763)*Assumptions!$F$18)+(IF(AJ763="",0,AJ763)*Assumptions!$F$19),3)</f>
        <v>1.8</v>
      </c>
      <c r="AO763" s="0" t="str">
        <f aca="false">IF(AC763&lt;=20,"",IF(AC763&lt;=Assumptions!$F$6,"20-30",IF(AC763&lt;=Assumptions!$F$7,"30-40",IF(AC763&lt;=Assumptions!$F$8,"40-50",IF(AC763&lt;=Assumptions!$F$9,"50-60",IF(AC763&lt;=Assumptions!$F$10,"60+",""))))))</f>
        <v>20-30</v>
      </c>
      <c r="AP763" s="0" t="str">
        <f aca="false">IFERROR(VLOOKUP(O763,Assumptions!$B$14:$C$26,2,FALSE()),"Other")</f>
        <v>Manager</v>
      </c>
      <c r="AQ763" s="0" t="n">
        <f aca="false">IF(T763="",0,1)</f>
        <v>0</v>
      </c>
      <c r="AR763" s="0" t="n">
        <f aca="false">IF(U763="",0,1)</f>
        <v>0</v>
      </c>
      <c r="AS763" s="8" t="n">
        <f aca="false">IF(AK763="","",IF(MAX($AK$2:$AK$921)=MIN($AK$2:$AK$921),50,ROUND((AK763-MIN($AK$2:$AK$921))/(MAX($AK$2:$AK$921)-MIN($AK$2:$AK$921))*100,2)))</f>
        <v>14.27</v>
      </c>
      <c r="AT763" s="8" t="n">
        <f aca="false">IF(MAX($BC$2:$BC$921)=MIN($BC$2:$BC$921),50,ROUND((BC763-MIN($BC$2:$BC$921))/(MAX($BC$2:$BC$921)-MIN($BC$2:$BC$921))*100,2))</f>
        <v>50</v>
      </c>
      <c r="AU763" s="8" t="n">
        <f aca="false">IF(MAX($BE$2:$BE$921)=MIN($BE$2:$BE$921),50,ROUND((BE763-MIN($BE$2:$BE$921))/(MAX($BE$2:$BE$921)-MIN($BE$2:$BE$921))*100,2))</f>
        <v>100</v>
      </c>
      <c r="AV763" s="8" t="n">
        <f aca="false">IF(MAX($AD$2:$AD$921)=MIN($AD$2:$AD$921),50,ROUND((AD763-MIN($AD$2:$AD$921))/(MAX($AD$2:$AD$921)-MIN($AD$2:$AD$921))*100,2))</f>
        <v>8.15</v>
      </c>
      <c r="AW763" s="8" t="n">
        <f aca="false">IF(MAX($AN$2:$AN$921)=MIN($AN$2:$AN$921),50,ROUND((AN763-MIN($AN$2:$AN$921))/(MAX($AN$2:$AN$921)-MIN($AN$2:$AN$921))*100,2))</f>
        <v>45</v>
      </c>
      <c r="AX763" s="8" t="n">
        <f aca="false">AQ763*100</f>
        <v>0</v>
      </c>
      <c r="AY763" s="8" t="n">
        <f aca="false">AR763*100</f>
        <v>0</v>
      </c>
      <c r="AZ763" s="8" t="n">
        <f aca="false">IFERROR(ROUND(AS763*Assumptions!$I$6+AW763*Assumptions!$I$7+AT763*Assumptions!$I$8+AU763*Assumptions!$I$9+AV763*Assumptions!$I$10+AX763*Assumptions!$I$11+AY763*Assumptions!$I$12,2),"")</f>
        <v>36.6</v>
      </c>
      <c r="BA763" s="0" t="str">
        <f aca="false">IF(AZ763="","",IF(AZ763&lt;=Assumptions!$I$18,"Below Expectation",IF(AZ763&lt;=Assumptions!$I$19,"Developing",IF(AZ763&lt;=Assumptions!$I$20,"Meets Expectation",IF(AZ763&lt;=Assumptions!$I$21,"Exceeds","Star Performer")))))</f>
        <v>Below Expectation</v>
      </c>
      <c r="BB763" s="0" t="n">
        <f aca="false">IF(AZ763="",0,IF(AZ763&gt;=Assumptions!$I$26,1,0))</f>
        <v>0</v>
      </c>
      <c r="BC763" s="9" t="n">
        <f aca="false">IF(AL763="",2,AL763+2)</f>
        <v>2</v>
      </c>
      <c r="BD763" s="10" t="n">
        <f aca="false">IF(AM763="",ROUND(AVERAGE($AM$2:$AM$921),3),AM763)</f>
        <v>0</v>
      </c>
      <c r="BE763" s="9" t="n">
        <f aca="false">1-BD763</f>
        <v>1</v>
      </c>
    </row>
    <row r="764" customFormat="false" ht="14.25" hidden="true" customHeight="false" outlineLevel="0" collapsed="false">
      <c r="A764" s="4" t="n">
        <v>599</v>
      </c>
      <c r="B764" s="5" t="n">
        <v>55052411</v>
      </c>
      <c r="C764" s="5" t="s">
        <v>85</v>
      </c>
      <c r="D764" s="5" t="s">
        <v>2544</v>
      </c>
      <c r="E764" s="5" t="s">
        <v>315</v>
      </c>
      <c r="F764" s="5" t="s">
        <v>2251</v>
      </c>
      <c r="G764" s="5" t="s">
        <v>2250</v>
      </c>
      <c r="H764" s="5" t="s">
        <v>2251</v>
      </c>
      <c r="I764" s="5" t="s">
        <v>63</v>
      </c>
      <c r="J764" s="5" t="s">
        <v>76</v>
      </c>
      <c r="K764" s="5" t="s">
        <v>309</v>
      </c>
      <c r="L764" s="6" t="n">
        <v>44732</v>
      </c>
      <c r="M764" s="5" t="s">
        <v>910</v>
      </c>
      <c r="N764" s="6" t="n">
        <v>37062</v>
      </c>
      <c r="O764" s="5" t="s">
        <v>1264</v>
      </c>
      <c r="P764" s="5" t="s">
        <v>1559</v>
      </c>
      <c r="Q764" s="5" t="s">
        <v>345</v>
      </c>
      <c r="R764" s="5" t="s">
        <v>115</v>
      </c>
      <c r="S764" s="5" t="s">
        <v>345</v>
      </c>
      <c r="T764" s="6"/>
      <c r="U764" s="6"/>
      <c r="V764" s="5"/>
      <c r="W764" s="5" t="s">
        <v>631</v>
      </c>
      <c r="X764" s="5" t="s">
        <v>631</v>
      </c>
      <c r="Y764" s="5" t="s">
        <v>631</v>
      </c>
      <c r="Z764" s="5" t="s">
        <v>631</v>
      </c>
      <c r="AA764" s="5" t="s">
        <v>2472</v>
      </c>
      <c r="AB764" s="0" t="n">
        <f aca="false">IFERROR(VALUE(R764),0)</f>
        <v>0</v>
      </c>
      <c r="AC764" s="0" t="n">
        <f aca="false">IFERROR(VALUE(M764),"")</f>
        <v>24.11</v>
      </c>
      <c r="AD764" s="0" t="n">
        <f aca="false">IFERROR(VALUE(Q764),"")</f>
        <v>3.11</v>
      </c>
      <c r="AE764" s="0" t="n">
        <f aca="false">IFERROR(VALUE(S764),"")</f>
        <v>3.11</v>
      </c>
      <c r="AF764" s="0" t="str">
        <f aca="false">IF(V764="","",VLOOKUP(V764,Assumptions!$B$6:$C$9,2,FALSE()))</f>
        <v/>
      </c>
      <c r="AG764" s="0" t="n">
        <f aca="false">IF(W764="","",VLOOKUP(W764,Assumptions!$B$6:$C$9,2,FALSE()))</f>
        <v>2</v>
      </c>
      <c r="AH764" s="0" t="n">
        <f aca="false">IF(X764="","",VLOOKUP(X764,Assumptions!$B$6:$C$9,2,FALSE()))</f>
        <v>2</v>
      </c>
      <c r="AI764" s="0" t="n">
        <f aca="false">IF(Y764="","",VLOOKUP(Y764,Assumptions!$B$6:$C$9,2,FALSE()))</f>
        <v>2</v>
      </c>
      <c r="AJ764" s="0" t="n">
        <f aca="false">IF(Z764="","",VLOOKUP(Z764,Assumptions!$B$6:$C$9,2,FALSE()))</f>
        <v>2</v>
      </c>
      <c r="AK764" s="7" t="n">
        <f aca="false">IFERROR(ROUND(AVERAGE(AF764:AJ764),3),"")</f>
        <v>2</v>
      </c>
      <c r="AL764" s="7" t="str">
        <f aca="false">IF(OR(AF764="",AJ764=""),"",AJ764-AF764)</f>
        <v/>
      </c>
      <c r="AM764" s="7" t="n">
        <f aca="false">IF(COUNT(AF764:AJ764)&gt;=2,ROUND(_xlfn.STDEV.S(AF764:AJ764),3),"")</f>
        <v>0</v>
      </c>
      <c r="AN764" s="7" t="n">
        <f aca="false">ROUND((IF(AF764="",0,AF764)*Assumptions!$F$15)+(IF(AG764="",0,AG764)*Assumptions!$F$16)+(IF(AH764="",0,AH764)*Assumptions!$F$17)+(IF(AI764="",0,AI764)*Assumptions!$F$18)+(IF(AJ764="",0,AJ764)*Assumptions!$F$19),3)</f>
        <v>1.8</v>
      </c>
      <c r="AO764" s="0" t="str">
        <f aca="false">IF(AC764&lt;=20,"",IF(AC764&lt;=Assumptions!$F$6,"20-30",IF(AC764&lt;=Assumptions!$F$7,"30-40",IF(AC764&lt;=Assumptions!$F$8,"40-50",IF(AC764&lt;=Assumptions!$F$9,"50-60",IF(AC764&lt;=Assumptions!$F$10,"60+",""))))))</f>
        <v>20-30</v>
      </c>
      <c r="AP764" s="0" t="str">
        <f aca="false">IFERROR(VLOOKUP(O764,Assumptions!$B$14:$C$26,2,FALSE()),"Other")</f>
        <v>Manager</v>
      </c>
      <c r="AQ764" s="0" t="n">
        <f aca="false">IF(T764="",0,1)</f>
        <v>0</v>
      </c>
      <c r="AR764" s="0" t="n">
        <f aca="false">IF(U764="",0,1)</f>
        <v>0</v>
      </c>
      <c r="AS764" s="8" t="n">
        <f aca="false">IF(AK764="","",IF(MAX($AK$2:$AK$921)=MIN($AK$2:$AK$921),50,ROUND((AK764-MIN($AK$2:$AK$921))/(MAX($AK$2:$AK$921)-MIN($AK$2:$AK$921))*100,2)))</f>
        <v>14.27</v>
      </c>
      <c r="AT764" s="8" t="n">
        <f aca="false">IF(MAX($BC$2:$BC$921)=MIN($BC$2:$BC$921),50,ROUND((BC764-MIN($BC$2:$BC$921))/(MAX($BC$2:$BC$921)-MIN($BC$2:$BC$921))*100,2))</f>
        <v>50</v>
      </c>
      <c r="AU764" s="8" t="n">
        <f aca="false">IF(MAX($BE$2:$BE$921)=MIN($BE$2:$BE$921),50,ROUND((BE764-MIN($BE$2:$BE$921))/(MAX($BE$2:$BE$921)-MIN($BE$2:$BE$921))*100,2))</f>
        <v>100</v>
      </c>
      <c r="AV764" s="8" t="n">
        <f aca="false">IF(MAX($AD$2:$AD$921)=MIN($AD$2:$AD$921),50,ROUND((AD764-MIN($AD$2:$AD$921))/(MAX($AD$2:$AD$921)-MIN($AD$2:$AD$921))*100,2))</f>
        <v>8.15</v>
      </c>
      <c r="AW764" s="8" t="n">
        <f aca="false">IF(MAX($AN$2:$AN$921)=MIN($AN$2:$AN$921),50,ROUND((AN764-MIN($AN$2:$AN$921))/(MAX($AN$2:$AN$921)-MIN($AN$2:$AN$921))*100,2))</f>
        <v>45</v>
      </c>
      <c r="AX764" s="8" t="n">
        <f aca="false">AQ764*100</f>
        <v>0</v>
      </c>
      <c r="AY764" s="8" t="n">
        <f aca="false">AR764*100</f>
        <v>0</v>
      </c>
      <c r="AZ764" s="8" t="n">
        <f aca="false">IFERROR(ROUND(AS764*Assumptions!$I$6+AW764*Assumptions!$I$7+AT764*Assumptions!$I$8+AU764*Assumptions!$I$9+AV764*Assumptions!$I$10+AX764*Assumptions!$I$11+AY764*Assumptions!$I$12,2),"")</f>
        <v>36.6</v>
      </c>
      <c r="BA764" s="0" t="str">
        <f aca="false">IF(AZ764="","",IF(AZ764&lt;=Assumptions!$I$18,"Below Expectation",IF(AZ764&lt;=Assumptions!$I$19,"Developing",IF(AZ764&lt;=Assumptions!$I$20,"Meets Expectation",IF(AZ764&lt;=Assumptions!$I$21,"Exceeds","Star Performer")))))</f>
        <v>Below Expectation</v>
      </c>
      <c r="BB764" s="0" t="n">
        <f aca="false">IF(AZ764="",0,IF(AZ764&gt;=Assumptions!$I$26,1,0))</f>
        <v>0</v>
      </c>
      <c r="BC764" s="9" t="n">
        <f aca="false">IF(AL764="",2,AL764+2)</f>
        <v>2</v>
      </c>
      <c r="BD764" s="10" t="n">
        <f aca="false">IF(AM764="",ROUND(AVERAGE($AM$2:$AM$921),3),AM764)</f>
        <v>0</v>
      </c>
      <c r="BE764" s="9" t="n">
        <f aca="false">1-BD764</f>
        <v>1</v>
      </c>
    </row>
    <row r="765" customFormat="false" ht="14.25" hidden="false" customHeight="false" outlineLevel="0" collapsed="false">
      <c r="A765" s="4" t="n">
        <v>602</v>
      </c>
      <c r="B765" s="5" t="n">
        <v>55052819</v>
      </c>
      <c r="C765" s="5" t="s">
        <v>106</v>
      </c>
      <c r="D765" s="5" t="s">
        <v>2545</v>
      </c>
      <c r="E765" s="5" t="s">
        <v>108</v>
      </c>
      <c r="F765" s="5" t="s">
        <v>2251</v>
      </c>
      <c r="G765" s="5" t="s">
        <v>2250</v>
      </c>
      <c r="H765" s="5" t="s">
        <v>2251</v>
      </c>
      <c r="I765" s="5" t="s">
        <v>63</v>
      </c>
      <c r="J765" s="5" t="s">
        <v>112</v>
      </c>
      <c r="K765" s="5" t="s">
        <v>309</v>
      </c>
      <c r="L765" s="6" t="n">
        <v>44739</v>
      </c>
      <c r="M765" s="5" t="s">
        <v>621</v>
      </c>
      <c r="N765" s="6" t="n">
        <v>37360</v>
      </c>
      <c r="O765" s="5" t="s">
        <v>1264</v>
      </c>
      <c r="P765" s="5" t="s">
        <v>1559</v>
      </c>
      <c r="Q765" s="5" t="s">
        <v>345</v>
      </c>
      <c r="R765" s="5" t="s">
        <v>115</v>
      </c>
      <c r="S765" s="5" t="s">
        <v>345</v>
      </c>
      <c r="T765" s="6"/>
      <c r="U765" s="6"/>
      <c r="V765" s="5"/>
      <c r="W765" s="5" t="s">
        <v>631</v>
      </c>
      <c r="X765" s="5" t="s">
        <v>631</v>
      </c>
      <c r="Y765" s="5" t="s">
        <v>631</v>
      </c>
      <c r="Z765" s="5" t="s">
        <v>631</v>
      </c>
      <c r="AA765" s="5" t="s">
        <v>2472</v>
      </c>
      <c r="AB765" s="0" t="n">
        <f aca="false">IFERROR(VALUE(R765),0)</f>
        <v>0</v>
      </c>
      <c r="AC765" s="0" t="n">
        <f aca="false">IFERROR(VALUE(M765),"")</f>
        <v>24.1</v>
      </c>
      <c r="AD765" s="0" t="n">
        <f aca="false">IFERROR(VALUE(Q765),"")</f>
        <v>3.11</v>
      </c>
      <c r="AE765" s="0" t="n">
        <f aca="false">IFERROR(VALUE(S765),"")</f>
        <v>3.11</v>
      </c>
      <c r="AF765" s="0" t="str">
        <f aca="false">IF(V765="","",VLOOKUP(V765,Assumptions!$B$6:$C$9,2,FALSE()))</f>
        <v/>
      </c>
      <c r="AG765" s="0" t="n">
        <f aca="false">IF(W765="","",VLOOKUP(W765,Assumptions!$B$6:$C$9,2,FALSE()))</f>
        <v>2</v>
      </c>
      <c r="AH765" s="0" t="n">
        <f aca="false">IF(X765="","",VLOOKUP(X765,Assumptions!$B$6:$C$9,2,FALSE()))</f>
        <v>2</v>
      </c>
      <c r="AI765" s="0" t="n">
        <f aca="false">IF(Y765="","",VLOOKUP(Y765,Assumptions!$B$6:$C$9,2,FALSE()))</f>
        <v>2</v>
      </c>
      <c r="AJ765" s="0" t="n">
        <f aca="false">IF(Z765="","",VLOOKUP(Z765,Assumptions!$B$6:$C$9,2,FALSE()))</f>
        <v>2</v>
      </c>
      <c r="AK765" s="7" t="n">
        <f aca="false">IFERROR(ROUND(AVERAGE(AF765:AJ765),3),"")</f>
        <v>2</v>
      </c>
      <c r="AL765" s="7" t="str">
        <f aca="false">IF(OR(AF765="",AJ765=""),"",AJ765-AF765)</f>
        <v/>
      </c>
      <c r="AM765" s="7" t="n">
        <f aca="false">IF(COUNT(AF765:AJ765)&gt;=2,ROUND(_xlfn.STDEV.S(AF765:AJ765),3),"")</f>
        <v>0</v>
      </c>
      <c r="AN765" s="7" t="n">
        <f aca="false">ROUND((IF(AF765="",0,AF765)*Assumptions!$F$15)+(IF(AG765="",0,AG765)*Assumptions!$F$16)+(IF(AH765="",0,AH765)*Assumptions!$F$17)+(IF(AI765="",0,AI765)*Assumptions!$F$18)+(IF(AJ765="",0,AJ765)*Assumptions!$F$19),3)</f>
        <v>1.8</v>
      </c>
      <c r="AO765" s="0" t="str">
        <f aca="false">IF(AC765&lt;=20,"",IF(AC765&lt;=Assumptions!$F$6,"20-30",IF(AC765&lt;=Assumptions!$F$7,"30-40",IF(AC765&lt;=Assumptions!$F$8,"40-50",IF(AC765&lt;=Assumptions!$F$9,"50-60",IF(AC765&lt;=Assumptions!$F$10,"60+",""))))))</f>
        <v>20-30</v>
      </c>
      <c r="AP765" s="0" t="str">
        <f aca="false">IFERROR(VLOOKUP(O765,Assumptions!$B$14:$C$26,2,FALSE()),"Other")</f>
        <v>Manager</v>
      </c>
      <c r="AQ765" s="0" t="n">
        <f aca="false">IF(T765="",0,1)</f>
        <v>0</v>
      </c>
      <c r="AR765" s="0" t="n">
        <f aca="false">IF(U765="",0,1)</f>
        <v>0</v>
      </c>
      <c r="AS765" s="8" t="n">
        <f aca="false">IF(AK765="","",IF(MAX($AK$2:$AK$921)=MIN($AK$2:$AK$921),50,ROUND((AK765-MIN($AK$2:$AK$921))/(MAX($AK$2:$AK$921)-MIN($AK$2:$AK$921))*100,2)))</f>
        <v>14.27</v>
      </c>
      <c r="AT765" s="8" t="n">
        <f aca="false">IF(MAX($BC$2:$BC$921)=MIN($BC$2:$BC$921),50,ROUND((BC765-MIN($BC$2:$BC$921))/(MAX($BC$2:$BC$921)-MIN($BC$2:$BC$921))*100,2))</f>
        <v>50</v>
      </c>
      <c r="AU765" s="8" t="n">
        <f aca="false">IF(MAX($BE$2:$BE$921)=MIN($BE$2:$BE$921),50,ROUND((BE765-MIN($BE$2:$BE$921))/(MAX($BE$2:$BE$921)-MIN($BE$2:$BE$921))*100,2))</f>
        <v>100</v>
      </c>
      <c r="AV765" s="8" t="n">
        <f aca="false">IF(MAX($AD$2:$AD$921)=MIN($AD$2:$AD$921),50,ROUND((AD765-MIN($AD$2:$AD$921))/(MAX($AD$2:$AD$921)-MIN($AD$2:$AD$921))*100,2))</f>
        <v>8.15</v>
      </c>
      <c r="AW765" s="8" t="n">
        <f aca="false">IF(MAX($AN$2:$AN$921)=MIN($AN$2:$AN$921),50,ROUND((AN765-MIN($AN$2:$AN$921))/(MAX($AN$2:$AN$921)-MIN($AN$2:$AN$921))*100,2))</f>
        <v>45</v>
      </c>
      <c r="AX765" s="8" t="n">
        <f aca="false">AQ765*100</f>
        <v>0</v>
      </c>
      <c r="AY765" s="8" t="n">
        <f aca="false">AR765*100</f>
        <v>0</v>
      </c>
      <c r="AZ765" s="8" t="n">
        <f aca="false">IFERROR(ROUND(AS765*Assumptions!$I$6+AW765*Assumptions!$I$7+AT765*Assumptions!$I$8+AU765*Assumptions!$I$9+AV765*Assumptions!$I$10+AX765*Assumptions!$I$11+AY765*Assumptions!$I$12,2),"")</f>
        <v>36.6</v>
      </c>
      <c r="BA765" s="0" t="str">
        <f aca="false">IF(AZ765="","",IF(AZ765&lt;=Assumptions!$I$18,"Below Expectation",IF(AZ765&lt;=Assumptions!$I$19,"Developing",IF(AZ765&lt;=Assumptions!$I$20,"Meets Expectation",IF(AZ765&lt;=Assumptions!$I$21,"Exceeds","Star Performer")))))</f>
        <v>Below Expectation</v>
      </c>
      <c r="BB765" s="0" t="n">
        <f aca="false">IF(AZ765="",0,IF(AZ765&gt;=Assumptions!$I$26,1,0))</f>
        <v>0</v>
      </c>
      <c r="BC765" s="9" t="n">
        <f aca="false">IF(AL765="",2,AL765+2)</f>
        <v>2</v>
      </c>
      <c r="BD765" s="10" t="n">
        <f aca="false">IF(AM765="",ROUND(AVERAGE($AM$2:$AM$921),3),AM765)</f>
        <v>0</v>
      </c>
      <c r="BE765" s="9" t="n">
        <f aca="false">1-BD765</f>
        <v>1</v>
      </c>
    </row>
    <row r="766" customFormat="false" ht="14.25" hidden="false" customHeight="false" outlineLevel="0" collapsed="false">
      <c r="A766" s="4" t="n">
        <v>604</v>
      </c>
      <c r="B766" s="5" t="n">
        <v>55052830</v>
      </c>
      <c r="C766" s="5" t="s">
        <v>106</v>
      </c>
      <c r="D766" s="5" t="s">
        <v>2546</v>
      </c>
      <c r="E766" s="5" t="s">
        <v>108</v>
      </c>
      <c r="F766" s="5" t="s">
        <v>590</v>
      </c>
      <c r="G766" s="5" t="s">
        <v>2250</v>
      </c>
      <c r="H766" s="5" t="s">
        <v>2251</v>
      </c>
      <c r="I766" s="5" t="s">
        <v>63</v>
      </c>
      <c r="J766" s="5" t="s">
        <v>112</v>
      </c>
      <c r="K766" s="5" t="s">
        <v>309</v>
      </c>
      <c r="L766" s="6" t="n">
        <v>44739</v>
      </c>
      <c r="M766" s="5" t="s">
        <v>984</v>
      </c>
      <c r="N766" s="6" t="n">
        <v>37204</v>
      </c>
      <c r="O766" s="5" t="s">
        <v>1264</v>
      </c>
      <c r="P766" s="5" t="s">
        <v>1559</v>
      </c>
      <c r="Q766" s="5" t="s">
        <v>345</v>
      </c>
      <c r="R766" s="5" t="s">
        <v>115</v>
      </c>
      <c r="S766" s="5" t="s">
        <v>345</v>
      </c>
      <c r="T766" s="6"/>
      <c r="U766" s="6"/>
      <c r="V766" s="5"/>
      <c r="W766" s="5" t="s">
        <v>631</v>
      </c>
      <c r="X766" s="5" t="s">
        <v>631</v>
      </c>
      <c r="Y766" s="5" t="s">
        <v>631</v>
      </c>
      <c r="Z766" s="5" t="s">
        <v>631</v>
      </c>
      <c r="AA766" s="5" t="s">
        <v>2535</v>
      </c>
      <c r="AB766" s="0" t="n">
        <f aca="false">IFERROR(VALUE(R766),0)</f>
        <v>0</v>
      </c>
      <c r="AC766" s="0" t="n">
        <f aca="false">IFERROR(VALUE(M766),"")</f>
        <v>24.6</v>
      </c>
      <c r="AD766" s="0" t="n">
        <f aca="false">IFERROR(VALUE(Q766),"")</f>
        <v>3.11</v>
      </c>
      <c r="AE766" s="0" t="n">
        <f aca="false">IFERROR(VALUE(S766),"")</f>
        <v>3.11</v>
      </c>
      <c r="AF766" s="0" t="str">
        <f aca="false">IF(V766="","",VLOOKUP(V766,Assumptions!$B$6:$C$9,2,FALSE()))</f>
        <v/>
      </c>
      <c r="AG766" s="0" t="n">
        <f aca="false">IF(W766="","",VLOOKUP(W766,Assumptions!$B$6:$C$9,2,FALSE()))</f>
        <v>2</v>
      </c>
      <c r="AH766" s="0" t="n">
        <f aca="false">IF(X766="","",VLOOKUP(X766,Assumptions!$B$6:$C$9,2,FALSE()))</f>
        <v>2</v>
      </c>
      <c r="AI766" s="0" t="n">
        <f aca="false">IF(Y766="","",VLOOKUP(Y766,Assumptions!$B$6:$C$9,2,FALSE()))</f>
        <v>2</v>
      </c>
      <c r="AJ766" s="0" t="n">
        <f aca="false">IF(Z766="","",VLOOKUP(Z766,Assumptions!$B$6:$C$9,2,FALSE()))</f>
        <v>2</v>
      </c>
      <c r="AK766" s="7" t="n">
        <f aca="false">IFERROR(ROUND(AVERAGE(AF766:AJ766),3),"")</f>
        <v>2</v>
      </c>
      <c r="AL766" s="7" t="str">
        <f aca="false">IF(OR(AF766="",AJ766=""),"",AJ766-AF766)</f>
        <v/>
      </c>
      <c r="AM766" s="7" t="n">
        <f aca="false">IF(COUNT(AF766:AJ766)&gt;=2,ROUND(_xlfn.STDEV.S(AF766:AJ766),3),"")</f>
        <v>0</v>
      </c>
      <c r="AN766" s="7" t="n">
        <f aca="false">ROUND((IF(AF766="",0,AF766)*Assumptions!$F$15)+(IF(AG766="",0,AG766)*Assumptions!$F$16)+(IF(AH766="",0,AH766)*Assumptions!$F$17)+(IF(AI766="",0,AI766)*Assumptions!$F$18)+(IF(AJ766="",0,AJ766)*Assumptions!$F$19),3)</f>
        <v>1.8</v>
      </c>
      <c r="AO766" s="0" t="str">
        <f aca="false">IF(AC766&lt;=20,"",IF(AC766&lt;=Assumptions!$F$6,"20-30",IF(AC766&lt;=Assumptions!$F$7,"30-40",IF(AC766&lt;=Assumptions!$F$8,"40-50",IF(AC766&lt;=Assumptions!$F$9,"50-60",IF(AC766&lt;=Assumptions!$F$10,"60+",""))))))</f>
        <v>20-30</v>
      </c>
      <c r="AP766" s="0" t="str">
        <f aca="false">IFERROR(VLOOKUP(O766,Assumptions!$B$14:$C$26,2,FALSE()),"Other")</f>
        <v>Manager</v>
      </c>
      <c r="AQ766" s="0" t="n">
        <f aca="false">IF(T766="",0,1)</f>
        <v>0</v>
      </c>
      <c r="AR766" s="0" t="n">
        <f aca="false">IF(U766="",0,1)</f>
        <v>0</v>
      </c>
      <c r="AS766" s="8" t="n">
        <f aca="false">IF(AK766="","",IF(MAX($AK$2:$AK$921)=MIN($AK$2:$AK$921),50,ROUND((AK766-MIN($AK$2:$AK$921))/(MAX($AK$2:$AK$921)-MIN($AK$2:$AK$921))*100,2)))</f>
        <v>14.27</v>
      </c>
      <c r="AT766" s="8" t="n">
        <f aca="false">IF(MAX($BC$2:$BC$921)=MIN($BC$2:$BC$921),50,ROUND((BC766-MIN($BC$2:$BC$921))/(MAX($BC$2:$BC$921)-MIN($BC$2:$BC$921))*100,2))</f>
        <v>50</v>
      </c>
      <c r="AU766" s="8" t="n">
        <f aca="false">IF(MAX($BE$2:$BE$921)=MIN($BE$2:$BE$921),50,ROUND((BE766-MIN($BE$2:$BE$921))/(MAX($BE$2:$BE$921)-MIN($BE$2:$BE$921))*100,2))</f>
        <v>100</v>
      </c>
      <c r="AV766" s="8" t="n">
        <f aca="false">IF(MAX($AD$2:$AD$921)=MIN($AD$2:$AD$921),50,ROUND((AD766-MIN($AD$2:$AD$921))/(MAX($AD$2:$AD$921)-MIN($AD$2:$AD$921))*100,2))</f>
        <v>8.15</v>
      </c>
      <c r="AW766" s="8" t="n">
        <f aca="false">IF(MAX($AN$2:$AN$921)=MIN($AN$2:$AN$921),50,ROUND((AN766-MIN($AN$2:$AN$921))/(MAX($AN$2:$AN$921)-MIN($AN$2:$AN$921))*100,2))</f>
        <v>45</v>
      </c>
      <c r="AX766" s="8" t="n">
        <f aca="false">AQ766*100</f>
        <v>0</v>
      </c>
      <c r="AY766" s="8" t="n">
        <f aca="false">AR766*100</f>
        <v>0</v>
      </c>
      <c r="AZ766" s="8" t="n">
        <f aca="false">IFERROR(ROUND(AS766*Assumptions!$I$6+AW766*Assumptions!$I$7+AT766*Assumptions!$I$8+AU766*Assumptions!$I$9+AV766*Assumptions!$I$10+AX766*Assumptions!$I$11+AY766*Assumptions!$I$12,2),"")</f>
        <v>36.6</v>
      </c>
      <c r="BA766" s="0" t="str">
        <f aca="false">IF(AZ766="","",IF(AZ766&lt;=Assumptions!$I$18,"Below Expectation",IF(AZ766&lt;=Assumptions!$I$19,"Developing",IF(AZ766&lt;=Assumptions!$I$20,"Meets Expectation",IF(AZ766&lt;=Assumptions!$I$21,"Exceeds","Star Performer")))))</f>
        <v>Below Expectation</v>
      </c>
      <c r="BB766" s="0" t="n">
        <f aca="false">IF(AZ766="",0,IF(AZ766&gt;=Assumptions!$I$26,1,0))</f>
        <v>0</v>
      </c>
      <c r="BC766" s="9" t="n">
        <f aca="false">IF(AL766="",2,AL766+2)</f>
        <v>2</v>
      </c>
      <c r="BD766" s="10" t="n">
        <f aca="false">IF(AM766="",ROUND(AVERAGE($AM$2:$AM$921),3),AM766)</f>
        <v>0</v>
      </c>
      <c r="BE766" s="9" t="n">
        <f aca="false">1-BD766</f>
        <v>1</v>
      </c>
    </row>
    <row r="767" customFormat="false" ht="14.25" hidden="true" customHeight="false" outlineLevel="0" collapsed="false">
      <c r="A767" s="4" t="n">
        <v>629</v>
      </c>
      <c r="B767" s="5" t="n">
        <v>55055027</v>
      </c>
      <c r="C767" s="5" t="s">
        <v>85</v>
      </c>
      <c r="D767" s="5" t="s">
        <v>2547</v>
      </c>
      <c r="E767" s="5" t="s">
        <v>235</v>
      </c>
      <c r="F767" s="5" t="s">
        <v>590</v>
      </c>
      <c r="G767" s="5" t="s">
        <v>589</v>
      </c>
      <c r="H767" s="5" t="s">
        <v>590</v>
      </c>
      <c r="I767" s="5" t="s">
        <v>63</v>
      </c>
      <c r="J767" s="5" t="s">
        <v>76</v>
      </c>
      <c r="K767" s="5" t="s">
        <v>309</v>
      </c>
      <c r="L767" s="6" t="n">
        <v>44770</v>
      </c>
      <c r="M767" s="5" t="s">
        <v>1693</v>
      </c>
      <c r="N767" s="6" t="n">
        <v>36684</v>
      </c>
      <c r="O767" s="5" t="s">
        <v>1264</v>
      </c>
      <c r="P767" s="5" t="s">
        <v>1559</v>
      </c>
      <c r="Q767" s="5" t="s">
        <v>591</v>
      </c>
      <c r="R767" s="5" t="s">
        <v>115</v>
      </c>
      <c r="S767" s="5" t="s">
        <v>591</v>
      </c>
      <c r="T767" s="6"/>
      <c r="U767" s="6"/>
      <c r="V767" s="5"/>
      <c r="W767" s="5" t="s">
        <v>631</v>
      </c>
      <c r="X767" s="5" t="s">
        <v>631</v>
      </c>
      <c r="Y767" s="5" t="s">
        <v>631</v>
      </c>
      <c r="Z767" s="5" t="s">
        <v>631</v>
      </c>
      <c r="AA767" s="5" t="s">
        <v>2548</v>
      </c>
      <c r="AB767" s="0" t="n">
        <f aca="false">IFERROR(VALUE(R767),0)</f>
        <v>0</v>
      </c>
      <c r="AC767" s="0" t="n">
        <f aca="false">IFERROR(VALUE(M767),"")</f>
        <v>26</v>
      </c>
      <c r="AD767" s="0" t="n">
        <f aca="false">IFERROR(VALUE(Q767),"")</f>
        <v>3.1</v>
      </c>
      <c r="AE767" s="0" t="n">
        <f aca="false">IFERROR(VALUE(S767),"")</f>
        <v>3.1</v>
      </c>
      <c r="AF767" s="0" t="str">
        <f aca="false">IF(V767="","",VLOOKUP(V767,Assumptions!$B$6:$C$9,2,FALSE()))</f>
        <v/>
      </c>
      <c r="AG767" s="0" t="n">
        <f aca="false">IF(W767="","",VLOOKUP(W767,Assumptions!$B$6:$C$9,2,FALSE()))</f>
        <v>2</v>
      </c>
      <c r="AH767" s="0" t="n">
        <f aca="false">IF(X767="","",VLOOKUP(X767,Assumptions!$B$6:$C$9,2,FALSE()))</f>
        <v>2</v>
      </c>
      <c r="AI767" s="0" t="n">
        <f aca="false">IF(Y767="","",VLOOKUP(Y767,Assumptions!$B$6:$C$9,2,FALSE()))</f>
        <v>2</v>
      </c>
      <c r="AJ767" s="0" t="n">
        <f aca="false">IF(Z767="","",VLOOKUP(Z767,Assumptions!$B$6:$C$9,2,FALSE()))</f>
        <v>2</v>
      </c>
      <c r="AK767" s="7" t="n">
        <f aca="false">IFERROR(ROUND(AVERAGE(AF767:AJ767),3),"")</f>
        <v>2</v>
      </c>
      <c r="AL767" s="7" t="str">
        <f aca="false">IF(OR(AF767="",AJ767=""),"",AJ767-AF767)</f>
        <v/>
      </c>
      <c r="AM767" s="7" t="n">
        <f aca="false">IF(COUNT(AF767:AJ767)&gt;=2,ROUND(_xlfn.STDEV.S(AF767:AJ767),3),"")</f>
        <v>0</v>
      </c>
      <c r="AN767" s="7" t="n">
        <f aca="false">ROUND((IF(AF767="",0,AF767)*Assumptions!$F$15)+(IF(AG767="",0,AG767)*Assumptions!$F$16)+(IF(AH767="",0,AH767)*Assumptions!$F$17)+(IF(AI767="",0,AI767)*Assumptions!$F$18)+(IF(AJ767="",0,AJ767)*Assumptions!$F$19),3)</f>
        <v>1.8</v>
      </c>
      <c r="AO767" s="0" t="str">
        <f aca="false">IF(AC767&lt;=20,"",IF(AC767&lt;=Assumptions!$F$6,"20-30",IF(AC767&lt;=Assumptions!$F$7,"30-40",IF(AC767&lt;=Assumptions!$F$8,"40-50",IF(AC767&lt;=Assumptions!$F$9,"50-60",IF(AC767&lt;=Assumptions!$F$10,"60+",""))))))</f>
        <v>20-30</v>
      </c>
      <c r="AP767" s="0" t="str">
        <f aca="false">IFERROR(VLOOKUP(O767,Assumptions!$B$14:$C$26,2,FALSE()),"Other")</f>
        <v>Manager</v>
      </c>
      <c r="AQ767" s="0" t="n">
        <f aca="false">IF(T767="",0,1)</f>
        <v>0</v>
      </c>
      <c r="AR767" s="0" t="n">
        <f aca="false">IF(U767="",0,1)</f>
        <v>0</v>
      </c>
      <c r="AS767" s="8" t="n">
        <f aca="false">IF(AK767="","",IF(MAX($AK$2:$AK$921)=MIN($AK$2:$AK$921),50,ROUND((AK767-MIN($AK$2:$AK$921))/(MAX($AK$2:$AK$921)-MIN($AK$2:$AK$921))*100,2)))</f>
        <v>14.27</v>
      </c>
      <c r="AT767" s="8" t="n">
        <f aca="false">IF(MAX($BC$2:$BC$921)=MIN($BC$2:$BC$921),50,ROUND((BC767-MIN($BC$2:$BC$921))/(MAX($BC$2:$BC$921)-MIN($BC$2:$BC$921))*100,2))</f>
        <v>50</v>
      </c>
      <c r="AU767" s="8" t="n">
        <f aca="false">IF(MAX($BE$2:$BE$921)=MIN($BE$2:$BE$921),50,ROUND((BE767-MIN($BE$2:$BE$921))/(MAX($BE$2:$BE$921)-MIN($BE$2:$BE$921))*100,2))</f>
        <v>100</v>
      </c>
      <c r="AV767" s="8" t="n">
        <f aca="false">IF(MAX($AD$2:$AD$921)=MIN($AD$2:$AD$921),50,ROUND((AD767-MIN($AD$2:$AD$921))/(MAX($AD$2:$AD$921)-MIN($AD$2:$AD$921))*100,2))</f>
        <v>8.13</v>
      </c>
      <c r="AW767" s="8" t="n">
        <f aca="false">IF(MAX($AN$2:$AN$921)=MIN($AN$2:$AN$921),50,ROUND((AN767-MIN($AN$2:$AN$921))/(MAX($AN$2:$AN$921)-MIN($AN$2:$AN$921))*100,2))</f>
        <v>45</v>
      </c>
      <c r="AX767" s="8" t="n">
        <f aca="false">AQ767*100</f>
        <v>0</v>
      </c>
      <c r="AY767" s="8" t="n">
        <f aca="false">AR767*100</f>
        <v>0</v>
      </c>
      <c r="AZ767" s="8" t="n">
        <f aca="false">IFERROR(ROUND(AS767*Assumptions!$I$6+AW767*Assumptions!$I$7+AT767*Assumptions!$I$8+AU767*Assumptions!$I$9+AV767*Assumptions!$I$10+AX767*Assumptions!$I$11+AY767*Assumptions!$I$12,2),"")</f>
        <v>36.59</v>
      </c>
      <c r="BA767" s="0" t="str">
        <f aca="false">IF(AZ767="","",IF(AZ767&lt;=Assumptions!$I$18,"Below Expectation",IF(AZ767&lt;=Assumptions!$I$19,"Developing",IF(AZ767&lt;=Assumptions!$I$20,"Meets Expectation",IF(AZ767&lt;=Assumptions!$I$21,"Exceeds","Star Performer")))))</f>
        <v>Below Expectation</v>
      </c>
      <c r="BB767" s="0" t="n">
        <f aca="false">IF(AZ767="",0,IF(AZ767&gt;=Assumptions!$I$26,1,0))</f>
        <v>0</v>
      </c>
      <c r="BC767" s="9" t="n">
        <f aca="false">IF(AL767="",2,AL767+2)</f>
        <v>2</v>
      </c>
      <c r="BD767" s="10" t="n">
        <f aca="false">IF(AM767="",ROUND(AVERAGE($AM$2:$AM$921),3),AM767)</f>
        <v>0</v>
      </c>
      <c r="BE767" s="9" t="n">
        <f aca="false">1-BD767</f>
        <v>1</v>
      </c>
    </row>
    <row r="768" customFormat="false" ht="14.25" hidden="true" customHeight="false" outlineLevel="0" collapsed="false">
      <c r="A768" s="4" t="n">
        <v>630</v>
      </c>
      <c r="B768" s="5" t="n">
        <v>55055028</v>
      </c>
      <c r="C768" s="5" t="s">
        <v>666</v>
      </c>
      <c r="D768" s="5" t="s">
        <v>2549</v>
      </c>
      <c r="E768" s="5" t="s">
        <v>841</v>
      </c>
      <c r="F768" s="5" t="s">
        <v>590</v>
      </c>
      <c r="G768" s="5" t="s">
        <v>589</v>
      </c>
      <c r="H768" s="5" t="s">
        <v>590</v>
      </c>
      <c r="I768" s="5" t="s">
        <v>63</v>
      </c>
      <c r="J768" s="5" t="s">
        <v>100</v>
      </c>
      <c r="K768" s="5" t="s">
        <v>309</v>
      </c>
      <c r="L768" s="6" t="n">
        <v>44770</v>
      </c>
      <c r="M768" s="5" t="s">
        <v>2098</v>
      </c>
      <c r="N768" s="6" t="n">
        <v>36866</v>
      </c>
      <c r="O768" s="5" t="s">
        <v>1264</v>
      </c>
      <c r="P768" s="5" t="s">
        <v>1559</v>
      </c>
      <c r="Q768" s="5" t="s">
        <v>591</v>
      </c>
      <c r="R768" s="5" t="s">
        <v>115</v>
      </c>
      <c r="S768" s="5" t="s">
        <v>591</v>
      </c>
      <c r="T768" s="6"/>
      <c r="U768" s="6"/>
      <c r="V768" s="5"/>
      <c r="W768" s="5" t="s">
        <v>631</v>
      </c>
      <c r="X768" s="5" t="s">
        <v>631</v>
      </c>
      <c r="Y768" s="5" t="s">
        <v>631</v>
      </c>
      <c r="Z768" s="5" t="s">
        <v>631</v>
      </c>
      <c r="AA768" s="5" t="s">
        <v>1617</v>
      </c>
      <c r="AB768" s="0" t="n">
        <f aca="false">IFERROR(VALUE(R768),0)</f>
        <v>0</v>
      </c>
      <c r="AC768" s="0" t="n">
        <f aca="false">IFERROR(VALUE(M768),"")</f>
        <v>25.6</v>
      </c>
      <c r="AD768" s="0" t="n">
        <f aca="false">IFERROR(VALUE(Q768),"")</f>
        <v>3.1</v>
      </c>
      <c r="AE768" s="0" t="n">
        <f aca="false">IFERROR(VALUE(S768),"")</f>
        <v>3.1</v>
      </c>
      <c r="AF768" s="0" t="str">
        <f aca="false">IF(V768="","",VLOOKUP(V768,Assumptions!$B$6:$C$9,2,FALSE()))</f>
        <v/>
      </c>
      <c r="AG768" s="0" t="n">
        <f aca="false">IF(W768="","",VLOOKUP(W768,Assumptions!$B$6:$C$9,2,FALSE()))</f>
        <v>2</v>
      </c>
      <c r="AH768" s="0" t="n">
        <f aca="false">IF(X768="","",VLOOKUP(X768,Assumptions!$B$6:$C$9,2,FALSE()))</f>
        <v>2</v>
      </c>
      <c r="AI768" s="0" t="n">
        <f aca="false">IF(Y768="","",VLOOKUP(Y768,Assumptions!$B$6:$C$9,2,FALSE()))</f>
        <v>2</v>
      </c>
      <c r="AJ768" s="0" t="n">
        <f aca="false">IF(Z768="","",VLOOKUP(Z768,Assumptions!$B$6:$C$9,2,FALSE()))</f>
        <v>2</v>
      </c>
      <c r="AK768" s="7" t="n">
        <f aca="false">IFERROR(ROUND(AVERAGE(AF768:AJ768),3),"")</f>
        <v>2</v>
      </c>
      <c r="AL768" s="7" t="str">
        <f aca="false">IF(OR(AF768="",AJ768=""),"",AJ768-AF768)</f>
        <v/>
      </c>
      <c r="AM768" s="7" t="n">
        <f aca="false">IF(COUNT(AF768:AJ768)&gt;=2,ROUND(_xlfn.STDEV.S(AF768:AJ768),3),"")</f>
        <v>0</v>
      </c>
      <c r="AN768" s="7" t="n">
        <f aca="false">ROUND((IF(AF768="",0,AF768)*Assumptions!$F$15)+(IF(AG768="",0,AG768)*Assumptions!$F$16)+(IF(AH768="",0,AH768)*Assumptions!$F$17)+(IF(AI768="",0,AI768)*Assumptions!$F$18)+(IF(AJ768="",0,AJ768)*Assumptions!$F$19),3)</f>
        <v>1.8</v>
      </c>
      <c r="AO768" s="0" t="str">
        <f aca="false">IF(AC768&lt;=20,"",IF(AC768&lt;=Assumptions!$F$6,"20-30",IF(AC768&lt;=Assumptions!$F$7,"30-40",IF(AC768&lt;=Assumptions!$F$8,"40-50",IF(AC768&lt;=Assumptions!$F$9,"50-60",IF(AC768&lt;=Assumptions!$F$10,"60+",""))))))</f>
        <v>20-30</v>
      </c>
      <c r="AP768" s="0" t="str">
        <f aca="false">IFERROR(VLOOKUP(O768,Assumptions!$B$14:$C$26,2,FALSE()),"Other")</f>
        <v>Manager</v>
      </c>
      <c r="AQ768" s="0" t="n">
        <f aca="false">IF(T768="",0,1)</f>
        <v>0</v>
      </c>
      <c r="AR768" s="0" t="n">
        <f aca="false">IF(U768="",0,1)</f>
        <v>0</v>
      </c>
      <c r="AS768" s="8" t="n">
        <f aca="false">IF(AK768="","",IF(MAX($AK$2:$AK$921)=MIN($AK$2:$AK$921),50,ROUND((AK768-MIN($AK$2:$AK$921))/(MAX($AK$2:$AK$921)-MIN($AK$2:$AK$921))*100,2)))</f>
        <v>14.27</v>
      </c>
      <c r="AT768" s="8" t="n">
        <f aca="false">IF(MAX($BC$2:$BC$921)=MIN($BC$2:$BC$921),50,ROUND((BC768-MIN($BC$2:$BC$921))/(MAX($BC$2:$BC$921)-MIN($BC$2:$BC$921))*100,2))</f>
        <v>50</v>
      </c>
      <c r="AU768" s="8" t="n">
        <f aca="false">IF(MAX($BE$2:$BE$921)=MIN($BE$2:$BE$921),50,ROUND((BE768-MIN($BE$2:$BE$921))/(MAX($BE$2:$BE$921)-MIN($BE$2:$BE$921))*100,2))</f>
        <v>100</v>
      </c>
      <c r="AV768" s="8" t="n">
        <f aca="false">IF(MAX($AD$2:$AD$921)=MIN($AD$2:$AD$921),50,ROUND((AD768-MIN($AD$2:$AD$921))/(MAX($AD$2:$AD$921)-MIN($AD$2:$AD$921))*100,2))</f>
        <v>8.13</v>
      </c>
      <c r="AW768" s="8" t="n">
        <f aca="false">IF(MAX($AN$2:$AN$921)=MIN($AN$2:$AN$921),50,ROUND((AN768-MIN($AN$2:$AN$921))/(MAX($AN$2:$AN$921)-MIN($AN$2:$AN$921))*100,2))</f>
        <v>45</v>
      </c>
      <c r="AX768" s="8" t="n">
        <f aca="false">AQ768*100</f>
        <v>0</v>
      </c>
      <c r="AY768" s="8" t="n">
        <f aca="false">AR768*100</f>
        <v>0</v>
      </c>
      <c r="AZ768" s="8" t="n">
        <f aca="false">IFERROR(ROUND(AS768*Assumptions!$I$6+AW768*Assumptions!$I$7+AT768*Assumptions!$I$8+AU768*Assumptions!$I$9+AV768*Assumptions!$I$10+AX768*Assumptions!$I$11+AY768*Assumptions!$I$12,2),"")</f>
        <v>36.59</v>
      </c>
      <c r="BA768" s="0" t="str">
        <f aca="false">IF(AZ768="","",IF(AZ768&lt;=Assumptions!$I$18,"Below Expectation",IF(AZ768&lt;=Assumptions!$I$19,"Developing",IF(AZ768&lt;=Assumptions!$I$20,"Meets Expectation",IF(AZ768&lt;=Assumptions!$I$21,"Exceeds","Star Performer")))))</f>
        <v>Below Expectation</v>
      </c>
      <c r="BB768" s="0" t="n">
        <f aca="false">IF(AZ768="",0,IF(AZ768&gt;=Assumptions!$I$26,1,0))</f>
        <v>0</v>
      </c>
      <c r="BC768" s="9" t="n">
        <f aca="false">IF(AL768="",2,AL768+2)</f>
        <v>2</v>
      </c>
      <c r="BD768" s="10" t="n">
        <f aca="false">IF(AM768="",ROUND(AVERAGE($AM$2:$AM$921),3),AM768)</f>
        <v>0</v>
      </c>
      <c r="BE768" s="9" t="n">
        <f aca="false">1-BD768</f>
        <v>1</v>
      </c>
    </row>
    <row r="769" customFormat="false" ht="14.25" hidden="true" customHeight="false" outlineLevel="0" collapsed="false">
      <c r="A769" s="4" t="n">
        <v>633</v>
      </c>
      <c r="B769" s="5" t="n">
        <v>55055373</v>
      </c>
      <c r="C769" s="5" t="s">
        <v>666</v>
      </c>
      <c r="D769" s="5" t="s">
        <v>2550</v>
      </c>
      <c r="E769" s="5" t="s">
        <v>841</v>
      </c>
      <c r="F769" s="5" t="s">
        <v>590</v>
      </c>
      <c r="G769" s="5" t="s">
        <v>589</v>
      </c>
      <c r="H769" s="5" t="s">
        <v>590</v>
      </c>
      <c r="I769" s="5" t="s">
        <v>63</v>
      </c>
      <c r="J769" s="5" t="s">
        <v>100</v>
      </c>
      <c r="K769" s="5" t="s">
        <v>309</v>
      </c>
      <c r="L769" s="6" t="n">
        <v>44774</v>
      </c>
      <c r="M769" s="5" t="s">
        <v>2551</v>
      </c>
      <c r="N769" s="6" t="n">
        <v>35932</v>
      </c>
      <c r="O769" s="5" t="s">
        <v>1264</v>
      </c>
      <c r="P769" s="5" t="s">
        <v>1559</v>
      </c>
      <c r="Q769" s="5" t="s">
        <v>591</v>
      </c>
      <c r="R769" s="5" t="s">
        <v>115</v>
      </c>
      <c r="S769" s="5" t="s">
        <v>591</v>
      </c>
      <c r="T769" s="6"/>
      <c r="U769" s="6"/>
      <c r="V769" s="5"/>
      <c r="W769" s="5" t="s">
        <v>631</v>
      </c>
      <c r="X769" s="5" t="s">
        <v>631</v>
      </c>
      <c r="Y769" s="5" t="s">
        <v>631</v>
      </c>
      <c r="Z769" s="5" t="s">
        <v>631</v>
      </c>
      <c r="AA769" s="5" t="s">
        <v>2552</v>
      </c>
      <c r="AB769" s="0" t="n">
        <f aca="false">IFERROR(VALUE(R769),0)</f>
        <v>0</v>
      </c>
      <c r="AC769" s="0" t="n">
        <f aca="false">IFERROR(VALUE(M769),"")</f>
        <v>28</v>
      </c>
      <c r="AD769" s="0" t="n">
        <f aca="false">IFERROR(VALUE(Q769),"")</f>
        <v>3.1</v>
      </c>
      <c r="AE769" s="0" t="n">
        <f aca="false">IFERROR(VALUE(S769),"")</f>
        <v>3.1</v>
      </c>
      <c r="AF769" s="0" t="str">
        <f aca="false">IF(V769="","",VLOOKUP(V769,Assumptions!$B$6:$C$9,2,FALSE()))</f>
        <v/>
      </c>
      <c r="AG769" s="0" t="n">
        <f aca="false">IF(W769="","",VLOOKUP(W769,Assumptions!$B$6:$C$9,2,FALSE()))</f>
        <v>2</v>
      </c>
      <c r="AH769" s="0" t="n">
        <f aca="false">IF(X769="","",VLOOKUP(X769,Assumptions!$B$6:$C$9,2,FALSE()))</f>
        <v>2</v>
      </c>
      <c r="AI769" s="0" t="n">
        <f aca="false">IF(Y769="","",VLOOKUP(Y769,Assumptions!$B$6:$C$9,2,FALSE()))</f>
        <v>2</v>
      </c>
      <c r="AJ769" s="0" t="n">
        <f aca="false">IF(Z769="","",VLOOKUP(Z769,Assumptions!$B$6:$C$9,2,FALSE()))</f>
        <v>2</v>
      </c>
      <c r="AK769" s="7" t="n">
        <f aca="false">IFERROR(ROUND(AVERAGE(AF769:AJ769),3),"")</f>
        <v>2</v>
      </c>
      <c r="AL769" s="7" t="str">
        <f aca="false">IF(OR(AF769="",AJ769=""),"",AJ769-AF769)</f>
        <v/>
      </c>
      <c r="AM769" s="7" t="n">
        <f aca="false">IF(COUNT(AF769:AJ769)&gt;=2,ROUND(_xlfn.STDEV.S(AF769:AJ769),3),"")</f>
        <v>0</v>
      </c>
      <c r="AN769" s="7" t="n">
        <f aca="false">ROUND((IF(AF769="",0,AF769)*Assumptions!$F$15)+(IF(AG769="",0,AG769)*Assumptions!$F$16)+(IF(AH769="",0,AH769)*Assumptions!$F$17)+(IF(AI769="",0,AI769)*Assumptions!$F$18)+(IF(AJ769="",0,AJ769)*Assumptions!$F$19),3)</f>
        <v>1.8</v>
      </c>
      <c r="AO769" s="0" t="str">
        <f aca="false">IF(AC769&lt;=20,"",IF(AC769&lt;=Assumptions!$F$6,"20-30",IF(AC769&lt;=Assumptions!$F$7,"30-40",IF(AC769&lt;=Assumptions!$F$8,"40-50",IF(AC769&lt;=Assumptions!$F$9,"50-60",IF(AC769&lt;=Assumptions!$F$10,"60+",""))))))</f>
        <v>20-30</v>
      </c>
      <c r="AP769" s="0" t="str">
        <f aca="false">IFERROR(VLOOKUP(O769,Assumptions!$B$14:$C$26,2,FALSE()),"Other")</f>
        <v>Manager</v>
      </c>
      <c r="AQ769" s="0" t="n">
        <f aca="false">IF(T769="",0,1)</f>
        <v>0</v>
      </c>
      <c r="AR769" s="0" t="n">
        <f aca="false">IF(U769="",0,1)</f>
        <v>0</v>
      </c>
      <c r="AS769" s="8" t="n">
        <f aca="false">IF(AK769="","",IF(MAX($AK$2:$AK$921)=MIN($AK$2:$AK$921),50,ROUND((AK769-MIN($AK$2:$AK$921))/(MAX($AK$2:$AK$921)-MIN($AK$2:$AK$921))*100,2)))</f>
        <v>14.27</v>
      </c>
      <c r="AT769" s="8" t="n">
        <f aca="false">IF(MAX($BC$2:$BC$921)=MIN($BC$2:$BC$921),50,ROUND((BC769-MIN($BC$2:$BC$921))/(MAX($BC$2:$BC$921)-MIN($BC$2:$BC$921))*100,2))</f>
        <v>50</v>
      </c>
      <c r="AU769" s="8" t="n">
        <f aca="false">IF(MAX($BE$2:$BE$921)=MIN($BE$2:$BE$921),50,ROUND((BE769-MIN($BE$2:$BE$921))/(MAX($BE$2:$BE$921)-MIN($BE$2:$BE$921))*100,2))</f>
        <v>100</v>
      </c>
      <c r="AV769" s="8" t="n">
        <f aca="false">IF(MAX($AD$2:$AD$921)=MIN($AD$2:$AD$921),50,ROUND((AD769-MIN($AD$2:$AD$921))/(MAX($AD$2:$AD$921)-MIN($AD$2:$AD$921))*100,2))</f>
        <v>8.13</v>
      </c>
      <c r="AW769" s="8" t="n">
        <f aca="false">IF(MAX($AN$2:$AN$921)=MIN($AN$2:$AN$921),50,ROUND((AN769-MIN($AN$2:$AN$921))/(MAX($AN$2:$AN$921)-MIN($AN$2:$AN$921))*100,2))</f>
        <v>45</v>
      </c>
      <c r="AX769" s="8" t="n">
        <f aca="false">AQ769*100</f>
        <v>0</v>
      </c>
      <c r="AY769" s="8" t="n">
        <f aca="false">AR769*100</f>
        <v>0</v>
      </c>
      <c r="AZ769" s="8" t="n">
        <f aca="false">IFERROR(ROUND(AS769*Assumptions!$I$6+AW769*Assumptions!$I$7+AT769*Assumptions!$I$8+AU769*Assumptions!$I$9+AV769*Assumptions!$I$10+AX769*Assumptions!$I$11+AY769*Assumptions!$I$12,2),"")</f>
        <v>36.59</v>
      </c>
      <c r="BA769" s="0" t="str">
        <f aca="false">IF(AZ769="","",IF(AZ769&lt;=Assumptions!$I$18,"Below Expectation",IF(AZ769&lt;=Assumptions!$I$19,"Developing",IF(AZ769&lt;=Assumptions!$I$20,"Meets Expectation",IF(AZ769&lt;=Assumptions!$I$21,"Exceeds","Star Performer")))))</f>
        <v>Below Expectation</v>
      </c>
      <c r="BB769" s="0" t="n">
        <f aca="false">IF(AZ769="",0,IF(AZ769&gt;=Assumptions!$I$26,1,0))</f>
        <v>0</v>
      </c>
      <c r="BC769" s="9" t="n">
        <f aca="false">IF(AL769="",2,AL769+2)</f>
        <v>2</v>
      </c>
      <c r="BD769" s="10" t="n">
        <f aca="false">IF(AM769="",ROUND(AVERAGE($AM$2:$AM$921),3),AM769)</f>
        <v>0</v>
      </c>
      <c r="BE769" s="9" t="n">
        <f aca="false">1-BD769</f>
        <v>1</v>
      </c>
    </row>
    <row r="770" customFormat="false" ht="14.25" hidden="true" customHeight="false" outlineLevel="0" collapsed="false">
      <c r="A770" s="4" t="n">
        <v>636</v>
      </c>
      <c r="B770" s="5" t="n">
        <v>55055577</v>
      </c>
      <c r="C770" s="5" t="s">
        <v>858</v>
      </c>
      <c r="D770" s="5" t="s">
        <v>2553</v>
      </c>
      <c r="E770" s="5" t="s">
        <v>1176</v>
      </c>
      <c r="F770" s="5" t="s">
        <v>2350</v>
      </c>
      <c r="G770" s="5" t="s">
        <v>2351</v>
      </c>
      <c r="H770" s="5" t="s">
        <v>2350</v>
      </c>
      <c r="I770" s="5" t="s">
        <v>63</v>
      </c>
      <c r="J770" s="5" t="s">
        <v>100</v>
      </c>
      <c r="K770" s="5" t="s">
        <v>309</v>
      </c>
      <c r="L770" s="6" t="n">
        <v>44781</v>
      </c>
      <c r="M770" s="5" t="s">
        <v>182</v>
      </c>
      <c r="N770" s="6" t="n">
        <v>36351</v>
      </c>
      <c r="O770" s="5" t="s">
        <v>1264</v>
      </c>
      <c r="P770" s="5" t="s">
        <v>1559</v>
      </c>
      <c r="Q770" s="5" t="s">
        <v>591</v>
      </c>
      <c r="R770" s="5" t="s">
        <v>366</v>
      </c>
      <c r="S770" s="5" t="s">
        <v>1318</v>
      </c>
      <c r="T770" s="6"/>
      <c r="U770" s="6"/>
      <c r="V770" s="5"/>
      <c r="W770" s="5" t="s">
        <v>631</v>
      </c>
      <c r="X770" s="5" t="s">
        <v>631</v>
      </c>
      <c r="Y770" s="5" t="s">
        <v>631</v>
      </c>
      <c r="Z770" s="5" t="s">
        <v>631</v>
      </c>
      <c r="AA770" s="5" t="s">
        <v>2327</v>
      </c>
      <c r="AB770" s="0" t="n">
        <f aca="false">IFERROR(VALUE(R770),0)</f>
        <v>1.1</v>
      </c>
      <c r="AC770" s="0" t="n">
        <f aca="false">IFERROR(VALUE(M770),"")</f>
        <v>26.1</v>
      </c>
      <c r="AD770" s="0" t="n">
        <f aca="false">IFERROR(VALUE(Q770),"")</f>
        <v>3.1</v>
      </c>
      <c r="AE770" s="0" t="n">
        <f aca="false">IFERROR(VALUE(S770),"")</f>
        <v>4.11</v>
      </c>
      <c r="AF770" s="0" t="str">
        <f aca="false">IF(V770="","",VLOOKUP(V770,Assumptions!$B$6:$C$9,2,FALSE()))</f>
        <v/>
      </c>
      <c r="AG770" s="0" t="n">
        <f aca="false">IF(W770="","",VLOOKUP(W770,Assumptions!$B$6:$C$9,2,FALSE()))</f>
        <v>2</v>
      </c>
      <c r="AH770" s="0" t="n">
        <f aca="false">IF(X770="","",VLOOKUP(X770,Assumptions!$B$6:$C$9,2,FALSE()))</f>
        <v>2</v>
      </c>
      <c r="AI770" s="0" t="n">
        <f aca="false">IF(Y770="","",VLOOKUP(Y770,Assumptions!$B$6:$C$9,2,FALSE()))</f>
        <v>2</v>
      </c>
      <c r="AJ770" s="0" t="n">
        <f aca="false">IF(Z770="","",VLOOKUP(Z770,Assumptions!$B$6:$C$9,2,FALSE()))</f>
        <v>2</v>
      </c>
      <c r="AK770" s="7" t="n">
        <f aca="false">IFERROR(ROUND(AVERAGE(AF770:AJ770),3),"")</f>
        <v>2</v>
      </c>
      <c r="AL770" s="7" t="str">
        <f aca="false">IF(OR(AF770="",AJ770=""),"",AJ770-AF770)</f>
        <v/>
      </c>
      <c r="AM770" s="7" t="n">
        <f aca="false">IF(COUNT(AF770:AJ770)&gt;=2,ROUND(_xlfn.STDEV.S(AF770:AJ770),3),"")</f>
        <v>0</v>
      </c>
      <c r="AN770" s="7" t="n">
        <f aca="false">ROUND((IF(AF770="",0,AF770)*Assumptions!$F$15)+(IF(AG770="",0,AG770)*Assumptions!$F$16)+(IF(AH770="",0,AH770)*Assumptions!$F$17)+(IF(AI770="",0,AI770)*Assumptions!$F$18)+(IF(AJ770="",0,AJ770)*Assumptions!$F$19),3)</f>
        <v>1.8</v>
      </c>
      <c r="AO770" s="0" t="str">
        <f aca="false">IF(AC770&lt;=20,"",IF(AC770&lt;=Assumptions!$F$6,"20-30",IF(AC770&lt;=Assumptions!$F$7,"30-40",IF(AC770&lt;=Assumptions!$F$8,"40-50",IF(AC770&lt;=Assumptions!$F$9,"50-60",IF(AC770&lt;=Assumptions!$F$10,"60+",""))))))</f>
        <v>20-30</v>
      </c>
      <c r="AP770" s="0" t="str">
        <f aca="false">IFERROR(VLOOKUP(O770,Assumptions!$B$14:$C$26,2,FALSE()),"Other")</f>
        <v>Manager</v>
      </c>
      <c r="AQ770" s="0" t="n">
        <f aca="false">IF(T770="",0,1)</f>
        <v>0</v>
      </c>
      <c r="AR770" s="0" t="n">
        <f aca="false">IF(U770="",0,1)</f>
        <v>0</v>
      </c>
      <c r="AS770" s="8" t="n">
        <f aca="false">IF(AK770="","",IF(MAX($AK$2:$AK$921)=MIN($AK$2:$AK$921),50,ROUND((AK770-MIN($AK$2:$AK$921))/(MAX($AK$2:$AK$921)-MIN($AK$2:$AK$921))*100,2)))</f>
        <v>14.27</v>
      </c>
      <c r="AT770" s="8" t="n">
        <f aca="false">IF(MAX($BC$2:$BC$921)=MIN($BC$2:$BC$921),50,ROUND((BC770-MIN($BC$2:$BC$921))/(MAX($BC$2:$BC$921)-MIN($BC$2:$BC$921))*100,2))</f>
        <v>50</v>
      </c>
      <c r="AU770" s="8" t="n">
        <f aca="false">IF(MAX($BE$2:$BE$921)=MIN($BE$2:$BE$921),50,ROUND((BE770-MIN($BE$2:$BE$921))/(MAX($BE$2:$BE$921)-MIN($BE$2:$BE$921))*100,2))</f>
        <v>100</v>
      </c>
      <c r="AV770" s="8" t="n">
        <f aca="false">IF(MAX($AD$2:$AD$921)=MIN($AD$2:$AD$921),50,ROUND((AD770-MIN($AD$2:$AD$921))/(MAX($AD$2:$AD$921)-MIN($AD$2:$AD$921))*100,2))</f>
        <v>8.13</v>
      </c>
      <c r="AW770" s="8" t="n">
        <f aca="false">IF(MAX($AN$2:$AN$921)=MIN($AN$2:$AN$921),50,ROUND((AN770-MIN($AN$2:$AN$921))/(MAX($AN$2:$AN$921)-MIN($AN$2:$AN$921))*100,2))</f>
        <v>45</v>
      </c>
      <c r="AX770" s="8" t="n">
        <f aca="false">AQ770*100</f>
        <v>0</v>
      </c>
      <c r="AY770" s="8" t="n">
        <f aca="false">AR770*100</f>
        <v>0</v>
      </c>
      <c r="AZ770" s="8" t="n">
        <f aca="false">IFERROR(ROUND(AS770*Assumptions!$I$6+AW770*Assumptions!$I$7+AT770*Assumptions!$I$8+AU770*Assumptions!$I$9+AV770*Assumptions!$I$10+AX770*Assumptions!$I$11+AY770*Assumptions!$I$12,2),"")</f>
        <v>36.59</v>
      </c>
      <c r="BA770" s="0" t="str">
        <f aca="false">IF(AZ770="","",IF(AZ770&lt;=Assumptions!$I$18,"Below Expectation",IF(AZ770&lt;=Assumptions!$I$19,"Developing",IF(AZ770&lt;=Assumptions!$I$20,"Meets Expectation",IF(AZ770&lt;=Assumptions!$I$21,"Exceeds","Star Performer")))))</f>
        <v>Below Expectation</v>
      </c>
      <c r="BB770" s="0" t="n">
        <f aca="false">IF(AZ770="",0,IF(AZ770&gt;=Assumptions!$I$26,1,0))</f>
        <v>0</v>
      </c>
      <c r="BC770" s="9" t="n">
        <f aca="false">IF(AL770="",2,AL770+2)</f>
        <v>2</v>
      </c>
      <c r="BD770" s="10" t="n">
        <f aca="false">IF(AM770="",ROUND(AVERAGE($AM$2:$AM$921),3),AM770)</f>
        <v>0</v>
      </c>
      <c r="BE770" s="9" t="n">
        <f aca="false">1-BD770</f>
        <v>1</v>
      </c>
    </row>
    <row r="771" customFormat="false" ht="14.25" hidden="true" customHeight="false" outlineLevel="0" collapsed="false">
      <c r="A771" s="4" t="n">
        <v>800</v>
      </c>
      <c r="B771" s="5" t="n">
        <v>55086316</v>
      </c>
      <c r="C771" s="5" t="s">
        <v>858</v>
      </c>
      <c r="D771" s="5" t="s">
        <v>2554</v>
      </c>
      <c r="E771" s="5" t="s">
        <v>1176</v>
      </c>
      <c r="F771" s="5" t="s">
        <v>2050</v>
      </c>
      <c r="G771" s="5" t="s">
        <v>2049</v>
      </c>
      <c r="H771" s="5" t="s">
        <v>2050</v>
      </c>
      <c r="I771" s="5" t="s">
        <v>63</v>
      </c>
      <c r="J771" s="5" t="s">
        <v>100</v>
      </c>
      <c r="K771" s="5" t="s">
        <v>309</v>
      </c>
      <c r="L771" s="6" t="n">
        <v>45224</v>
      </c>
      <c r="M771" s="5" t="s">
        <v>2337</v>
      </c>
      <c r="N771" s="6" t="n">
        <v>36884</v>
      </c>
      <c r="O771" s="5" t="s">
        <v>585</v>
      </c>
      <c r="P771" s="5" t="s">
        <v>586</v>
      </c>
      <c r="Q771" s="5" t="s">
        <v>195</v>
      </c>
      <c r="R771" s="5" t="s">
        <v>115</v>
      </c>
      <c r="S771" s="5" t="s">
        <v>195</v>
      </c>
      <c r="T771" s="6"/>
      <c r="U771" s="6"/>
      <c r="V771" s="5"/>
      <c r="W771" s="5"/>
      <c r="X771" s="5" t="s">
        <v>631</v>
      </c>
      <c r="Y771" s="5" t="s">
        <v>631</v>
      </c>
      <c r="Z771" s="5" t="s">
        <v>83</v>
      </c>
      <c r="AA771" s="5" t="s">
        <v>2555</v>
      </c>
      <c r="AB771" s="0" t="n">
        <f aca="false">IFERROR(VALUE(R771),0)</f>
        <v>0</v>
      </c>
      <c r="AC771" s="0" t="n">
        <f aca="false">IFERROR(VALUE(M771),"")</f>
        <v>25.5</v>
      </c>
      <c r="AD771" s="0" t="n">
        <f aca="false">IFERROR(VALUE(Q771),"")</f>
        <v>2.7</v>
      </c>
      <c r="AE771" s="0" t="n">
        <f aca="false">IFERROR(VALUE(S771),"")</f>
        <v>2.7</v>
      </c>
      <c r="AF771" s="0" t="str">
        <f aca="false">IF(V771="","",VLOOKUP(V771,Assumptions!$B$6:$C$9,2,FALSE()))</f>
        <v/>
      </c>
      <c r="AG771" s="0" t="str">
        <f aca="false">IF(W771="","",VLOOKUP(W771,Assumptions!$B$6:$C$9,2,FALSE()))</f>
        <v/>
      </c>
      <c r="AH771" s="0" t="n">
        <f aca="false">IF(X771="","",VLOOKUP(X771,Assumptions!$B$6:$C$9,2,FALSE()))</f>
        <v>2</v>
      </c>
      <c r="AI771" s="0" t="n">
        <f aca="false">IF(Y771="","",VLOOKUP(Y771,Assumptions!$B$6:$C$9,2,FALSE()))</f>
        <v>2</v>
      </c>
      <c r="AJ771" s="0" t="n">
        <f aca="false">IF(Z771="","",VLOOKUP(Z771,Assumptions!$B$6:$C$9,2,FALSE()))</f>
        <v>4</v>
      </c>
      <c r="AK771" s="7" t="n">
        <f aca="false">IFERROR(ROUND(AVERAGE(AF771:AJ771),3),"")</f>
        <v>2.667</v>
      </c>
      <c r="AL771" s="7" t="str">
        <f aca="false">IF(OR(AF771="",AJ771=""),"",AJ771-AF771)</f>
        <v/>
      </c>
      <c r="AM771" s="7" t="n">
        <f aca="false">IF(COUNT(AF771:AJ771)&gt;=2,ROUND(_xlfn.STDEV.S(AF771:AJ771),3),"")</f>
        <v>1.155</v>
      </c>
      <c r="AN771" s="7" t="n">
        <f aca="false">ROUND((IF(AF771="",0,AF771)*Assumptions!$F$15)+(IF(AG771="",0,AG771)*Assumptions!$F$16)+(IF(AH771="",0,AH771)*Assumptions!$F$17)+(IF(AI771="",0,AI771)*Assumptions!$F$18)+(IF(AJ771="",0,AJ771)*Assumptions!$F$19),3)</f>
        <v>2.1</v>
      </c>
      <c r="AO771" s="0" t="str">
        <f aca="false">IF(AC771&lt;=20,"",IF(AC771&lt;=Assumptions!$F$6,"20-30",IF(AC771&lt;=Assumptions!$F$7,"30-40",IF(AC771&lt;=Assumptions!$F$8,"40-50",IF(AC771&lt;=Assumptions!$F$9,"50-60",IF(AC771&lt;=Assumptions!$F$10,"60+",""))))))</f>
        <v>20-30</v>
      </c>
      <c r="AP771" s="0" t="str">
        <f aca="false">IFERROR(VLOOKUP(O771,Assumptions!$B$14:$C$26,2,FALSE()),"Other")</f>
        <v>Manager</v>
      </c>
      <c r="AQ771" s="0" t="n">
        <f aca="false">IF(T771="",0,1)</f>
        <v>0</v>
      </c>
      <c r="AR771" s="0" t="n">
        <f aca="false">IF(U771="",0,1)</f>
        <v>0</v>
      </c>
      <c r="AS771" s="8" t="n">
        <f aca="false">IF(AK771="","",IF(MAX($AK$2:$AK$921)=MIN($AK$2:$AK$921),50,ROUND((AK771-MIN($AK$2:$AK$921))/(MAX($AK$2:$AK$921)-MIN($AK$2:$AK$921))*100,2)))</f>
        <v>42.86</v>
      </c>
      <c r="AT771" s="8" t="n">
        <f aca="false">IF(MAX($BC$2:$BC$921)=MIN($BC$2:$BC$921),50,ROUND((BC771-MIN($BC$2:$BC$921))/(MAX($BC$2:$BC$921)-MIN($BC$2:$BC$921))*100,2))</f>
        <v>50</v>
      </c>
      <c r="AU771" s="8" t="n">
        <f aca="false">IF(MAX($BE$2:$BE$921)=MIN($BE$2:$BE$921),50,ROUND((BE771-MIN($BE$2:$BE$921))/(MAX($BE$2:$BE$921)-MIN($BE$2:$BE$921))*100,2))</f>
        <v>33.31</v>
      </c>
      <c r="AV771" s="8" t="n">
        <f aca="false">IF(MAX($AD$2:$AD$921)=MIN($AD$2:$AD$921),50,ROUND((AD771-MIN($AD$2:$AD$921))/(MAX($AD$2:$AD$921)-MIN($AD$2:$AD$921))*100,2))</f>
        <v>7.04</v>
      </c>
      <c r="AW771" s="8" t="n">
        <f aca="false">IF(MAX($AN$2:$AN$921)=MIN($AN$2:$AN$921),50,ROUND((AN771-MIN($AN$2:$AN$921))/(MAX($AN$2:$AN$921)-MIN($AN$2:$AN$921))*100,2))</f>
        <v>52.5</v>
      </c>
      <c r="AX771" s="8" t="n">
        <f aca="false">AQ771*100</f>
        <v>0</v>
      </c>
      <c r="AY771" s="8" t="n">
        <f aca="false">AR771*100</f>
        <v>0</v>
      </c>
      <c r="AZ771" s="8" t="n">
        <f aca="false">IFERROR(ROUND(AS771*Assumptions!$I$6+AW771*Assumptions!$I$7+AT771*Assumptions!$I$8+AU771*Assumptions!$I$9+AV771*Assumptions!$I$10+AX771*Assumptions!$I$11+AY771*Assumptions!$I$12,2),"")</f>
        <v>36.56</v>
      </c>
      <c r="BA771" s="0" t="str">
        <f aca="false">IF(AZ771="","",IF(AZ771&lt;=Assumptions!$I$18,"Below Expectation",IF(AZ771&lt;=Assumptions!$I$19,"Developing",IF(AZ771&lt;=Assumptions!$I$20,"Meets Expectation",IF(AZ771&lt;=Assumptions!$I$21,"Exceeds","Star Performer")))))</f>
        <v>Below Expectation</v>
      </c>
      <c r="BB771" s="0" t="n">
        <f aca="false">IF(AZ771="",0,IF(AZ771&gt;=Assumptions!$I$26,1,0))</f>
        <v>0</v>
      </c>
      <c r="BC771" s="9" t="n">
        <f aca="false">IF(AL771="",2,AL771+2)</f>
        <v>2</v>
      </c>
      <c r="BD771" s="10" t="n">
        <f aca="false">IF(AM771="",ROUND(AVERAGE($AM$2:$AM$921),3),AM771)</f>
        <v>1.155</v>
      </c>
      <c r="BE771" s="9" t="n">
        <f aca="false">1-BD771</f>
        <v>-0.155</v>
      </c>
    </row>
    <row r="772" customFormat="false" ht="14.25" hidden="true" customHeight="false" outlineLevel="0" collapsed="false">
      <c r="A772" s="4" t="n">
        <v>292</v>
      </c>
      <c r="B772" s="5" t="n">
        <v>10069733</v>
      </c>
      <c r="C772" s="5" t="s">
        <v>85</v>
      </c>
      <c r="D772" s="5" t="s">
        <v>2556</v>
      </c>
      <c r="E772" s="5" t="s">
        <v>2557</v>
      </c>
      <c r="F772" s="5" t="s">
        <v>1675</v>
      </c>
      <c r="G772" s="5" t="s">
        <v>1676</v>
      </c>
      <c r="H772" s="5" t="s">
        <v>1675</v>
      </c>
      <c r="I772" s="5" t="s">
        <v>63</v>
      </c>
      <c r="J772" s="5" t="s">
        <v>76</v>
      </c>
      <c r="K772" s="5" t="s">
        <v>65</v>
      </c>
      <c r="L772" s="6" t="n">
        <v>43686</v>
      </c>
      <c r="M772" s="5" t="s">
        <v>247</v>
      </c>
      <c r="N772" s="6" t="n">
        <v>32570</v>
      </c>
      <c r="O772" s="5" t="s">
        <v>365</v>
      </c>
      <c r="P772" s="5" t="s">
        <v>365</v>
      </c>
      <c r="Q772" s="5" t="s">
        <v>426</v>
      </c>
      <c r="R772" s="5" t="s">
        <v>903</v>
      </c>
      <c r="S772" s="5" t="s">
        <v>1359</v>
      </c>
      <c r="T772" s="6"/>
      <c r="U772" s="6"/>
      <c r="V772" s="5" t="s">
        <v>141</v>
      </c>
      <c r="W772" s="5" t="s">
        <v>141</v>
      </c>
      <c r="X772" s="5" t="s">
        <v>631</v>
      </c>
      <c r="Y772" s="5" t="s">
        <v>631</v>
      </c>
      <c r="Z772" s="5" t="s">
        <v>631</v>
      </c>
      <c r="AA772" s="5" t="s">
        <v>2558</v>
      </c>
      <c r="AB772" s="0" t="n">
        <f aca="false">IFERROR(VALUE(R772),0)</f>
        <v>6.7</v>
      </c>
      <c r="AC772" s="0" t="n">
        <f aca="false">IFERROR(VALUE(M772),"")</f>
        <v>37.3</v>
      </c>
      <c r="AD772" s="0" t="n">
        <f aca="false">IFERROR(VALUE(Q772),"")</f>
        <v>6.9</v>
      </c>
      <c r="AE772" s="0" t="n">
        <f aca="false">IFERROR(VALUE(S772),"")</f>
        <v>13.4</v>
      </c>
      <c r="AF772" s="0" t="n">
        <f aca="false">IF(V772="","",VLOOKUP(V772,Assumptions!$B$6:$C$9,2,FALSE()))</f>
        <v>3</v>
      </c>
      <c r="AG772" s="0" t="n">
        <f aca="false">IF(W772="","",VLOOKUP(W772,Assumptions!$B$6:$C$9,2,FALSE()))</f>
        <v>3</v>
      </c>
      <c r="AH772" s="0" t="n">
        <f aca="false">IF(X772="","",VLOOKUP(X772,Assumptions!$B$6:$C$9,2,FALSE()))</f>
        <v>2</v>
      </c>
      <c r="AI772" s="0" t="n">
        <f aca="false">IF(Y772="","",VLOOKUP(Y772,Assumptions!$B$6:$C$9,2,FALSE()))</f>
        <v>2</v>
      </c>
      <c r="AJ772" s="0" t="n">
        <f aca="false">IF(Z772="","",VLOOKUP(Z772,Assumptions!$B$6:$C$9,2,FALSE()))</f>
        <v>2</v>
      </c>
      <c r="AK772" s="7" t="n">
        <f aca="false">IFERROR(ROUND(AVERAGE(AF772:AJ772),3),"")</f>
        <v>2.4</v>
      </c>
      <c r="AL772" s="7" t="n">
        <f aca="false">IF(OR(AF772="",AJ772=""),"",AJ772-AF772)</f>
        <v>-1</v>
      </c>
      <c r="AM772" s="7" t="n">
        <f aca="false">IF(COUNT(AF772:AJ772)&gt;=2,ROUND(_xlfn.STDEV.S(AF772:AJ772),3),"")</f>
        <v>0.548</v>
      </c>
      <c r="AN772" s="7" t="n">
        <f aca="false">ROUND((IF(AF772="",0,AF772)*Assumptions!$F$15)+(IF(AG772="",0,AG772)*Assumptions!$F$16)+(IF(AH772="",0,AH772)*Assumptions!$F$17)+(IF(AI772="",0,AI772)*Assumptions!$F$18)+(IF(AJ772="",0,AJ772)*Assumptions!$F$19),3)</f>
        <v>2.25</v>
      </c>
      <c r="AO772" s="0" t="str">
        <f aca="false">IF(AC772&lt;=20,"",IF(AC772&lt;=Assumptions!$F$6,"20-30",IF(AC772&lt;=Assumptions!$F$7,"30-40",IF(AC772&lt;=Assumptions!$F$8,"40-50",IF(AC772&lt;=Assumptions!$F$9,"50-60",IF(AC772&lt;=Assumptions!$F$10,"60+",""))))))</f>
        <v>30-40</v>
      </c>
      <c r="AP772" s="0" t="str">
        <f aca="false">IFERROR(VLOOKUP(O772,Assumptions!$B$14:$C$26,2,FALSE()),"Other")</f>
        <v>Manager</v>
      </c>
      <c r="AQ772" s="0" t="n">
        <f aca="false">IF(T772="",0,1)</f>
        <v>0</v>
      </c>
      <c r="AR772" s="0" t="n">
        <f aca="false">IF(U772="",0,1)</f>
        <v>0</v>
      </c>
      <c r="AS772" s="8" t="n">
        <f aca="false">IF(AK772="","",IF(MAX($AK$2:$AK$921)=MIN($AK$2:$AK$921),50,ROUND((AK772-MIN($AK$2:$AK$921))/(MAX($AK$2:$AK$921)-MIN($AK$2:$AK$921))*100,2)))</f>
        <v>31.42</v>
      </c>
      <c r="AT772" s="8" t="n">
        <f aca="false">IF(MAX($BC$2:$BC$921)=MIN($BC$2:$BC$921),50,ROUND((BC772-MIN($BC$2:$BC$921))/(MAX($BC$2:$BC$921)-MIN($BC$2:$BC$921))*100,2))</f>
        <v>25</v>
      </c>
      <c r="AU772" s="8" t="n">
        <f aca="false">IF(MAX($BE$2:$BE$921)=MIN($BE$2:$BE$921),50,ROUND((BE772-MIN($BE$2:$BE$921))/(MAX($BE$2:$BE$921)-MIN($BE$2:$BE$921))*100,2))</f>
        <v>68.36</v>
      </c>
      <c r="AV772" s="8" t="n">
        <f aca="false">IF(MAX($AD$2:$AD$921)=MIN($AD$2:$AD$921),50,ROUND((AD772-MIN($AD$2:$AD$921))/(MAX($AD$2:$AD$921)-MIN($AD$2:$AD$921))*100,2))</f>
        <v>18.46</v>
      </c>
      <c r="AW772" s="8" t="n">
        <f aca="false">IF(MAX($AN$2:$AN$921)=MIN($AN$2:$AN$921),50,ROUND((AN772-MIN($AN$2:$AN$921))/(MAX($AN$2:$AN$921)-MIN($AN$2:$AN$921))*100,2))</f>
        <v>56.25</v>
      </c>
      <c r="AX772" s="8" t="n">
        <f aca="false">AQ772*100</f>
        <v>0</v>
      </c>
      <c r="AY772" s="8" t="n">
        <f aca="false">AR772*100</f>
        <v>0</v>
      </c>
      <c r="AZ772" s="8" t="n">
        <f aca="false">IFERROR(ROUND(AS772*Assumptions!$I$6+AW772*Assumptions!$I$7+AT772*Assumptions!$I$8+AU772*Assumptions!$I$9+AV772*Assumptions!$I$10+AX772*Assumptions!$I$11+AY772*Assumptions!$I$12,2),"")</f>
        <v>36.53</v>
      </c>
      <c r="BA772" s="0" t="str">
        <f aca="false">IF(AZ772="","",IF(AZ772&lt;=Assumptions!$I$18,"Below Expectation",IF(AZ772&lt;=Assumptions!$I$19,"Developing",IF(AZ772&lt;=Assumptions!$I$20,"Meets Expectation",IF(AZ772&lt;=Assumptions!$I$21,"Exceeds","Star Performer")))))</f>
        <v>Below Expectation</v>
      </c>
      <c r="BB772" s="0" t="n">
        <f aca="false">IF(AZ772="",0,IF(AZ772&gt;=Assumptions!$I$26,1,0))</f>
        <v>0</v>
      </c>
      <c r="BC772" s="9" t="n">
        <f aca="false">IF(AL772="",2,AL772+2)</f>
        <v>1</v>
      </c>
      <c r="BD772" s="10" t="n">
        <f aca="false">IF(AM772="",ROUND(AVERAGE($AM$2:$AM$921),3),AM772)</f>
        <v>0.548</v>
      </c>
      <c r="BE772" s="9" t="n">
        <f aca="false">1-BD772</f>
        <v>0.452</v>
      </c>
    </row>
    <row r="773" customFormat="false" ht="14.25" hidden="true" customHeight="false" outlineLevel="0" collapsed="false">
      <c r="A773" s="4" t="n">
        <v>566</v>
      </c>
      <c r="B773" s="5" t="n">
        <v>55050129</v>
      </c>
      <c r="C773" s="5" t="s">
        <v>85</v>
      </c>
      <c r="D773" s="5" t="s">
        <v>2559</v>
      </c>
      <c r="E773" s="5" t="s">
        <v>137</v>
      </c>
      <c r="F773" s="5" t="s">
        <v>1731</v>
      </c>
      <c r="G773" s="5" t="s">
        <v>1732</v>
      </c>
      <c r="H773" s="5" t="s">
        <v>1731</v>
      </c>
      <c r="I773" s="5" t="s">
        <v>63</v>
      </c>
      <c r="J773" s="5" t="s">
        <v>76</v>
      </c>
      <c r="K773" s="5" t="s">
        <v>309</v>
      </c>
      <c r="L773" s="6" t="n">
        <v>44683</v>
      </c>
      <c r="M773" s="5" t="s">
        <v>819</v>
      </c>
      <c r="N773" s="6" t="n">
        <v>35287</v>
      </c>
      <c r="O773" s="5" t="s">
        <v>1264</v>
      </c>
      <c r="P773" s="5" t="s">
        <v>1559</v>
      </c>
      <c r="Q773" s="5" t="s">
        <v>1534</v>
      </c>
      <c r="R773" s="5" t="s">
        <v>1714</v>
      </c>
      <c r="S773" s="5" t="s">
        <v>1100</v>
      </c>
      <c r="T773" s="6"/>
      <c r="U773" s="6"/>
      <c r="V773" s="5"/>
      <c r="W773" s="5" t="s">
        <v>141</v>
      </c>
      <c r="X773" s="5" t="s">
        <v>631</v>
      </c>
      <c r="Y773" s="5" t="s">
        <v>631</v>
      </c>
      <c r="Z773" s="5" t="s">
        <v>631</v>
      </c>
      <c r="AA773" s="5" t="s">
        <v>2560</v>
      </c>
      <c r="AB773" s="0" t="n">
        <f aca="false">IFERROR(VALUE(R773),0)</f>
        <v>2.5</v>
      </c>
      <c r="AC773" s="0" t="n">
        <f aca="false">IFERROR(VALUE(M773),"")</f>
        <v>29.9</v>
      </c>
      <c r="AD773" s="0" t="n">
        <f aca="false">IFERROR(VALUE(Q773),"")</f>
        <v>4.1</v>
      </c>
      <c r="AE773" s="0" t="n">
        <f aca="false">IFERROR(VALUE(S773),"")</f>
        <v>6.6</v>
      </c>
      <c r="AF773" s="0" t="str">
        <f aca="false">IF(V773="","",VLOOKUP(V773,Assumptions!$B$6:$C$9,2,FALSE()))</f>
        <v/>
      </c>
      <c r="AG773" s="0" t="n">
        <f aca="false">IF(W773="","",VLOOKUP(W773,Assumptions!$B$6:$C$9,2,FALSE()))</f>
        <v>3</v>
      </c>
      <c r="AH773" s="0" t="n">
        <f aca="false">IF(X773="","",VLOOKUP(X773,Assumptions!$B$6:$C$9,2,FALSE()))</f>
        <v>2</v>
      </c>
      <c r="AI773" s="0" t="n">
        <f aca="false">IF(Y773="","",VLOOKUP(Y773,Assumptions!$B$6:$C$9,2,FALSE()))</f>
        <v>2</v>
      </c>
      <c r="AJ773" s="0" t="n">
        <f aca="false">IF(Z773="","",VLOOKUP(Z773,Assumptions!$B$6:$C$9,2,FALSE()))</f>
        <v>2</v>
      </c>
      <c r="AK773" s="7" t="n">
        <f aca="false">IFERROR(ROUND(AVERAGE(AF773:AJ773),3),"")</f>
        <v>2.25</v>
      </c>
      <c r="AL773" s="7" t="str">
        <f aca="false">IF(OR(AF773="",AJ773=""),"",AJ773-AF773)</f>
        <v/>
      </c>
      <c r="AM773" s="7" t="n">
        <f aca="false">IF(COUNT(AF773:AJ773)&gt;=2,ROUND(_xlfn.STDEV.S(AF773:AJ773),3),"")</f>
        <v>0.5</v>
      </c>
      <c r="AN773" s="7" t="n">
        <f aca="false">ROUND((IF(AF773="",0,AF773)*Assumptions!$F$15)+(IF(AG773="",0,AG773)*Assumptions!$F$16)+(IF(AH773="",0,AH773)*Assumptions!$F$17)+(IF(AI773="",0,AI773)*Assumptions!$F$18)+(IF(AJ773="",0,AJ773)*Assumptions!$F$19),3)</f>
        <v>1.95</v>
      </c>
      <c r="AO773" s="0" t="str">
        <f aca="false">IF(AC773&lt;=20,"",IF(AC773&lt;=Assumptions!$F$6,"20-30",IF(AC773&lt;=Assumptions!$F$7,"30-40",IF(AC773&lt;=Assumptions!$F$8,"40-50",IF(AC773&lt;=Assumptions!$F$9,"50-60",IF(AC773&lt;=Assumptions!$F$10,"60+",""))))))</f>
        <v>20-30</v>
      </c>
      <c r="AP773" s="0" t="str">
        <f aca="false">IFERROR(VLOOKUP(O773,Assumptions!$B$14:$C$26,2,FALSE()),"Other")</f>
        <v>Manager</v>
      </c>
      <c r="AQ773" s="0" t="n">
        <f aca="false">IF(T773="",0,1)</f>
        <v>0</v>
      </c>
      <c r="AR773" s="0" t="n">
        <f aca="false">IF(U773="",0,1)</f>
        <v>0</v>
      </c>
      <c r="AS773" s="8" t="n">
        <f aca="false">IF(AK773="","",IF(MAX($AK$2:$AK$921)=MIN($AK$2:$AK$921),50,ROUND((AK773-MIN($AK$2:$AK$921))/(MAX($AK$2:$AK$921)-MIN($AK$2:$AK$921))*100,2)))</f>
        <v>24.99</v>
      </c>
      <c r="AT773" s="8" t="n">
        <f aca="false">IF(MAX($BC$2:$BC$921)=MIN($BC$2:$BC$921),50,ROUND((BC773-MIN($BC$2:$BC$921))/(MAX($BC$2:$BC$921)-MIN($BC$2:$BC$921))*100,2))</f>
        <v>50</v>
      </c>
      <c r="AU773" s="8" t="n">
        <f aca="false">IF(MAX($BE$2:$BE$921)=MIN($BE$2:$BE$921),50,ROUND((BE773-MIN($BE$2:$BE$921))/(MAX($BE$2:$BE$921)-MIN($BE$2:$BE$921))*100,2))</f>
        <v>71.13</v>
      </c>
      <c r="AV773" s="8" t="n">
        <f aca="false">IF(MAX($AD$2:$AD$921)=MIN($AD$2:$AD$921),50,ROUND((AD773-MIN($AD$2:$AD$921))/(MAX($AD$2:$AD$921)-MIN($AD$2:$AD$921))*100,2))</f>
        <v>10.85</v>
      </c>
      <c r="AW773" s="8" t="n">
        <f aca="false">IF(MAX($AN$2:$AN$921)=MIN($AN$2:$AN$921),50,ROUND((AN773-MIN($AN$2:$AN$921))/(MAX($AN$2:$AN$921)-MIN($AN$2:$AN$921))*100,2))</f>
        <v>48.75</v>
      </c>
      <c r="AX773" s="8" t="n">
        <f aca="false">AQ773*100</f>
        <v>0</v>
      </c>
      <c r="AY773" s="8" t="n">
        <f aca="false">AR773*100</f>
        <v>0</v>
      </c>
      <c r="AZ773" s="8" t="n">
        <f aca="false">IFERROR(ROUND(AS773*Assumptions!$I$6+AW773*Assumptions!$I$7+AT773*Assumptions!$I$8+AU773*Assumptions!$I$9+AV773*Assumptions!$I$10+AX773*Assumptions!$I$11+AY773*Assumptions!$I$12,2),"")</f>
        <v>36.5</v>
      </c>
      <c r="BA773" s="0" t="str">
        <f aca="false">IF(AZ773="","",IF(AZ773&lt;=Assumptions!$I$18,"Below Expectation",IF(AZ773&lt;=Assumptions!$I$19,"Developing",IF(AZ773&lt;=Assumptions!$I$20,"Meets Expectation",IF(AZ773&lt;=Assumptions!$I$21,"Exceeds","Star Performer")))))</f>
        <v>Below Expectation</v>
      </c>
      <c r="BB773" s="0" t="n">
        <f aca="false">IF(AZ773="",0,IF(AZ773&gt;=Assumptions!$I$26,1,0))</f>
        <v>0</v>
      </c>
      <c r="BC773" s="9" t="n">
        <f aca="false">IF(AL773="",2,AL773+2)</f>
        <v>2</v>
      </c>
      <c r="BD773" s="10" t="n">
        <f aca="false">IF(AM773="",ROUND(AVERAGE($AM$2:$AM$921),3),AM773)</f>
        <v>0.5</v>
      </c>
      <c r="BE773" s="9" t="n">
        <f aca="false">1-BD773</f>
        <v>0.5</v>
      </c>
    </row>
    <row r="774" customFormat="false" ht="14.25" hidden="false" customHeight="false" outlineLevel="0" collapsed="false">
      <c r="A774" s="4" t="n">
        <v>607</v>
      </c>
      <c r="B774" s="5" t="n">
        <v>55053011</v>
      </c>
      <c r="C774" s="5" t="s">
        <v>106</v>
      </c>
      <c r="D774" s="5" t="s">
        <v>2561</v>
      </c>
      <c r="E774" s="5" t="s">
        <v>108</v>
      </c>
      <c r="F774" s="5" t="s">
        <v>590</v>
      </c>
      <c r="G774" s="5" t="s">
        <v>589</v>
      </c>
      <c r="H774" s="5" t="s">
        <v>590</v>
      </c>
      <c r="I774" s="5" t="s">
        <v>63</v>
      </c>
      <c r="J774" s="5" t="s">
        <v>112</v>
      </c>
      <c r="K774" s="5" t="s">
        <v>309</v>
      </c>
      <c r="L774" s="6" t="n">
        <v>44743</v>
      </c>
      <c r="M774" s="5" t="s">
        <v>574</v>
      </c>
      <c r="N774" s="6" t="n">
        <v>36749</v>
      </c>
      <c r="O774" s="5" t="s">
        <v>1264</v>
      </c>
      <c r="P774" s="5" t="s">
        <v>1559</v>
      </c>
      <c r="Q774" s="5" t="s">
        <v>345</v>
      </c>
      <c r="R774" s="5" t="s">
        <v>115</v>
      </c>
      <c r="S774" s="5" t="s">
        <v>345</v>
      </c>
      <c r="T774" s="6"/>
      <c r="U774" s="6"/>
      <c r="V774" s="5"/>
      <c r="W774" s="5" t="s">
        <v>631</v>
      </c>
      <c r="X774" s="5" t="s">
        <v>141</v>
      </c>
      <c r="Y774" s="5" t="s">
        <v>631</v>
      </c>
      <c r="Z774" s="5" t="s">
        <v>631</v>
      </c>
      <c r="AA774" s="5" t="s">
        <v>2562</v>
      </c>
      <c r="AB774" s="0" t="n">
        <f aca="false">IFERROR(VALUE(R774),0)</f>
        <v>0</v>
      </c>
      <c r="AC774" s="0" t="n">
        <f aca="false">IFERROR(VALUE(M774),"")</f>
        <v>25.9</v>
      </c>
      <c r="AD774" s="0" t="n">
        <f aca="false">IFERROR(VALUE(Q774),"")</f>
        <v>3.11</v>
      </c>
      <c r="AE774" s="0" t="n">
        <f aca="false">IFERROR(VALUE(S774),"")</f>
        <v>3.11</v>
      </c>
      <c r="AF774" s="0" t="str">
        <f aca="false">IF(V774="","",VLOOKUP(V774,Assumptions!$B$6:$C$9,2,FALSE()))</f>
        <v/>
      </c>
      <c r="AG774" s="0" t="n">
        <f aca="false">IF(W774="","",VLOOKUP(W774,Assumptions!$B$6:$C$9,2,FALSE()))</f>
        <v>2</v>
      </c>
      <c r="AH774" s="0" t="n">
        <f aca="false">IF(X774="","",VLOOKUP(X774,Assumptions!$B$6:$C$9,2,FALSE()))</f>
        <v>3</v>
      </c>
      <c r="AI774" s="0" t="n">
        <f aca="false">IF(Y774="","",VLOOKUP(Y774,Assumptions!$B$6:$C$9,2,FALSE()))</f>
        <v>2</v>
      </c>
      <c r="AJ774" s="0" t="n">
        <f aca="false">IF(Z774="","",VLOOKUP(Z774,Assumptions!$B$6:$C$9,2,FALSE()))</f>
        <v>2</v>
      </c>
      <c r="AK774" s="7" t="n">
        <f aca="false">IFERROR(ROUND(AVERAGE(AF774:AJ774),3),"")</f>
        <v>2.25</v>
      </c>
      <c r="AL774" s="7" t="str">
        <f aca="false">IF(OR(AF774="",AJ774=""),"",AJ774-AF774)</f>
        <v/>
      </c>
      <c r="AM774" s="7" t="n">
        <f aca="false">IF(COUNT(AF774:AJ774)&gt;=2,ROUND(_xlfn.STDEV.S(AF774:AJ774),3),"")</f>
        <v>0.5</v>
      </c>
      <c r="AN774" s="7" t="n">
        <f aca="false">ROUND((IF(AF774="",0,AF774)*Assumptions!$F$15)+(IF(AG774="",0,AG774)*Assumptions!$F$16)+(IF(AH774="",0,AH774)*Assumptions!$F$17)+(IF(AI774="",0,AI774)*Assumptions!$F$18)+(IF(AJ774="",0,AJ774)*Assumptions!$F$19),3)</f>
        <v>2</v>
      </c>
      <c r="AO774" s="0" t="str">
        <f aca="false">IF(AC774&lt;=20,"",IF(AC774&lt;=Assumptions!$F$6,"20-30",IF(AC774&lt;=Assumptions!$F$7,"30-40",IF(AC774&lt;=Assumptions!$F$8,"40-50",IF(AC774&lt;=Assumptions!$F$9,"50-60",IF(AC774&lt;=Assumptions!$F$10,"60+",""))))))</f>
        <v>20-30</v>
      </c>
      <c r="AP774" s="0" t="str">
        <f aca="false">IFERROR(VLOOKUP(O774,Assumptions!$B$14:$C$26,2,FALSE()),"Other")</f>
        <v>Manager</v>
      </c>
      <c r="AQ774" s="0" t="n">
        <f aca="false">IF(T774="",0,1)</f>
        <v>0</v>
      </c>
      <c r="AR774" s="0" t="n">
        <f aca="false">IF(U774="",0,1)</f>
        <v>0</v>
      </c>
      <c r="AS774" s="8" t="n">
        <f aca="false">IF(AK774="","",IF(MAX($AK$2:$AK$921)=MIN($AK$2:$AK$921),50,ROUND((AK774-MIN($AK$2:$AK$921))/(MAX($AK$2:$AK$921)-MIN($AK$2:$AK$921))*100,2)))</f>
        <v>24.99</v>
      </c>
      <c r="AT774" s="8" t="n">
        <f aca="false">IF(MAX($BC$2:$BC$921)=MIN($BC$2:$BC$921),50,ROUND((BC774-MIN($BC$2:$BC$921))/(MAX($BC$2:$BC$921)-MIN($BC$2:$BC$921))*100,2))</f>
        <v>50</v>
      </c>
      <c r="AU774" s="8" t="n">
        <f aca="false">IF(MAX($BE$2:$BE$921)=MIN($BE$2:$BE$921),50,ROUND((BE774-MIN($BE$2:$BE$921))/(MAX($BE$2:$BE$921)-MIN($BE$2:$BE$921))*100,2))</f>
        <v>71.13</v>
      </c>
      <c r="AV774" s="8" t="n">
        <f aca="false">IF(MAX($AD$2:$AD$921)=MIN($AD$2:$AD$921),50,ROUND((AD774-MIN($AD$2:$AD$921))/(MAX($AD$2:$AD$921)-MIN($AD$2:$AD$921))*100,2))</f>
        <v>8.15</v>
      </c>
      <c r="AW774" s="8" t="n">
        <f aca="false">IF(MAX($AN$2:$AN$921)=MIN($AN$2:$AN$921),50,ROUND((AN774-MIN($AN$2:$AN$921))/(MAX($AN$2:$AN$921)-MIN($AN$2:$AN$921))*100,2))</f>
        <v>50</v>
      </c>
      <c r="AX774" s="8" t="n">
        <f aca="false">AQ774*100</f>
        <v>0</v>
      </c>
      <c r="AY774" s="8" t="n">
        <f aca="false">AR774*100</f>
        <v>0</v>
      </c>
      <c r="AZ774" s="8" t="n">
        <f aca="false">IFERROR(ROUND(AS774*Assumptions!$I$6+AW774*Assumptions!$I$7+AT774*Assumptions!$I$8+AU774*Assumptions!$I$9+AV774*Assumptions!$I$10+AX774*Assumptions!$I$11+AY774*Assumptions!$I$12,2),"")</f>
        <v>36.48</v>
      </c>
      <c r="BA774" s="0" t="str">
        <f aca="false">IF(AZ774="","",IF(AZ774&lt;=Assumptions!$I$18,"Below Expectation",IF(AZ774&lt;=Assumptions!$I$19,"Developing",IF(AZ774&lt;=Assumptions!$I$20,"Meets Expectation",IF(AZ774&lt;=Assumptions!$I$21,"Exceeds","Star Performer")))))</f>
        <v>Below Expectation</v>
      </c>
      <c r="BB774" s="0" t="n">
        <f aca="false">IF(AZ774="",0,IF(AZ774&gt;=Assumptions!$I$26,1,0))</f>
        <v>0</v>
      </c>
      <c r="BC774" s="9" t="n">
        <f aca="false">IF(AL774="",2,AL774+2)</f>
        <v>2</v>
      </c>
      <c r="BD774" s="10" t="n">
        <f aca="false">IF(AM774="",ROUND(AVERAGE($AM$2:$AM$921),3),AM774)</f>
        <v>0.5</v>
      </c>
      <c r="BE774" s="9" t="n">
        <f aca="false">1-BD774</f>
        <v>0.5</v>
      </c>
    </row>
    <row r="775" customFormat="false" ht="14.25" hidden="true" customHeight="false" outlineLevel="0" collapsed="false">
      <c r="A775" s="4" t="n">
        <v>626</v>
      </c>
      <c r="B775" s="5" t="n">
        <v>55054894</v>
      </c>
      <c r="C775" s="5"/>
      <c r="D775" s="5" t="s">
        <v>2563</v>
      </c>
      <c r="E775" s="5" t="s">
        <v>257</v>
      </c>
      <c r="F775" s="5" t="s">
        <v>590</v>
      </c>
      <c r="G775" s="5" t="s">
        <v>589</v>
      </c>
      <c r="H775" s="5" t="s">
        <v>590</v>
      </c>
      <c r="I775" s="5" t="s">
        <v>63</v>
      </c>
      <c r="J775" s="5" t="s">
        <v>76</v>
      </c>
      <c r="K775" s="5" t="s">
        <v>309</v>
      </c>
      <c r="L775" s="6" t="n">
        <v>44768</v>
      </c>
      <c r="M775" s="5" t="s">
        <v>440</v>
      </c>
      <c r="N775" s="6" t="n">
        <v>36597</v>
      </c>
      <c r="O775" s="5" t="s">
        <v>1264</v>
      </c>
      <c r="P775" s="5" t="s">
        <v>1559</v>
      </c>
      <c r="Q775" s="5" t="s">
        <v>591</v>
      </c>
      <c r="R775" s="5" t="s">
        <v>115</v>
      </c>
      <c r="S775" s="5" t="s">
        <v>591</v>
      </c>
      <c r="T775" s="6"/>
      <c r="U775" s="6"/>
      <c r="V775" s="5"/>
      <c r="W775" s="5" t="s">
        <v>631</v>
      </c>
      <c r="X775" s="5" t="s">
        <v>141</v>
      </c>
      <c r="Y775" s="5" t="s">
        <v>631</v>
      </c>
      <c r="Z775" s="5" t="s">
        <v>631</v>
      </c>
      <c r="AA775" s="5" t="s">
        <v>2564</v>
      </c>
      <c r="AB775" s="0" t="n">
        <f aca="false">IFERROR(VALUE(R775),0)</f>
        <v>0</v>
      </c>
      <c r="AC775" s="0" t="n">
        <f aca="false">IFERROR(VALUE(M775),"")</f>
        <v>26.2</v>
      </c>
      <c r="AD775" s="0" t="n">
        <f aca="false">IFERROR(VALUE(Q775),"")</f>
        <v>3.1</v>
      </c>
      <c r="AE775" s="0" t="n">
        <f aca="false">IFERROR(VALUE(S775),"")</f>
        <v>3.1</v>
      </c>
      <c r="AF775" s="0" t="str">
        <f aca="false">IF(V775="","",VLOOKUP(V775,Assumptions!$B$6:$C$9,2,FALSE()))</f>
        <v/>
      </c>
      <c r="AG775" s="0" t="n">
        <f aca="false">IF(W775="","",VLOOKUP(W775,Assumptions!$B$6:$C$9,2,FALSE()))</f>
        <v>2</v>
      </c>
      <c r="AH775" s="0" t="n">
        <f aca="false">IF(X775="","",VLOOKUP(X775,Assumptions!$B$6:$C$9,2,FALSE()))</f>
        <v>3</v>
      </c>
      <c r="AI775" s="0" t="n">
        <f aca="false">IF(Y775="","",VLOOKUP(Y775,Assumptions!$B$6:$C$9,2,FALSE()))</f>
        <v>2</v>
      </c>
      <c r="AJ775" s="0" t="n">
        <f aca="false">IF(Z775="","",VLOOKUP(Z775,Assumptions!$B$6:$C$9,2,FALSE()))</f>
        <v>2</v>
      </c>
      <c r="AK775" s="7" t="n">
        <f aca="false">IFERROR(ROUND(AVERAGE(AF775:AJ775),3),"")</f>
        <v>2.25</v>
      </c>
      <c r="AL775" s="7" t="str">
        <f aca="false">IF(OR(AF775="",AJ775=""),"",AJ775-AF775)</f>
        <v/>
      </c>
      <c r="AM775" s="7" t="n">
        <f aca="false">IF(COUNT(AF775:AJ775)&gt;=2,ROUND(_xlfn.STDEV.S(AF775:AJ775),3),"")</f>
        <v>0.5</v>
      </c>
      <c r="AN775" s="7" t="n">
        <f aca="false">ROUND((IF(AF775="",0,AF775)*Assumptions!$F$15)+(IF(AG775="",0,AG775)*Assumptions!$F$16)+(IF(AH775="",0,AH775)*Assumptions!$F$17)+(IF(AI775="",0,AI775)*Assumptions!$F$18)+(IF(AJ775="",0,AJ775)*Assumptions!$F$19),3)</f>
        <v>2</v>
      </c>
      <c r="AO775" s="0" t="str">
        <f aca="false">IF(AC775&lt;=20,"",IF(AC775&lt;=Assumptions!$F$6,"20-30",IF(AC775&lt;=Assumptions!$F$7,"30-40",IF(AC775&lt;=Assumptions!$F$8,"40-50",IF(AC775&lt;=Assumptions!$F$9,"50-60",IF(AC775&lt;=Assumptions!$F$10,"60+",""))))))</f>
        <v>20-30</v>
      </c>
      <c r="AP775" s="0" t="str">
        <f aca="false">IFERROR(VLOOKUP(O775,Assumptions!$B$14:$C$26,2,FALSE()),"Other")</f>
        <v>Manager</v>
      </c>
      <c r="AQ775" s="0" t="n">
        <f aca="false">IF(T775="",0,1)</f>
        <v>0</v>
      </c>
      <c r="AR775" s="0" t="n">
        <f aca="false">IF(U775="",0,1)</f>
        <v>0</v>
      </c>
      <c r="AS775" s="8" t="n">
        <f aca="false">IF(AK775="","",IF(MAX($AK$2:$AK$921)=MIN($AK$2:$AK$921),50,ROUND((AK775-MIN($AK$2:$AK$921))/(MAX($AK$2:$AK$921)-MIN($AK$2:$AK$921))*100,2)))</f>
        <v>24.99</v>
      </c>
      <c r="AT775" s="8" t="n">
        <f aca="false">IF(MAX($BC$2:$BC$921)=MIN($BC$2:$BC$921),50,ROUND((BC775-MIN($BC$2:$BC$921))/(MAX($BC$2:$BC$921)-MIN($BC$2:$BC$921))*100,2))</f>
        <v>50</v>
      </c>
      <c r="AU775" s="8" t="n">
        <f aca="false">IF(MAX($BE$2:$BE$921)=MIN($BE$2:$BE$921),50,ROUND((BE775-MIN($BE$2:$BE$921))/(MAX($BE$2:$BE$921)-MIN($BE$2:$BE$921))*100,2))</f>
        <v>71.13</v>
      </c>
      <c r="AV775" s="8" t="n">
        <f aca="false">IF(MAX($AD$2:$AD$921)=MIN($AD$2:$AD$921),50,ROUND((AD775-MIN($AD$2:$AD$921))/(MAX($AD$2:$AD$921)-MIN($AD$2:$AD$921))*100,2))</f>
        <v>8.13</v>
      </c>
      <c r="AW775" s="8" t="n">
        <f aca="false">IF(MAX($AN$2:$AN$921)=MIN($AN$2:$AN$921),50,ROUND((AN775-MIN($AN$2:$AN$921))/(MAX($AN$2:$AN$921)-MIN($AN$2:$AN$921))*100,2))</f>
        <v>50</v>
      </c>
      <c r="AX775" s="8" t="n">
        <f aca="false">AQ775*100</f>
        <v>0</v>
      </c>
      <c r="AY775" s="8" t="n">
        <f aca="false">AR775*100</f>
        <v>0</v>
      </c>
      <c r="AZ775" s="8" t="n">
        <f aca="false">IFERROR(ROUND(AS775*Assumptions!$I$6+AW775*Assumptions!$I$7+AT775*Assumptions!$I$8+AU775*Assumptions!$I$9+AV775*Assumptions!$I$10+AX775*Assumptions!$I$11+AY775*Assumptions!$I$12,2),"")</f>
        <v>36.48</v>
      </c>
      <c r="BA775" s="0" t="str">
        <f aca="false">IF(AZ775="","",IF(AZ775&lt;=Assumptions!$I$18,"Below Expectation",IF(AZ775&lt;=Assumptions!$I$19,"Developing",IF(AZ775&lt;=Assumptions!$I$20,"Meets Expectation",IF(AZ775&lt;=Assumptions!$I$21,"Exceeds","Star Performer")))))</f>
        <v>Below Expectation</v>
      </c>
      <c r="BB775" s="0" t="n">
        <f aca="false">IF(AZ775="",0,IF(AZ775&gt;=Assumptions!$I$26,1,0))</f>
        <v>0</v>
      </c>
      <c r="BC775" s="9" t="n">
        <f aca="false">IF(AL775="",2,AL775+2)</f>
        <v>2</v>
      </c>
      <c r="BD775" s="10" t="n">
        <f aca="false">IF(AM775="",ROUND(AVERAGE($AM$2:$AM$921),3),AM775)</f>
        <v>0.5</v>
      </c>
      <c r="BE775" s="9" t="n">
        <f aca="false">1-BD775</f>
        <v>0.5</v>
      </c>
    </row>
    <row r="776" customFormat="false" ht="14.25" hidden="true" customHeight="false" outlineLevel="0" collapsed="false">
      <c r="A776" s="4" t="n">
        <v>632</v>
      </c>
      <c r="B776" s="5" t="n">
        <v>55055258</v>
      </c>
      <c r="C776" s="5" t="s">
        <v>666</v>
      </c>
      <c r="D776" s="5" t="s">
        <v>2565</v>
      </c>
      <c r="E776" s="5" t="s">
        <v>841</v>
      </c>
      <c r="F776" s="5" t="s">
        <v>590</v>
      </c>
      <c r="G776" s="5" t="s">
        <v>589</v>
      </c>
      <c r="H776" s="5" t="s">
        <v>590</v>
      </c>
      <c r="I776" s="5" t="s">
        <v>63</v>
      </c>
      <c r="J776" s="5" t="s">
        <v>100</v>
      </c>
      <c r="K776" s="5" t="s">
        <v>309</v>
      </c>
      <c r="L776" s="6" t="n">
        <v>44774</v>
      </c>
      <c r="M776" s="5" t="s">
        <v>1370</v>
      </c>
      <c r="N776" s="6" t="n">
        <v>35784</v>
      </c>
      <c r="O776" s="5" t="s">
        <v>1264</v>
      </c>
      <c r="P776" s="5" t="s">
        <v>1559</v>
      </c>
      <c r="Q776" s="5" t="s">
        <v>591</v>
      </c>
      <c r="R776" s="5" t="s">
        <v>366</v>
      </c>
      <c r="S776" s="5" t="s">
        <v>1318</v>
      </c>
      <c r="T776" s="6"/>
      <c r="U776" s="6"/>
      <c r="V776" s="5"/>
      <c r="W776" s="5" t="s">
        <v>631</v>
      </c>
      <c r="X776" s="5" t="s">
        <v>141</v>
      </c>
      <c r="Y776" s="5" t="s">
        <v>631</v>
      </c>
      <c r="Z776" s="5" t="s">
        <v>631</v>
      </c>
      <c r="AA776" s="5" t="s">
        <v>2552</v>
      </c>
      <c r="AB776" s="0" t="n">
        <f aca="false">IFERROR(VALUE(R776),0)</f>
        <v>1.1</v>
      </c>
      <c r="AC776" s="0" t="n">
        <f aca="false">IFERROR(VALUE(M776),"")</f>
        <v>28.5</v>
      </c>
      <c r="AD776" s="0" t="n">
        <f aca="false">IFERROR(VALUE(Q776),"")</f>
        <v>3.1</v>
      </c>
      <c r="AE776" s="0" t="n">
        <f aca="false">IFERROR(VALUE(S776),"")</f>
        <v>4.11</v>
      </c>
      <c r="AF776" s="0" t="str">
        <f aca="false">IF(V776="","",VLOOKUP(V776,Assumptions!$B$6:$C$9,2,FALSE()))</f>
        <v/>
      </c>
      <c r="AG776" s="0" t="n">
        <f aca="false">IF(W776="","",VLOOKUP(W776,Assumptions!$B$6:$C$9,2,FALSE()))</f>
        <v>2</v>
      </c>
      <c r="AH776" s="0" t="n">
        <f aca="false">IF(X776="","",VLOOKUP(X776,Assumptions!$B$6:$C$9,2,FALSE()))</f>
        <v>3</v>
      </c>
      <c r="AI776" s="0" t="n">
        <f aca="false">IF(Y776="","",VLOOKUP(Y776,Assumptions!$B$6:$C$9,2,FALSE()))</f>
        <v>2</v>
      </c>
      <c r="AJ776" s="0" t="n">
        <f aca="false">IF(Z776="","",VLOOKUP(Z776,Assumptions!$B$6:$C$9,2,FALSE()))</f>
        <v>2</v>
      </c>
      <c r="AK776" s="7" t="n">
        <f aca="false">IFERROR(ROUND(AVERAGE(AF776:AJ776),3),"")</f>
        <v>2.25</v>
      </c>
      <c r="AL776" s="7" t="str">
        <f aca="false">IF(OR(AF776="",AJ776=""),"",AJ776-AF776)</f>
        <v/>
      </c>
      <c r="AM776" s="7" t="n">
        <f aca="false">IF(COUNT(AF776:AJ776)&gt;=2,ROUND(_xlfn.STDEV.S(AF776:AJ776),3),"")</f>
        <v>0.5</v>
      </c>
      <c r="AN776" s="7" t="n">
        <f aca="false">ROUND((IF(AF776="",0,AF776)*Assumptions!$F$15)+(IF(AG776="",0,AG776)*Assumptions!$F$16)+(IF(AH776="",0,AH776)*Assumptions!$F$17)+(IF(AI776="",0,AI776)*Assumptions!$F$18)+(IF(AJ776="",0,AJ776)*Assumptions!$F$19),3)</f>
        <v>2</v>
      </c>
      <c r="AO776" s="0" t="str">
        <f aca="false">IF(AC776&lt;=20,"",IF(AC776&lt;=Assumptions!$F$6,"20-30",IF(AC776&lt;=Assumptions!$F$7,"30-40",IF(AC776&lt;=Assumptions!$F$8,"40-50",IF(AC776&lt;=Assumptions!$F$9,"50-60",IF(AC776&lt;=Assumptions!$F$10,"60+",""))))))</f>
        <v>20-30</v>
      </c>
      <c r="AP776" s="0" t="str">
        <f aca="false">IFERROR(VLOOKUP(O776,Assumptions!$B$14:$C$26,2,FALSE()),"Other")</f>
        <v>Manager</v>
      </c>
      <c r="AQ776" s="0" t="n">
        <f aca="false">IF(T776="",0,1)</f>
        <v>0</v>
      </c>
      <c r="AR776" s="0" t="n">
        <f aca="false">IF(U776="",0,1)</f>
        <v>0</v>
      </c>
      <c r="AS776" s="8" t="n">
        <f aca="false">IF(AK776="","",IF(MAX($AK$2:$AK$921)=MIN($AK$2:$AK$921),50,ROUND((AK776-MIN($AK$2:$AK$921))/(MAX($AK$2:$AK$921)-MIN($AK$2:$AK$921))*100,2)))</f>
        <v>24.99</v>
      </c>
      <c r="AT776" s="8" t="n">
        <f aca="false">IF(MAX($BC$2:$BC$921)=MIN($BC$2:$BC$921),50,ROUND((BC776-MIN($BC$2:$BC$921))/(MAX($BC$2:$BC$921)-MIN($BC$2:$BC$921))*100,2))</f>
        <v>50</v>
      </c>
      <c r="AU776" s="8" t="n">
        <f aca="false">IF(MAX($BE$2:$BE$921)=MIN($BE$2:$BE$921),50,ROUND((BE776-MIN($BE$2:$BE$921))/(MAX($BE$2:$BE$921)-MIN($BE$2:$BE$921))*100,2))</f>
        <v>71.13</v>
      </c>
      <c r="AV776" s="8" t="n">
        <f aca="false">IF(MAX($AD$2:$AD$921)=MIN($AD$2:$AD$921),50,ROUND((AD776-MIN($AD$2:$AD$921))/(MAX($AD$2:$AD$921)-MIN($AD$2:$AD$921))*100,2))</f>
        <v>8.13</v>
      </c>
      <c r="AW776" s="8" t="n">
        <f aca="false">IF(MAX($AN$2:$AN$921)=MIN($AN$2:$AN$921),50,ROUND((AN776-MIN($AN$2:$AN$921))/(MAX($AN$2:$AN$921)-MIN($AN$2:$AN$921))*100,2))</f>
        <v>50</v>
      </c>
      <c r="AX776" s="8" t="n">
        <f aca="false">AQ776*100</f>
        <v>0</v>
      </c>
      <c r="AY776" s="8" t="n">
        <f aca="false">AR776*100</f>
        <v>0</v>
      </c>
      <c r="AZ776" s="8" t="n">
        <f aca="false">IFERROR(ROUND(AS776*Assumptions!$I$6+AW776*Assumptions!$I$7+AT776*Assumptions!$I$8+AU776*Assumptions!$I$9+AV776*Assumptions!$I$10+AX776*Assumptions!$I$11+AY776*Assumptions!$I$12,2),"")</f>
        <v>36.48</v>
      </c>
      <c r="BA776" s="0" t="str">
        <f aca="false">IF(AZ776="","",IF(AZ776&lt;=Assumptions!$I$18,"Below Expectation",IF(AZ776&lt;=Assumptions!$I$19,"Developing",IF(AZ776&lt;=Assumptions!$I$20,"Meets Expectation",IF(AZ776&lt;=Assumptions!$I$21,"Exceeds","Star Performer")))))</f>
        <v>Below Expectation</v>
      </c>
      <c r="BB776" s="0" t="n">
        <f aca="false">IF(AZ776="",0,IF(AZ776&gt;=Assumptions!$I$26,1,0))</f>
        <v>0</v>
      </c>
      <c r="BC776" s="9" t="n">
        <f aca="false">IF(AL776="",2,AL776+2)</f>
        <v>2</v>
      </c>
      <c r="BD776" s="10" t="n">
        <f aca="false">IF(AM776="",ROUND(AVERAGE($AM$2:$AM$921),3),AM776)</f>
        <v>0.5</v>
      </c>
      <c r="BE776" s="9" t="n">
        <f aca="false">1-BD776</f>
        <v>0.5</v>
      </c>
    </row>
    <row r="777" customFormat="false" ht="14.25" hidden="true" customHeight="false" outlineLevel="0" collapsed="false">
      <c r="A777" s="4" t="n">
        <v>311</v>
      </c>
      <c r="B777" s="5" t="n">
        <v>10072229</v>
      </c>
      <c r="C777" s="5" t="s">
        <v>57</v>
      </c>
      <c r="D777" s="5" t="s">
        <v>2566</v>
      </c>
      <c r="E777" s="5" t="s">
        <v>208</v>
      </c>
      <c r="F777" s="5" t="s">
        <v>608</v>
      </c>
      <c r="G777" s="5" t="s">
        <v>609</v>
      </c>
      <c r="H777" s="5" t="s">
        <v>608</v>
      </c>
      <c r="I777" s="5" t="s">
        <v>63</v>
      </c>
      <c r="J777" s="5" t="s">
        <v>100</v>
      </c>
      <c r="K777" s="5" t="s">
        <v>65</v>
      </c>
      <c r="L777" s="6" t="n">
        <v>43901</v>
      </c>
      <c r="M777" s="5" t="s">
        <v>2085</v>
      </c>
      <c r="N777" s="6" t="n">
        <v>33908</v>
      </c>
      <c r="O777" s="5" t="s">
        <v>365</v>
      </c>
      <c r="P777" s="5" t="s">
        <v>365</v>
      </c>
      <c r="Q777" s="5" t="s">
        <v>1286</v>
      </c>
      <c r="R777" s="5" t="s">
        <v>496</v>
      </c>
      <c r="S777" s="5" t="s">
        <v>391</v>
      </c>
      <c r="T777" s="6"/>
      <c r="U777" s="6"/>
      <c r="V777" s="5" t="s">
        <v>141</v>
      </c>
      <c r="W777" s="5" t="s">
        <v>141</v>
      </c>
      <c r="X777" s="5" t="s">
        <v>631</v>
      </c>
      <c r="Y777" s="5" t="s">
        <v>631</v>
      </c>
      <c r="Z777" s="5" t="s">
        <v>631</v>
      </c>
      <c r="AA777" s="5" t="s">
        <v>2567</v>
      </c>
      <c r="AB777" s="0" t="n">
        <f aca="false">IFERROR(VALUE(R777),0)</f>
        <v>4.8</v>
      </c>
      <c r="AC777" s="0" t="n">
        <f aca="false">IFERROR(VALUE(M777),"")</f>
        <v>33.7</v>
      </c>
      <c r="AD777" s="0" t="n">
        <f aca="false">IFERROR(VALUE(Q777),"")</f>
        <v>6.2</v>
      </c>
      <c r="AE777" s="0" t="n">
        <f aca="false">IFERROR(VALUE(S777),"")</f>
        <v>10.1</v>
      </c>
      <c r="AF777" s="0" t="n">
        <f aca="false">IF(V777="","",VLOOKUP(V777,Assumptions!$B$6:$C$9,2,FALSE()))</f>
        <v>3</v>
      </c>
      <c r="AG777" s="0" t="n">
        <f aca="false">IF(W777="","",VLOOKUP(W777,Assumptions!$B$6:$C$9,2,FALSE()))</f>
        <v>3</v>
      </c>
      <c r="AH777" s="0" t="n">
        <f aca="false">IF(X777="","",VLOOKUP(X777,Assumptions!$B$6:$C$9,2,FALSE()))</f>
        <v>2</v>
      </c>
      <c r="AI777" s="0" t="n">
        <f aca="false">IF(Y777="","",VLOOKUP(Y777,Assumptions!$B$6:$C$9,2,FALSE()))</f>
        <v>2</v>
      </c>
      <c r="AJ777" s="0" t="n">
        <f aca="false">IF(Z777="","",VLOOKUP(Z777,Assumptions!$B$6:$C$9,2,FALSE()))</f>
        <v>2</v>
      </c>
      <c r="AK777" s="7" t="n">
        <f aca="false">IFERROR(ROUND(AVERAGE(AF777:AJ777),3),"")</f>
        <v>2.4</v>
      </c>
      <c r="AL777" s="7" t="n">
        <f aca="false">IF(OR(AF777="",AJ777=""),"",AJ777-AF777)</f>
        <v>-1</v>
      </c>
      <c r="AM777" s="7" t="n">
        <f aca="false">IF(COUNT(AF777:AJ777)&gt;=2,ROUND(_xlfn.STDEV.S(AF777:AJ777),3),"")</f>
        <v>0.548</v>
      </c>
      <c r="AN777" s="7" t="n">
        <f aca="false">ROUND((IF(AF777="",0,AF777)*Assumptions!$F$15)+(IF(AG777="",0,AG777)*Assumptions!$F$16)+(IF(AH777="",0,AH777)*Assumptions!$F$17)+(IF(AI777="",0,AI777)*Assumptions!$F$18)+(IF(AJ777="",0,AJ777)*Assumptions!$F$19),3)</f>
        <v>2.25</v>
      </c>
      <c r="AO777" s="0" t="str">
        <f aca="false">IF(AC777&lt;=20,"",IF(AC777&lt;=Assumptions!$F$6,"20-30",IF(AC777&lt;=Assumptions!$F$7,"30-40",IF(AC777&lt;=Assumptions!$F$8,"40-50",IF(AC777&lt;=Assumptions!$F$9,"50-60",IF(AC777&lt;=Assumptions!$F$10,"60+",""))))))</f>
        <v>30-40</v>
      </c>
      <c r="AP777" s="0" t="str">
        <f aca="false">IFERROR(VLOOKUP(O777,Assumptions!$B$14:$C$26,2,FALSE()),"Other")</f>
        <v>Manager</v>
      </c>
      <c r="AQ777" s="0" t="n">
        <f aca="false">IF(T777="",0,1)</f>
        <v>0</v>
      </c>
      <c r="AR777" s="0" t="n">
        <f aca="false">IF(U777="",0,1)</f>
        <v>0</v>
      </c>
      <c r="AS777" s="8" t="n">
        <f aca="false">IF(AK777="","",IF(MAX($AK$2:$AK$921)=MIN($AK$2:$AK$921),50,ROUND((AK777-MIN($AK$2:$AK$921))/(MAX($AK$2:$AK$921)-MIN($AK$2:$AK$921))*100,2)))</f>
        <v>31.42</v>
      </c>
      <c r="AT777" s="8" t="n">
        <f aca="false">IF(MAX($BC$2:$BC$921)=MIN($BC$2:$BC$921),50,ROUND((BC777-MIN($BC$2:$BC$921))/(MAX($BC$2:$BC$921)-MIN($BC$2:$BC$921))*100,2))</f>
        <v>25</v>
      </c>
      <c r="AU777" s="8" t="n">
        <f aca="false">IF(MAX($BE$2:$BE$921)=MIN($BE$2:$BE$921),50,ROUND((BE777-MIN($BE$2:$BE$921))/(MAX($BE$2:$BE$921)-MIN($BE$2:$BE$921))*100,2))</f>
        <v>68.36</v>
      </c>
      <c r="AV777" s="8" t="n">
        <f aca="false">IF(MAX($AD$2:$AD$921)=MIN($AD$2:$AD$921),50,ROUND((AD777-MIN($AD$2:$AD$921))/(MAX($AD$2:$AD$921)-MIN($AD$2:$AD$921))*100,2))</f>
        <v>16.55</v>
      </c>
      <c r="AW777" s="8" t="n">
        <f aca="false">IF(MAX($AN$2:$AN$921)=MIN($AN$2:$AN$921),50,ROUND((AN777-MIN($AN$2:$AN$921))/(MAX($AN$2:$AN$921)-MIN($AN$2:$AN$921))*100,2))</f>
        <v>56.25</v>
      </c>
      <c r="AX777" s="8" t="n">
        <f aca="false">AQ777*100</f>
        <v>0</v>
      </c>
      <c r="AY777" s="8" t="n">
        <f aca="false">AR777*100</f>
        <v>0</v>
      </c>
      <c r="AZ777" s="8" t="n">
        <f aca="false">IFERROR(ROUND(AS777*Assumptions!$I$6+AW777*Assumptions!$I$7+AT777*Assumptions!$I$8+AU777*Assumptions!$I$9+AV777*Assumptions!$I$10+AX777*Assumptions!$I$11+AY777*Assumptions!$I$12,2),"")</f>
        <v>36.34</v>
      </c>
      <c r="BA777" s="0" t="str">
        <f aca="false">IF(AZ777="","",IF(AZ777&lt;=Assumptions!$I$18,"Below Expectation",IF(AZ777&lt;=Assumptions!$I$19,"Developing",IF(AZ777&lt;=Assumptions!$I$20,"Meets Expectation",IF(AZ777&lt;=Assumptions!$I$21,"Exceeds","Star Performer")))))</f>
        <v>Below Expectation</v>
      </c>
      <c r="BB777" s="0" t="n">
        <f aca="false">IF(AZ777="",0,IF(AZ777&gt;=Assumptions!$I$26,1,0))</f>
        <v>0</v>
      </c>
      <c r="BC777" s="9" t="n">
        <f aca="false">IF(AL777="",2,AL777+2)</f>
        <v>1</v>
      </c>
      <c r="BD777" s="10" t="n">
        <f aca="false">IF(AM777="",ROUND(AVERAGE($AM$2:$AM$921),3),AM777)</f>
        <v>0.548</v>
      </c>
      <c r="BE777" s="9" t="n">
        <f aca="false">1-BD777</f>
        <v>0.452</v>
      </c>
    </row>
    <row r="778" customFormat="false" ht="14.25" hidden="true" customHeight="false" outlineLevel="0" collapsed="false">
      <c r="A778" s="4" t="n">
        <v>627</v>
      </c>
      <c r="B778" s="5" t="n">
        <v>55055021</v>
      </c>
      <c r="C778" s="5" t="s">
        <v>666</v>
      </c>
      <c r="D778" s="5" t="s">
        <v>2568</v>
      </c>
      <c r="E778" s="5" t="s">
        <v>841</v>
      </c>
      <c r="F778" s="5" t="s">
        <v>590</v>
      </c>
      <c r="G778" s="5" t="s">
        <v>589</v>
      </c>
      <c r="H778" s="5" t="s">
        <v>590</v>
      </c>
      <c r="I778" s="5" t="s">
        <v>63</v>
      </c>
      <c r="J778" s="5" t="s">
        <v>100</v>
      </c>
      <c r="K778" s="5" t="s">
        <v>309</v>
      </c>
      <c r="L778" s="6" t="n">
        <v>44770</v>
      </c>
      <c r="M778" s="5" t="s">
        <v>574</v>
      </c>
      <c r="N778" s="6" t="n">
        <v>36768</v>
      </c>
      <c r="O778" s="5" t="s">
        <v>1264</v>
      </c>
      <c r="P778" s="5" t="s">
        <v>1559</v>
      </c>
      <c r="Q778" s="5" t="s">
        <v>591</v>
      </c>
      <c r="R778" s="5" t="s">
        <v>115</v>
      </c>
      <c r="S778" s="5" t="s">
        <v>591</v>
      </c>
      <c r="T778" s="6"/>
      <c r="U778" s="6"/>
      <c r="V778" s="5"/>
      <c r="W778" s="5" t="s">
        <v>141</v>
      </c>
      <c r="X778" s="5" t="s">
        <v>631</v>
      </c>
      <c r="Y778" s="5" t="s">
        <v>631</v>
      </c>
      <c r="Z778" s="5" t="s">
        <v>631</v>
      </c>
      <c r="AA778" s="5" t="s">
        <v>2569</v>
      </c>
      <c r="AB778" s="0" t="n">
        <f aca="false">IFERROR(VALUE(R778),0)</f>
        <v>0</v>
      </c>
      <c r="AC778" s="0" t="n">
        <f aca="false">IFERROR(VALUE(M778),"")</f>
        <v>25.9</v>
      </c>
      <c r="AD778" s="0" t="n">
        <f aca="false">IFERROR(VALUE(Q778),"")</f>
        <v>3.1</v>
      </c>
      <c r="AE778" s="0" t="n">
        <f aca="false">IFERROR(VALUE(S778),"")</f>
        <v>3.1</v>
      </c>
      <c r="AF778" s="0" t="str">
        <f aca="false">IF(V778="","",VLOOKUP(V778,Assumptions!$B$6:$C$9,2,FALSE()))</f>
        <v/>
      </c>
      <c r="AG778" s="0" t="n">
        <f aca="false">IF(W778="","",VLOOKUP(W778,Assumptions!$B$6:$C$9,2,FALSE()))</f>
        <v>3</v>
      </c>
      <c r="AH778" s="0" t="n">
        <f aca="false">IF(X778="","",VLOOKUP(X778,Assumptions!$B$6:$C$9,2,FALSE()))</f>
        <v>2</v>
      </c>
      <c r="AI778" s="0" t="n">
        <f aca="false">IF(Y778="","",VLOOKUP(Y778,Assumptions!$B$6:$C$9,2,FALSE()))</f>
        <v>2</v>
      </c>
      <c r="AJ778" s="0" t="n">
        <f aca="false">IF(Z778="","",VLOOKUP(Z778,Assumptions!$B$6:$C$9,2,FALSE()))</f>
        <v>2</v>
      </c>
      <c r="AK778" s="7" t="n">
        <f aca="false">IFERROR(ROUND(AVERAGE(AF778:AJ778),3),"")</f>
        <v>2.25</v>
      </c>
      <c r="AL778" s="7" t="str">
        <f aca="false">IF(OR(AF778="",AJ778=""),"",AJ778-AF778)</f>
        <v/>
      </c>
      <c r="AM778" s="7" t="n">
        <f aca="false">IF(COUNT(AF778:AJ778)&gt;=2,ROUND(_xlfn.STDEV.S(AF778:AJ778),3),"")</f>
        <v>0.5</v>
      </c>
      <c r="AN778" s="7" t="n">
        <f aca="false">ROUND((IF(AF778="",0,AF778)*Assumptions!$F$15)+(IF(AG778="",0,AG778)*Assumptions!$F$16)+(IF(AH778="",0,AH778)*Assumptions!$F$17)+(IF(AI778="",0,AI778)*Assumptions!$F$18)+(IF(AJ778="",0,AJ778)*Assumptions!$F$19),3)</f>
        <v>1.95</v>
      </c>
      <c r="AO778" s="0" t="str">
        <f aca="false">IF(AC778&lt;=20,"",IF(AC778&lt;=Assumptions!$F$6,"20-30",IF(AC778&lt;=Assumptions!$F$7,"30-40",IF(AC778&lt;=Assumptions!$F$8,"40-50",IF(AC778&lt;=Assumptions!$F$9,"50-60",IF(AC778&lt;=Assumptions!$F$10,"60+",""))))))</f>
        <v>20-30</v>
      </c>
      <c r="AP778" s="0" t="str">
        <f aca="false">IFERROR(VLOOKUP(O778,Assumptions!$B$14:$C$26,2,FALSE()),"Other")</f>
        <v>Manager</v>
      </c>
      <c r="AQ778" s="0" t="n">
        <f aca="false">IF(T778="",0,1)</f>
        <v>0</v>
      </c>
      <c r="AR778" s="0" t="n">
        <f aca="false">IF(U778="",0,1)</f>
        <v>0</v>
      </c>
      <c r="AS778" s="8" t="n">
        <f aca="false">IF(AK778="","",IF(MAX($AK$2:$AK$921)=MIN($AK$2:$AK$921),50,ROUND((AK778-MIN($AK$2:$AK$921))/(MAX($AK$2:$AK$921)-MIN($AK$2:$AK$921))*100,2)))</f>
        <v>24.99</v>
      </c>
      <c r="AT778" s="8" t="n">
        <f aca="false">IF(MAX($BC$2:$BC$921)=MIN($BC$2:$BC$921),50,ROUND((BC778-MIN($BC$2:$BC$921))/(MAX($BC$2:$BC$921)-MIN($BC$2:$BC$921))*100,2))</f>
        <v>50</v>
      </c>
      <c r="AU778" s="8" t="n">
        <f aca="false">IF(MAX($BE$2:$BE$921)=MIN($BE$2:$BE$921),50,ROUND((BE778-MIN($BE$2:$BE$921))/(MAX($BE$2:$BE$921)-MIN($BE$2:$BE$921))*100,2))</f>
        <v>71.13</v>
      </c>
      <c r="AV778" s="8" t="n">
        <f aca="false">IF(MAX($AD$2:$AD$921)=MIN($AD$2:$AD$921),50,ROUND((AD778-MIN($AD$2:$AD$921))/(MAX($AD$2:$AD$921)-MIN($AD$2:$AD$921))*100,2))</f>
        <v>8.13</v>
      </c>
      <c r="AW778" s="8" t="n">
        <f aca="false">IF(MAX($AN$2:$AN$921)=MIN($AN$2:$AN$921),50,ROUND((AN778-MIN($AN$2:$AN$921))/(MAX($AN$2:$AN$921)-MIN($AN$2:$AN$921))*100,2))</f>
        <v>48.75</v>
      </c>
      <c r="AX778" s="8" t="n">
        <f aca="false">AQ778*100</f>
        <v>0</v>
      </c>
      <c r="AY778" s="8" t="n">
        <f aca="false">AR778*100</f>
        <v>0</v>
      </c>
      <c r="AZ778" s="8" t="n">
        <f aca="false">IFERROR(ROUND(AS778*Assumptions!$I$6+AW778*Assumptions!$I$7+AT778*Assumptions!$I$8+AU778*Assumptions!$I$9+AV778*Assumptions!$I$10+AX778*Assumptions!$I$11+AY778*Assumptions!$I$12,2),"")</f>
        <v>36.23</v>
      </c>
      <c r="BA778" s="0" t="str">
        <f aca="false">IF(AZ778="","",IF(AZ778&lt;=Assumptions!$I$18,"Below Expectation",IF(AZ778&lt;=Assumptions!$I$19,"Developing",IF(AZ778&lt;=Assumptions!$I$20,"Meets Expectation",IF(AZ778&lt;=Assumptions!$I$21,"Exceeds","Star Performer")))))</f>
        <v>Below Expectation</v>
      </c>
      <c r="BB778" s="0" t="n">
        <f aca="false">IF(AZ778="",0,IF(AZ778&gt;=Assumptions!$I$26,1,0))</f>
        <v>0</v>
      </c>
      <c r="BC778" s="9" t="n">
        <f aca="false">IF(AL778="",2,AL778+2)</f>
        <v>2</v>
      </c>
      <c r="BD778" s="10" t="n">
        <f aca="false">IF(AM778="",ROUND(AVERAGE($AM$2:$AM$921),3),AM778)</f>
        <v>0.5</v>
      </c>
      <c r="BE778" s="9" t="n">
        <f aca="false">1-BD778</f>
        <v>0.5</v>
      </c>
    </row>
    <row r="779" customFormat="false" ht="14.25" hidden="false" customHeight="false" outlineLevel="0" collapsed="false">
      <c r="A779" s="4" t="n">
        <v>767</v>
      </c>
      <c r="B779" s="5" t="n">
        <v>55085981</v>
      </c>
      <c r="C779" s="5" t="s">
        <v>106</v>
      </c>
      <c r="D779" s="5" t="s">
        <v>2570</v>
      </c>
      <c r="E779" s="5" t="s">
        <v>108</v>
      </c>
      <c r="F779" s="5" t="s">
        <v>590</v>
      </c>
      <c r="G779" s="5" t="s">
        <v>589</v>
      </c>
      <c r="H779" s="5" t="s">
        <v>590</v>
      </c>
      <c r="I779" s="5" t="s">
        <v>63</v>
      </c>
      <c r="J779" s="5" t="s">
        <v>112</v>
      </c>
      <c r="K779" s="5" t="s">
        <v>309</v>
      </c>
      <c r="L779" s="6" t="n">
        <v>45224</v>
      </c>
      <c r="M779" s="5" t="s">
        <v>916</v>
      </c>
      <c r="N779" s="6" t="n">
        <v>36950</v>
      </c>
      <c r="O779" s="5" t="s">
        <v>1264</v>
      </c>
      <c r="P779" s="5" t="s">
        <v>1559</v>
      </c>
      <c r="Q779" s="5" t="s">
        <v>195</v>
      </c>
      <c r="R779" s="5" t="s">
        <v>115</v>
      </c>
      <c r="S779" s="5" t="s">
        <v>195</v>
      </c>
      <c r="T779" s="6"/>
      <c r="U779" s="6"/>
      <c r="V779" s="5"/>
      <c r="W779" s="5"/>
      <c r="X779" s="5" t="s">
        <v>631</v>
      </c>
      <c r="Y779" s="5" t="s">
        <v>631</v>
      </c>
      <c r="Z779" s="5" t="s">
        <v>141</v>
      </c>
      <c r="AA779" s="5" t="s">
        <v>2175</v>
      </c>
      <c r="AB779" s="0" t="n">
        <f aca="false">IFERROR(VALUE(R779),0)</f>
        <v>0</v>
      </c>
      <c r="AC779" s="0" t="n">
        <f aca="false">IFERROR(VALUE(M779),"")</f>
        <v>25.3</v>
      </c>
      <c r="AD779" s="0" t="n">
        <f aca="false">IFERROR(VALUE(Q779),"")</f>
        <v>2.7</v>
      </c>
      <c r="AE779" s="0" t="n">
        <f aca="false">IFERROR(VALUE(S779),"")</f>
        <v>2.7</v>
      </c>
      <c r="AF779" s="0" t="str">
        <f aca="false">IF(V779="","",VLOOKUP(V779,Assumptions!$B$6:$C$9,2,FALSE()))</f>
        <v/>
      </c>
      <c r="AG779" s="0" t="str">
        <f aca="false">IF(W779="","",VLOOKUP(W779,Assumptions!$B$6:$C$9,2,FALSE()))</f>
        <v/>
      </c>
      <c r="AH779" s="0" t="n">
        <f aca="false">IF(X779="","",VLOOKUP(X779,Assumptions!$B$6:$C$9,2,FALSE()))</f>
        <v>2</v>
      </c>
      <c r="AI779" s="0" t="n">
        <f aca="false">IF(Y779="","",VLOOKUP(Y779,Assumptions!$B$6:$C$9,2,FALSE()))</f>
        <v>2</v>
      </c>
      <c r="AJ779" s="0" t="n">
        <f aca="false">IF(Z779="","",VLOOKUP(Z779,Assumptions!$B$6:$C$9,2,FALSE()))</f>
        <v>3</v>
      </c>
      <c r="AK779" s="7" t="n">
        <f aca="false">IFERROR(ROUND(AVERAGE(AF779:AJ779),3),"")</f>
        <v>2.333</v>
      </c>
      <c r="AL779" s="7" t="str">
        <f aca="false">IF(OR(AF779="",AJ779=""),"",AJ779-AF779)</f>
        <v/>
      </c>
      <c r="AM779" s="7" t="n">
        <f aca="false">IF(COUNT(AF779:AJ779)&gt;=2,ROUND(_xlfn.STDEV.S(AF779:AJ779),3),"")</f>
        <v>0.577</v>
      </c>
      <c r="AN779" s="7" t="n">
        <f aca="false">ROUND((IF(AF779="",0,AF779)*Assumptions!$F$15)+(IF(AG779="",0,AG779)*Assumptions!$F$16)+(IF(AH779="",0,AH779)*Assumptions!$F$17)+(IF(AI779="",0,AI779)*Assumptions!$F$18)+(IF(AJ779="",0,AJ779)*Assumptions!$F$19),3)</f>
        <v>1.8</v>
      </c>
      <c r="AO779" s="0" t="str">
        <f aca="false">IF(AC779&lt;=20,"",IF(AC779&lt;=Assumptions!$F$6,"20-30",IF(AC779&lt;=Assumptions!$F$7,"30-40",IF(AC779&lt;=Assumptions!$F$8,"40-50",IF(AC779&lt;=Assumptions!$F$9,"50-60",IF(AC779&lt;=Assumptions!$F$10,"60+",""))))))</f>
        <v>20-30</v>
      </c>
      <c r="AP779" s="0" t="str">
        <f aca="false">IFERROR(VLOOKUP(O779,Assumptions!$B$14:$C$26,2,FALSE()),"Other")</f>
        <v>Manager</v>
      </c>
      <c r="AQ779" s="0" t="n">
        <f aca="false">IF(T779="",0,1)</f>
        <v>0</v>
      </c>
      <c r="AR779" s="0" t="n">
        <f aca="false">IF(U779="",0,1)</f>
        <v>0</v>
      </c>
      <c r="AS779" s="8" t="n">
        <f aca="false">IF(AK779="","",IF(MAX($AK$2:$AK$921)=MIN($AK$2:$AK$921),50,ROUND((AK779-MIN($AK$2:$AK$921))/(MAX($AK$2:$AK$921)-MIN($AK$2:$AK$921))*100,2)))</f>
        <v>28.55</v>
      </c>
      <c r="AT779" s="8" t="n">
        <f aca="false">IF(MAX($BC$2:$BC$921)=MIN($BC$2:$BC$921),50,ROUND((BC779-MIN($BC$2:$BC$921))/(MAX($BC$2:$BC$921)-MIN($BC$2:$BC$921))*100,2))</f>
        <v>50</v>
      </c>
      <c r="AU779" s="8" t="n">
        <f aca="false">IF(MAX($BE$2:$BE$921)=MIN($BE$2:$BE$921),50,ROUND((BE779-MIN($BE$2:$BE$921))/(MAX($BE$2:$BE$921)-MIN($BE$2:$BE$921))*100,2))</f>
        <v>66.69</v>
      </c>
      <c r="AV779" s="8" t="n">
        <f aca="false">IF(MAX($AD$2:$AD$921)=MIN($AD$2:$AD$921),50,ROUND((AD779-MIN($AD$2:$AD$921))/(MAX($AD$2:$AD$921)-MIN($AD$2:$AD$921))*100,2))</f>
        <v>7.04</v>
      </c>
      <c r="AW779" s="8" t="n">
        <f aca="false">IF(MAX($AN$2:$AN$921)=MIN($AN$2:$AN$921),50,ROUND((AN779-MIN($AN$2:$AN$921))/(MAX($AN$2:$AN$921)-MIN($AN$2:$AN$921))*100,2))</f>
        <v>45</v>
      </c>
      <c r="AX779" s="8" t="n">
        <f aca="false">AQ779*100</f>
        <v>0</v>
      </c>
      <c r="AY779" s="8" t="n">
        <f aca="false">AR779*100</f>
        <v>0</v>
      </c>
      <c r="AZ779" s="8" t="n">
        <f aca="false">IFERROR(ROUND(AS779*Assumptions!$I$6+AW779*Assumptions!$I$7+AT779*Assumptions!$I$8+AU779*Assumptions!$I$9+AV779*Assumptions!$I$10+AX779*Assumptions!$I$11+AY779*Assumptions!$I$12,2),"")</f>
        <v>35.77</v>
      </c>
      <c r="BA779" s="0" t="str">
        <f aca="false">IF(AZ779="","",IF(AZ779&lt;=Assumptions!$I$18,"Below Expectation",IF(AZ779&lt;=Assumptions!$I$19,"Developing",IF(AZ779&lt;=Assumptions!$I$20,"Meets Expectation",IF(AZ779&lt;=Assumptions!$I$21,"Exceeds","Star Performer")))))</f>
        <v>Below Expectation</v>
      </c>
      <c r="BB779" s="0" t="n">
        <f aca="false">IF(AZ779="",0,IF(AZ779&gt;=Assumptions!$I$26,1,0))</f>
        <v>0</v>
      </c>
      <c r="BC779" s="9" t="n">
        <f aca="false">IF(AL779="",2,AL779+2)</f>
        <v>2</v>
      </c>
      <c r="BD779" s="10" t="n">
        <f aca="false">IF(AM779="",ROUND(AVERAGE($AM$2:$AM$921),3),AM779)</f>
        <v>0.577</v>
      </c>
      <c r="BE779" s="9" t="n">
        <f aca="false">1-BD779</f>
        <v>0.423</v>
      </c>
    </row>
    <row r="780" customFormat="false" ht="14.25" hidden="false" customHeight="false" outlineLevel="0" collapsed="false">
      <c r="A780" s="4" t="n">
        <v>772</v>
      </c>
      <c r="B780" s="5" t="n">
        <v>55085990</v>
      </c>
      <c r="C780" s="5" t="s">
        <v>106</v>
      </c>
      <c r="D780" s="5" t="s">
        <v>2571</v>
      </c>
      <c r="E780" s="5" t="s">
        <v>108</v>
      </c>
      <c r="F780" s="5" t="s">
        <v>590</v>
      </c>
      <c r="G780" s="5" t="s">
        <v>589</v>
      </c>
      <c r="H780" s="5" t="s">
        <v>590</v>
      </c>
      <c r="I780" s="5" t="s">
        <v>63</v>
      </c>
      <c r="J780" s="5" t="s">
        <v>112</v>
      </c>
      <c r="K780" s="5" t="s">
        <v>309</v>
      </c>
      <c r="L780" s="6" t="n">
        <v>45224</v>
      </c>
      <c r="M780" s="5" t="s">
        <v>532</v>
      </c>
      <c r="N780" s="6" t="n">
        <v>37081</v>
      </c>
      <c r="O780" s="5" t="s">
        <v>1264</v>
      </c>
      <c r="P780" s="5" t="s">
        <v>1559</v>
      </c>
      <c r="Q780" s="5" t="s">
        <v>195</v>
      </c>
      <c r="R780" s="5" t="s">
        <v>115</v>
      </c>
      <c r="S780" s="5" t="s">
        <v>195</v>
      </c>
      <c r="T780" s="6"/>
      <c r="U780" s="6"/>
      <c r="V780" s="5"/>
      <c r="W780" s="5"/>
      <c r="X780" s="5" t="s">
        <v>631</v>
      </c>
      <c r="Y780" s="5" t="s">
        <v>631</v>
      </c>
      <c r="Z780" s="5" t="s">
        <v>141</v>
      </c>
      <c r="AA780" s="5" t="s">
        <v>1956</v>
      </c>
      <c r="AB780" s="0" t="n">
        <f aca="false">IFERROR(VALUE(R780),0)</f>
        <v>0</v>
      </c>
      <c r="AC780" s="0" t="n">
        <f aca="false">IFERROR(VALUE(M780),"")</f>
        <v>24.1</v>
      </c>
      <c r="AD780" s="0" t="n">
        <f aca="false">IFERROR(VALUE(Q780),"")</f>
        <v>2.7</v>
      </c>
      <c r="AE780" s="0" t="n">
        <f aca="false">IFERROR(VALUE(S780),"")</f>
        <v>2.7</v>
      </c>
      <c r="AF780" s="0" t="str">
        <f aca="false">IF(V780="","",VLOOKUP(V780,Assumptions!$B$6:$C$9,2,FALSE()))</f>
        <v/>
      </c>
      <c r="AG780" s="0" t="str">
        <f aca="false">IF(W780="","",VLOOKUP(W780,Assumptions!$B$6:$C$9,2,FALSE()))</f>
        <v/>
      </c>
      <c r="AH780" s="0" t="n">
        <f aca="false">IF(X780="","",VLOOKUP(X780,Assumptions!$B$6:$C$9,2,FALSE()))</f>
        <v>2</v>
      </c>
      <c r="AI780" s="0" t="n">
        <f aca="false">IF(Y780="","",VLOOKUP(Y780,Assumptions!$B$6:$C$9,2,FALSE()))</f>
        <v>2</v>
      </c>
      <c r="AJ780" s="0" t="n">
        <f aca="false">IF(Z780="","",VLOOKUP(Z780,Assumptions!$B$6:$C$9,2,FALSE()))</f>
        <v>3</v>
      </c>
      <c r="AK780" s="7" t="n">
        <f aca="false">IFERROR(ROUND(AVERAGE(AF780:AJ780),3),"")</f>
        <v>2.333</v>
      </c>
      <c r="AL780" s="7" t="str">
        <f aca="false">IF(OR(AF780="",AJ780=""),"",AJ780-AF780)</f>
        <v/>
      </c>
      <c r="AM780" s="7" t="n">
        <f aca="false">IF(COUNT(AF780:AJ780)&gt;=2,ROUND(_xlfn.STDEV.S(AF780:AJ780),3),"")</f>
        <v>0.577</v>
      </c>
      <c r="AN780" s="7" t="n">
        <f aca="false">ROUND((IF(AF780="",0,AF780)*Assumptions!$F$15)+(IF(AG780="",0,AG780)*Assumptions!$F$16)+(IF(AH780="",0,AH780)*Assumptions!$F$17)+(IF(AI780="",0,AI780)*Assumptions!$F$18)+(IF(AJ780="",0,AJ780)*Assumptions!$F$19),3)</f>
        <v>1.8</v>
      </c>
      <c r="AO780" s="0" t="str">
        <f aca="false">IF(AC780&lt;=20,"",IF(AC780&lt;=Assumptions!$F$6,"20-30",IF(AC780&lt;=Assumptions!$F$7,"30-40",IF(AC780&lt;=Assumptions!$F$8,"40-50",IF(AC780&lt;=Assumptions!$F$9,"50-60",IF(AC780&lt;=Assumptions!$F$10,"60+",""))))))</f>
        <v>20-30</v>
      </c>
      <c r="AP780" s="0" t="str">
        <f aca="false">IFERROR(VLOOKUP(O780,Assumptions!$B$14:$C$26,2,FALSE()),"Other")</f>
        <v>Manager</v>
      </c>
      <c r="AQ780" s="0" t="n">
        <f aca="false">IF(T780="",0,1)</f>
        <v>0</v>
      </c>
      <c r="AR780" s="0" t="n">
        <f aca="false">IF(U780="",0,1)</f>
        <v>0</v>
      </c>
      <c r="AS780" s="8" t="n">
        <f aca="false">IF(AK780="","",IF(MAX($AK$2:$AK$921)=MIN($AK$2:$AK$921),50,ROUND((AK780-MIN($AK$2:$AK$921))/(MAX($AK$2:$AK$921)-MIN($AK$2:$AK$921))*100,2)))</f>
        <v>28.55</v>
      </c>
      <c r="AT780" s="8" t="n">
        <f aca="false">IF(MAX($BC$2:$BC$921)=MIN($BC$2:$BC$921),50,ROUND((BC780-MIN($BC$2:$BC$921))/(MAX($BC$2:$BC$921)-MIN($BC$2:$BC$921))*100,2))</f>
        <v>50</v>
      </c>
      <c r="AU780" s="8" t="n">
        <f aca="false">IF(MAX($BE$2:$BE$921)=MIN($BE$2:$BE$921),50,ROUND((BE780-MIN($BE$2:$BE$921))/(MAX($BE$2:$BE$921)-MIN($BE$2:$BE$921))*100,2))</f>
        <v>66.69</v>
      </c>
      <c r="AV780" s="8" t="n">
        <f aca="false">IF(MAX($AD$2:$AD$921)=MIN($AD$2:$AD$921),50,ROUND((AD780-MIN($AD$2:$AD$921))/(MAX($AD$2:$AD$921)-MIN($AD$2:$AD$921))*100,2))</f>
        <v>7.04</v>
      </c>
      <c r="AW780" s="8" t="n">
        <f aca="false">IF(MAX($AN$2:$AN$921)=MIN($AN$2:$AN$921),50,ROUND((AN780-MIN($AN$2:$AN$921))/(MAX($AN$2:$AN$921)-MIN($AN$2:$AN$921))*100,2))</f>
        <v>45</v>
      </c>
      <c r="AX780" s="8" t="n">
        <f aca="false">AQ780*100</f>
        <v>0</v>
      </c>
      <c r="AY780" s="8" t="n">
        <f aca="false">AR780*100</f>
        <v>0</v>
      </c>
      <c r="AZ780" s="8" t="n">
        <f aca="false">IFERROR(ROUND(AS780*Assumptions!$I$6+AW780*Assumptions!$I$7+AT780*Assumptions!$I$8+AU780*Assumptions!$I$9+AV780*Assumptions!$I$10+AX780*Assumptions!$I$11+AY780*Assumptions!$I$12,2),"")</f>
        <v>35.77</v>
      </c>
      <c r="BA780" s="0" t="str">
        <f aca="false">IF(AZ780="","",IF(AZ780&lt;=Assumptions!$I$18,"Below Expectation",IF(AZ780&lt;=Assumptions!$I$19,"Developing",IF(AZ780&lt;=Assumptions!$I$20,"Meets Expectation",IF(AZ780&lt;=Assumptions!$I$21,"Exceeds","Star Performer")))))</f>
        <v>Below Expectation</v>
      </c>
      <c r="BB780" s="0" t="n">
        <f aca="false">IF(AZ780="",0,IF(AZ780&gt;=Assumptions!$I$26,1,0))</f>
        <v>0</v>
      </c>
      <c r="BC780" s="9" t="n">
        <f aca="false">IF(AL780="",2,AL780+2)</f>
        <v>2</v>
      </c>
      <c r="BD780" s="10" t="n">
        <f aca="false">IF(AM780="",ROUND(AVERAGE($AM$2:$AM$921),3),AM780)</f>
        <v>0.577</v>
      </c>
      <c r="BE780" s="9" t="n">
        <f aca="false">1-BD780</f>
        <v>0.423</v>
      </c>
    </row>
    <row r="781" customFormat="false" ht="14.25" hidden="false" customHeight="false" outlineLevel="0" collapsed="false">
      <c r="A781" s="4" t="n">
        <v>775</v>
      </c>
      <c r="B781" s="5" t="n">
        <v>55085994</v>
      </c>
      <c r="C781" s="5" t="s">
        <v>106</v>
      </c>
      <c r="D781" s="5" t="s">
        <v>2572</v>
      </c>
      <c r="E781" s="5" t="s">
        <v>108</v>
      </c>
      <c r="F781" s="5" t="s">
        <v>590</v>
      </c>
      <c r="G781" s="5" t="s">
        <v>589</v>
      </c>
      <c r="H781" s="5" t="s">
        <v>590</v>
      </c>
      <c r="I781" s="5" t="s">
        <v>63</v>
      </c>
      <c r="J781" s="5" t="s">
        <v>112</v>
      </c>
      <c r="K781" s="5" t="s">
        <v>309</v>
      </c>
      <c r="L781" s="6" t="n">
        <v>45224</v>
      </c>
      <c r="M781" s="5" t="s">
        <v>2098</v>
      </c>
      <c r="N781" s="6" t="n">
        <v>36853</v>
      </c>
      <c r="O781" s="5" t="s">
        <v>1264</v>
      </c>
      <c r="P781" s="5" t="s">
        <v>1559</v>
      </c>
      <c r="Q781" s="5" t="s">
        <v>195</v>
      </c>
      <c r="R781" s="5" t="s">
        <v>115</v>
      </c>
      <c r="S781" s="5" t="s">
        <v>195</v>
      </c>
      <c r="T781" s="6"/>
      <c r="U781" s="6"/>
      <c r="V781" s="5"/>
      <c r="W781" s="5"/>
      <c r="X781" s="5" t="s">
        <v>631</v>
      </c>
      <c r="Y781" s="5" t="s">
        <v>631</v>
      </c>
      <c r="Z781" s="5" t="s">
        <v>141</v>
      </c>
      <c r="AA781" s="5" t="s">
        <v>2573</v>
      </c>
      <c r="AB781" s="0" t="n">
        <f aca="false">IFERROR(VALUE(R781),0)</f>
        <v>0</v>
      </c>
      <c r="AC781" s="0" t="n">
        <f aca="false">IFERROR(VALUE(M781),"")</f>
        <v>25.6</v>
      </c>
      <c r="AD781" s="0" t="n">
        <f aca="false">IFERROR(VALUE(Q781),"")</f>
        <v>2.7</v>
      </c>
      <c r="AE781" s="0" t="n">
        <f aca="false">IFERROR(VALUE(S781),"")</f>
        <v>2.7</v>
      </c>
      <c r="AF781" s="0" t="str">
        <f aca="false">IF(V781="","",VLOOKUP(V781,Assumptions!$B$6:$C$9,2,FALSE()))</f>
        <v/>
      </c>
      <c r="AG781" s="0" t="str">
        <f aca="false">IF(W781="","",VLOOKUP(W781,Assumptions!$B$6:$C$9,2,FALSE()))</f>
        <v/>
      </c>
      <c r="AH781" s="0" t="n">
        <f aca="false">IF(X781="","",VLOOKUP(X781,Assumptions!$B$6:$C$9,2,FALSE()))</f>
        <v>2</v>
      </c>
      <c r="AI781" s="0" t="n">
        <f aca="false">IF(Y781="","",VLOOKUP(Y781,Assumptions!$B$6:$C$9,2,FALSE()))</f>
        <v>2</v>
      </c>
      <c r="AJ781" s="0" t="n">
        <f aca="false">IF(Z781="","",VLOOKUP(Z781,Assumptions!$B$6:$C$9,2,FALSE()))</f>
        <v>3</v>
      </c>
      <c r="AK781" s="7" t="n">
        <f aca="false">IFERROR(ROUND(AVERAGE(AF781:AJ781),3),"")</f>
        <v>2.333</v>
      </c>
      <c r="AL781" s="7" t="str">
        <f aca="false">IF(OR(AF781="",AJ781=""),"",AJ781-AF781)</f>
        <v/>
      </c>
      <c r="AM781" s="7" t="n">
        <f aca="false">IF(COUNT(AF781:AJ781)&gt;=2,ROUND(_xlfn.STDEV.S(AF781:AJ781),3),"")</f>
        <v>0.577</v>
      </c>
      <c r="AN781" s="7" t="n">
        <f aca="false">ROUND((IF(AF781="",0,AF781)*Assumptions!$F$15)+(IF(AG781="",0,AG781)*Assumptions!$F$16)+(IF(AH781="",0,AH781)*Assumptions!$F$17)+(IF(AI781="",0,AI781)*Assumptions!$F$18)+(IF(AJ781="",0,AJ781)*Assumptions!$F$19),3)</f>
        <v>1.8</v>
      </c>
      <c r="AO781" s="0" t="str">
        <f aca="false">IF(AC781&lt;=20,"",IF(AC781&lt;=Assumptions!$F$6,"20-30",IF(AC781&lt;=Assumptions!$F$7,"30-40",IF(AC781&lt;=Assumptions!$F$8,"40-50",IF(AC781&lt;=Assumptions!$F$9,"50-60",IF(AC781&lt;=Assumptions!$F$10,"60+",""))))))</f>
        <v>20-30</v>
      </c>
      <c r="AP781" s="0" t="str">
        <f aca="false">IFERROR(VLOOKUP(O781,Assumptions!$B$14:$C$26,2,FALSE()),"Other")</f>
        <v>Manager</v>
      </c>
      <c r="AQ781" s="0" t="n">
        <f aca="false">IF(T781="",0,1)</f>
        <v>0</v>
      </c>
      <c r="AR781" s="0" t="n">
        <f aca="false">IF(U781="",0,1)</f>
        <v>0</v>
      </c>
      <c r="AS781" s="8" t="n">
        <f aca="false">IF(AK781="","",IF(MAX($AK$2:$AK$921)=MIN($AK$2:$AK$921),50,ROUND((AK781-MIN($AK$2:$AK$921))/(MAX($AK$2:$AK$921)-MIN($AK$2:$AK$921))*100,2)))</f>
        <v>28.55</v>
      </c>
      <c r="AT781" s="8" t="n">
        <f aca="false">IF(MAX($BC$2:$BC$921)=MIN($BC$2:$BC$921),50,ROUND((BC781-MIN($BC$2:$BC$921))/(MAX($BC$2:$BC$921)-MIN($BC$2:$BC$921))*100,2))</f>
        <v>50</v>
      </c>
      <c r="AU781" s="8" t="n">
        <f aca="false">IF(MAX($BE$2:$BE$921)=MIN($BE$2:$BE$921),50,ROUND((BE781-MIN($BE$2:$BE$921))/(MAX($BE$2:$BE$921)-MIN($BE$2:$BE$921))*100,2))</f>
        <v>66.69</v>
      </c>
      <c r="AV781" s="8" t="n">
        <f aca="false">IF(MAX($AD$2:$AD$921)=MIN($AD$2:$AD$921),50,ROUND((AD781-MIN($AD$2:$AD$921))/(MAX($AD$2:$AD$921)-MIN($AD$2:$AD$921))*100,2))</f>
        <v>7.04</v>
      </c>
      <c r="AW781" s="8" t="n">
        <f aca="false">IF(MAX($AN$2:$AN$921)=MIN($AN$2:$AN$921),50,ROUND((AN781-MIN($AN$2:$AN$921))/(MAX($AN$2:$AN$921)-MIN($AN$2:$AN$921))*100,2))</f>
        <v>45</v>
      </c>
      <c r="AX781" s="8" t="n">
        <f aca="false">AQ781*100</f>
        <v>0</v>
      </c>
      <c r="AY781" s="8" t="n">
        <f aca="false">AR781*100</f>
        <v>0</v>
      </c>
      <c r="AZ781" s="8" t="n">
        <f aca="false">IFERROR(ROUND(AS781*Assumptions!$I$6+AW781*Assumptions!$I$7+AT781*Assumptions!$I$8+AU781*Assumptions!$I$9+AV781*Assumptions!$I$10+AX781*Assumptions!$I$11+AY781*Assumptions!$I$12,2),"")</f>
        <v>35.77</v>
      </c>
      <c r="BA781" s="0" t="str">
        <f aca="false">IF(AZ781="","",IF(AZ781&lt;=Assumptions!$I$18,"Below Expectation",IF(AZ781&lt;=Assumptions!$I$19,"Developing",IF(AZ781&lt;=Assumptions!$I$20,"Meets Expectation",IF(AZ781&lt;=Assumptions!$I$21,"Exceeds","Star Performer")))))</f>
        <v>Below Expectation</v>
      </c>
      <c r="BB781" s="0" t="n">
        <f aca="false">IF(AZ781="",0,IF(AZ781&gt;=Assumptions!$I$26,1,0))</f>
        <v>0</v>
      </c>
      <c r="BC781" s="9" t="n">
        <f aca="false">IF(AL781="",2,AL781+2)</f>
        <v>2</v>
      </c>
      <c r="BD781" s="10" t="n">
        <f aca="false">IF(AM781="",ROUND(AVERAGE($AM$2:$AM$921),3),AM781)</f>
        <v>0.577</v>
      </c>
      <c r="BE781" s="9" t="n">
        <f aca="false">1-BD781</f>
        <v>0.423</v>
      </c>
    </row>
    <row r="782" customFormat="false" ht="14.25" hidden="false" customHeight="false" outlineLevel="0" collapsed="false">
      <c r="A782" s="4" t="n">
        <v>777</v>
      </c>
      <c r="B782" s="5" t="n">
        <v>55085998</v>
      </c>
      <c r="C782" s="5" t="s">
        <v>106</v>
      </c>
      <c r="D782" s="5" t="s">
        <v>2574</v>
      </c>
      <c r="E782" s="5" t="s">
        <v>108</v>
      </c>
      <c r="F782" s="5" t="s">
        <v>590</v>
      </c>
      <c r="G782" s="5" t="s">
        <v>589</v>
      </c>
      <c r="H782" s="5" t="s">
        <v>590</v>
      </c>
      <c r="I782" s="5" t="s">
        <v>63</v>
      </c>
      <c r="J782" s="5" t="s">
        <v>112</v>
      </c>
      <c r="K782" s="5" t="s">
        <v>309</v>
      </c>
      <c r="L782" s="6" t="n">
        <v>45224</v>
      </c>
      <c r="M782" s="5" t="s">
        <v>2098</v>
      </c>
      <c r="N782" s="6" t="n">
        <v>36859</v>
      </c>
      <c r="O782" s="5" t="s">
        <v>1264</v>
      </c>
      <c r="P782" s="5" t="s">
        <v>1559</v>
      </c>
      <c r="Q782" s="5" t="s">
        <v>195</v>
      </c>
      <c r="R782" s="5" t="s">
        <v>115</v>
      </c>
      <c r="S782" s="5" t="s">
        <v>195</v>
      </c>
      <c r="T782" s="6"/>
      <c r="U782" s="6"/>
      <c r="V782" s="5"/>
      <c r="W782" s="5"/>
      <c r="X782" s="5" t="s">
        <v>631</v>
      </c>
      <c r="Y782" s="5" t="s">
        <v>631</v>
      </c>
      <c r="Z782" s="5" t="s">
        <v>141</v>
      </c>
      <c r="AA782" s="5" t="s">
        <v>2575</v>
      </c>
      <c r="AB782" s="0" t="n">
        <f aca="false">IFERROR(VALUE(R782),0)</f>
        <v>0</v>
      </c>
      <c r="AC782" s="0" t="n">
        <f aca="false">IFERROR(VALUE(M782),"")</f>
        <v>25.6</v>
      </c>
      <c r="AD782" s="0" t="n">
        <f aca="false">IFERROR(VALUE(Q782),"")</f>
        <v>2.7</v>
      </c>
      <c r="AE782" s="0" t="n">
        <f aca="false">IFERROR(VALUE(S782),"")</f>
        <v>2.7</v>
      </c>
      <c r="AF782" s="0" t="str">
        <f aca="false">IF(V782="","",VLOOKUP(V782,Assumptions!$B$6:$C$9,2,FALSE()))</f>
        <v/>
      </c>
      <c r="AG782" s="0" t="str">
        <f aca="false">IF(W782="","",VLOOKUP(W782,Assumptions!$B$6:$C$9,2,FALSE()))</f>
        <v/>
      </c>
      <c r="AH782" s="0" t="n">
        <f aca="false">IF(X782="","",VLOOKUP(X782,Assumptions!$B$6:$C$9,2,FALSE()))</f>
        <v>2</v>
      </c>
      <c r="AI782" s="0" t="n">
        <f aca="false">IF(Y782="","",VLOOKUP(Y782,Assumptions!$B$6:$C$9,2,FALSE()))</f>
        <v>2</v>
      </c>
      <c r="AJ782" s="0" t="n">
        <f aca="false">IF(Z782="","",VLOOKUP(Z782,Assumptions!$B$6:$C$9,2,FALSE()))</f>
        <v>3</v>
      </c>
      <c r="AK782" s="7" t="n">
        <f aca="false">IFERROR(ROUND(AVERAGE(AF782:AJ782),3),"")</f>
        <v>2.333</v>
      </c>
      <c r="AL782" s="7" t="str">
        <f aca="false">IF(OR(AF782="",AJ782=""),"",AJ782-AF782)</f>
        <v/>
      </c>
      <c r="AM782" s="7" t="n">
        <f aca="false">IF(COUNT(AF782:AJ782)&gt;=2,ROUND(_xlfn.STDEV.S(AF782:AJ782),3),"")</f>
        <v>0.577</v>
      </c>
      <c r="AN782" s="7" t="n">
        <f aca="false">ROUND((IF(AF782="",0,AF782)*Assumptions!$F$15)+(IF(AG782="",0,AG782)*Assumptions!$F$16)+(IF(AH782="",0,AH782)*Assumptions!$F$17)+(IF(AI782="",0,AI782)*Assumptions!$F$18)+(IF(AJ782="",0,AJ782)*Assumptions!$F$19),3)</f>
        <v>1.8</v>
      </c>
      <c r="AO782" s="0" t="str">
        <f aca="false">IF(AC782&lt;=20,"",IF(AC782&lt;=Assumptions!$F$6,"20-30",IF(AC782&lt;=Assumptions!$F$7,"30-40",IF(AC782&lt;=Assumptions!$F$8,"40-50",IF(AC782&lt;=Assumptions!$F$9,"50-60",IF(AC782&lt;=Assumptions!$F$10,"60+",""))))))</f>
        <v>20-30</v>
      </c>
      <c r="AP782" s="0" t="str">
        <f aca="false">IFERROR(VLOOKUP(O782,Assumptions!$B$14:$C$26,2,FALSE()),"Other")</f>
        <v>Manager</v>
      </c>
      <c r="AQ782" s="0" t="n">
        <f aca="false">IF(T782="",0,1)</f>
        <v>0</v>
      </c>
      <c r="AR782" s="0" t="n">
        <f aca="false">IF(U782="",0,1)</f>
        <v>0</v>
      </c>
      <c r="AS782" s="8" t="n">
        <f aca="false">IF(AK782="","",IF(MAX($AK$2:$AK$921)=MIN($AK$2:$AK$921),50,ROUND((AK782-MIN($AK$2:$AK$921))/(MAX($AK$2:$AK$921)-MIN($AK$2:$AK$921))*100,2)))</f>
        <v>28.55</v>
      </c>
      <c r="AT782" s="8" t="n">
        <f aca="false">IF(MAX($BC$2:$BC$921)=MIN($BC$2:$BC$921),50,ROUND((BC782-MIN($BC$2:$BC$921))/(MAX($BC$2:$BC$921)-MIN($BC$2:$BC$921))*100,2))</f>
        <v>50</v>
      </c>
      <c r="AU782" s="8" t="n">
        <f aca="false">IF(MAX($BE$2:$BE$921)=MIN($BE$2:$BE$921),50,ROUND((BE782-MIN($BE$2:$BE$921))/(MAX($BE$2:$BE$921)-MIN($BE$2:$BE$921))*100,2))</f>
        <v>66.69</v>
      </c>
      <c r="AV782" s="8" t="n">
        <f aca="false">IF(MAX($AD$2:$AD$921)=MIN($AD$2:$AD$921),50,ROUND((AD782-MIN($AD$2:$AD$921))/(MAX($AD$2:$AD$921)-MIN($AD$2:$AD$921))*100,2))</f>
        <v>7.04</v>
      </c>
      <c r="AW782" s="8" t="n">
        <f aca="false">IF(MAX($AN$2:$AN$921)=MIN($AN$2:$AN$921),50,ROUND((AN782-MIN($AN$2:$AN$921))/(MAX($AN$2:$AN$921)-MIN($AN$2:$AN$921))*100,2))</f>
        <v>45</v>
      </c>
      <c r="AX782" s="8" t="n">
        <f aca="false">AQ782*100</f>
        <v>0</v>
      </c>
      <c r="AY782" s="8" t="n">
        <f aca="false">AR782*100</f>
        <v>0</v>
      </c>
      <c r="AZ782" s="8" t="n">
        <f aca="false">IFERROR(ROUND(AS782*Assumptions!$I$6+AW782*Assumptions!$I$7+AT782*Assumptions!$I$8+AU782*Assumptions!$I$9+AV782*Assumptions!$I$10+AX782*Assumptions!$I$11+AY782*Assumptions!$I$12,2),"")</f>
        <v>35.77</v>
      </c>
      <c r="BA782" s="0" t="str">
        <f aca="false">IF(AZ782="","",IF(AZ782&lt;=Assumptions!$I$18,"Below Expectation",IF(AZ782&lt;=Assumptions!$I$19,"Developing",IF(AZ782&lt;=Assumptions!$I$20,"Meets Expectation",IF(AZ782&lt;=Assumptions!$I$21,"Exceeds","Star Performer")))))</f>
        <v>Below Expectation</v>
      </c>
      <c r="BB782" s="0" t="n">
        <f aca="false">IF(AZ782="",0,IF(AZ782&gt;=Assumptions!$I$26,1,0))</f>
        <v>0</v>
      </c>
      <c r="BC782" s="9" t="n">
        <f aca="false">IF(AL782="",2,AL782+2)</f>
        <v>2</v>
      </c>
      <c r="BD782" s="10" t="n">
        <f aca="false">IF(AM782="",ROUND(AVERAGE($AM$2:$AM$921),3),AM782)</f>
        <v>0.577</v>
      </c>
      <c r="BE782" s="9" t="n">
        <f aca="false">1-BD782</f>
        <v>0.423</v>
      </c>
    </row>
    <row r="783" customFormat="false" ht="14.25" hidden="false" customHeight="false" outlineLevel="0" collapsed="false">
      <c r="A783" s="4" t="n">
        <v>778</v>
      </c>
      <c r="B783" s="5" t="n">
        <v>55086000</v>
      </c>
      <c r="C783" s="5" t="s">
        <v>106</v>
      </c>
      <c r="D783" s="5" t="s">
        <v>2576</v>
      </c>
      <c r="E783" s="5" t="s">
        <v>108</v>
      </c>
      <c r="F783" s="5" t="s">
        <v>590</v>
      </c>
      <c r="G783" s="5" t="s">
        <v>589</v>
      </c>
      <c r="H783" s="5" t="s">
        <v>590</v>
      </c>
      <c r="I783" s="5" t="s">
        <v>63</v>
      </c>
      <c r="J783" s="5" t="s">
        <v>112</v>
      </c>
      <c r="K783" s="5" t="s">
        <v>309</v>
      </c>
      <c r="L783" s="6" t="n">
        <v>45224</v>
      </c>
      <c r="M783" s="5" t="s">
        <v>530</v>
      </c>
      <c r="N783" s="6" t="n">
        <v>37163</v>
      </c>
      <c r="O783" s="5" t="s">
        <v>1264</v>
      </c>
      <c r="P783" s="5" t="s">
        <v>1559</v>
      </c>
      <c r="Q783" s="5" t="s">
        <v>195</v>
      </c>
      <c r="R783" s="5" t="s">
        <v>115</v>
      </c>
      <c r="S783" s="5" t="s">
        <v>195</v>
      </c>
      <c r="T783" s="6"/>
      <c r="U783" s="6"/>
      <c r="V783" s="5"/>
      <c r="W783" s="5"/>
      <c r="X783" s="5" t="s">
        <v>631</v>
      </c>
      <c r="Y783" s="5" t="s">
        <v>631</v>
      </c>
      <c r="Z783" s="5" t="s">
        <v>141</v>
      </c>
      <c r="AA783" s="5" t="s">
        <v>2577</v>
      </c>
      <c r="AB783" s="0" t="n">
        <f aca="false">IFERROR(VALUE(R783),0)</f>
        <v>0</v>
      </c>
      <c r="AC783" s="0" t="n">
        <f aca="false">IFERROR(VALUE(M783),"")</f>
        <v>24.8</v>
      </c>
      <c r="AD783" s="0" t="n">
        <f aca="false">IFERROR(VALUE(Q783),"")</f>
        <v>2.7</v>
      </c>
      <c r="AE783" s="0" t="n">
        <f aca="false">IFERROR(VALUE(S783),"")</f>
        <v>2.7</v>
      </c>
      <c r="AF783" s="0" t="str">
        <f aca="false">IF(V783="","",VLOOKUP(V783,Assumptions!$B$6:$C$9,2,FALSE()))</f>
        <v/>
      </c>
      <c r="AG783" s="0" t="str">
        <f aca="false">IF(W783="","",VLOOKUP(W783,Assumptions!$B$6:$C$9,2,FALSE()))</f>
        <v/>
      </c>
      <c r="AH783" s="0" t="n">
        <f aca="false">IF(X783="","",VLOOKUP(X783,Assumptions!$B$6:$C$9,2,FALSE()))</f>
        <v>2</v>
      </c>
      <c r="AI783" s="0" t="n">
        <f aca="false">IF(Y783="","",VLOOKUP(Y783,Assumptions!$B$6:$C$9,2,FALSE()))</f>
        <v>2</v>
      </c>
      <c r="AJ783" s="0" t="n">
        <f aca="false">IF(Z783="","",VLOOKUP(Z783,Assumptions!$B$6:$C$9,2,FALSE()))</f>
        <v>3</v>
      </c>
      <c r="AK783" s="7" t="n">
        <f aca="false">IFERROR(ROUND(AVERAGE(AF783:AJ783),3),"")</f>
        <v>2.333</v>
      </c>
      <c r="AL783" s="7" t="str">
        <f aca="false">IF(OR(AF783="",AJ783=""),"",AJ783-AF783)</f>
        <v/>
      </c>
      <c r="AM783" s="7" t="n">
        <f aca="false">IF(COUNT(AF783:AJ783)&gt;=2,ROUND(_xlfn.STDEV.S(AF783:AJ783),3),"")</f>
        <v>0.577</v>
      </c>
      <c r="AN783" s="7" t="n">
        <f aca="false">ROUND((IF(AF783="",0,AF783)*Assumptions!$F$15)+(IF(AG783="",0,AG783)*Assumptions!$F$16)+(IF(AH783="",0,AH783)*Assumptions!$F$17)+(IF(AI783="",0,AI783)*Assumptions!$F$18)+(IF(AJ783="",0,AJ783)*Assumptions!$F$19),3)</f>
        <v>1.8</v>
      </c>
      <c r="AO783" s="0" t="str">
        <f aca="false">IF(AC783&lt;=20,"",IF(AC783&lt;=Assumptions!$F$6,"20-30",IF(AC783&lt;=Assumptions!$F$7,"30-40",IF(AC783&lt;=Assumptions!$F$8,"40-50",IF(AC783&lt;=Assumptions!$F$9,"50-60",IF(AC783&lt;=Assumptions!$F$10,"60+",""))))))</f>
        <v>20-30</v>
      </c>
      <c r="AP783" s="0" t="str">
        <f aca="false">IFERROR(VLOOKUP(O783,Assumptions!$B$14:$C$26,2,FALSE()),"Other")</f>
        <v>Manager</v>
      </c>
      <c r="AQ783" s="0" t="n">
        <f aca="false">IF(T783="",0,1)</f>
        <v>0</v>
      </c>
      <c r="AR783" s="0" t="n">
        <f aca="false">IF(U783="",0,1)</f>
        <v>0</v>
      </c>
      <c r="AS783" s="8" t="n">
        <f aca="false">IF(AK783="","",IF(MAX($AK$2:$AK$921)=MIN($AK$2:$AK$921),50,ROUND((AK783-MIN($AK$2:$AK$921))/(MAX($AK$2:$AK$921)-MIN($AK$2:$AK$921))*100,2)))</f>
        <v>28.55</v>
      </c>
      <c r="AT783" s="8" t="n">
        <f aca="false">IF(MAX($BC$2:$BC$921)=MIN($BC$2:$BC$921),50,ROUND((BC783-MIN($BC$2:$BC$921))/(MAX($BC$2:$BC$921)-MIN($BC$2:$BC$921))*100,2))</f>
        <v>50</v>
      </c>
      <c r="AU783" s="8" t="n">
        <f aca="false">IF(MAX($BE$2:$BE$921)=MIN($BE$2:$BE$921),50,ROUND((BE783-MIN($BE$2:$BE$921))/(MAX($BE$2:$BE$921)-MIN($BE$2:$BE$921))*100,2))</f>
        <v>66.69</v>
      </c>
      <c r="AV783" s="8" t="n">
        <f aca="false">IF(MAX($AD$2:$AD$921)=MIN($AD$2:$AD$921),50,ROUND((AD783-MIN($AD$2:$AD$921))/(MAX($AD$2:$AD$921)-MIN($AD$2:$AD$921))*100,2))</f>
        <v>7.04</v>
      </c>
      <c r="AW783" s="8" t="n">
        <f aca="false">IF(MAX($AN$2:$AN$921)=MIN($AN$2:$AN$921),50,ROUND((AN783-MIN($AN$2:$AN$921))/(MAX($AN$2:$AN$921)-MIN($AN$2:$AN$921))*100,2))</f>
        <v>45</v>
      </c>
      <c r="AX783" s="8" t="n">
        <f aca="false">AQ783*100</f>
        <v>0</v>
      </c>
      <c r="AY783" s="8" t="n">
        <f aca="false">AR783*100</f>
        <v>0</v>
      </c>
      <c r="AZ783" s="8" t="n">
        <f aca="false">IFERROR(ROUND(AS783*Assumptions!$I$6+AW783*Assumptions!$I$7+AT783*Assumptions!$I$8+AU783*Assumptions!$I$9+AV783*Assumptions!$I$10+AX783*Assumptions!$I$11+AY783*Assumptions!$I$12,2),"")</f>
        <v>35.77</v>
      </c>
      <c r="BA783" s="0" t="str">
        <f aca="false">IF(AZ783="","",IF(AZ783&lt;=Assumptions!$I$18,"Below Expectation",IF(AZ783&lt;=Assumptions!$I$19,"Developing",IF(AZ783&lt;=Assumptions!$I$20,"Meets Expectation",IF(AZ783&lt;=Assumptions!$I$21,"Exceeds","Star Performer")))))</f>
        <v>Below Expectation</v>
      </c>
      <c r="BB783" s="0" t="n">
        <f aca="false">IF(AZ783="",0,IF(AZ783&gt;=Assumptions!$I$26,1,0))</f>
        <v>0</v>
      </c>
      <c r="BC783" s="9" t="n">
        <f aca="false">IF(AL783="",2,AL783+2)</f>
        <v>2</v>
      </c>
      <c r="BD783" s="10" t="n">
        <f aca="false">IF(AM783="",ROUND(AVERAGE($AM$2:$AM$921),3),AM783)</f>
        <v>0.577</v>
      </c>
      <c r="BE783" s="9" t="n">
        <f aca="false">1-BD783</f>
        <v>0.423</v>
      </c>
    </row>
    <row r="784" customFormat="false" ht="14.25" hidden="false" customHeight="false" outlineLevel="0" collapsed="false">
      <c r="A784" s="4" t="n">
        <v>780</v>
      </c>
      <c r="B784" s="5" t="n">
        <v>55086002</v>
      </c>
      <c r="C784" s="5" t="s">
        <v>106</v>
      </c>
      <c r="D784" s="5" t="s">
        <v>2578</v>
      </c>
      <c r="E784" s="5" t="s">
        <v>108</v>
      </c>
      <c r="F784" s="5" t="s">
        <v>590</v>
      </c>
      <c r="G784" s="5" t="s">
        <v>589</v>
      </c>
      <c r="H784" s="5" t="s">
        <v>590</v>
      </c>
      <c r="I784" s="5" t="s">
        <v>63</v>
      </c>
      <c r="J784" s="5" t="s">
        <v>112</v>
      </c>
      <c r="K784" s="5" t="s">
        <v>309</v>
      </c>
      <c r="L784" s="6" t="n">
        <v>45224</v>
      </c>
      <c r="M784" s="5" t="s">
        <v>916</v>
      </c>
      <c r="N784" s="6" t="n">
        <v>36936</v>
      </c>
      <c r="O784" s="5" t="s">
        <v>1264</v>
      </c>
      <c r="P784" s="5" t="s">
        <v>1559</v>
      </c>
      <c r="Q784" s="5" t="s">
        <v>195</v>
      </c>
      <c r="R784" s="5" t="s">
        <v>115</v>
      </c>
      <c r="S784" s="5" t="s">
        <v>195</v>
      </c>
      <c r="T784" s="6"/>
      <c r="U784" s="6"/>
      <c r="V784" s="5"/>
      <c r="W784" s="5"/>
      <c r="X784" s="5" t="s">
        <v>631</v>
      </c>
      <c r="Y784" s="5" t="s">
        <v>631</v>
      </c>
      <c r="Z784" s="5" t="s">
        <v>141</v>
      </c>
      <c r="AA784" s="5" t="s">
        <v>2579</v>
      </c>
      <c r="AB784" s="0" t="n">
        <f aca="false">IFERROR(VALUE(R784),0)</f>
        <v>0</v>
      </c>
      <c r="AC784" s="0" t="n">
        <f aca="false">IFERROR(VALUE(M784),"")</f>
        <v>25.3</v>
      </c>
      <c r="AD784" s="0" t="n">
        <f aca="false">IFERROR(VALUE(Q784),"")</f>
        <v>2.7</v>
      </c>
      <c r="AE784" s="0" t="n">
        <f aca="false">IFERROR(VALUE(S784),"")</f>
        <v>2.7</v>
      </c>
      <c r="AF784" s="0" t="str">
        <f aca="false">IF(V784="","",VLOOKUP(V784,Assumptions!$B$6:$C$9,2,FALSE()))</f>
        <v/>
      </c>
      <c r="AG784" s="0" t="str">
        <f aca="false">IF(W784="","",VLOOKUP(W784,Assumptions!$B$6:$C$9,2,FALSE()))</f>
        <v/>
      </c>
      <c r="AH784" s="0" t="n">
        <f aca="false">IF(X784="","",VLOOKUP(X784,Assumptions!$B$6:$C$9,2,FALSE()))</f>
        <v>2</v>
      </c>
      <c r="AI784" s="0" t="n">
        <f aca="false">IF(Y784="","",VLOOKUP(Y784,Assumptions!$B$6:$C$9,2,FALSE()))</f>
        <v>2</v>
      </c>
      <c r="AJ784" s="0" t="n">
        <f aca="false">IF(Z784="","",VLOOKUP(Z784,Assumptions!$B$6:$C$9,2,FALSE()))</f>
        <v>3</v>
      </c>
      <c r="AK784" s="7" t="n">
        <f aca="false">IFERROR(ROUND(AVERAGE(AF784:AJ784),3),"")</f>
        <v>2.333</v>
      </c>
      <c r="AL784" s="7" t="str">
        <f aca="false">IF(OR(AF784="",AJ784=""),"",AJ784-AF784)</f>
        <v/>
      </c>
      <c r="AM784" s="7" t="n">
        <f aca="false">IF(COUNT(AF784:AJ784)&gt;=2,ROUND(_xlfn.STDEV.S(AF784:AJ784),3),"")</f>
        <v>0.577</v>
      </c>
      <c r="AN784" s="7" t="n">
        <f aca="false">ROUND((IF(AF784="",0,AF784)*Assumptions!$F$15)+(IF(AG784="",0,AG784)*Assumptions!$F$16)+(IF(AH784="",0,AH784)*Assumptions!$F$17)+(IF(AI784="",0,AI784)*Assumptions!$F$18)+(IF(AJ784="",0,AJ784)*Assumptions!$F$19),3)</f>
        <v>1.8</v>
      </c>
      <c r="AO784" s="0" t="str">
        <f aca="false">IF(AC784&lt;=20,"",IF(AC784&lt;=Assumptions!$F$6,"20-30",IF(AC784&lt;=Assumptions!$F$7,"30-40",IF(AC784&lt;=Assumptions!$F$8,"40-50",IF(AC784&lt;=Assumptions!$F$9,"50-60",IF(AC784&lt;=Assumptions!$F$10,"60+",""))))))</f>
        <v>20-30</v>
      </c>
      <c r="AP784" s="0" t="str">
        <f aca="false">IFERROR(VLOOKUP(O784,Assumptions!$B$14:$C$26,2,FALSE()),"Other")</f>
        <v>Manager</v>
      </c>
      <c r="AQ784" s="0" t="n">
        <f aca="false">IF(T784="",0,1)</f>
        <v>0</v>
      </c>
      <c r="AR784" s="0" t="n">
        <f aca="false">IF(U784="",0,1)</f>
        <v>0</v>
      </c>
      <c r="AS784" s="8" t="n">
        <f aca="false">IF(AK784="","",IF(MAX($AK$2:$AK$921)=MIN($AK$2:$AK$921),50,ROUND((AK784-MIN($AK$2:$AK$921))/(MAX($AK$2:$AK$921)-MIN($AK$2:$AK$921))*100,2)))</f>
        <v>28.55</v>
      </c>
      <c r="AT784" s="8" t="n">
        <f aca="false">IF(MAX($BC$2:$BC$921)=MIN($BC$2:$BC$921),50,ROUND((BC784-MIN($BC$2:$BC$921))/(MAX($BC$2:$BC$921)-MIN($BC$2:$BC$921))*100,2))</f>
        <v>50</v>
      </c>
      <c r="AU784" s="8" t="n">
        <f aca="false">IF(MAX($BE$2:$BE$921)=MIN($BE$2:$BE$921),50,ROUND((BE784-MIN($BE$2:$BE$921))/(MAX($BE$2:$BE$921)-MIN($BE$2:$BE$921))*100,2))</f>
        <v>66.69</v>
      </c>
      <c r="AV784" s="8" t="n">
        <f aca="false">IF(MAX($AD$2:$AD$921)=MIN($AD$2:$AD$921),50,ROUND((AD784-MIN($AD$2:$AD$921))/(MAX($AD$2:$AD$921)-MIN($AD$2:$AD$921))*100,2))</f>
        <v>7.04</v>
      </c>
      <c r="AW784" s="8" t="n">
        <f aca="false">IF(MAX($AN$2:$AN$921)=MIN($AN$2:$AN$921),50,ROUND((AN784-MIN($AN$2:$AN$921))/(MAX($AN$2:$AN$921)-MIN($AN$2:$AN$921))*100,2))</f>
        <v>45</v>
      </c>
      <c r="AX784" s="8" t="n">
        <f aca="false">AQ784*100</f>
        <v>0</v>
      </c>
      <c r="AY784" s="8" t="n">
        <f aca="false">AR784*100</f>
        <v>0</v>
      </c>
      <c r="AZ784" s="8" t="n">
        <f aca="false">IFERROR(ROUND(AS784*Assumptions!$I$6+AW784*Assumptions!$I$7+AT784*Assumptions!$I$8+AU784*Assumptions!$I$9+AV784*Assumptions!$I$10+AX784*Assumptions!$I$11+AY784*Assumptions!$I$12,2),"")</f>
        <v>35.77</v>
      </c>
      <c r="BA784" s="0" t="str">
        <f aca="false">IF(AZ784="","",IF(AZ784&lt;=Assumptions!$I$18,"Below Expectation",IF(AZ784&lt;=Assumptions!$I$19,"Developing",IF(AZ784&lt;=Assumptions!$I$20,"Meets Expectation",IF(AZ784&lt;=Assumptions!$I$21,"Exceeds","Star Performer")))))</f>
        <v>Below Expectation</v>
      </c>
      <c r="BB784" s="0" t="n">
        <f aca="false">IF(AZ784="",0,IF(AZ784&gt;=Assumptions!$I$26,1,0))</f>
        <v>0</v>
      </c>
      <c r="BC784" s="9" t="n">
        <f aca="false">IF(AL784="",2,AL784+2)</f>
        <v>2</v>
      </c>
      <c r="BD784" s="10" t="n">
        <f aca="false">IF(AM784="",ROUND(AVERAGE($AM$2:$AM$921),3),AM784)</f>
        <v>0.577</v>
      </c>
      <c r="BE784" s="9" t="n">
        <f aca="false">1-BD784</f>
        <v>0.423</v>
      </c>
    </row>
    <row r="785" customFormat="false" ht="14.25" hidden="true" customHeight="false" outlineLevel="0" collapsed="false">
      <c r="A785" s="4" t="n">
        <v>781</v>
      </c>
      <c r="B785" s="5" t="n">
        <v>55086005</v>
      </c>
      <c r="C785" s="5" t="s">
        <v>85</v>
      </c>
      <c r="D785" s="5" t="s">
        <v>2580</v>
      </c>
      <c r="E785" s="5" t="s">
        <v>185</v>
      </c>
      <c r="F785" s="5" t="s">
        <v>590</v>
      </c>
      <c r="G785" s="5" t="s">
        <v>589</v>
      </c>
      <c r="H785" s="5" t="s">
        <v>590</v>
      </c>
      <c r="I785" s="5" t="s">
        <v>63</v>
      </c>
      <c r="J785" s="5" t="s">
        <v>76</v>
      </c>
      <c r="K785" s="5" t="s">
        <v>309</v>
      </c>
      <c r="L785" s="6" t="n">
        <v>45224</v>
      </c>
      <c r="M785" s="5" t="s">
        <v>960</v>
      </c>
      <c r="N785" s="6" t="n">
        <v>36963</v>
      </c>
      <c r="O785" s="5" t="s">
        <v>1264</v>
      </c>
      <c r="P785" s="5" t="s">
        <v>1559</v>
      </c>
      <c r="Q785" s="5" t="s">
        <v>195</v>
      </c>
      <c r="R785" s="5" t="s">
        <v>115</v>
      </c>
      <c r="S785" s="5" t="s">
        <v>195</v>
      </c>
      <c r="T785" s="6"/>
      <c r="U785" s="6"/>
      <c r="V785" s="5"/>
      <c r="W785" s="5"/>
      <c r="X785" s="5" t="s">
        <v>631</v>
      </c>
      <c r="Y785" s="5" t="s">
        <v>631</v>
      </c>
      <c r="Z785" s="5" t="s">
        <v>141</v>
      </c>
      <c r="AA785" s="5" t="s">
        <v>2581</v>
      </c>
      <c r="AB785" s="0" t="n">
        <f aca="false">IFERROR(VALUE(R785),0)</f>
        <v>0</v>
      </c>
      <c r="AC785" s="0" t="n">
        <f aca="false">IFERROR(VALUE(M785),"")</f>
        <v>25.2</v>
      </c>
      <c r="AD785" s="0" t="n">
        <f aca="false">IFERROR(VALUE(Q785),"")</f>
        <v>2.7</v>
      </c>
      <c r="AE785" s="0" t="n">
        <f aca="false">IFERROR(VALUE(S785),"")</f>
        <v>2.7</v>
      </c>
      <c r="AF785" s="0" t="str">
        <f aca="false">IF(V785="","",VLOOKUP(V785,Assumptions!$B$6:$C$9,2,FALSE()))</f>
        <v/>
      </c>
      <c r="AG785" s="0" t="str">
        <f aca="false">IF(W785="","",VLOOKUP(W785,Assumptions!$B$6:$C$9,2,FALSE()))</f>
        <v/>
      </c>
      <c r="AH785" s="0" t="n">
        <f aca="false">IF(X785="","",VLOOKUP(X785,Assumptions!$B$6:$C$9,2,FALSE()))</f>
        <v>2</v>
      </c>
      <c r="AI785" s="0" t="n">
        <f aca="false">IF(Y785="","",VLOOKUP(Y785,Assumptions!$B$6:$C$9,2,FALSE()))</f>
        <v>2</v>
      </c>
      <c r="AJ785" s="0" t="n">
        <f aca="false">IF(Z785="","",VLOOKUP(Z785,Assumptions!$B$6:$C$9,2,FALSE()))</f>
        <v>3</v>
      </c>
      <c r="AK785" s="7" t="n">
        <f aca="false">IFERROR(ROUND(AVERAGE(AF785:AJ785),3),"")</f>
        <v>2.333</v>
      </c>
      <c r="AL785" s="7" t="str">
        <f aca="false">IF(OR(AF785="",AJ785=""),"",AJ785-AF785)</f>
        <v/>
      </c>
      <c r="AM785" s="7" t="n">
        <f aca="false">IF(COUNT(AF785:AJ785)&gt;=2,ROUND(_xlfn.STDEV.S(AF785:AJ785),3),"")</f>
        <v>0.577</v>
      </c>
      <c r="AN785" s="7" t="n">
        <f aca="false">ROUND((IF(AF785="",0,AF785)*Assumptions!$F$15)+(IF(AG785="",0,AG785)*Assumptions!$F$16)+(IF(AH785="",0,AH785)*Assumptions!$F$17)+(IF(AI785="",0,AI785)*Assumptions!$F$18)+(IF(AJ785="",0,AJ785)*Assumptions!$F$19),3)</f>
        <v>1.8</v>
      </c>
      <c r="AO785" s="0" t="str">
        <f aca="false">IF(AC785&lt;=20,"",IF(AC785&lt;=Assumptions!$F$6,"20-30",IF(AC785&lt;=Assumptions!$F$7,"30-40",IF(AC785&lt;=Assumptions!$F$8,"40-50",IF(AC785&lt;=Assumptions!$F$9,"50-60",IF(AC785&lt;=Assumptions!$F$10,"60+",""))))))</f>
        <v>20-30</v>
      </c>
      <c r="AP785" s="0" t="str">
        <f aca="false">IFERROR(VLOOKUP(O785,Assumptions!$B$14:$C$26,2,FALSE()),"Other")</f>
        <v>Manager</v>
      </c>
      <c r="AQ785" s="0" t="n">
        <f aca="false">IF(T785="",0,1)</f>
        <v>0</v>
      </c>
      <c r="AR785" s="0" t="n">
        <f aca="false">IF(U785="",0,1)</f>
        <v>0</v>
      </c>
      <c r="AS785" s="8" t="n">
        <f aca="false">IF(AK785="","",IF(MAX($AK$2:$AK$921)=MIN($AK$2:$AK$921),50,ROUND((AK785-MIN($AK$2:$AK$921))/(MAX($AK$2:$AK$921)-MIN($AK$2:$AK$921))*100,2)))</f>
        <v>28.55</v>
      </c>
      <c r="AT785" s="8" t="n">
        <f aca="false">IF(MAX($BC$2:$BC$921)=MIN($BC$2:$BC$921),50,ROUND((BC785-MIN($BC$2:$BC$921))/(MAX($BC$2:$BC$921)-MIN($BC$2:$BC$921))*100,2))</f>
        <v>50</v>
      </c>
      <c r="AU785" s="8" t="n">
        <f aca="false">IF(MAX($BE$2:$BE$921)=MIN($BE$2:$BE$921),50,ROUND((BE785-MIN($BE$2:$BE$921))/(MAX($BE$2:$BE$921)-MIN($BE$2:$BE$921))*100,2))</f>
        <v>66.69</v>
      </c>
      <c r="AV785" s="8" t="n">
        <f aca="false">IF(MAX($AD$2:$AD$921)=MIN($AD$2:$AD$921),50,ROUND((AD785-MIN($AD$2:$AD$921))/(MAX($AD$2:$AD$921)-MIN($AD$2:$AD$921))*100,2))</f>
        <v>7.04</v>
      </c>
      <c r="AW785" s="8" t="n">
        <f aca="false">IF(MAX($AN$2:$AN$921)=MIN($AN$2:$AN$921),50,ROUND((AN785-MIN($AN$2:$AN$921))/(MAX($AN$2:$AN$921)-MIN($AN$2:$AN$921))*100,2))</f>
        <v>45</v>
      </c>
      <c r="AX785" s="8" t="n">
        <f aca="false">AQ785*100</f>
        <v>0</v>
      </c>
      <c r="AY785" s="8" t="n">
        <f aca="false">AR785*100</f>
        <v>0</v>
      </c>
      <c r="AZ785" s="8" t="n">
        <f aca="false">IFERROR(ROUND(AS785*Assumptions!$I$6+AW785*Assumptions!$I$7+AT785*Assumptions!$I$8+AU785*Assumptions!$I$9+AV785*Assumptions!$I$10+AX785*Assumptions!$I$11+AY785*Assumptions!$I$12,2),"")</f>
        <v>35.77</v>
      </c>
      <c r="BA785" s="0" t="str">
        <f aca="false">IF(AZ785="","",IF(AZ785&lt;=Assumptions!$I$18,"Below Expectation",IF(AZ785&lt;=Assumptions!$I$19,"Developing",IF(AZ785&lt;=Assumptions!$I$20,"Meets Expectation",IF(AZ785&lt;=Assumptions!$I$21,"Exceeds","Star Performer")))))</f>
        <v>Below Expectation</v>
      </c>
      <c r="BB785" s="0" t="n">
        <f aca="false">IF(AZ785="",0,IF(AZ785&gt;=Assumptions!$I$26,1,0))</f>
        <v>0</v>
      </c>
      <c r="BC785" s="9" t="n">
        <f aca="false">IF(AL785="",2,AL785+2)</f>
        <v>2</v>
      </c>
      <c r="BD785" s="10" t="n">
        <f aca="false">IF(AM785="",ROUND(AVERAGE($AM$2:$AM$921),3),AM785)</f>
        <v>0.577</v>
      </c>
      <c r="BE785" s="9" t="n">
        <f aca="false">1-BD785</f>
        <v>0.423</v>
      </c>
    </row>
    <row r="786" customFormat="false" ht="14.25" hidden="false" customHeight="false" outlineLevel="0" collapsed="false">
      <c r="A786" s="4" t="n">
        <v>785</v>
      </c>
      <c r="B786" s="5" t="n">
        <v>55086011</v>
      </c>
      <c r="C786" s="5" t="s">
        <v>106</v>
      </c>
      <c r="D786" s="5" t="s">
        <v>2582</v>
      </c>
      <c r="E786" s="5" t="s">
        <v>108</v>
      </c>
      <c r="F786" s="5" t="s">
        <v>590</v>
      </c>
      <c r="G786" s="5" t="s">
        <v>589</v>
      </c>
      <c r="H786" s="5" t="s">
        <v>590</v>
      </c>
      <c r="I786" s="5" t="s">
        <v>63</v>
      </c>
      <c r="J786" s="5" t="s">
        <v>112</v>
      </c>
      <c r="K786" s="5" t="s">
        <v>309</v>
      </c>
      <c r="L786" s="6" t="n">
        <v>45224</v>
      </c>
      <c r="M786" s="5" t="s">
        <v>226</v>
      </c>
      <c r="N786" s="6" t="n">
        <v>36790</v>
      </c>
      <c r="O786" s="5" t="s">
        <v>1264</v>
      </c>
      <c r="P786" s="5" t="s">
        <v>1559</v>
      </c>
      <c r="Q786" s="5" t="s">
        <v>195</v>
      </c>
      <c r="R786" s="5" t="s">
        <v>115</v>
      </c>
      <c r="S786" s="5" t="s">
        <v>195</v>
      </c>
      <c r="T786" s="6"/>
      <c r="U786" s="6"/>
      <c r="V786" s="5"/>
      <c r="W786" s="5"/>
      <c r="X786" s="5" t="s">
        <v>631</v>
      </c>
      <c r="Y786" s="5" t="s">
        <v>631</v>
      </c>
      <c r="Z786" s="5" t="s">
        <v>141</v>
      </c>
      <c r="AA786" s="5" t="s">
        <v>2583</v>
      </c>
      <c r="AB786" s="0" t="n">
        <f aca="false">IFERROR(VALUE(R786),0)</f>
        <v>0</v>
      </c>
      <c r="AC786" s="0" t="n">
        <f aca="false">IFERROR(VALUE(M786),"")</f>
        <v>25.8</v>
      </c>
      <c r="AD786" s="0" t="n">
        <f aca="false">IFERROR(VALUE(Q786),"")</f>
        <v>2.7</v>
      </c>
      <c r="AE786" s="0" t="n">
        <f aca="false">IFERROR(VALUE(S786),"")</f>
        <v>2.7</v>
      </c>
      <c r="AF786" s="0" t="str">
        <f aca="false">IF(V786="","",VLOOKUP(V786,Assumptions!$B$6:$C$9,2,FALSE()))</f>
        <v/>
      </c>
      <c r="AG786" s="0" t="str">
        <f aca="false">IF(W786="","",VLOOKUP(W786,Assumptions!$B$6:$C$9,2,FALSE()))</f>
        <v/>
      </c>
      <c r="AH786" s="0" t="n">
        <f aca="false">IF(X786="","",VLOOKUP(X786,Assumptions!$B$6:$C$9,2,FALSE()))</f>
        <v>2</v>
      </c>
      <c r="AI786" s="0" t="n">
        <f aca="false">IF(Y786="","",VLOOKUP(Y786,Assumptions!$B$6:$C$9,2,FALSE()))</f>
        <v>2</v>
      </c>
      <c r="AJ786" s="0" t="n">
        <f aca="false">IF(Z786="","",VLOOKUP(Z786,Assumptions!$B$6:$C$9,2,FALSE()))</f>
        <v>3</v>
      </c>
      <c r="AK786" s="7" t="n">
        <f aca="false">IFERROR(ROUND(AVERAGE(AF786:AJ786),3),"")</f>
        <v>2.333</v>
      </c>
      <c r="AL786" s="7" t="str">
        <f aca="false">IF(OR(AF786="",AJ786=""),"",AJ786-AF786)</f>
        <v/>
      </c>
      <c r="AM786" s="7" t="n">
        <f aca="false">IF(COUNT(AF786:AJ786)&gt;=2,ROUND(_xlfn.STDEV.S(AF786:AJ786),3),"")</f>
        <v>0.577</v>
      </c>
      <c r="AN786" s="7" t="n">
        <f aca="false">ROUND((IF(AF786="",0,AF786)*Assumptions!$F$15)+(IF(AG786="",0,AG786)*Assumptions!$F$16)+(IF(AH786="",0,AH786)*Assumptions!$F$17)+(IF(AI786="",0,AI786)*Assumptions!$F$18)+(IF(AJ786="",0,AJ786)*Assumptions!$F$19),3)</f>
        <v>1.8</v>
      </c>
      <c r="AO786" s="0" t="str">
        <f aca="false">IF(AC786&lt;=20,"",IF(AC786&lt;=Assumptions!$F$6,"20-30",IF(AC786&lt;=Assumptions!$F$7,"30-40",IF(AC786&lt;=Assumptions!$F$8,"40-50",IF(AC786&lt;=Assumptions!$F$9,"50-60",IF(AC786&lt;=Assumptions!$F$10,"60+",""))))))</f>
        <v>20-30</v>
      </c>
      <c r="AP786" s="0" t="str">
        <f aca="false">IFERROR(VLOOKUP(O786,Assumptions!$B$14:$C$26,2,FALSE()),"Other")</f>
        <v>Manager</v>
      </c>
      <c r="AQ786" s="0" t="n">
        <f aca="false">IF(T786="",0,1)</f>
        <v>0</v>
      </c>
      <c r="AR786" s="0" t="n">
        <f aca="false">IF(U786="",0,1)</f>
        <v>0</v>
      </c>
      <c r="AS786" s="8" t="n">
        <f aca="false">IF(AK786="","",IF(MAX($AK$2:$AK$921)=MIN($AK$2:$AK$921),50,ROUND((AK786-MIN($AK$2:$AK$921))/(MAX($AK$2:$AK$921)-MIN($AK$2:$AK$921))*100,2)))</f>
        <v>28.55</v>
      </c>
      <c r="AT786" s="8" t="n">
        <f aca="false">IF(MAX($BC$2:$BC$921)=MIN($BC$2:$BC$921),50,ROUND((BC786-MIN($BC$2:$BC$921))/(MAX($BC$2:$BC$921)-MIN($BC$2:$BC$921))*100,2))</f>
        <v>50</v>
      </c>
      <c r="AU786" s="8" t="n">
        <f aca="false">IF(MAX($BE$2:$BE$921)=MIN($BE$2:$BE$921),50,ROUND((BE786-MIN($BE$2:$BE$921))/(MAX($BE$2:$BE$921)-MIN($BE$2:$BE$921))*100,2))</f>
        <v>66.69</v>
      </c>
      <c r="AV786" s="8" t="n">
        <f aca="false">IF(MAX($AD$2:$AD$921)=MIN($AD$2:$AD$921),50,ROUND((AD786-MIN($AD$2:$AD$921))/(MAX($AD$2:$AD$921)-MIN($AD$2:$AD$921))*100,2))</f>
        <v>7.04</v>
      </c>
      <c r="AW786" s="8" t="n">
        <f aca="false">IF(MAX($AN$2:$AN$921)=MIN($AN$2:$AN$921),50,ROUND((AN786-MIN($AN$2:$AN$921))/(MAX($AN$2:$AN$921)-MIN($AN$2:$AN$921))*100,2))</f>
        <v>45</v>
      </c>
      <c r="AX786" s="8" t="n">
        <f aca="false">AQ786*100</f>
        <v>0</v>
      </c>
      <c r="AY786" s="8" t="n">
        <f aca="false">AR786*100</f>
        <v>0</v>
      </c>
      <c r="AZ786" s="8" t="n">
        <f aca="false">IFERROR(ROUND(AS786*Assumptions!$I$6+AW786*Assumptions!$I$7+AT786*Assumptions!$I$8+AU786*Assumptions!$I$9+AV786*Assumptions!$I$10+AX786*Assumptions!$I$11+AY786*Assumptions!$I$12,2),"")</f>
        <v>35.77</v>
      </c>
      <c r="BA786" s="0" t="str">
        <f aca="false">IF(AZ786="","",IF(AZ786&lt;=Assumptions!$I$18,"Below Expectation",IF(AZ786&lt;=Assumptions!$I$19,"Developing",IF(AZ786&lt;=Assumptions!$I$20,"Meets Expectation",IF(AZ786&lt;=Assumptions!$I$21,"Exceeds","Star Performer")))))</f>
        <v>Below Expectation</v>
      </c>
      <c r="BB786" s="0" t="n">
        <f aca="false">IF(AZ786="",0,IF(AZ786&gt;=Assumptions!$I$26,1,0))</f>
        <v>0</v>
      </c>
      <c r="BC786" s="9" t="n">
        <f aca="false">IF(AL786="",2,AL786+2)</f>
        <v>2</v>
      </c>
      <c r="BD786" s="10" t="n">
        <f aca="false">IF(AM786="",ROUND(AVERAGE($AM$2:$AM$921),3),AM786)</f>
        <v>0.577</v>
      </c>
      <c r="BE786" s="9" t="n">
        <f aca="false">1-BD786</f>
        <v>0.423</v>
      </c>
    </row>
    <row r="787" customFormat="false" ht="14.25" hidden="true" customHeight="false" outlineLevel="0" collapsed="false">
      <c r="A787" s="4" t="n">
        <v>786</v>
      </c>
      <c r="B787" s="5" t="n">
        <v>55086015</v>
      </c>
      <c r="C787" s="5" t="s">
        <v>526</v>
      </c>
      <c r="D787" s="5" t="s">
        <v>2584</v>
      </c>
      <c r="E787" s="5" t="s">
        <v>1008</v>
      </c>
      <c r="F787" s="5" t="s">
        <v>465</v>
      </c>
      <c r="G787" s="5" t="s">
        <v>464</v>
      </c>
      <c r="H787" s="5" t="s">
        <v>465</v>
      </c>
      <c r="I787" s="5" t="s">
        <v>63</v>
      </c>
      <c r="J787" s="5" t="s">
        <v>100</v>
      </c>
      <c r="K787" s="5" t="s">
        <v>309</v>
      </c>
      <c r="L787" s="6" t="n">
        <v>45224</v>
      </c>
      <c r="M787" s="5" t="s">
        <v>353</v>
      </c>
      <c r="N787" s="6" t="n">
        <v>37438</v>
      </c>
      <c r="O787" s="5" t="s">
        <v>585</v>
      </c>
      <c r="P787" s="5" t="s">
        <v>586</v>
      </c>
      <c r="Q787" s="5" t="s">
        <v>195</v>
      </c>
      <c r="R787" s="5" t="s">
        <v>115</v>
      </c>
      <c r="S787" s="5" t="s">
        <v>195</v>
      </c>
      <c r="T787" s="6"/>
      <c r="U787" s="6"/>
      <c r="V787" s="5"/>
      <c r="W787" s="5"/>
      <c r="X787" s="5" t="s">
        <v>631</v>
      </c>
      <c r="Y787" s="5" t="s">
        <v>631</v>
      </c>
      <c r="Z787" s="5" t="s">
        <v>141</v>
      </c>
      <c r="AA787" s="5" t="s">
        <v>2585</v>
      </c>
      <c r="AB787" s="0" t="n">
        <f aca="false">IFERROR(VALUE(R787),0)</f>
        <v>0</v>
      </c>
      <c r="AC787" s="0" t="n">
        <f aca="false">IFERROR(VALUE(M787),"")</f>
        <v>23.11</v>
      </c>
      <c r="AD787" s="0" t="n">
        <f aca="false">IFERROR(VALUE(Q787),"")</f>
        <v>2.7</v>
      </c>
      <c r="AE787" s="0" t="n">
        <f aca="false">IFERROR(VALUE(S787),"")</f>
        <v>2.7</v>
      </c>
      <c r="AF787" s="0" t="str">
        <f aca="false">IF(V787="","",VLOOKUP(V787,Assumptions!$B$6:$C$9,2,FALSE()))</f>
        <v/>
      </c>
      <c r="AG787" s="0" t="str">
        <f aca="false">IF(W787="","",VLOOKUP(W787,Assumptions!$B$6:$C$9,2,FALSE()))</f>
        <v/>
      </c>
      <c r="AH787" s="0" t="n">
        <f aca="false">IF(X787="","",VLOOKUP(X787,Assumptions!$B$6:$C$9,2,FALSE()))</f>
        <v>2</v>
      </c>
      <c r="AI787" s="0" t="n">
        <f aca="false">IF(Y787="","",VLOOKUP(Y787,Assumptions!$B$6:$C$9,2,FALSE()))</f>
        <v>2</v>
      </c>
      <c r="AJ787" s="0" t="n">
        <f aca="false">IF(Z787="","",VLOOKUP(Z787,Assumptions!$B$6:$C$9,2,FALSE()))</f>
        <v>3</v>
      </c>
      <c r="AK787" s="7" t="n">
        <f aca="false">IFERROR(ROUND(AVERAGE(AF787:AJ787),3),"")</f>
        <v>2.333</v>
      </c>
      <c r="AL787" s="7" t="str">
        <f aca="false">IF(OR(AF787="",AJ787=""),"",AJ787-AF787)</f>
        <v/>
      </c>
      <c r="AM787" s="7" t="n">
        <f aca="false">IF(COUNT(AF787:AJ787)&gt;=2,ROUND(_xlfn.STDEV.S(AF787:AJ787),3),"")</f>
        <v>0.577</v>
      </c>
      <c r="AN787" s="7" t="n">
        <f aca="false">ROUND((IF(AF787="",0,AF787)*Assumptions!$F$15)+(IF(AG787="",0,AG787)*Assumptions!$F$16)+(IF(AH787="",0,AH787)*Assumptions!$F$17)+(IF(AI787="",0,AI787)*Assumptions!$F$18)+(IF(AJ787="",0,AJ787)*Assumptions!$F$19),3)</f>
        <v>1.8</v>
      </c>
      <c r="AO787" s="0" t="str">
        <f aca="false">IF(AC787&lt;=20,"",IF(AC787&lt;=Assumptions!$F$6,"20-30",IF(AC787&lt;=Assumptions!$F$7,"30-40",IF(AC787&lt;=Assumptions!$F$8,"40-50",IF(AC787&lt;=Assumptions!$F$9,"50-60",IF(AC787&lt;=Assumptions!$F$10,"60+",""))))))</f>
        <v>20-30</v>
      </c>
      <c r="AP787" s="0" t="str">
        <f aca="false">IFERROR(VLOOKUP(O787,Assumptions!$B$14:$C$26,2,FALSE()),"Other")</f>
        <v>Manager</v>
      </c>
      <c r="AQ787" s="0" t="n">
        <f aca="false">IF(T787="",0,1)</f>
        <v>0</v>
      </c>
      <c r="AR787" s="0" t="n">
        <f aca="false">IF(U787="",0,1)</f>
        <v>0</v>
      </c>
      <c r="AS787" s="8" t="n">
        <f aca="false">IF(AK787="","",IF(MAX($AK$2:$AK$921)=MIN($AK$2:$AK$921),50,ROUND((AK787-MIN($AK$2:$AK$921))/(MAX($AK$2:$AK$921)-MIN($AK$2:$AK$921))*100,2)))</f>
        <v>28.55</v>
      </c>
      <c r="AT787" s="8" t="n">
        <f aca="false">IF(MAX($BC$2:$BC$921)=MIN($BC$2:$BC$921),50,ROUND((BC787-MIN($BC$2:$BC$921))/(MAX($BC$2:$BC$921)-MIN($BC$2:$BC$921))*100,2))</f>
        <v>50</v>
      </c>
      <c r="AU787" s="8" t="n">
        <f aca="false">IF(MAX($BE$2:$BE$921)=MIN($BE$2:$BE$921),50,ROUND((BE787-MIN($BE$2:$BE$921))/(MAX($BE$2:$BE$921)-MIN($BE$2:$BE$921))*100,2))</f>
        <v>66.69</v>
      </c>
      <c r="AV787" s="8" t="n">
        <f aca="false">IF(MAX($AD$2:$AD$921)=MIN($AD$2:$AD$921),50,ROUND((AD787-MIN($AD$2:$AD$921))/(MAX($AD$2:$AD$921)-MIN($AD$2:$AD$921))*100,2))</f>
        <v>7.04</v>
      </c>
      <c r="AW787" s="8" t="n">
        <f aca="false">IF(MAX($AN$2:$AN$921)=MIN($AN$2:$AN$921),50,ROUND((AN787-MIN($AN$2:$AN$921))/(MAX($AN$2:$AN$921)-MIN($AN$2:$AN$921))*100,2))</f>
        <v>45</v>
      </c>
      <c r="AX787" s="8" t="n">
        <f aca="false">AQ787*100</f>
        <v>0</v>
      </c>
      <c r="AY787" s="8" t="n">
        <f aca="false">AR787*100</f>
        <v>0</v>
      </c>
      <c r="AZ787" s="8" t="n">
        <f aca="false">IFERROR(ROUND(AS787*Assumptions!$I$6+AW787*Assumptions!$I$7+AT787*Assumptions!$I$8+AU787*Assumptions!$I$9+AV787*Assumptions!$I$10+AX787*Assumptions!$I$11+AY787*Assumptions!$I$12,2),"")</f>
        <v>35.77</v>
      </c>
      <c r="BA787" s="0" t="str">
        <f aca="false">IF(AZ787="","",IF(AZ787&lt;=Assumptions!$I$18,"Below Expectation",IF(AZ787&lt;=Assumptions!$I$19,"Developing",IF(AZ787&lt;=Assumptions!$I$20,"Meets Expectation",IF(AZ787&lt;=Assumptions!$I$21,"Exceeds","Star Performer")))))</f>
        <v>Below Expectation</v>
      </c>
      <c r="BB787" s="0" t="n">
        <f aca="false">IF(AZ787="",0,IF(AZ787&gt;=Assumptions!$I$26,1,0))</f>
        <v>0</v>
      </c>
      <c r="BC787" s="9" t="n">
        <f aca="false">IF(AL787="",2,AL787+2)</f>
        <v>2</v>
      </c>
      <c r="BD787" s="10" t="n">
        <f aca="false">IF(AM787="",ROUND(AVERAGE($AM$2:$AM$921),3),AM787)</f>
        <v>0.577</v>
      </c>
      <c r="BE787" s="9" t="n">
        <f aca="false">1-BD787</f>
        <v>0.423</v>
      </c>
    </row>
    <row r="788" customFormat="false" ht="14.25" hidden="true" customHeight="false" outlineLevel="0" collapsed="false">
      <c r="A788" s="4" t="n">
        <v>788</v>
      </c>
      <c r="B788" s="5" t="n">
        <v>55086063</v>
      </c>
      <c r="C788" s="5" t="s">
        <v>2586</v>
      </c>
      <c r="D788" s="5" t="s">
        <v>2587</v>
      </c>
      <c r="E788" s="5" t="s">
        <v>2586</v>
      </c>
      <c r="F788" s="5" t="s">
        <v>2246</v>
      </c>
      <c r="G788" s="5" t="s">
        <v>2588</v>
      </c>
      <c r="H788" s="5" t="s">
        <v>2589</v>
      </c>
      <c r="I788" s="5" t="s">
        <v>63</v>
      </c>
      <c r="J788" s="5" t="s">
        <v>76</v>
      </c>
      <c r="K788" s="5" t="s">
        <v>309</v>
      </c>
      <c r="L788" s="6" t="n">
        <v>45224</v>
      </c>
      <c r="M788" s="5" t="s">
        <v>282</v>
      </c>
      <c r="N788" s="6" t="n">
        <v>37399</v>
      </c>
      <c r="O788" s="5" t="s">
        <v>585</v>
      </c>
      <c r="P788" s="5" t="s">
        <v>586</v>
      </c>
      <c r="Q788" s="5" t="s">
        <v>195</v>
      </c>
      <c r="R788" s="5" t="s">
        <v>115</v>
      </c>
      <c r="S788" s="5" t="s">
        <v>195</v>
      </c>
      <c r="T788" s="6"/>
      <c r="U788" s="6"/>
      <c r="V788" s="5"/>
      <c r="W788" s="5"/>
      <c r="X788" s="5" t="s">
        <v>631</v>
      </c>
      <c r="Y788" s="5" t="s">
        <v>631</v>
      </c>
      <c r="Z788" s="5" t="s">
        <v>141</v>
      </c>
      <c r="AA788" s="5" t="s">
        <v>2590</v>
      </c>
      <c r="AB788" s="0" t="n">
        <f aca="false">IFERROR(VALUE(R788),0)</f>
        <v>0</v>
      </c>
      <c r="AC788" s="0" t="n">
        <f aca="false">IFERROR(VALUE(M788),"")</f>
        <v>24</v>
      </c>
      <c r="AD788" s="0" t="n">
        <f aca="false">IFERROR(VALUE(Q788),"")</f>
        <v>2.7</v>
      </c>
      <c r="AE788" s="0" t="n">
        <f aca="false">IFERROR(VALUE(S788),"")</f>
        <v>2.7</v>
      </c>
      <c r="AF788" s="0" t="str">
        <f aca="false">IF(V788="","",VLOOKUP(V788,Assumptions!$B$6:$C$9,2,FALSE()))</f>
        <v/>
      </c>
      <c r="AG788" s="0" t="str">
        <f aca="false">IF(W788="","",VLOOKUP(W788,Assumptions!$B$6:$C$9,2,FALSE()))</f>
        <v/>
      </c>
      <c r="AH788" s="0" t="n">
        <f aca="false">IF(X788="","",VLOOKUP(X788,Assumptions!$B$6:$C$9,2,FALSE()))</f>
        <v>2</v>
      </c>
      <c r="AI788" s="0" t="n">
        <f aca="false">IF(Y788="","",VLOOKUP(Y788,Assumptions!$B$6:$C$9,2,FALSE()))</f>
        <v>2</v>
      </c>
      <c r="AJ788" s="0" t="n">
        <f aca="false">IF(Z788="","",VLOOKUP(Z788,Assumptions!$B$6:$C$9,2,FALSE()))</f>
        <v>3</v>
      </c>
      <c r="AK788" s="7" t="n">
        <f aca="false">IFERROR(ROUND(AVERAGE(AF788:AJ788),3),"")</f>
        <v>2.333</v>
      </c>
      <c r="AL788" s="7" t="str">
        <f aca="false">IF(OR(AF788="",AJ788=""),"",AJ788-AF788)</f>
        <v/>
      </c>
      <c r="AM788" s="7" t="n">
        <f aca="false">IF(COUNT(AF788:AJ788)&gt;=2,ROUND(_xlfn.STDEV.S(AF788:AJ788),3),"")</f>
        <v>0.577</v>
      </c>
      <c r="AN788" s="7" t="n">
        <f aca="false">ROUND((IF(AF788="",0,AF788)*Assumptions!$F$15)+(IF(AG788="",0,AG788)*Assumptions!$F$16)+(IF(AH788="",0,AH788)*Assumptions!$F$17)+(IF(AI788="",0,AI788)*Assumptions!$F$18)+(IF(AJ788="",0,AJ788)*Assumptions!$F$19),3)</f>
        <v>1.8</v>
      </c>
      <c r="AO788" s="0" t="str">
        <f aca="false">IF(AC788&lt;=20,"",IF(AC788&lt;=Assumptions!$F$6,"20-30",IF(AC788&lt;=Assumptions!$F$7,"30-40",IF(AC788&lt;=Assumptions!$F$8,"40-50",IF(AC788&lt;=Assumptions!$F$9,"50-60",IF(AC788&lt;=Assumptions!$F$10,"60+",""))))))</f>
        <v>20-30</v>
      </c>
      <c r="AP788" s="0" t="str">
        <f aca="false">IFERROR(VLOOKUP(O788,Assumptions!$B$14:$C$26,2,FALSE()),"Other")</f>
        <v>Manager</v>
      </c>
      <c r="AQ788" s="0" t="n">
        <f aca="false">IF(T788="",0,1)</f>
        <v>0</v>
      </c>
      <c r="AR788" s="0" t="n">
        <f aca="false">IF(U788="",0,1)</f>
        <v>0</v>
      </c>
      <c r="AS788" s="8" t="n">
        <f aca="false">IF(AK788="","",IF(MAX($AK$2:$AK$921)=MIN($AK$2:$AK$921),50,ROUND((AK788-MIN($AK$2:$AK$921))/(MAX($AK$2:$AK$921)-MIN($AK$2:$AK$921))*100,2)))</f>
        <v>28.55</v>
      </c>
      <c r="AT788" s="8" t="n">
        <f aca="false">IF(MAX($BC$2:$BC$921)=MIN($BC$2:$BC$921),50,ROUND((BC788-MIN($BC$2:$BC$921))/(MAX($BC$2:$BC$921)-MIN($BC$2:$BC$921))*100,2))</f>
        <v>50</v>
      </c>
      <c r="AU788" s="8" t="n">
        <f aca="false">IF(MAX($BE$2:$BE$921)=MIN($BE$2:$BE$921),50,ROUND((BE788-MIN($BE$2:$BE$921))/(MAX($BE$2:$BE$921)-MIN($BE$2:$BE$921))*100,2))</f>
        <v>66.69</v>
      </c>
      <c r="AV788" s="8" t="n">
        <f aca="false">IF(MAX($AD$2:$AD$921)=MIN($AD$2:$AD$921),50,ROUND((AD788-MIN($AD$2:$AD$921))/(MAX($AD$2:$AD$921)-MIN($AD$2:$AD$921))*100,2))</f>
        <v>7.04</v>
      </c>
      <c r="AW788" s="8" t="n">
        <f aca="false">IF(MAX($AN$2:$AN$921)=MIN($AN$2:$AN$921),50,ROUND((AN788-MIN($AN$2:$AN$921))/(MAX($AN$2:$AN$921)-MIN($AN$2:$AN$921))*100,2))</f>
        <v>45</v>
      </c>
      <c r="AX788" s="8" t="n">
        <f aca="false">AQ788*100</f>
        <v>0</v>
      </c>
      <c r="AY788" s="8" t="n">
        <f aca="false">AR788*100</f>
        <v>0</v>
      </c>
      <c r="AZ788" s="8" t="n">
        <f aca="false">IFERROR(ROUND(AS788*Assumptions!$I$6+AW788*Assumptions!$I$7+AT788*Assumptions!$I$8+AU788*Assumptions!$I$9+AV788*Assumptions!$I$10+AX788*Assumptions!$I$11+AY788*Assumptions!$I$12,2),"")</f>
        <v>35.77</v>
      </c>
      <c r="BA788" s="0" t="str">
        <f aca="false">IF(AZ788="","",IF(AZ788&lt;=Assumptions!$I$18,"Below Expectation",IF(AZ788&lt;=Assumptions!$I$19,"Developing",IF(AZ788&lt;=Assumptions!$I$20,"Meets Expectation",IF(AZ788&lt;=Assumptions!$I$21,"Exceeds","Star Performer")))))</f>
        <v>Below Expectation</v>
      </c>
      <c r="BB788" s="0" t="n">
        <f aca="false">IF(AZ788="",0,IF(AZ788&gt;=Assumptions!$I$26,1,0))</f>
        <v>0</v>
      </c>
      <c r="BC788" s="9" t="n">
        <f aca="false">IF(AL788="",2,AL788+2)</f>
        <v>2</v>
      </c>
      <c r="BD788" s="10" t="n">
        <f aca="false">IF(AM788="",ROUND(AVERAGE($AM$2:$AM$921),3),AM788)</f>
        <v>0.577</v>
      </c>
      <c r="BE788" s="9" t="n">
        <f aca="false">1-BD788</f>
        <v>0.423</v>
      </c>
    </row>
    <row r="789" customFormat="false" ht="14.25" hidden="false" customHeight="false" outlineLevel="0" collapsed="false">
      <c r="A789" s="4" t="n">
        <v>796</v>
      </c>
      <c r="B789" s="5" t="n">
        <v>55086248</v>
      </c>
      <c r="C789" s="5" t="s">
        <v>106</v>
      </c>
      <c r="D789" s="5" t="s">
        <v>2591</v>
      </c>
      <c r="E789" s="5" t="s">
        <v>108</v>
      </c>
      <c r="F789" s="5" t="s">
        <v>590</v>
      </c>
      <c r="G789" s="5" t="s">
        <v>589</v>
      </c>
      <c r="H789" s="5" t="s">
        <v>590</v>
      </c>
      <c r="I789" s="5" t="s">
        <v>63</v>
      </c>
      <c r="J789" s="5" t="s">
        <v>112</v>
      </c>
      <c r="K789" s="5" t="s">
        <v>309</v>
      </c>
      <c r="L789" s="6" t="n">
        <v>45224</v>
      </c>
      <c r="M789" s="5" t="s">
        <v>1908</v>
      </c>
      <c r="N789" s="6" t="n">
        <v>37000</v>
      </c>
      <c r="O789" s="5" t="s">
        <v>1264</v>
      </c>
      <c r="P789" s="5" t="s">
        <v>1559</v>
      </c>
      <c r="Q789" s="5" t="s">
        <v>195</v>
      </c>
      <c r="R789" s="5" t="s">
        <v>115</v>
      </c>
      <c r="S789" s="5" t="s">
        <v>195</v>
      </c>
      <c r="T789" s="6"/>
      <c r="U789" s="6"/>
      <c r="V789" s="5"/>
      <c r="W789" s="5"/>
      <c r="X789" s="5" t="s">
        <v>631</v>
      </c>
      <c r="Y789" s="5" t="s">
        <v>631</v>
      </c>
      <c r="Z789" s="5" t="s">
        <v>141</v>
      </c>
      <c r="AA789" s="5" t="s">
        <v>2161</v>
      </c>
      <c r="AB789" s="0" t="n">
        <f aca="false">IFERROR(VALUE(R789),0)</f>
        <v>0</v>
      </c>
      <c r="AC789" s="0" t="n">
        <f aca="false">IFERROR(VALUE(M789),"")</f>
        <v>25.1</v>
      </c>
      <c r="AD789" s="0" t="n">
        <f aca="false">IFERROR(VALUE(Q789),"")</f>
        <v>2.7</v>
      </c>
      <c r="AE789" s="0" t="n">
        <f aca="false">IFERROR(VALUE(S789),"")</f>
        <v>2.7</v>
      </c>
      <c r="AF789" s="0" t="str">
        <f aca="false">IF(V789="","",VLOOKUP(V789,Assumptions!$B$6:$C$9,2,FALSE()))</f>
        <v/>
      </c>
      <c r="AG789" s="0" t="str">
        <f aca="false">IF(W789="","",VLOOKUP(W789,Assumptions!$B$6:$C$9,2,FALSE()))</f>
        <v/>
      </c>
      <c r="AH789" s="0" t="n">
        <f aca="false">IF(X789="","",VLOOKUP(X789,Assumptions!$B$6:$C$9,2,FALSE()))</f>
        <v>2</v>
      </c>
      <c r="AI789" s="0" t="n">
        <f aca="false">IF(Y789="","",VLOOKUP(Y789,Assumptions!$B$6:$C$9,2,FALSE()))</f>
        <v>2</v>
      </c>
      <c r="AJ789" s="0" t="n">
        <f aca="false">IF(Z789="","",VLOOKUP(Z789,Assumptions!$B$6:$C$9,2,FALSE()))</f>
        <v>3</v>
      </c>
      <c r="AK789" s="7" t="n">
        <f aca="false">IFERROR(ROUND(AVERAGE(AF789:AJ789),3),"")</f>
        <v>2.333</v>
      </c>
      <c r="AL789" s="7" t="str">
        <f aca="false">IF(OR(AF789="",AJ789=""),"",AJ789-AF789)</f>
        <v/>
      </c>
      <c r="AM789" s="7" t="n">
        <f aca="false">IF(COUNT(AF789:AJ789)&gt;=2,ROUND(_xlfn.STDEV.S(AF789:AJ789),3),"")</f>
        <v>0.577</v>
      </c>
      <c r="AN789" s="7" t="n">
        <f aca="false">ROUND((IF(AF789="",0,AF789)*Assumptions!$F$15)+(IF(AG789="",0,AG789)*Assumptions!$F$16)+(IF(AH789="",0,AH789)*Assumptions!$F$17)+(IF(AI789="",0,AI789)*Assumptions!$F$18)+(IF(AJ789="",0,AJ789)*Assumptions!$F$19),3)</f>
        <v>1.8</v>
      </c>
      <c r="AO789" s="0" t="str">
        <f aca="false">IF(AC789&lt;=20,"",IF(AC789&lt;=Assumptions!$F$6,"20-30",IF(AC789&lt;=Assumptions!$F$7,"30-40",IF(AC789&lt;=Assumptions!$F$8,"40-50",IF(AC789&lt;=Assumptions!$F$9,"50-60",IF(AC789&lt;=Assumptions!$F$10,"60+",""))))))</f>
        <v>20-30</v>
      </c>
      <c r="AP789" s="0" t="str">
        <f aca="false">IFERROR(VLOOKUP(O789,Assumptions!$B$14:$C$26,2,FALSE()),"Other")</f>
        <v>Manager</v>
      </c>
      <c r="AQ789" s="0" t="n">
        <f aca="false">IF(T789="",0,1)</f>
        <v>0</v>
      </c>
      <c r="AR789" s="0" t="n">
        <f aca="false">IF(U789="",0,1)</f>
        <v>0</v>
      </c>
      <c r="AS789" s="8" t="n">
        <f aca="false">IF(AK789="","",IF(MAX($AK$2:$AK$921)=MIN($AK$2:$AK$921),50,ROUND((AK789-MIN($AK$2:$AK$921))/(MAX($AK$2:$AK$921)-MIN($AK$2:$AK$921))*100,2)))</f>
        <v>28.55</v>
      </c>
      <c r="AT789" s="8" t="n">
        <f aca="false">IF(MAX($BC$2:$BC$921)=MIN($BC$2:$BC$921),50,ROUND((BC789-MIN($BC$2:$BC$921))/(MAX($BC$2:$BC$921)-MIN($BC$2:$BC$921))*100,2))</f>
        <v>50</v>
      </c>
      <c r="AU789" s="8" t="n">
        <f aca="false">IF(MAX($BE$2:$BE$921)=MIN($BE$2:$BE$921),50,ROUND((BE789-MIN($BE$2:$BE$921))/(MAX($BE$2:$BE$921)-MIN($BE$2:$BE$921))*100,2))</f>
        <v>66.69</v>
      </c>
      <c r="AV789" s="8" t="n">
        <f aca="false">IF(MAX($AD$2:$AD$921)=MIN($AD$2:$AD$921),50,ROUND((AD789-MIN($AD$2:$AD$921))/(MAX($AD$2:$AD$921)-MIN($AD$2:$AD$921))*100,2))</f>
        <v>7.04</v>
      </c>
      <c r="AW789" s="8" t="n">
        <f aca="false">IF(MAX($AN$2:$AN$921)=MIN($AN$2:$AN$921),50,ROUND((AN789-MIN($AN$2:$AN$921))/(MAX($AN$2:$AN$921)-MIN($AN$2:$AN$921))*100,2))</f>
        <v>45</v>
      </c>
      <c r="AX789" s="8" t="n">
        <f aca="false">AQ789*100</f>
        <v>0</v>
      </c>
      <c r="AY789" s="8" t="n">
        <f aca="false">AR789*100</f>
        <v>0</v>
      </c>
      <c r="AZ789" s="8" t="n">
        <f aca="false">IFERROR(ROUND(AS789*Assumptions!$I$6+AW789*Assumptions!$I$7+AT789*Assumptions!$I$8+AU789*Assumptions!$I$9+AV789*Assumptions!$I$10+AX789*Assumptions!$I$11+AY789*Assumptions!$I$12,2),"")</f>
        <v>35.77</v>
      </c>
      <c r="BA789" s="0" t="str">
        <f aca="false">IF(AZ789="","",IF(AZ789&lt;=Assumptions!$I$18,"Below Expectation",IF(AZ789&lt;=Assumptions!$I$19,"Developing",IF(AZ789&lt;=Assumptions!$I$20,"Meets Expectation",IF(AZ789&lt;=Assumptions!$I$21,"Exceeds","Star Performer")))))</f>
        <v>Below Expectation</v>
      </c>
      <c r="BB789" s="0" t="n">
        <f aca="false">IF(AZ789="",0,IF(AZ789&gt;=Assumptions!$I$26,1,0))</f>
        <v>0</v>
      </c>
      <c r="BC789" s="9" t="n">
        <f aca="false">IF(AL789="",2,AL789+2)</f>
        <v>2</v>
      </c>
      <c r="BD789" s="10" t="n">
        <f aca="false">IF(AM789="",ROUND(AVERAGE($AM$2:$AM$921),3),AM789)</f>
        <v>0.577</v>
      </c>
      <c r="BE789" s="9" t="n">
        <f aca="false">1-BD789</f>
        <v>0.423</v>
      </c>
    </row>
    <row r="790" customFormat="false" ht="14.25" hidden="true" customHeight="false" outlineLevel="0" collapsed="false">
      <c r="A790" s="4" t="n">
        <v>798</v>
      </c>
      <c r="B790" s="5" t="n">
        <v>55086273</v>
      </c>
      <c r="C790" s="5" t="s">
        <v>149</v>
      </c>
      <c r="D790" s="5" t="s">
        <v>2592</v>
      </c>
      <c r="E790" s="5" t="s">
        <v>779</v>
      </c>
      <c r="F790" s="5" t="s">
        <v>2224</v>
      </c>
      <c r="G790" s="5" t="s">
        <v>2225</v>
      </c>
      <c r="H790" s="5" t="s">
        <v>2226</v>
      </c>
      <c r="I790" s="5" t="s">
        <v>63</v>
      </c>
      <c r="J790" s="5" t="s">
        <v>100</v>
      </c>
      <c r="K790" s="5" t="s">
        <v>309</v>
      </c>
      <c r="L790" s="6" t="n">
        <v>45224</v>
      </c>
      <c r="M790" s="5" t="s">
        <v>960</v>
      </c>
      <c r="N790" s="6" t="n">
        <v>36961</v>
      </c>
      <c r="O790" s="5" t="s">
        <v>585</v>
      </c>
      <c r="P790" s="5" t="s">
        <v>586</v>
      </c>
      <c r="Q790" s="5" t="s">
        <v>195</v>
      </c>
      <c r="R790" s="5" t="s">
        <v>115</v>
      </c>
      <c r="S790" s="5" t="s">
        <v>195</v>
      </c>
      <c r="T790" s="6"/>
      <c r="U790" s="6"/>
      <c r="V790" s="5"/>
      <c r="W790" s="5"/>
      <c r="X790" s="5" t="s">
        <v>631</v>
      </c>
      <c r="Y790" s="5" t="s">
        <v>631</v>
      </c>
      <c r="Z790" s="5" t="s">
        <v>141</v>
      </c>
      <c r="AA790" s="5" t="s">
        <v>2593</v>
      </c>
      <c r="AB790" s="0" t="n">
        <f aca="false">IFERROR(VALUE(R790),0)</f>
        <v>0</v>
      </c>
      <c r="AC790" s="0" t="n">
        <f aca="false">IFERROR(VALUE(M790),"")</f>
        <v>25.2</v>
      </c>
      <c r="AD790" s="0" t="n">
        <f aca="false">IFERROR(VALUE(Q790),"")</f>
        <v>2.7</v>
      </c>
      <c r="AE790" s="0" t="n">
        <f aca="false">IFERROR(VALUE(S790),"")</f>
        <v>2.7</v>
      </c>
      <c r="AF790" s="0" t="str">
        <f aca="false">IF(V790="","",VLOOKUP(V790,Assumptions!$B$6:$C$9,2,FALSE()))</f>
        <v/>
      </c>
      <c r="AG790" s="0" t="str">
        <f aca="false">IF(W790="","",VLOOKUP(W790,Assumptions!$B$6:$C$9,2,FALSE()))</f>
        <v/>
      </c>
      <c r="AH790" s="0" t="n">
        <f aca="false">IF(X790="","",VLOOKUP(X790,Assumptions!$B$6:$C$9,2,FALSE()))</f>
        <v>2</v>
      </c>
      <c r="AI790" s="0" t="n">
        <f aca="false">IF(Y790="","",VLOOKUP(Y790,Assumptions!$B$6:$C$9,2,FALSE()))</f>
        <v>2</v>
      </c>
      <c r="AJ790" s="0" t="n">
        <f aca="false">IF(Z790="","",VLOOKUP(Z790,Assumptions!$B$6:$C$9,2,FALSE()))</f>
        <v>3</v>
      </c>
      <c r="AK790" s="7" t="n">
        <f aca="false">IFERROR(ROUND(AVERAGE(AF790:AJ790),3),"")</f>
        <v>2.333</v>
      </c>
      <c r="AL790" s="7" t="str">
        <f aca="false">IF(OR(AF790="",AJ790=""),"",AJ790-AF790)</f>
        <v/>
      </c>
      <c r="AM790" s="7" t="n">
        <f aca="false">IF(COUNT(AF790:AJ790)&gt;=2,ROUND(_xlfn.STDEV.S(AF790:AJ790),3),"")</f>
        <v>0.577</v>
      </c>
      <c r="AN790" s="7" t="n">
        <f aca="false">ROUND((IF(AF790="",0,AF790)*Assumptions!$F$15)+(IF(AG790="",0,AG790)*Assumptions!$F$16)+(IF(AH790="",0,AH790)*Assumptions!$F$17)+(IF(AI790="",0,AI790)*Assumptions!$F$18)+(IF(AJ790="",0,AJ790)*Assumptions!$F$19),3)</f>
        <v>1.8</v>
      </c>
      <c r="AO790" s="0" t="str">
        <f aca="false">IF(AC790&lt;=20,"",IF(AC790&lt;=Assumptions!$F$6,"20-30",IF(AC790&lt;=Assumptions!$F$7,"30-40",IF(AC790&lt;=Assumptions!$F$8,"40-50",IF(AC790&lt;=Assumptions!$F$9,"50-60",IF(AC790&lt;=Assumptions!$F$10,"60+",""))))))</f>
        <v>20-30</v>
      </c>
      <c r="AP790" s="0" t="str">
        <f aca="false">IFERROR(VLOOKUP(O790,Assumptions!$B$14:$C$26,2,FALSE()),"Other")</f>
        <v>Manager</v>
      </c>
      <c r="AQ790" s="0" t="n">
        <f aca="false">IF(T790="",0,1)</f>
        <v>0</v>
      </c>
      <c r="AR790" s="0" t="n">
        <f aca="false">IF(U790="",0,1)</f>
        <v>0</v>
      </c>
      <c r="AS790" s="8" t="n">
        <f aca="false">IF(AK790="","",IF(MAX($AK$2:$AK$921)=MIN($AK$2:$AK$921),50,ROUND((AK790-MIN($AK$2:$AK$921))/(MAX($AK$2:$AK$921)-MIN($AK$2:$AK$921))*100,2)))</f>
        <v>28.55</v>
      </c>
      <c r="AT790" s="8" t="n">
        <f aca="false">IF(MAX($BC$2:$BC$921)=MIN($BC$2:$BC$921),50,ROUND((BC790-MIN($BC$2:$BC$921))/(MAX($BC$2:$BC$921)-MIN($BC$2:$BC$921))*100,2))</f>
        <v>50</v>
      </c>
      <c r="AU790" s="8" t="n">
        <f aca="false">IF(MAX($BE$2:$BE$921)=MIN($BE$2:$BE$921),50,ROUND((BE790-MIN($BE$2:$BE$921))/(MAX($BE$2:$BE$921)-MIN($BE$2:$BE$921))*100,2))</f>
        <v>66.69</v>
      </c>
      <c r="AV790" s="8" t="n">
        <f aca="false">IF(MAX($AD$2:$AD$921)=MIN($AD$2:$AD$921),50,ROUND((AD790-MIN($AD$2:$AD$921))/(MAX($AD$2:$AD$921)-MIN($AD$2:$AD$921))*100,2))</f>
        <v>7.04</v>
      </c>
      <c r="AW790" s="8" t="n">
        <f aca="false">IF(MAX($AN$2:$AN$921)=MIN($AN$2:$AN$921),50,ROUND((AN790-MIN($AN$2:$AN$921))/(MAX($AN$2:$AN$921)-MIN($AN$2:$AN$921))*100,2))</f>
        <v>45</v>
      </c>
      <c r="AX790" s="8" t="n">
        <f aca="false">AQ790*100</f>
        <v>0</v>
      </c>
      <c r="AY790" s="8" t="n">
        <f aca="false">AR790*100</f>
        <v>0</v>
      </c>
      <c r="AZ790" s="8" t="n">
        <f aca="false">IFERROR(ROUND(AS790*Assumptions!$I$6+AW790*Assumptions!$I$7+AT790*Assumptions!$I$8+AU790*Assumptions!$I$9+AV790*Assumptions!$I$10+AX790*Assumptions!$I$11+AY790*Assumptions!$I$12,2),"")</f>
        <v>35.77</v>
      </c>
      <c r="BA790" s="0" t="str">
        <f aca="false">IF(AZ790="","",IF(AZ790&lt;=Assumptions!$I$18,"Below Expectation",IF(AZ790&lt;=Assumptions!$I$19,"Developing",IF(AZ790&lt;=Assumptions!$I$20,"Meets Expectation",IF(AZ790&lt;=Assumptions!$I$21,"Exceeds","Star Performer")))))</f>
        <v>Below Expectation</v>
      </c>
      <c r="BB790" s="0" t="n">
        <f aca="false">IF(AZ790="",0,IF(AZ790&gt;=Assumptions!$I$26,1,0))</f>
        <v>0</v>
      </c>
      <c r="BC790" s="9" t="n">
        <f aca="false">IF(AL790="",2,AL790+2)</f>
        <v>2</v>
      </c>
      <c r="BD790" s="10" t="n">
        <f aca="false">IF(AM790="",ROUND(AVERAGE($AM$2:$AM$921),3),AM790)</f>
        <v>0.577</v>
      </c>
      <c r="BE790" s="9" t="n">
        <f aca="false">1-BD790</f>
        <v>0.423</v>
      </c>
    </row>
    <row r="791" customFormat="false" ht="14.25" hidden="true" customHeight="false" outlineLevel="0" collapsed="false">
      <c r="A791" s="4" t="n">
        <v>807</v>
      </c>
      <c r="B791" s="5" t="n">
        <v>55086360</v>
      </c>
      <c r="C791" s="5" t="s">
        <v>85</v>
      </c>
      <c r="D791" s="5" t="s">
        <v>2594</v>
      </c>
      <c r="E791" s="5" t="s">
        <v>137</v>
      </c>
      <c r="F791" s="5" t="s">
        <v>590</v>
      </c>
      <c r="G791" s="5" t="s">
        <v>589</v>
      </c>
      <c r="H791" s="5" t="s">
        <v>590</v>
      </c>
      <c r="I791" s="5" t="s">
        <v>63</v>
      </c>
      <c r="J791" s="5" t="s">
        <v>76</v>
      </c>
      <c r="K791" s="5" t="s">
        <v>309</v>
      </c>
      <c r="L791" s="6" t="n">
        <v>45224</v>
      </c>
      <c r="M791" s="5" t="s">
        <v>134</v>
      </c>
      <c r="N791" s="6" t="n">
        <v>37199</v>
      </c>
      <c r="O791" s="5" t="s">
        <v>1264</v>
      </c>
      <c r="P791" s="5" t="s">
        <v>1559</v>
      </c>
      <c r="Q791" s="5" t="s">
        <v>195</v>
      </c>
      <c r="R791" s="5" t="s">
        <v>115</v>
      </c>
      <c r="S791" s="5" t="s">
        <v>195</v>
      </c>
      <c r="T791" s="6"/>
      <c r="U791" s="6"/>
      <c r="V791" s="5"/>
      <c r="W791" s="5"/>
      <c r="X791" s="5" t="s">
        <v>631</v>
      </c>
      <c r="Y791" s="5" t="s">
        <v>631</v>
      </c>
      <c r="Z791" s="5" t="s">
        <v>141</v>
      </c>
      <c r="AA791" s="5" t="s">
        <v>2595</v>
      </c>
      <c r="AB791" s="0" t="n">
        <f aca="false">IFERROR(VALUE(R791),0)</f>
        <v>0</v>
      </c>
      <c r="AC791" s="0" t="n">
        <f aca="false">IFERROR(VALUE(M791),"")</f>
        <v>24.7</v>
      </c>
      <c r="AD791" s="0" t="n">
        <f aca="false">IFERROR(VALUE(Q791),"")</f>
        <v>2.7</v>
      </c>
      <c r="AE791" s="0" t="n">
        <f aca="false">IFERROR(VALUE(S791),"")</f>
        <v>2.7</v>
      </c>
      <c r="AF791" s="0" t="str">
        <f aca="false">IF(V791="","",VLOOKUP(V791,Assumptions!$B$6:$C$9,2,FALSE()))</f>
        <v/>
      </c>
      <c r="AG791" s="0" t="str">
        <f aca="false">IF(W791="","",VLOOKUP(W791,Assumptions!$B$6:$C$9,2,FALSE()))</f>
        <v/>
      </c>
      <c r="AH791" s="0" t="n">
        <f aca="false">IF(X791="","",VLOOKUP(X791,Assumptions!$B$6:$C$9,2,FALSE()))</f>
        <v>2</v>
      </c>
      <c r="AI791" s="0" t="n">
        <f aca="false">IF(Y791="","",VLOOKUP(Y791,Assumptions!$B$6:$C$9,2,FALSE()))</f>
        <v>2</v>
      </c>
      <c r="AJ791" s="0" t="n">
        <f aca="false">IF(Z791="","",VLOOKUP(Z791,Assumptions!$B$6:$C$9,2,FALSE()))</f>
        <v>3</v>
      </c>
      <c r="AK791" s="7" t="n">
        <f aca="false">IFERROR(ROUND(AVERAGE(AF791:AJ791),3),"")</f>
        <v>2.333</v>
      </c>
      <c r="AL791" s="7" t="str">
        <f aca="false">IF(OR(AF791="",AJ791=""),"",AJ791-AF791)</f>
        <v/>
      </c>
      <c r="AM791" s="7" t="n">
        <f aca="false">IF(COUNT(AF791:AJ791)&gt;=2,ROUND(_xlfn.STDEV.S(AF791:AJ791),3),"")</f>
        <v>0.577</v>
      </c>
      <c r="AN791" s="7" t="n">
        <f aca="false">ROUND((IF(AF791="",0,AF791)*Assumptions!$F$15)+(IF(AG791="",0,AG791)*Assumptions!$F$16)+(IF(AH791="",0,AH791)*Assumptions!$F$17)+(IF(AI791="",0,AI791)*Assumptions!$F$18)+(IF(AJ791="",0,AJ791)*Assumptions!$F$19),3)</f>
        <v>1.8</v>
      </c>
      <c r="AO791" s="0" t="str">
        <f aca="false">IF(AC791&lt;=20,"",IF(AC791&lt;=Assumptions!$F$6,"20-30",IF(AC791&lt;=Assumptions!$F$7,"30-40",IF(AC791&lt;=Assumptions!$F$8,"40-50",IF(AC791&lt;=Assumptions!$F$9,"50-60",IF(AC791&lt;=Assumptions!$F$10,"60+",""))))))</f>
        <v>20-30</v>
      </c>
      <c r="AP791" s="0" t="str">
        <f aca="false">IFERROR(VLOOKUP(O791,Assumptions!$B$14:$C$26,2,FALSE()),"Other")</f>
        <v>Manager</v>
      </c>
      <c r="AQ791" s="0" t="n">
        <f aca="false">IF(T791="",0,1)</f>
        <v>0</v>
      </c>
      <c r="AR791" s="0" t="n">
        <f aca="false">IF(U791="",0,1)</f>
        <v>0</v>
      </c>
      <c r="AS791" s="8" t="n">
        <f aca="false">IF(AK791="","",IF(MAX($AK$2:$AK$921)=MIN($AK$2:$AK$921),50,ROUND((AK791-MIN($AK$2:$AK$921))/(MAX($AK$2:$AK$921)-MIN($AK$2:$AK$921))*100,2)))</f>
        <v>28.55</v>
      </c>
      <c r="AT791" s="8" t="n">
        <f aca="false">IF(MAX($BC$2:$BC$921)=MIN($BC$2:$BC$921),50,ROUND((BC791-MIN($BC$2:$BC$921))/(MAX($BC$2:$BC$921)-MIN($BC$2:$BC$921))*100,2))</f>
        <v>50</v>
      </c>
      <c r="AU791" s="8" t="n">
        <f aca="false">IF(MAX($BE$2:$BE$921)=MIN($BE$2:$BE$921),50,ROUND((BE791-MIN($BE$2:$BE$921))/(MAX($BE$2:$BE$921)-MIN($BE$2:$BE$921))*100,2))</f>
        <v>66.69</v>
      </c>
      <c r="AV791" s="8" t="n">
        <f aca="false">IF(MAX($AD$2:$AD$921)=MIN($AD$2:$AD$921),50,ROUND((AD791-MIN($AD$2:$AD$921))/(MAX($AD$2:$AD$921)-MIN($AD$2:$AD$921))*100,2))</f>
        <v>7.04</v>
      </c>
      <c r="AW791" s="8" t="n">
        <f aca="false">IF(MAX($AN$2:$AN$921)=MIN($AN$2:$AN$921),50,ROUND((AN791-MIN($AN$2:$AN$921))/(MAX($AN$2:$AN$921)-MIN($AN$2:$AN$921))*100,2))</f>
        <v>45</v>
      </c>
      <c r="AX791" s="8" t="n">
        <f aca="false">AQ791*100</f>
        <v>0</v>
      </c>
      <c r="AY791" s="8" t="n">
        <f aca="false">AR791*100</f>
        <v>0</v>
      </c>
      <c r="AZ791" s="8" t="n">
        <f aca="false">IFERROR(ROUND(AS791*Assumptions!$I$6+AW791*Assumptions!$I$7+AT791*Assumptions!$I$8+AU791*Assumptions!$I$9+AV791*Assumptions!$I$10+AX791*Assumptions!$I$11+AY791*Assumptions!$I$12,2),"")</f>
        <v>35.77</v>
      </c>
      <c r="BA791" s="0" t="str">
        <f aca="false">IF(AZ791="","",IF(AZ791&lt;=Assumptions!$I$18,"Below Expectation",IF(AZ791&lt;=Assumptions!$I$19,"Developing",IF(AZ791&lt;=Assumptions!$I$20,"Meets Expectation",IF(AZ791&lt;=Assumptions!$I$21,"Exceeds","Star Performer")))))</f>
        <v>Below Expectation</v>
      </c>
      <c r="BB791" s="0" t="n">
        <f aca="false">IF(AZ791="",0,IF(AZ791&gt;=Assumptions!$I$26,1,0))</f>
        <v>0</v>
      </c>
      <c r="BC791" s="9" t="n">
        <f aca="false">IF(AL791="",2,AL791+2)</f>
        <v>2</v>
      </c>
      <c r="BD791" s="10" t="n">
        <f aca="false">IF(AM791="",ROUND(AVERAGE($AM$2:$AM$921),3),AM791)</f>
        <v>0.577</v>
      </c>
      <c r="BE791" s="9" t="n">
        <f aca="false">1-BD791</f>
        <v>0.423</v>
      </c>
    </row>
    <row r="792" customFormat="false" ht="14.25" hidden="false" customHeight="false" outlineLevel="0" collapsed="false">
      <c r="A792" s="4" t="n">
        <v>812</v>
      </c>
      <c r="B792" s="5" t="n">
        <v>55086381</v>
      </c>
      <c r="C792" s="5" t="s">
        <v>106</v>
      </c>
      <c r="D792" s="5" t="s">
        <v>2596</v>
      </c>
      <c r="E792" s="5" t="s">
        <v>108</v>
      </c>
      <c r="F792" s="5" t="s">
        <v>590</v>
      </c>
      <c r="G792" s="5" t="s">
        <v>589</v>
      </c>
      <c r="H792" s="5" t="s">
        <v>590</v>
      </c>
      <c r="I792" s="5" t="s">
        <v>63</v>
      </c>
      <c r="J792" s="5" t="s">
        <v>112</v>
      </c>
      <c r="K792" s="5" t="s">
        <v>309</v>
      </c>
      <c r="L792" s="6" t="n">
        <v>45224</v>
      </c>
      <c r="M792" s="5" t="s">
        <v>2540</v>
      </c>
      <c r="N792" s="6" t="n">
        <v>37296</v>
      </c>
      <c r="O792" s="5" t="s">
        <v>1264</v>
      </c>
      <c r="P792" s="5" t="s">
        <v>1559</v>
      </c>
      <c r="Q792" s="5" t="s">
        <v>195</v>
      </c>
      <c r="R792" s="5" t="s">
        <v>115</v>
      </c>
      <c r="S792" s="5" t="s">
        <v>195</v>
      </c>
      <c r="T792" s="6"/>
      <c r="U792" s="6"/>
      <c r="V792" s="5"/>
      <c r="W792" s="5"/>
      <c r="X792" s="5" t="s">
        <v>631</v>
      </c>
      <c r="Y792" s="5" t="s">
        <v>631</v>
      </c>
      <c r="Z792" s="5" t="s">
        <v>141</v>
      </c>
      <c r="AA792" s="5" t="s">
        <v>2597</v>
      </c>
      <c r="AB792" s="0" t="n">
        <f aca="false">IFERROR(VALUE(R792),0)</f>
        <v>0</v>
      </c>
      <c r="AC792" s="0" t="n">
        <f aca="false">IFERROR(VALUE(M792),"")</f>
        <v>24.3</v>
      </c>
      <c r="AD792" s="0" t="n">
        <f aca="false">IFERROR(VALUE(Q792),"")</f>
        <v>2.7</v>
      </c>
      <c r="AE792" s="0" t="n">
        <f aca="false">IFERROR(VALUE(S792),"")</f>
        <v>2.7</v>
      </c>
      <c r="AF792" s="0" t="str">
        <f aca="false">IF(V792="","",VLOOKUP(V792,Assumptions!$B$6:$C$9,2,FALSE()))</f>
        <v/>
      </c>
      <c r="AG792" s="0" t="str">
        <f aca="false">IF(W792="","",VLOOKUP(W792,Assumptions!$B$6:$C$9,2,FALSE()))</f>
        <v/>
      </c>
      <c r="AH792" s="0" t="n">
        <f aca="false">IF(X792="","",VLOOKUP(X792,Assumptions!$B$6:$C$9,2,FALSE()))</f>
        <v>2</v>
      </c>
      <c r="AI792" s="0" t="n">
        <f aca="false">IF(Y792="","",VLOOKUP(Y792,Assumptions!$B$6:$C$9,2,FALSE()))</f>
        <v>2</v>
      </c>
      <c r="AJ792" s="0" t="n">
        <f aca="false">IF(Z792="","",VLOOKUP(Z792,Assumptions!$B$6:$C$9,2,FALSE()))</f>
        <v>3</v>
      </c>
      <c r="AK792" s="7" t="n">
        <f aca="false">IFERROR(ROUND(AVERAGE(AF792:AJ792),3),"")</f>
        <v>2.333</v>
      </c>
      <c r="AL792" s="7" t="str">
        <f aca="false">IF(OR(AF792="",AJ792=""),"",AJ792-AF792)</f>
        <v/>
      </c>
      <c r="AM792" s="7" t="n">
        <f aca="false">IF(COUNT(AF792:AJ792)&gt;=2,ROUND(_xlfn.STDEV.S(AF792:AJ792),3),"")</f>
        <v>0.577</v>
      </c>
      <c r="AN792" s="7" t="n">
        <f aca="false">ROUND((IF(AF792="",0,AF792)*Assumptions!$F$15)+(IF(AG792="",0,AG792)*Assumptions!$F$16)+(IF(AH792="",0,AH792)*Assumptions!$F$17)+(IF(AI792="",0,AI792)*Assumptions!$F$18)+(IF(AJ792="",0,AJ792)*Assumptions!$F$19),3)</f>
        <v>1.8</v>
      </c>
      <c r="AO792" s="0" t="str">
        <f aca="false">IF(AC792&lt;=20,"",IF(AC792&lt;=Assumptions!$F$6,"20-30",IF(AC792&lt;=Assumptions!$F$7,"30-40",IF(AC792&lt;=Assumptions!$F$8,"40-50",IF(AC792&lt;=Assumptions!$F$9,"50-60",IF(AC792&lt;=Assumptions!$F$10,"60+",""))))))</f>
        <v>20-30</v>
      </c>
      <c r="AP792" s="0" t="str">
        <f aca="false">IFERROR(VLOOKUP(O792,Assumptions!$B$14:$C$26,2,FALSE()),"Other")</f>
        <v>Manager</v>
      </c>
      <c r="AQ792" s="0" t="n">
        <f aca="false">IF(T792="",0,1)</f>
        <v>0</v>
      </c>
      <c r="AR792" s="0" t="n">
        <f aca="false">IF(U792="",0,1)</f>
        <v>0</v>
      </c>
      <c r="AS792" s="8" t="n">
        <f aca="false">IF(AK792="","",IF(MAX($AK$2:$AK$921)=MIN($AK$2:$AK$921),50,ROUND((AK792-MIN($AK$2:$AK$921))/(MAX($AK$2:$AK$921)-MIN($AK$2:$AK$921))*100,2)))</f>
        <v>28.55</v>
      </c>
      <c r="AT792" s="8" t="n">
        <f aca="false">IF(MAX($BC$2:$BC$921)=MIN($BC$2:$BC$921),50,ROUND((BC792-MIN($BC$2:$BC$921))/(MAX($BC$2:$BC$921)-MIN($BC$2:$BC$921))*100,2))</f>
        <v>50</v>
      </c>
      <c r="AU792" s="8" t="n">
        <f aca="false">IF(MAX($BE$2:$BE$921)=MIN($BE$2:$BE$921),50,ROUND((BE792-MIN($BE$2:$BE$921))/(MAX($BE$2:$BE$921)-MIN($BE$2:$BE$921))*100,2))</f>
        <v>66.69</v>
      </c>
      <c r="AV792" s="8" t="n">
        <f aca="false">IF(MAX($AD$2:$AD$921)=MIN($AD$2:$AD$921),50,ROUND((AD792-MIN($AD$2:$AD$921))/(MAX($AD$2:$AD$921)-MIN($AD$2:$AD$921))*100,2))</f>
        <v>7.04</v>
      </c>
      <c r="AW792" s="8" t="n">
        <f aca="false">IF(MAX($AN$2:$AN$921)=MIN($AN$2:$AN$921),50,ROUND((AN792-MIN($AN$2:$AN$921))/(MAX($AN$2:$AN$921)-MIN($AN$2:$AN$921))*100,2))</f>
        <v>45</v>
      </c>
      <c r="AX792" s="8" t="n">
        <f aca="false">AQ792*100</f>
        <v>0</v>
      </c>
      <c r="AY792" s="8" t="n">
        <f aca="false">AR792*100</f>
        <v>0</v>
      </c>
      <c r="AZ792" s="8" t="n">
        <f aca="false">IFERROR(ROUND(AS792*Assumptions!$I$6+AW792*Assumptions!$I$7+AT792*Assumptions!$I$8+AU792*Assumptions!$I$9+AV792*Assumptions!$I$10+AX792*Assumptions!$I$11+AY792*Assumptions!$I$12,2),"")</f>
        <v>35.77</v>
      </c>
      <c r="BA792" s="0" t="str">
        <f aca="false">IF(AZ792="","",IF(AZ792&lt;=Assumptions!$I$18,"Below Expectation",IF(AZ792&lt;=Assumptions!$I$19,"Developing",IF(AZ792&lt;=Assumptions!$I$20,"Meets Expectation",IF(AZ792&lt;=Assumptions!$I$21,"Exceeds","Star Performer")))))</f>
        <v>Below Expectation</v>
      </c>
      <c r="BB792" s="0" t="n">
        <f aca="false">IF(AZ792="",0,IF(AZ792&gt;=Assumptions!$I$26,1,0))</f>
        <v>0</v>
      </c>
      <c r="BC792" s="9" t="n">
        <f aca="false">IF(AL792="",2,AL792+2)</f>
        <v>2</v>
      </c>
      <c r="BD792" s="10" t="n">
        <f aca="false">IF(AM792="",ROUND(AVERAGE($AM$2:$AM$921),3),AM792)</f>
        <v>0.577</v>
      </c>
      <c r="BE792" s="9" t="n">
        <f aca="false">1-BD792</f>
        <v>0.423</v>
      </c>
    </row>
    <row r="793" customFormat="false" ht="14.25" hidden="true" customHeight="false" outlineLevel="0" collapsed="false">
      <c r="A793" s="4" t="n">
        <v>816</v>
      </c>
      <c r="B793" s="5" t="n">
        <v>55087420</v>
      </c>
      <c r="C793" s="5" t="s">
        <v>85</v>
      </c>
      <c r="D793" s="5" t="s">
        <v>2598</v>
      </c>
      <c r="E793" s="5" t="s">
        <v>137</v>
      </c>
      <c r="F793" s="5" t="s">
        <v>1731</v>
      </c>
      <c r="G793" s="5" t="s">
        <v>1732</v>
      </c>
      <c r="H793" s="5" t="s">
        <v>1731</v>
      </c>
      <c r="I793" s="5" t="s">
        <v>63</v>
      </c>
      <c r="J793" s="5" t="s">
        <v>76</v>
      </c>
      <c r="K793" s="5" t="s">
        <v>309</v>
      </c>
      <c r="L793" s="6" t="n">
        <v>45230</v>
      </c>
      <c r="M793" s="5" t="s">
        <v>1726</v>
      </c>
      <c r="N793" s="6" t="n">
        <v>36735</v>
      </c>
      <c r="O793" s="5" t="s">
        <v>1264</v>
      </c>
      <c r="P793" s="5" t="s">
        <v>1559</v>
      </c>
      <c r="Q793" s="5" t="s">
        <v>195</v>
      </c>
      <c r="R793" s="5" t="s">
        <v>115</v>
      </c>
      <c r="S793" s="5" t="s">
        <v>195</v>
      </c>
      <c r="T793" s="6"/>
      <c r="U793" s="6"/>
      <c r="V793" s="5"/>
      <c r="W793" s="5"/>
      <c r="X793" s="5" t="s">
        <v>631</v>
      </c>
      <c r="Y793" s="5" t="s">
        <v>631</v>
      </c>
      <c r="Z793" s="5" t="s">
        <v>141</v>
      </c>
      <c r="AA793" s="5" t="s">
        <v>2599</v>
      </c>
      <c r="AB793" s="0" t="n">
        <f aca="false">IFERROR(VALUE(R793),0)</f>
        <v>0</v>
      </c>
      <c r="AC793" s="0" t="n">
        <f aca="false">IFERROR(VALUE(M793),"")</f>
        <v>25.1</v>
      </c>
      <c r="AD793" s="0" t="n">
        <f aca="false">IFERROR(VALUE(Q793),"")</f>
        <v>2.7</v>
      </c>
      <c r="AE793" s="0" t="n">
        <f aca="false">IFERROR(VALUE(S793),"")</f>
        <v>2.7</v>
      </c>
      <c r="AF793" s="0" t="str">
        <f aca="false">IF(V793="","",VLOOKUP(V793,Assumptions!$B$6:$C$9,2,FALSE()))</f>
        <v/>
      </c>
      <c r="AG793" s="0" t="str">
        <f aca="false">IF(W793="","",VLOOKUP(W793,Assumptions!$B$6:$C$9,2,FALSE()))</f>
        <v/>
      </c>
      <c r="AH793" s="0" t="n">
        <f aca="false">IF(X793="","",VLOOKUP(X793,Assumptions!$B$6:$C$9,2,FALSE()))</f>
        <v>2</v>
      </c>
      <c r="AI793" s="0" t="n">
        <f aca="false">IF(Y793="","",VLOOKUP(Y793,Assumptions!$B$6:$C$9,2,FALSE()))</f>
        <v>2</v>
      </c>
      <c r="AJ793" s="0" t="n">
        <f aca="false">IF(Z793="","",VLOOKUP(Z793,Assumptions!$B$6:$C$9,2,FALSE()))</f>
        <v>3</v>
      </c>
      <c r="AK793" s="7" t="n">
        <f aca="false">IFERROR(ROUND(AVERAGE(AF793:AJ793),3),"")</f>
        <v>2.333</v>
      </c>
      <c r="AL793" s="7" t="str">
        <f aca="false">IF(OR(AF793="",AJ793=""),"",AJ793-AF793)</f>
        <v/>
      </c>
      <c r="AM793" s="7" t="n">
        <f aca="false">IF(COUNT(AF793:AJ793)&gt;=2,ROUND(_xlfn.STDEV.S(AF793:AJ793),3),"")</f>
        <v>0.577</v>
      </c>
      <c r="AN793" s="7" t="n">
        <f aca="false">ROUND((IF(AF793="",0,AF793)*Assumptions!$F$15)+(IF(AG793="",0,AG793)*Assumptions!$F$16)+(IF(AH793="",0,AH793)*Assumptions!$F$17)+(IF(AI793="",0,AI793)*Assumptions!$F$18)+(IF(AJ793="",0,AJ793)*Assumptions!$F$19),3)</f>
        <v>1.8</v>
      </c>
      <c r="AO793" s="0" t="str">
        <f aca="false">IF(AC793&lt;=20,"",IF(AC793&lt;=Assumptions!$F$6,"20-30",IF(AC793&lt;=Assumptions!$F$7,"30-40",IF(AC793&lt;=Assumptions!$F$8,"40-50",IF(AC793&lt;=Assumptions!$F$9,"50-60",IF(AC793&lt;=Assumptions!$F$10,"60+",""))))))</f>
        <v>20-30</v>
      </c>
      <c r="AP793" s="0" t="str">
        <f aca="false">IFERROR(VLOOKUP(O793,Assumptions!$B$14:$C$26,2,FALSE()),"Other")</f>
        <v>Manager</v>
      </c>
      <c r="AQ793" s="0" t="n">
        <f aca="false">IF(T793="",0,1)</f>
        <v>0</v>
      </c>
      <c r="AR793" s="0" t="n">
        <f aca="false">IF(U793="",0,1)</f>
        <v>0</v>
      </c>
      <c r="AS793" s="8" t="n">
        <f aca="false">IF(AK793="","",IF(MAX($AK$2:$AK$921)=MIN($AK$2:$AK$921),50,ROUND((AK793-MIN($AK$2:$AK$921))/(MAX($AK$2:$AK$921)-MIN($AK$2:$AK$921))*100,2)))</f>
        <v>28.55</v>
      </c>
      <c r="AT793" s="8" t="n">
        <f aca="false">IF(MAX($BC$2:$BC$921)=MIN($BC$2:$BC$921),50,ROUND((BC793-MIN($BC$2:$BC$921))/(MAX($BC$2:$BC$921)-MIN($BC$2:$BC$921))*100,2))</f>
        <v>50</v>
      </c>
      <c r="AU793" s="8" t="n">
        <f aca="false">IF(MAX($BE$2:$BE$921)=MIN($BE$2:$BE$921),50,ROUND((BE793-MIN($BE$2:$BE$921))/(MAX($BE$2:$BE$921)-MIN($BE$2:$BE$921))*100,2))</f>
        <v>66.69</v>
      </c>
      <c r="AV793" s="8" t="n">
        <f aca="false">IF(MAX($AD$2:$AD$921)=MIN($AD$2:$AD$921),50,ROUND((AD793-MIN($AD$2:$AD$921))/(MAX($AD$2:$AD$921)-MIN($AD$2:$AD$921))*100,2))</f>
        <v>7.04</v>
      </c>
      <c r="AW793" s="8" t="n">
        <f aca="false">IF(MAX($AN$2:$AN$921)=MIN($AN$2:$AN$921),50,ROUND((AN793-MIN($AN$2:$AN$921))/(MAX($AN$2:$AN$921)-MIN($AN$2:$AN$921))*100,2))</f>
        <v>45</v>
      </c>
      <c r="AX793" s="8" t="n">
        <f aca="false">AQ793*100</f>
        <v>0</v>
      </c>
      <c r="AY793" s="8" t="n">
        <f aca="false">AR793*100</f>
        <v>0</v>
      </c>
      <c r="AZ793" s="8" t="n">
        <f aca="false">IFERROR(ROUND(AS793*Assumptions!$I$6+AW793*Assumptions!$I$7+AT793*Assumptions!$I$8+AU793*Assumptions!$I$9+AV793*Assumptions!$I$10+AX793*Assumptions!$I$11+AY793*Assumptions!$I$12,2),"")</f>
        <v>35.77</v>
      </c>
      <c r="BA793" s="0" t="str">
        <f aca="false">IF(AZ793="","",IF(AZ793&lt;=Assumptions!$I$18,"Below Expectation",IF(AZ793&lt;=Assumptions!$I$19,"Developing",IF(AZ793&lt;=Assumptions!$I$20,"Meets Expectation",IF(AZ793&lt;=Assumptions!$I$21,"Exceeds","Star Performer")))))</f>
        <v>Below Expectation</v>
      </c>
      <c r="BB793" s="0" t="n">
        <f aca="false">IF(AZ793="",0,IF(AZ793&gt;=Assumptions!$I$26,1,0))</f>
        <v>0</v>
      </c>
      <c r="BC793" s="9" t="n">
        <f aca="false">IF(AL793="",2,AL793+2)</f>
        <v>2</v>
      </c>
      <c r="BD793" s="10" t="n">
        <f aca="false">IF(AM793="",ROUND(AVERAGE($AM$2:$AM$921),3),AM793)</f>
        <v>0.577</v>
      </c>
      <c r="BE793" s="9" t="n">
        <f aca="false">1-BD793</f>
        <v>0.423</v>
      </c>
    </row>
    <row r="794" customFormat="false" ht="14.25" hidden="true" customHeight="false" outlineLevel="0" collapsed="false">
      <c r="A794" s="4" t="n">
        <v>835</v>
      </c>
      <c r="B794" s="5" t="n">
        <v>55092877</v>
      </c>
      <c r="C794" s="5" t="s">
        <v>149</v>
      </c>
      <c r="D794" s="5" t="s">
        <v>2600</v>
      </c>
      <c r="E794" s="5" t="s">
        <v>779</v>
      </c>
      <c r="F794" s="5" t="s">
        <v>1606</v>
      </c>
      <c r="G794" s="5" t="s">
        <v>1607</v>
      </c>
      <c r="H794" s="5" t="s">
        <v>1606</v>
      </c>
      <c r="I794" s="5" t="s">
        <v>63</v>
      </c>
      <c r="J794" s="5" t="s">
        <v>100</v>
      </c>
      <c r="K794" s="5" t="s">
        <v>309</v>
      </c>
      <c r="L794" s="6" t="n">
        <v>45265</v>
      </c>
      <c r="M794" s="5" t="s">
        <v>574</v>
      </c>
      <c r="N794" s="6" t="n">
        <v>36769</v>
      </c>
      <c r="O794" s="5" t="s">
        <v>1264</v>
      </c>
      <c r="P794" s="5" t="s">
        <v>1559</v>
      </c>
      <c r="Q794" s="5" t="s">
        <v>412</v>
      </c>
      <c r="R794" s="5" t="s">
        <v>115</v>
      </c>
      <c r="S794" s="5" t="s">
        <v>412</v>
      </c>
      <c r="T794" s="6"/>
      <c r="U794" s="6"/>
      <c r="V794" s="5"/>
      <c r="W794" s="5"/>
      <c r="X794" s="5" t="s">
        <v>631</v>
      </c>
      <c r="Y794" s="5" t="s">
        <v>631</v>
      </c>
      <c r="Z794" s="5" t="s">
        <v>141</v>
      </c>
      <c r="AA794" s="5" t="s">
        <v>2601</v>
      </c>
      <c r="AB794" s="0" t="n">
        <f aca="false">IFERROR(VALUE(R794),0)</f>
        <v>0</v>
      </c>
      <c r="AC794" s="0" t="n">
        <f aca="false">IFERROR(VALUE(M794),"")</f>
        <v>25.9</v>
      </c>
      <c r="AD794" s="0" t="n">
        <f aca="false">IFERROR(VALUE(Q794),"")</f>
        <v>2.6</v>
      </c>
      <c r="AE794" s="0" t="n">
        <f aca="false">IFERROR(VALUE(S794),"")</f>
        <v>2.6</v>
      </c>
      <c r="AF794" s="0" t="str">
        <f aca="false">IF(V794="","",VLOOKUP(V794,Assumptions!$B$6:$C$9,2,FALSE()))</f>
        <v/>
      </c>
      <c r="AG794" s="0" t="str">
        <f aca="false">IF(W794="","",VLOOKUP(W794,Assumptions!$B$6:$C$9,2,FALSE()))</f>
        <v/>
      </c>
      <c r="AH794" s="0" t="n">
        <f aca="false">IF(X794="","",VLOOKUP(X794,Assumptions!$B$6:$C$9,2,FALSE()))</f>
        <v>2</v>
      </c>
      <c r="AI794" s="0" t="n">
        <f aca="false">IF(Y794="","",VLOOKUP(Y794,Assumptions!$B$6:$C$9,2,FALSE()))</f>
        <v>2</v>
      </c>
      <c r="AJ794" s="0" t="n">
        <f aca="false">IF(Z794="","",VLOOKUP(Z794,Assumptions!$B$6:$C$9,2,FALSE()))</f>
        <v>3</v>
      </c>
      <c r="AK794" s="7" t="n">
        <f aca="false">IFERROR(ROUND(AVERAGE(AF794:AJ794),3),"")</f>
        <v>2.333</v>
      </c>
      <c r="AL794" s="7" t="str">
        <f aca="false">IF(OR(AF794="",AJ794=""),"",AJ794-AF794)</f>
        <v/>
      </c>
      <c r="AM794" s="7" t="n">
        <f aca="false">IF(COUNT(AF794:AJ794)&gt;=2,ROUND(_xlfn.STDEV.S(AF794:AJ794),3),"")</f>
        <v>0.577</v>
      </c>
      <c r="AN794" s="7" t="n">
        <f aca="false">ROUND((IF(AF794="",0,AF794)*Assumptions!$F$15)+(IF(AG794="",0,AG794)*Assumptions!$F$16)+(IF(AH794="",0,AH794)*Assumptions!$F$17)+(IF(AI794="",0,AI794)*Assumptions!$F$18)+(IF(AJ794="",0,AJ794)*Assumptions!$F$19),3)</f>
        <v>1.8</v>
      </c>
      <c r="AO794" s="0" t="str">
        <f aca="false">IF(AC794&lt;=20,"",IF(AC794&lt;=Assumptions!$F$6,"20-30",IF(AC794&lt;=Assumptions!$F$7,"30-40",IF(AC794&lt;=Assumptions!$F$8,"40-50",IF(AC794&lt;=Assumptions!$F$9,"50-60",IF(AC794&lt;=Assumptions!$F$10,"60+",""))))))</f>
        <v>20-30</v>
      </c>
      <c r="AP794" s="0" t="str">
        <f aca="false">IFERROR(VLOOKUP(O794,Assumptions!$B$14:$C$26,2,FALSE()),"Other")</f>
        <v>Manager</v>
      </c>
      <c r="AQ794" s="0" t="n">
        <f aca="false">IF(T794="",0,1)</f>
        <v>0</v>
      </c>
      <c r="AR794" s="0" t="n">
        <f aca="false">IF(U794="",0,1)</f>
        <v>0</v>
      </c>
      <c r="AS794" s="8" t="n">
        <f aca="false">IF(AK794="","",IF(MAX($AK$2:$AK$921)=MIN($AK$2:$AK$921),50,ROUND((AK794-MIN($AK$2:$AK$921))/(MAX($AK$2:$AK$921)-MIN($AK$2:$AK$921))*100,2)))</f>
        <v>28.55</v>
      </c>
      <c r="AT794" s="8" t="n">
        <f aca="false">IF(MAX($BC$2:$BC$921)=MIN($BC$2:$BC$921),50,ROUND((BC794-MIN($BC$2:$BC$921))/(MAX($BC$2:$BC$921)-MIN($BC$2:$BC$921))*100,2))</f>
        <v>50</v>
      </c>
      <c r="AU794" s="8" t="n">
        <f aca="false">IF(MAX($BE$2:$BE$921)=MIN($BE$2:$BE$921),50,ROUND((BE794-MIN($BE$2:$BE$921))/(MAX($BE$2:$BE$921)-MIN($BE$2:$BE$921))*100,2))</f>
        <v>66.69</v>
      </c>
      <c r="AV794" s="8" t="n">
        <f aca="false">IF(MAX($AD$2:$AD$921)=MIN($AD$2:$AD$921),50,ROUND((AD794-MIN($AD$2:$AD$921))/(MAX($AD$2:$AD$921)-MIN($AD$2:$AD$921))*100,2))</f>
        <v>6.77</v>
      </c>
      <c r="AW794" s="8" t="n">
        <f aca="false">IF(MAX($AN$2:$AN$921)=MIN($AN$2:$AN$921),50,ROUND((AN794-MIN($AN$2:$AN$921))/(MAX($AN$2:$AN$921)-MIN($AN$2:$AN$921))*100,2))</f>
        <v>45</v>
      </c>
      <c r="AX794" s="8" t="n">
        <f aca="false">AQ794*100</f>
        <v>0</v>
      </c>
      <c r="AY794" s="8" t="n">
        <f aca="false">AR794*100</f>
        <v>0</v>
      </c>
      <c r="AZ794" s="8" t="n">
        <f aca="false">IFERROR(ROUND(AS794*Assumptions!$I$6+AW794*Assumptions!$I$7+AT794*Assumptions!$I$8+AU794*Assumptions!$I$9+AV794*Assumptions!$I$10+AX794*Assumptions!$I$11+AY794*Assumptions!$I$12,2),"")</f>
        <v>35.75</v>
      </c>
      <c r="BA794" s="0" t="str">
        <f aca="false">IF(AZ794="","",IF(AZ794&lt;=Assumptions!$I$18,"Below Expectation",IF(AZ794&lt;=Assumptions!$I$19,"Developing",IF(AZ794&lt;=Assumptions!$I$20,"Meets Expectation",IF(AZ794&lt;=Assumptions!$I$21,"Exceeds","Star Performer")))))</f>
        <v>Below Expectation</v>
      </c>
      <c r="BB794" s="0" t="n">
        <f aca="false">IF(AZ794="",0,IF(AZ794&gt;=Assumptions!$I$26,1,0))</f>
        <v>0</v>
      </c>
      <c r="BC794" s="9" t="n">
        <f aca="false">IF(AL794="",2,AL794+2)</f>
        <v>2</v>
      </c>
      <c r="BD794" s="10" t="n">
        <f aca="false">IF(AM794="",ROUND(AVERAGE($AM$2:$AM$921),3),AM794)</f>
        <v>0.577</v>
      </c>
      <c r="BE794" s="9" t="n">
        <f aca="false">1-BD794</f>
        <v>0.423</v>
      </c>
    </row>
    <row r="795" customFormat="false" ht="14.25" hidden="true" customHeight="false" outlineLevel="0" collapsed="false">
      <c r="A795" s="4" t="n">
        <v>838</v>
      </c>
      <c r="B795" s="5" t="n">
        <v>55092895</v>
      </c>
      <c r="C795" s="5" t="s">
        <v>149</v>
      </c>
      <c r="D795" s="5" t="s">
        <v>2602</v>
      </c>
      <c r="E795" s="5" t="s">
        <v>779</v>
      </c>
      <c r="F795" s="5" t="s">
        <v>1606</v>
      </c>
      <c r="G795" s="5" t="s">
        <v>1607</v>
      </c>
      <c r="H795" s="5" t="s">
        <v>1606</v>
      </c>
      <c r="I795" s="5" t="s">
        <v>63</v>
      </c>
      <c r="J795" s="5" t="s">
        <v>100</v>
      </c>
      <c r="K795" s="5" t="s">
        <v>309</v>
      </c>
      <c r="L795" s="6" t="n">
        <v>45265</v>
      </c>
      <c r="M795" s="5" t="s">
        <v>532</v>
      </c>
      <c r="N795" s="6" t="n">
        <v>37109</v>
      </c>
      <c r="O795" s="5" t="s">
        <v>1264</v>
      </c>
      <c r="P795" s="5" t="s">
        <v>1559</v>
      </c>
      <c r="Q795" s="5" t="s">
        <v>412</v>
      </c>
      <c r="R795" s="5" t="s">
        <v>115</v>
      </c>
      <c r="S795" s="5" t="s">
        <v>412</v>
      </c>
      <c r="T795" s="6"/>
      <c r="U795" s="6"/>
      <c r="V795" s="5"/>
      <c r="W795" s="5"/>
      <c r="X795" s="5" t="s">
        <v>631</v>
      </c>
      <c r="Y795" s="5" t="s">
        <v>631</v>
      </c>
      <c r="Z795" s="5" t="s">
        <v>141</v>
      </c>
      <c r="AA795" s="5" t="s">
        <v>2232</v>
      </c>
      <c r="AB795" s="0" t="n">
        <f aca="false">IFERROR(VALUE(R795),0)</f>
        <v>0</v>
      </c>
      <c r="AC795" s="0" t="n">
        <f aca="false">IFERROR(VALUE(M795),"")</f>
        <v>24.1</v>
      </c>
      <c r="AD795" s="0" t="n">
        <f aca="false">IFERROR(VALUE(Q795),"")</f>
        <v>2.6</v>
      </c>
      <c r="AE795" s="0" t="n">
        <f aca="false">IFERROR(VALUE(S795),"")</f>
        <v>2.6</v>
      </c>
      <c r="AF795" s="0" t="str">
        <f aca="false">IF(V795="","",VLOOKUP(V795,Assumptions!$B$6:$C$9,2,FALSE()))</f>
        <v/>
      </c>
      <c r="AG795" s="0" t="str">
        <f aca="false">IF(W795="","",VLOOKUP(W795,Assumptions!$B$6:$C$9,2,FALSE()))</f>
        <v/>
      </c>
      <c r="AH795" s="0" t="n">
        <f aca="false">IF(X795="","",VLOOKUP(X795,Assumptions!$B$6:$C$9,2,FALSE()))</f>
        <v>2</v>
      </c>
      <c r="AI795" s="0" t="n">
        <f aca="false">IF(Y795="","",VLOOKUP(Y795,Assumptions!$B$6:$C$9,2,FALSE()))</f>
        <v>2</v>
      </c>
      <c r="AJ795" s="0" t="n">
        <f aca="false">IF(Z795="","",VLOOKUP(Z795,Assumptions!$B$6:$C$9,2,FALSE()))</f>
        <v>3</v>
      </c>
      <c r="AK795" s="7" t="n">
        <f aca="false">IFERROR(ROUND(AVERAGE(AF795:AJ795),3),"")</f>
        <v>2.333</v>
      </c>
      <c r="AL795" s="7" t="str">
        <f aca="false">IF(OR(AF795="",AJ795=""),"",AJ795-AF795)</f>
        <v/>
      </c>
      <c r="AM795" s="7" t="n">
        <f aca="false">IF(COUNT(AF795:AJ795)&gt;=2,ROUND(_xlfn.STDEV.S(AF795:AJ795),3),"")</f>
        <v>0.577</v>
      </c>
      <c r="AN795" s="7" t="n">
        <f aca="false">ROUND((IF(AF795="",0,AF795)*Assumptions!$F$15)+(IF(AG795="",0,AG795)*Assumptions!$F$16)+(IF(AH795="",0,AH795)*Assumptions!$F$17)+(IF(AI795="",0,AI795)*Assumptions!$F$18)+(IF(AJ795="",0,AJ795)*Assumptions!$F$19),3)</f>
        <v>1.8</v>
      </c>
      <c r="AO795" s="0" t="str">
        <f aca="false">IF(AC795&lt;=20,"",IF(AC795&lt;=Assumptions!$F$6,"20-30",IF(AC795&lt;=Assumptions!$F$7,"30-40",IF(AC795&lt;=Assumptions!$F$8,"40-50",IF(AC795&lt;=Assumptions!$F$9,"50-60",IF(AC795&lt;=Assumptions!$F$10,"60+",""))))))</f>
        <v>20-30</v>
      </c>
      <c r="AP795" s="0" t="str">
        <f aca="false">IFERROR(VLOOKUP(O795,Assumptions!$B$14:$C$26,2,FALSE()),"Other")</f>
        <v>Manager</v>
      </c>
      <c r="AQ795" s="0" t="n">
        <f aca="false">IF(T795="",0,1)</f>
        <v>0</v>
      </c>
      <c r="AR795" s="0" t="n">
        <f aca="false">IF(U795="",0,1)</f>
        <v>0</v>
      </c>
      <c r="AS795" s="8" t="n">
        <f aca="false">IF(AK795="","",IF(MAX($AK$2:$AK$921)=MIN($AK$2:$AK$921),50,ROUND((AK795-MIN($AK$2:$AK$921))/(MAX($AK$2:$AK$921)-MIN($AK$2:$AK$921))*100,2)))</f>
        <v>28.55</v>
      </c>
      <c r="AT795" s="8" t="n">
        <f aca="false">IF(MAX($BC$2:$BC$921)=MIN($BC$2:$BC$921),50,ROUND((BC795-MIN($BC$2:$BC$921))/(MAX($BC$2:$BC$921)-MIN($BC$2:$BC$921))*100,2))</f>
        <v>50</v>
      </c>
      <c r="AU795" s="8" t="n">
        <f aca="false">IF(MAX($BE$2:$BE$921)=MIN($BE$2:$BE$921),50,ROUND((BE795-MIN($BE$2:$BE$921))/(MAX($BE$2:$BE$921)-MIN($BE$2:$BE$921))*100,2))</f>
        <v>66.69</v>
      </c>
      <c r="AV795" s="8" t="n">
        <f aca="false">IF(MAX($AD$2:$AD$921)=MIN($AD$2:$AD$921),50,ROUND((AD795-MIN($AD$2:$AD$921))/(MAX($AD$2:$AD$921)-MIN($AD$2:$AD$921))*100,2))</f>
        <v>6.77</v>
      </c>
      <c r="AW795" s="8" t="n">
        <f aca="false">IF(MAX($AN$2:$AN$921)=MIN($AN$2:$AN$921),50,ROUND((AN795-MIN($AN$2:$AN$921))/(MAX($AN$2:$AN$921)-MIN($AN$2:$AN$921))*100,2))</f>
        <v>45</v>
      </c>
      <c r="AX795" s="8" t="n">
        <f aca="false">AQ795*100</f>
        <v>0</v>
      </c>
      <c r="AY795" s="8" t="n">
        <f aca="false">AR795*100</f>
        <v>0</v>
      </c>
      <c r="AZ795" s="8" t="n">
        <f aca="false">IFERROR(ROUND(AS795*Assumptions!$I$6+AW795*Assumptions!$I$7+AT795*Assumptions!$I$8+AU795*Assumptions!$I$9+AV795*Assumptions!$I$10+AX795*Assumptions!$I$11+AY795*Assumptions!$I$12,2),"")</f>
        <v>35.75</v>
      </c>
      <c r="BA795" s="0" t="str">
        <f aca="false">IF(AZ795="","",IF(AZ795&lt;=Assumptions!$I$18,"Below Expectation",IF(AZ795&lt;=Assumptions!$I$19,"Developing",IF(AZ795&lt;=Assumptions!$I$20,"Meets Expectation",IF(AZ795&lt;=Assumptions!$I$21,"Exceeds","Star Performer")))))</f>
        <v>Below Expectation</v>
      </c>
      <c r="BB795" s="0" t="n">
        <f aca="false">IF(AZ795="",0,IF(AZ795&gt;=Assumptions!$I$26,1,0))</f>
        <v>0</v>
      </c>
      <c r="BC795" s="9" t="n">
        <f aca="false">IF(AL795="",2,AL795+2)</f>
        <v>2</v>
      </c>
      <c r="BD795" s="10" t="n">
        <f aca="false">IF(AM795="",ROUND(AVERAGE($AM$2:$AM$921),3),AM795)</f>
        <v>0.577</v>
      </c>
      <c r="BE795" s="9" t="n">
        <f aca="false">1-BD795</f>
        <v>0.423</v>
      </c>
    </row>
    <row r="796" customFormat="false" ht="14.25" hidden="true" customHeight="false" outlineLevel="0" collapsed="false">
      <c r="A796" s="4" t="n">
        <v>840</v>
      </c>
      <c r="B796" s="5" t="n">
        <v>55092901</v>
      </c>
      <c r="C796" s="5" t="s">
        <v>85</v>
      </c>
      <c r="D796" s="5" t="s">
        <v>2603</v>
      </c>
      <c r="E796" s="5" t="s">
        <v>315</v>
      </c>
      <c r="F796" s="5" t="s">
        <v>2604</v>
      </c>
      <c r="G796" s="5" t="s">
        <v>2605</v>
      </c>
      <c r="H796" s="5" t="s">
        <v>2604</v>
      </c>
      <c r="I796" s="5" t="s">
        <v>63</v>
      </c>
      <c r="J796" s="5" t="s">
        <v>76</v>
      </c>
      <c r="K796" s="5" t="s">
        <v>309</v>
      </c>
      <c r="L796" s="6" t="n">
        <v>45265</v>
      </c>
      <c r="M796" s="5" t="s">
        <v>134</v>
      </c>
      <c r="N796" s="6" t="n">
        <v>37200</v>
      </c>
      <c r="O796" s="5" t="s">
        <v>1264</v>
      </c>
      <c r="P796" s="5" t="s">
        <v>1559</v>
      </c>
      <c r="Q796" s="5" t="s">
        <v>412</v>
      </c>
      <c r="R796" s="5" t="s">
        <v>115</v>
      </c>
      <c r="S796" s="5" t="s">
        <v>412</v>
      </c>
      <c r="T796" s="6"/>
      <c r="U796" s="6"/>
      <c r="V796" s="5"/>
      <c r="W796" s="5"/>
      <c r="X796" s="5" t="s">
        <v>631</v>
      </c>
      <c r="Y796" s="5" t="s">
        <v>631</v>
      </c>
      <c r="Z796" s="5" t="s">
        <v>141</v>
      </c>
      <c r="AA796" s="5" t="s">
        <v>2606</v>
      </c>
      <c r="AB796" s="0" t="n">
        <f aca="false">IFERROR(VALUE(R796),0)</f>
        <v>0</v>
      </c>
      <c r="AC796" s="0" t="n">
        <f aca="false">IFERROR(VALUE(M796),"")</f>
        <v>24.7</v>
      </c>
      <c r="AD796" s="0" t="n">
        <f aca="false">IFERROR(VALUE(Q796),"")</f>
        <v>2.6</v>
      </c>
      <c r="AE796" s="0" t="n">
        <f aca="false">IFERROR(VALUE(S796),"")</f>
        <v>2.6</v>
      </c>
      <c r="AF796" s="0" t="str">
        <f aca="false">IF(V796="","",VLOOKUP(V796,Assumptions!$B$6:$C$9,2,FALSE()))</f>
        <v/>
      </c>
      <c r="AG796" s="0" t="str">
        <f aca="false">IF(W796="","",VLOOKUP(W796,Assumptions!$B$6:$C$9,2,FALSE()))</f>
        <v/>
      </c>
      <c r="AH796" s="0" t="n">
        <f aca="false">IF(X796="","",VLOOKUP(X796,Assumptions!$B$6:$C$9,2,FALSE()))</f>
        <v>2</v>
      </c>
      <c r="AI796" s="0" t="n">
        <f aca="false">IF(Y796="","",VLOOKUP(Y796,Assumptions!$B$6:$C$9,2,FALSE()))</f>
        <v>2</v>
      </c>
      <c r="AJ796" s="0" t="n">
        <f aca="false">IF(Z796="","",VLOOKUP(Z796,Assumptions!$B$6:$C$9,2,FALSE()))</f>
        <v>3</v>
      </c>
      <c r="AK796" s="7" t="n">
        <f aca="false">IFERROR(ROUND(AVERAGE(AF796:AJ796),3),"")</f>
        <v>2.333</v>
      </c>
      <c r="AL796" s="7" t="str">
        <f aca="false">IF(OR(AF796="",AJ796=""),"",AJ796-AF796)</f>
        <v/>
      </c>
      <c r="AM796" s="7" t="n">
        <f aca="false">IF(COUNT(AF796:AJ796)&gt;=2,ROUND(_xlfn.STDEV.S(AF796:AJ796),3),"")</f>
        <v>0.577</v>
      </c>
      <c r="AN796" s="7" t="n">
        <f aca="false">ROUND((IF(AF796="",0,AF796)*Assumptions!$F$15)+(IF(AG796="",0,AG796)*Assumptions!$F$16)+(IF(AH796="",0,AH796)*Assumptions!$F$17)+(IF(AI796="",0,AI796)*Assumptions!$F$18)+(IF(AJ796="",0,AJ796)*Assumptions!$F$19),3)</f>
        <v>1.8</v>
      </c>
      <c r="AO796" s="0" t="str">
        <f aca="false">IF(AC796&lt;=20,"",IF(AC796&lt;=Assumptions!$F$6,"20-30",IF(AC796&lt;=Assumptions!$F$7,"30-40",IF(AC796&lt;=Assumptions!$F$8,"40-50",IF(AC796&lt;=Assumptions!$F$9,"50-60",IF(AC796&lt;=Assumptions!$F$10,"60+",""))))))</f>
        <v>20-30</v>
      </c>
      <c r="AP796" s="0" t="str">
        <f aca="false">IFERROR(VLOOKUP(O796,Assumptions!$B$14:$C$26,2,FALSE()),"Other")</f>
        <v>Manager</v>
      </c>
      <c r="AQ796" s="0" t="n">
        <f aca="false">IF(T796="",0,1)</f>
        <v>0</v>
      </c>
      <c r="AR796" s="0" t="n">
        <f aca="false">IF(U796="",0,1)</f>
        <v>0</v>
      </c>
      <c r="AS796" s="8" t="n">
        <f aca="false">IF(AK796="","",IF(MAX($AK$2:$AK$921)=MIN($AK$2:$AK$921),50,ROUND((AK796-MIN($AK$2:$AK$921))/(MAX($AK$2:$AK$921)-MIN($AK$2:$AK$921))*100,2)))</f>
        <v>28.55</v>
      </c>
      <c r="AT796" s="8" t="n">
        <f aca="false">IF(MAX($BC$2:$BC$921)=MIN($BC$2:$BC$921),50,ROUND((BC796-MIN($BC$2:$BC$921))/(MAX($BC$2:$BC$921)-MIN($BC$2:$BC$921))*100,2))</f>
        <v>50</v>
      </c>
      <c r="AU796" s="8" t="n">
        <f aca="false">IF(MAX($BE$2:$BE$921)=MIN($BE$2:$BE$921),50,ROUND((BE796-MIN($BE$2:$BE$921))/(MAX($BE$2:$BE$921)-MIN($BE$2:$BE$921))*100,2))</f>
        <v>66.69</v>
      </c>
      <c r="AV796" s="8" t="n">
        <f aca="false">IF(MAX($AD$2:$AD$921)=MIN($AD$2:$AD$921),50,ROUND((AD796-MIN($AD$2:$AD$921))/(MAX($AD$2:$AD$921)-MIN($AD$2:$AD$921))*100,2))</f>
        <v>6.77</v>
      </c>
      <c r="AW796" s="8" t="n">
        <f aca="false">IF(MAX($AN$2:$AN$921)=MIN($AN$2:$AN$921),50,ROUND((AN796-MIN($AN$2:$AN$921))/(MAX($AN$2:$AN$921)-MIN($AN$2:$AN$921))*100,2))</f>
        <v>45</v>
      </c>
      <c r="AX796" s="8" t="n">
        <f aca="false">AQ796*100</f>
        <v>0</v>
      </c>
      <c r="AY796" s="8" t="n">
        <f aca="false">AR796*100</f>
        <v>0</v>
      </c>
      <c r="AZ796" s="8" t="n">
        <f aca="false">IFERROR(ROUND(AS796*Assumptions!$I$6+AW796*Assumptions!$I$7+AT796*Assumptions!$I$8+AU796*Assumptions!$I$9+AV796*Assumptions!$I$10+AX796*Assumptions!$I$11+AY796*Assumptions!$I$12,2),"")</f>
        <v>35.75</v>
      </c>
      <c r="BA796" s="0" t="str">
        <f aca="false">IF(AZ796="","",IF(AZ796&lt;=Assumptions!$I$18,"Below Expectation",IF(AZ796&lt;=Assumptions!$I$19,"Developing",IF(AZ796&lt;=Assumptions!$I$20,"Meets Expectation",IF(AZ796&lt;=Assumptions!$I$21,"Exceeds","Star Performer")))))</f>
        <v>Below Expectation</v>
      </c>
      <c r="BB796" s="0" t="n">
        <f aca="false">IF(AZ796="",0,IF(AZ796&gt;=Assumptions!$I$26,1,0))</f>
        <v>0</v>
      </c>
      <c r="BC796" s="9" t="n">
        <f aca="false">IF(AL796="",2,AL796+2)</f>
        <v>2</v>
      </c>
      <c r="BD796" s="10" t="n">
        <f aca="false">IF(AM796="",ROUND(AVERAGE($AM$2:$AM$921),3),AM796)</f>
        <v>0.577</v>
      </c>
      <c r="BE796" s="9" t="n">
        <f aca="false">1-BD796</f>
        <v>0.423</v>
      </c>
    </row>
    <row r="797" customFormat="false" ht="14.25" hidden="true" customHeight="false" outlineLevel="0" collapsed="false">
      <c r="A797" s="4" t="n">
        <v>842</v>
      </c>
      <c r="B797" s="5" t="n">
        <v>55092911</v>
      </c>
      <c r="C797" s="5" t="s">
        <v>57</v>
      </c>
      <c r="D797" s="5" t="s">
        <v>2607</v>
      </c>
      <c r="E797" s="5" t="s">
        <v>607</v>
      </c>
      <c r="F797" s="5" t="s">
        <v>1770</v>
      </c>
      <c r="G797" s="5" t="s">
        <v>1771</v>
      </c>
      <c r="H797" s="5" t="s">
        <v>1770</v>
      </c>
      <c r="I797" s="5" t="s">
        <v>63</v>
      </c>
      <c r="J797" s="5" t="s">
        <v>100</v>
      </c>
      <c r="K797" s="5" t="s">
        <v>309</v>
      </c>
      <c r="L797" s="6" t="n">
        <v>45265</v>
      </c>
      <c r="M797" s="5" t="s">
        <v>532</v>
      </c>
      <c r="N797" s="6" t="n">
        <v>37093</v>
      </c>
      <c r="O797" s="5" t="s">
        <v>1264</v>
      </c>
      <c r="P797" s="5" t="s">
        <v>1559</v>
      </c>
      <c r="Q797" s="5" t="s">
        <v>412</v>
      </c>
      <c r="R797" s="5" t="s">
        <v>115</v>
      </c>
      <c r="S797" s="5" t="s">
        <v>412</v>
      </c>
      <c r="T797" s="6"/>
      <c r="U797" s="6"/>
      <c r="V797" s="5"/>
      <c r="W797" s="5"/>
      <c r="X797" s="5" t="s">
        <v>631</v>
      </c>
      <c r="Y797" s="5" t="s">
        <v>631</v>
      </c>
      <c r="Z797" s="5" t="s">
        <v>141</v>
      </c>
      <c r="AA797" s="5" t="s">
        <v>2608</v>
      </c>
      <c r="AB797" s="0" t="n">
        <f aca="false">IFERROR(VALUE(R797),0)</f>
        <v>0</v>
      </c>
      <c r="AC797" s="0" t="n">
        <f aca="false">IFERROR(VALUE(M797),"")</f>
        <v>24.1</v>
      </c>
      <c r="AD797" s="0" t="n">
        <f aca="false">IFERROR(VALUE(Q797),"")</f>
        <v>2.6</v>
      </c>
      <c r="AE797" s="0" t="n">
        <f aca="false">IFERROR(VALUE(S797),"")</f>
        <v>2.6</v>
      </c>
      <c r="AF797" s="0" t="str">
        <f aca="false">IF(V797="","",VLOOKUP(V797,Assumptions!$B$6:$C$9,2,FALSE()))</f>
        <v/>
      </c>
      <c r="AG797" s="0" t="str">
        <f aca="false">IF(W797="","",VLOOKUP(W797,Assumptions!$B$6:$C$9,2,FALSE()))</f>
        <v/>
      </c>
      <c r="AH797" s="0" t="n">
        <f aca="false">IF(X797="","",VLOOKUP(X797,Assumptions!$B$6:$C$9,2,FALSE()))</f>
        <v>2</v>
      </c>
      <c r="AI797" s="0" t="n">
        <f aca="false">IF(Y797="","",VLOOKUP(Y797,Assumptions!$B$6:$C$9,2,FALSE()))</f>
        <v>2</v>
      </c>
      <c r="AJ797" s="0" t="n">
        <f aca="false">IF(Z797="","",VLOOKUP(Z797,Assumptions!$B$6:$C$9,2,FALSE()))</f>
        <v>3</v>
      </c>
      <c r="AK797" s="7" t="n">
        <f aca="false">IFERROR(ROUND(AVERAGE(AF797:AJ797),3),"")</f>
        <v>2.333</v>
      </c>
      <c r="AL797" s="7" t="str">
        <f aca="false">IF(OR(AF797="",AJ797=""),"",AJ797-AF797)</f>
        <v/>
      </c>
      <c r="AM797" s="7" t="n">
        <f aca="false">IF(COUNT(AF797:AJ797)&gt;=2,ROUND(_xlfn.STDEV.S(AF797:AJ797),3),"")</f>
        <v>0.577</v>
      </c>
      <c r="AN797" s="7" t="n">
        <f aca="false">ROUND((IF(AF797="",0,AF797)*Assumptions!$F$15)+(IF(AG797="",0,AG797)*Assumptions!$F$16)+(IF(AH797="",0,AH797)*Assumptions!$F$17)+(IF(AI797="",0,AI797)*Assumptions!$F$18)+(IF(AJ797="",0,AJ797)*Assumptions!$F$19),3)</f>
        <v>1.8</v>
      </c>
      <c r="AO797" s="0" t="str">
        <f aca="false">IF(AC797&lt;=20,"",IF(AC797&lt;=Assumptions!$F$6,"20-30",IF(AC797&lt;=Assumptions!$F$7,"30-40",IF(AC797&lt;=Assumptions!$F$8,"40-50",IF(AC797&lt;=Assumptions!$F$9,"50-60",IF(AC797&lt;=Assumptions!$F$10,"60+",""))))))</f>
        <v>20-30</v>
      </c>
      <c r="AP797" s="0" t="str">
        <f aca="false">IFERROR(VLOOKUP(O797,Assumptions!$B$14:$C$26,2,FALSE()),"Other")</f>
        <v>Manager</v>
      </c>
      <c r="AQ797" s="0" t="n">
        <f aca="false">IF(T797="",0,1)</f>
        <v>0</v>
      </c>
      <c r="AR797" s="0" t="n">
        <f aca="false">IF(U797="",0,1)</f>
        <v>0</v>
      </c>
      <c r="AS797" s="8" t="n">
        <f aca="false">IF(AK797="","",IF(MAX($AK$2:$AK$921)=MIN($AK$2:$AK$921),50,ROUND((AK797-MIN($AK$2:$AK$921))/(MAX($AK$2:$AK$921)-MIN($AK$2:$AK$921))*100,2)))</f>
        <v>28.55</v>
      </c>
      <c r="AT797" s="8" t="n">
        <f aca="false">IF(MAX($BC$2:$BC$921)=MIN($BC$2:$BC$921),50,ROUND((BC797-MIN($BC$2:$BC$921))/(MAX($BC$2:$BC$921)-MIN($BC$2:$BC$921))*100,2))</f>
        <v>50</v>
      </c>
      <c r="AU797" s="8" t="n">
        <f aca="false">IF(MAX($BE$2:$BE$921)=MIN($BE$2:$BE$921),50,ROUND((BE797-MIN($BE$2:$BE$921))/(MAX($BE$2:$BE$921)-MIN($BE$2:$BE$921))*100,2))</f>
        <v>66.69</v>
      </c>
      <c r="AV797" s="8" t="n">
        <f aca="false">IF(MAX($AD$2:$AD$921)=MIN($AD$2:$AD$921),50,ROUND((AD797-MIN($AD$2:$AD$921))/(MAX($AD$2:$AD$921)-MIN($AD$2:$AD$921))*100,2))</f>
        <v>6.77</v>
      </c>
      <c r="AW797" s="8" t="n">
        <f aca="false">IF(MAX($AN$2:$AN$921)=MIN($AN$2:$AN$921),50,ROUND((AN797-MIN($AN$2:$AN$921))/(MAX($AN$2:$AN$921)-MIN($AN$2:$AN$921))*100,2))</f>
        <v>45</v>
      </c>
      <c r="AX797" s="8" t="n">
        <f aca="false">AQ797*100</f>
        <v>0</v>
      </c>
      <c r="AY797" s="8" t="n">
        <f aca="false">AR797*100</f>
        <v>0</v>
      </c>
      <c r="AZ797" s="8" t="n">
        <f aca="false">IFERROR(ROUND(AS797*Assumptions!$I$6+AW797*Assumptions!$I$7+AT797*Assumptions!$I$8+AU797*Assumptions!$I$9+AV797*Assumptions!$I$10+AX797*Assumptions!$I$11+AY797*Assumptions!$I$12,2),"")</f>
        <v>35.75</v>
      </c>
      <c r="BA797" s="0" t="str">
        <f aca="false">IF(AZ797="","",IF(AZ797&lt;=Assumptions!$I$18,"Below Expectation",IF(AZ797&lt;=Assumptions!$I$19,"Developing",IF(AZ797&lt;=Assumptions!$I$20,"Meets Expectation",IF(AZ797&lt;=Assumptions!$I$21,"Exceeds","Star Performer")))))</f>
        <v>Below Expectation</v>
      </c>
      <c r="BB797" s="0" t="n">
        <f aca="false">IF(AZ797="",0,IF(AZ797&gt;=Assumptions!$I$26,1,0))</f>
        <v>0</v>
      </c>
      <c r="BC797" s="9" t="n">
        <f aca="false">IF(AL797="",2,AL797+2)</f>
        <v>2</v>
      </c>
      <c r="BD797" s="10" t="n">
        <f aca="false">IF(AM797="",ROUND(AVERAGE($AM$2:$AM$921),3),AM797)</f>
        <v>0.577</v>
      </c>
      <c r="BE797" s="9" t="n">
        <f aca="false">1-BD797</f>
        <v>0.423</v>
      </c>
    </row>
    <row r="798" customFormat="false" ht="14.25" hidden="true" customHeight="false" outlineLevel="0" collapsed="false">
      <c r="A798" s="4" t="n">
        <v>849</v>
      </c>
      <c r="B798" s="5" t="n">
        <v>55092987</v>
      </c>
      <c r="C798" s="5" t="s">
        <v>2586</v>
      </c>
      <c r="D798" s="5" t="s">
        <v>2609</v>
      </c>
      <c r="E798" s="5" t="s">
        <v>2586</v>
      </c>
      <c r="F798" s="5" t="s">
        <v>2246</v>
      </c>
      <c r="G798" s="5" t="s">
        <v>2610</v>
      </c>
      <c r="H798" s="5" t="s">
        <v>2589</v>
      </c>
      <c r="I798" s="5" t="s">
        <v>63</v>
      </c>
      <c r="J798" s="5" t="s">
        <v>76</v>
      </c>
      <c r="K798" s="5" t="s">
        <v>309</v>
      </c>
      <c r="L798" s="6" t="n">
        <v>45265</v>
      </c>
      <c r="M798" s="5" t="s">
        <v>440</v>
      </c>
      <c r="N798" s="6" t="n">
        <v>36618</v>
      </c>
      <c r="O798" s="5" t="s">
        <v>1264</v>
      </c>
      <c r="P798" s="5" t="s">
        <v>1559</v>
      </c>
      <c r="Q798" s="5" t="s">
        <v>412</v>
      </c>
      <c r="R798" s="5" t="s">
        <v>115</v>
      </c>
      <c r="S798" s="5" t="s">
        <v>412</v>
      </c>
      <c r="T798" s="6"/>
      <c r="U798" s="6"/>
      <c r="V798" s="5"/>
      <c r="W798" s="5"/>
      <c r="X798" s="5" t="s">
        <v>631</v>
      </c>
      <c r="Y798" s="5" t="s">
        <v>631</v>
      </c>
      <c r="Z798" s="5" t="s">
        <v>141</v>
      </c>
      <c r="AA798" s="5" t="s">
        <v>2611</v>
      </c>
      <c r="AB798" s="0" t="n">
        <f aca="false">IFERROR(VALUE(R798),0)</f>
        <v>0</v>
      </c>
      <c r="AC798" s="0" t="n">
        <f aca="false">IFERROR(VALUE(M798),"")</f>
        <v>26.2</v>
      </c>
      <c r="AD798" s="0" t="n">
        <f aca="false">IFERROR(VALUE(Q798),"")</f>
        <v>2.6</v>
      </c>
      <c r="AE798" s="0" t="n">
        <f aca="false">IFERROR(VALUE(S798),"")</f>
        <v>2.6</v>
      </c>
      <c r="AF798" s="0" t="str">
        <f aca="false">IF(V798="","",VLOOKUP(V798,Assumptions!$B$6:$C$9,2,FALSE()))</f>
        <v/>
      </c>
      <c r="AG798" s="0" t="str">
        <f aca="false">IF(W798="","",VLOOKUP(W798,Assumptions!$B$6:$C$9,2,FALSE()))</f>
        <v/>
      </c>
      <c r="AH798" s="0" t="n">
        <f aca="false">IF(X798="","",VLOOKUP(X798,Assumptions!$B$6:$C$9,2,FALSE()))</f>
        <v>2</v>
      </c>
      <c r="AI798" s="0" t="n">
        <f aca="false">IF(Y798="","",VLOOKUP(Y798,Assumptions!$B$6:$C$9,2,FALSE()))</f>
        <v>2</v>
      </c>
      <c r="AJ798" s="0" t="n">
        <f aca="false">IF(Z798="","",VLOOKUP(Z798,Assumptions!$B$6:$C$9,2,FALSE()))</f>
        <v>3</v>
      </c>
      <c r="AK798" s="7" t="n">
        <f aca="false">IFERROR(ROUND(AVERAGE(AF798:AJ798),3),"")</f>
        <v>2.333</v>
      </c>
      <c r="AL798" s="7" t="str">
        <f aca="false">IF(OR(AF798="",AJ798=""),"",AJ798-AF798)</f>
        <v/>
      </c>
      <c r="AM798" s="7" t="n">
        <f aca="false">IF(COUNT(AF798:AJ798)&gt;=2,ROUND(_xlfn.STDEV.S(AF798:AJ798),3),"")</f>
        <v>0.577</v>
      </c>
      <c r="AN798" s="7" t="n">
        <f aca="false">ROUND((IF(AF798="",0,AF798)*Assumptions!$F$15)+(IF(AG798="",0,AG798)*Assumptions!$F$16)+(IF(AH798="",0,AH798)*Assumptions!$F$17)+(IF(AI798="",0,AI798)*Assumptions!$F$18)+(IF(AJ798="",0,AJ798)*Assumptions!$F$19),3)</f>
        <v>1.8</v>
      </c>
      <c r="AO798" s="0" t="str">
        <f aca="false">IF(AC798&lt;=20,"",IF(AC798&lt;=Assumptions!$F$6,"20-30",IF(AC798&lt;=Assumptions!$F$7,"30-40",IF(AC798&lt;=Assumptions!$F$8,"40-50",IF(AC798&lt;=Assumptions!$F$9,"50-60",IF(AC798&lt;=Assumptions!$F$10,"60+",""))))))</f>
        <v>20-30</v>
      </c>
      <c r="AP798" s="0" t="str">
        <f aca="false">IFERROR(VLOOKUP(O798,Assumptions!$B$14:$C$26,2,FALSE()),"Other")</f>
        <v>Manager</v>
      </c>
      <c r="AQ798" s="0" t="n">
        <f aca="false">IF(T798="",0,1)</f>
        <v>0</v>
      </c>
      <c r="AR798" s="0" t="n">
        <f aca="false">IF(U798="",0,1)</f>
        <v>0</v>
      </c>
      <c r="AS798" s="8" t="n">
        <f aca="false">IF(AK798="","",IF(MAX($AK$2:$AK$921)=MIN($AK$2:$AK$921),50,ROUND((AK798-MIN($AK$2:$AK$921))/(MAX($AK$2:$AK$921)-MIN($AK$2:$AK$921))*100,2)))</f>
        <v>28.55</v>
      </c>
      <c r="AT798" s="8" t="n">
        <f aca="false">IF(MAX($BC$2:$BC$921)=MIN($BC$2:$BC$921),50,ROUND((BC798-MIN($BC$2:$BC$921))/(MAX($BC$2:$BC$921)-MIN($BC$2:$BC$921))*100,2))</f>
        <v>50</v>
      </c>
      <c r="AU798" s="8" t="n">
        <f aca="false">IF(MAX($BE$2:$BE$921)=MIN($BE$2:$BE$921),50,ROUND((BE798-MIN($BE$2:$BE$921))/(MAX($BE$2:$BE$921)-MIN($BE$2:$BE$921))*100,2))</f>
        <v>66.69</v>
      </c>
      <c r="AV798" s="8" t="n">
        <f aca="false">IF(MAX($AD$2:$AD$921)=MIN($AD$2:$AD$921),50,ROUND((AD798-MIN($AD$2:$AD$921))/(MAX($AD$2:$AD$921)-MIN($AD$2:$AD$921))*100,2))</f>
        <v>6.77</v>
      </c>
      <c r="AW798" s="8" t="n">
        <f aca="false">IF(MAX($AN$2:$AN$921)=MIN($AN$2:$AN$921),50,ROUND((AN798-MIN($AN$2:$AN$921))/(MAX($AN$2:$AN$921)-MIN($AN$2:$AN$921))*100,2))</f>
        <v>45</v>
      </c>
      <c r="AX798" s="8" t="n">
        <f aca="false">AQ798*100</f>
        <v>0</v>
      </c>
      <c r="AY798" s="8" t="n">
        <f aca="false">AR798*100</f>
        <v>0</v>
      </c>
      <c r="AZ798" s="8" t="n">
        <f aca="false">IFERROR(ROUND(AS798*Assumptions!$I$6+AW798*Assumptions!$I$7+AT798*Assumptions!$I$8+AU798*Assumptions!$I$9+AV798*Assumptions!$I$10+AX798*Assumptions!$I$11+AY798*Assumptions!$I$12,2),"")</f>
        <v>35.75</v>
      </c>
      <c r="BA798" s="0" t="str">
        <f aca="false">IF(AZ798="","",IF(AZ798&lt;=Assumptions!$I$18,"Below Expectation",IF(AZ798&lt;=Assumptions!$I$19,"Developing",IF(AZ798&lt;=Assumptions!$I$20,"Meets Expectation",IF(AZ798&lt;=Assumptions!$I$21,"Exceeds","Star Performer")))))</f>
        <v>Below Expectation</v>
      </c>
      <c r="BB798" s="0" t="n">
        <f aca="false">IF(AZ798="",0,IF(AZ798&gt;=Assumptions!$I$26,1,0))</f>
        <v>0</v>
      </c>
      <c r="BC798" s="9" t="n">
        <f aca="false">IF(AL798="",2,AL798+2)</f>
        <v>2</v>
      </c>
      <c r="BD798" s="10" t="n">
        <f aca="false">IF(AM798="",ROUND(AVERAGE($AM$2:$AM$921),3),AM798)</f>
        <v>0.577</v>
      </c>
      <c r="BE798" s="9" t="n">
        <f aca="false">1-BD798</f>
        <v>0.423</v>
      </c>
    </row>
    <row r="799" customFormat="false" ht="14.25" hidden="true" customHeight="false" outlineLevel="0" collapsed="false">
      <c r="A799" s="4" t="n">
        <v>856</v>
      </c>
      <c r="B799" s="5" t="n">
        <v>55093321</v>
      </c>
      <c r="C799" s="5" t="s">
        <v>85</v>
      </c>
      <c r="D799" s="5" t="s">
        <v>2612</v>
      </c>
      <c r="E799" s="5" t="s">
        <v>137</v>
      </c>
      <c r="F799" s="5" t="s">
        <v>1731</v>
      </c>
      <c r="G799" s="5" t="s">
        <v>1732</v>
      </c>
      <c r="H799" s="5" t="s">
        <v>1731</v>
      </c>
      <c r="I799" s="5" t="s">
        <v>63</v>
      </c>
      <c r="J799" s="5" t="s">
        <v>76</v>
      </c>
      <c r="K799" s="5" t="s">
        <v>309</v>
      </c>
      <c r="L799" s="6" t="n">
        <v>45265</v>
      </c>
      <c r="M799" s="5" t="s">
        <v>2098</v>
      </c>
      <c r="N799" s="6" t="n">
        <v>36851</v>
      </c>
      <c r="O799" s="5" t="s">
        <v>1264</v>
      </c>
      <c r="P799" s="5" t="s">
        <v>1559</v>
      </c>
      <c r="Q799" s="5" t="s">
        <v>412</v>
      </c>
      <c r="R799" s="5" t="s">
        <v>115</v>
      </c>
      <c r="S799" s="5" t="s">
        <v>412</v>
      </c>
      <c r="T799" s="6"/>
      <c r="U799" s="6"/>
      <c r="V799" s="5"/>
      <c r="W799" s="5"/>
      <c r="X799" s="5" t="s">
        <v>631</v>
      </c>
      <c r="Y799" s="5" t="s">
        <v>631</v>
      </c>
      <c r="Z799" s="5" t="s">
        <v>141</v>
      </c>
      <c r="AA799" s="5" t="s">
        <v>2218</v>
      </c>
      <c r="AB799" s="0" t="n">
        <f aca="false">IFERROR(VALUE(R799),0)</f>
        <v>0</v>
      </c>
      <c r="AC799" s="0" t="n">
        <f aca="false">IFERROR(VALUE(M799),"")</f>
        <v>25.6</v>
      </c>
      <c r="AD799" s="0" t="n">
        <f aca="false">IFERROR(VALUE(Q799),"")</f>
        <v>2.6</v>
      </c>
      <c r="AE799" s="0" t="n">
        <f aca="false">IFERROR(VALUE(S799),"")</f>
        <v>2.6</v>
      </c>
      <c r="AF799" s="0" t="str">
        <f aca="false">IF(V799="","",VLOOKUP(V799,Assumptions!$B$6:$C$9,2,FALSE()))</f>
        <v/>
      </c>
      <c r="AG799" s="0" t="str">
        <f aca="false">IF(W799="","",VLOOKUP(W799,Assumptions!$B$6:$C$9,2,FALSE()))</f>
        <v/>
      </c>
      <c r="AH799" s="0" t="n">
        <f aca="false">IF(X799="","",VLOOKUP(X799,Assumptions!$B$6:$C$9,2,FALSE()))</f>
        <v>2</v>
      </c>
      <c r="AI799" s="0" t="n">
        <f aca="false">IF(Y799="","",VLOOKUP(Y799,Assumptions!$B$6:$C$9,2,FALSE()))</f>
        <v>2</v>
      </c>
      <c r="AJ799" s="0" t="n">
        <f aca="false">IF(Z799="","",VLOOKUP(Z799,Assumptions!$B$6:$C$9,2,FALSE()))</f>
        <v>3</v>
      </c>
      <c r="AK799" s="7" t="n">
        <f aca="false">IFERROR(ROUND(AVERAGE(AF799:AJ799),3),"")</f>
        <v>2.333</v>
      </c>
      <c r="AL799" s="7" t="str">
        <f aca="false">IF(OR(AF799="",AJ799=""),"",AJ799-AF799)</f>
        <v/>
      </c>
      <c r="AM799" s="7" t="n">
        <f aca="false">IF(COUNT(AF799:AJ799)&gt;=2,ROUND(_xlfn.STDEV.S(AF799:AJ799),3),"")</f>
        <v>0.577</v>
      </c>
      <c r="AN799" s="7" t="n">
        <f aca="false">ROUND((IF(AF799="",0,AF799)*Assumptions!$F$15)+(IF(AG799="",0,AG799)*Assumptions!$F$16)+(IF(AH799="",0,AH799)*Assumptions!$F$17)+(IF(AI799="",0,AI799)*Assumptions!$F$18)+(IF(AJ799="",0,AJ799)*Assumptions!$F$19),3)</f>
        <v>1.8</v>
      </c>
      <c r="AO799" s="0" t="str">
        <f aca="false">IF(AC799&lt;=20,"",IF(AC799&lt;=Assumptions!$F$6,"20-30",IF(AC799&lt;=Assumptions!$F$7,"30-40",IF(AC799&lt;=Assumptions!$F$8,"40-50",IF(AC799&lt;=Assumptions!$F$9,"50-60",IF(AC799&lt;=Assumptions!$F$10,"60+",""))))))</f>
        <v>20-30</v>
      </c>
      <c r="AP799" s="0" t="str">
        <f aca="false">IFERROR(VLOOKUP(O799,Assumptions!$B$14:$C$26,2,FALSE()),"Other")</f>
        <v>Manager</v>
      </c>
      <c r="AQ799" s="0" t="n">
        <f aca="false">IF(T799="",0,1)</f>
        <v>0</v>
      </c>
      <c r="AR799" s="0" t="n">
        <f aca="false">IF(U799="",0,1)</f>
        <v>0</v>
      </c>
      <c r="AS799" s="8" t="n">
        <f aca="false">IF(AK799="","",IF(MAX($AK$2:$AK$921)=MIN($AK$2:$AK$921),50,ROUND((AK799-MIN($AK$2:$AK$921))/(MAX($AK$2:$AK$921)-MIN($AK$2:$AK$921))*100,2)))</f>
        <v>28.55</v>
      </c>
      <c r="AT799" s="8" t="n">
        <f aca="false">IF(MAX($BC$2:$BC$921)=MIN($BC$2:$BC$921),50,ROUND((BC799-MIN($BC$2:$BC$921))/(MAX($BC$2:$BC$921)-MIN($BC$2:$BC$921))*100,2))</f>
        <v>50</v>
      </c>
      <c r="AU799" s="8" t="n">
        <f aca="false">IF(MAX($BE$2:$BE$921)=MIN($BE$2:$BE$921),50,ROUND((BE799-MIN($BE$2:$BE$921))/(MAX($BE$2:$BE$921)-MIN($BE$2:$BE$921))*100,2))</f>
        <v>66.69</v>
      </c>
      <c r="AV799" s="8" t="n">
        <f aca="false">IF(MAX($AD$2:$AD$921)=MIN($AD$2:$AD$921),50,ROUND((AD799-MIN($AD$2:$AD$921))/(MAX($AD$2:$AD$921)-MIN($AD$2:$AD$921))*100,2))</f>
        <v>6.77</v>
      </c>
      <c r="AW799" s="8" t="n">
        <f aca="false">IF(MAX($AN$2:$AN$921)=MIN($AN$2:$AN$921),50,ROUND((AN799-MIN($AN$2:$AN$921))/(MAX($AN$2:$AN$921)-MIN($AN$2:$AN$921))*100,2))</f>
        <v>45</v>
      </c>
      <c r="AX799" s="8" t="n">
        <f aca="false">AQ799*100</f>
        <v>0</v>
      </c>
      <c r="AY799" s="8" t="n">
        <f aca="false">AR799*100</f>
        <v>0</v>
      </c>
      <c r="AZ799" s="8" t="n">
        <f aca="false">IFERROR(ROUND(AS799*Assumptions!$I$6+AW799*Assumptions!$I$7+AT799*Assumptions!$I$8+AU799*Assumptions!$I$9+AV799*Assumptions!$I$10+AX799*Assumptions!$I$11+AY799*Assumptions!$I$12,2),"")</f>
        <v>35.75</v>
      </c>
      <c r="BA799" s="0" t="str">
        <f aca="false">IF(AZ799="","",IF(AZ799&lt;=Assumptions!$I$18,"Below Expectation",IF(AZ799&lt;=Assumptions!$I$19,"Developing",IF(AZ799&lt;=Assumptions!$I$20,"Meets Expectation",IF(AZ799&lt;=Assumptions!$I$21,"Exceeds","Star Performer")))))</f>
        <v>Below Expectation</v>
      </c>
      <c r="BB799" s="0" t="n">
        <f aca="false">IF(AZ799="",0,IF(AZ799&gt;=Assumptions!$I$26,1,0))</f>
        <v>0</v>
      </c>
      <c r="BC799" s="9" t="n">
        <f aca="false">IF(AL799="",2,AL799+2)</f>
        <v>2</v>
      </c>
      <c r="BD799" s="10" t="n">
        <f aca="false">IF(AM799="",ROUND(AVERAGE($AM$2:$AM$921),3),AM799)</f>
        <v>0.577</v>
      </c>
      <c r="BE799" s="9" t="n">
        <f aca="false">1-BD799</f>
        <v>0.423</v>
      </c>
    </row>
    <row r="800" customFormat="false" ht="14.25" hidden="true" customHeight="false" outlineLevel="0" collapsed="false">
      <c r="A800" s="4" t="n">
        <v>858</v>
      </c>
      <c r="B800" s="5" t="n">
        <v>55093471</v>
      </c>
      <c r="C800" s="5" t="s">
        <v>85</v>
      </c>
      <c r="D800" s="5" t="s">
        <v>2613</v>
      </c>
      <c r="E800" s="5" t="s">
        <v>291</v>
      </c>
      <c r="F800" s="5" t="s">
        <v>1382</v>
      </c>
      <c r="G800" s="5" t="s">
        <v>1383</v>
      </c>
      <c r="H800" s="5" t="s">
        <v>1382</v>
      </c>
      <c r="I800" s="5" t="s">
        <v>63</v>
      </c>
      <c r="J800" s="5" t="s">
        <v>76</v>
      </c>
      <c r="K800" s="5" t="s">
        <v>309</v>
      </c>
      <c r="L800" s="6" t="n">
        <v>45265</v>
      </c>
      <c r="M800" s="5" t="s">
        <v>1789</v>
      </c>
      <c r="N800" s="6" t="n">
        <v>37125</v>
      </c>
      <c r="O800" s="5" t="s">
        <v>1264</v>
      </c>
      <c r="P800" s="5" t="s">
        <v>1559</v>
      </c>
      <c r="Q800" s="5" t="s">
        <v>412</v>
      </c>
      <c r="R800" s="5" t="s">
        <v>115</v>
      </c>
      <c r="S800" s="5" t="s">
        <v>412</v>
      </c>
      <c r="T800" s="6"/>
      <c r="U800" s="6"/>
      <c r="V800" s="5"/>
      <c r="W800" s="5"/>
      <c r="X800" s="5" t="s">
        <v>631</v>
      </c>
      <c r="Y800" s="5" t="s">
        <v>631</v>
      </c>
      <c r="Z800" s="5" t="s">
        <v>141</v>
      </c>
      <c r="AA800" s="5" t="s">
        <v>2177</v>
      </c>
      <c r="AB800" s="0" t="n">
        <f aca="false">IFERROR(VALUE(R800),0)</f>
        <v>0</v>
      </c>
      <c r="AC800" s="0" t="n">
        <f aca="false">IFERROR(VALUE(M800),"")</f>
        <v>24.9</v>
      </c>
      <c r="AD800" s="0" t="n">
        <f aca="false">IFERROR(VALUE(Q800),"")</f>
        <v>2.6</v>
      </c>
      <c r="AE800" s="0" t="n">
        <f aca="false">IFERROR(VALUE(S800),"")</f>
        <v>2.6</v>
      </c>
      <c r="AF800" s="0" t="str">
        <f aca="false">IF(V800="","",VLOOKUP(V800,Assumptions!$B$6:$C$9,2,FALSE()))</f>
        <v/>
      </c>
      <c r="AG800" s="0" t="str">
        <f aca="false">IF(W800="","",VLOOKUP(W800,Assumptions!$B$6:$C$9,2,FALSE()))</f>
        <v/>
      </c>
      <c r="AH800" s="0" t="n">
        <f aca="false">IF(X800="","",VLOOKUP(X800,Assumptions!$B$6:$C$9,2,FALSE()))</f>
        <v>2</v>
      </c>
      <c r="AI800" s="0" t="n">
        <f aca="false">IF(Y800="","",VLOOKUP(Y800,Assumptions!$B$6:$C$9,2,FALSE()))</f>
        <v>2</v>
      </c>
      <c r="AJ800" s="0" t="n">
        <f aca="false">IF(Z800="","",VLOOKUP(Z800,Assumptions!$B$6:$C$9,2,FALSE()))</f>
        <v>3</v>
      </c>
      <c r="AK800" s="7" t="n">
        <f aca="false">IFERROR(ROUND(AVERAGE(AF800:AJ800),3),"")</f>
        <v>2.333</v>
      </c>
      <c r="AL800" s="7" t="str">
        <f aca="false">IF(OR(AF800="",AJ800=""),"",AJ800-AF800)</f>
        <v/>
      </c>
      <c r="AM800" s="7" t="n">
        <f aca="false">IF(COUNT(AF800:AJ800)&gt;=2,ROUND(_xlfn.STDEV.S(AF800:AJ800),3),"")</f>
        <v>0.577</v>
      </c>
      <c r="AN800" s="7" t="n">
        <f aca="false">ROUND((IF(AF800="",0,AF800)*Assumptions!$F$15)+(IF(AG800="",0,AG800)*Assumptions!$F$16)+(IF(AH800="",0,AH800)*Assumptions!$F$17)+(IF(AI800="",0,AI800)*Assumptions!$F$18)+(IF(AJ800="",0,AJ800)*Assumptions!$F$19),3)</f>
        <v>1.8</v>
      </c>
      <c r="AO800" s="0" t="str">
        <f aca="false">IF(AC800&lt;=20,"",IF(AC800&lt;=Assumptions!$F$6,"20-30",IF(AC800&lt;=Assumptions!$F$7,"30-40",IF(AC800&lt;=Assumptions!$F$8,"40-50",IF(AC800&lt;=Assumptions!$F$9,"50-60",IF(AC800&lt;=Assumptions!$F$10,"60+",""))))))</f>
        <v>20-30</v>
      </c>
      <c r="AP800" s="0" t="str">
        <f aca="false">IFERROR(VLOOKUP(O800,Assumptions!$B$14:$C$26,2,FALSE()),"Other")</f>
        <v>Manager</v>
      </c>
      <c r="AQ800" s="0" t="n">
        <f aca="false">IF(T800="",0,1)</f>
        <v>0</v>
      </c>
      <c r="AR800" s="0" t="n">
        <f aca="false">IF(U800="",0,1)</f>
        <v>0</v>
      </c>
      <c r="AS800" s="8" t="n">
        <f aca="false">IF(AK800="","",IF(MAX($AK$2:$AK$921)=MIN($AK$2:$AK$921),50,ROUND((AK800-MIN($AK$2:$AK$921))/(MAX($AK$2:$AK$921)-MIN($AK$2:$AK$921))*100,2)))</f>
        <v>28.55</v>
      </c>
      <c r="AT800" s="8" t="n">
        <f aca="false">IF(MAX($BC$2:$BC$921)=MIN($BC$2:$BC$921),50,ROUND((BC800-MIN($BC$2:$BC$921))/(MAX($BC$2:$BC$921)-MIN($BC$2:$BC$921))*100,2))</f>
        <v>50</v>
      </c>
      <c r="AU800" s="8" t="n">
        <f aca="false">IF(MAX($BE$2:$BE$921)=MIN($BE$2:$BE$921),50,ROUND((BE800-MIN($BE$2:$BE$921))/(MAX($BE$2:$BE$921)-MIN($BE$2:$BE$921))*100,2))</f>
        <v>66.69</v>
      </c>
      <c r="AV800" s="8" t="n">
        <f aca="false">IF(MAX($AD$2:$AD$921)=MIN($AD$2:$AD$921),50,ROUND((AD800-MIN($AD$2:$AD$921))/(MAX($AD$2:$AD$921)-MIN($AD$2:$AD$921))*100,2))</f>
        <v>6.77</v>
      </c>
      <c r="AW800" s="8" t="n">
        <f aca="false">IF(MAX($AN$2:$AN$921)=MIN($AN$2:$AN$921),50,ROUND((AN800-MIN($AN$2:$AN$921))/(MAX($AN$2:$AN$921)-MIN($AN$2:$AN$921))*100,2))</f>
        <v>45</v>
      </c>
      <c r="AX800" s="8" t="n">
        <f aca="false">AQ800*100</f>
        <v>0</v>
      </c>
      <c r="AY800" s="8" t="n">
        <f aca="false">AR800*100</f>
        <v>0</v>
      </c>
      <c r="AZ800" s="8" t="n">
        <f aca="false">IFERROR(ROUND(AS800*Assumptions!$I$6+AW800*Assumptions!$I$7+AT800*Assumptions!$I$8+AU800*Assumptions!$I$9+AV800*Assumptions!$I$10+AX800*Assumptions!$I$11+AY800*Assumptions!$I$12,2),"")</f>
        <v>35.75</v>
      </c>
      <c r="BA800" s="0" t="str">
        <f aca="false">IF(AZ800="","",IF(AZ800&lt;=Assumptions!$I$18,"Below Expectation",IF(AZ800&lt;=Assumptions!$I$19,"Developing",IF(AZ800&lt;=Assumptions!$I$20,"Meets Expectation",IF(AZ800&lt;=Assumptions!$I$21,"Exceeds","Star Performer")))))</f>
        <v>Below Expectation</v>
      </c>
      <c r="BB800" s="0" t="n">
        <f aca="false">IF(AZ800="",0,IF(AZ800&gt;=Assumptions!$I$26,1,0))</f>
        <v>0</v>
      </c>
      <c r="BC800" s="9" t="n">
        <f aca="false">IF(AL800="",2,AL800+2)</f>
        <v>2</v>
      </c>
      <c r="BD800" s="10" t="n">
        <f aca="false">IF(AM800="",ROUND(AVERAGE($AM$2:$AM$921),3),AM800)</f>
        <v>0.577</v>
      </c>
      <c r="BE800" s="9" t="n">
        <f aca="false">1-BD800</f>
        <v>0.423</v>
      </c>
    </row>
    <row r="801" customFormat="false" ht="14.25" hidden="true" customHeight="false" outlineLevel="0" collapsed="false">
      <c r="A801" s="4" t="n">
        <v>709</v>
      </c>
      <c r="B801" s="5" t="n">
        <v>55066128</v>
      </c>
      <c r="C801" s="5" t="s">
        <v>57</v>
      </c>
      <c r="D801" s="5" t="s">
        <v>2614</v>
      </c>
      <c r="E801" s="5" t="s">
        <v>252</v>
      </c>
      <c r="F801" s="5" t="s">
        <v>608</v>
      </c>
      <c r="G801" s="5" t="s">
        <v>609</v>
      </c>
      <c r="H801" s="5" t="s">
        <v>608</v>
      </c>
      <c r="I801" s="5" t="s">
        <v>63</v>
      </c>
      <c r="J801" s="5" t="s">
        <v>100</v>
      </c>
      <c r="K801" s="5" t="s">
        <v>65</v>
      </c>
      <c r="L801" s="6" t="n">
        <v>44979</v>
      </c>
      <c r="M801" s="5" t="s">
        <v>1986</v>
      </c>
      <c r="N801" s="6" t="n">
        <v>34497</v>
      </c>
      <c r="O801" s="5" t="s">
        <v>365</v>
      </c>
      <c r="P801" s="5" t="s">
        <v>365</v>
      </c>
      <c r="Q801" s="5" t="s">
        <v>1042</v>
      </c>
      <c r="R801" s="5" t="s">
        <v>486</v>
      </c>
      <c r="S801" s="5" t="s">
        <v>418</v>
      </c>
      <c r="T801" s="6"/>
      <c r="U801" s="6"/>
      <c r="V801" s="5"/>
      <c r="W801" s="5"/>
      <c r="X801" s="5" t="s">
        <v>631</v>
      </c>
      <c r="Y801" s="5" t="s">
        <v>141</v>
      </c>
      <c r="Z801" s="5" t="s">
        <v>631</v>
      </c>
      <c r="AA801" s="5" t="s">
        <v>2615</v>
      </c>
      <c r="AB801" s="0" t="n">
        <f aca="false">IFERROR(VALUE(R801),0)</f>
        <v>6.5</v>
      </c>
      <c r="AC801" s="0" t="n">
        <f aca="false">IFERROR(VALUE(M801),"")</f>
        <v>31.11</v>
      </c>
      <c r="AD801" s="0" t="n">
        <f aca="false">IFERROR(VALUE(Q801),"")</f>
        <v>3.3</v>
      </c>
      <c r="AE801" s="0" t="n">
        <f aca="false">IFERROR(VALUE(S801),"")</f>
        <v>9.8</v>
      </c>
      <c r="AF801" s="0" t="str">
        <f aca="false">IF(V801="","",VLOOKUP(V801,Assumptions!$B$6:$C$9,2,FALSE()))</f>
        <v/>
      </c>
      <c r="AG801" s="0" t="str">
        <f aca="false">IF(W801="","",VLOOKUP(W801,Assumptions!$B$6:$C$9,2,FALSE()))</f>
        <v/>
      </c>
      <c r="AH801" s="0" t="n">
        <f aca="false">IF(X801="","",VLOOKUP(X801,Assumptions!$B$6:$C$9,2,FALSE()))</f>
        <v>2</v>
      </c>
      <c r="AI801" s="0" t="n">
        <f aca="false">IF(Y801="","",VLOOKUP(Y801,Assumptions!$B$6:$C$9,2,FALSE()))</f>
        <v>3</v>
      </c>
      <c r="AJ801" s="0" t="n">
        <f aca="false">IF(Z801="","",VLOOKUP(Z801,Assumptions!$B$6:$C$9,2,FALSE()))</f>
        <v>2</v>
      </c>
      <c r="AK801" s="7" t="n">
        <f aca="false">IFERROR(ROUND(AVERAGE(AF801:AJ801),3),"")</f>
        <v>2.333</v>
      </c>
      <c r="AL801" s="7" t="str">
        <f aca="false">IF(OR(AF801="",AJ801=""),"",AJ801-AF801)</f>
        <v/>
      </c>
      <c r="AM801" s="7" t="n">
        <f aca="false">IF(COUNT(AF801:AJ801)&gt;=2,ROUND(_xlfn.STDEV.S(AF801:AJ801),3),"")</f>
        <v>0.577</v>
      </c>
      <c r="AN801" s="7" t="n">
        <f aca="false">ROUND((IF(AF801="",0,AF801)*Assumptions!$F$15)+(IF(AG801="",0,AG801)*Assumptions!$F$16)+(IF(AH801="",0,AH801)*Assumptions!$F$17)+(IF(AI801="",0,AI801)*Assumptions!$F$18)+(IF(AJ801="",0,AJ801)*Assumptions!$F$19),3)</f>
        <v>1.75</v>
      </c>
      <c r="AO801" s="0" t="str">
        <f aca="false">IF(AC801&lt;=20,"",IF(AC801&lt;=Assumptions!$F$6,"20-30",IF(AC801&lt;=Assumptions!$F$7,"30-40",IF(AC801&lt;=Assumptions!$F$8,"40-50",IF(AC801&lt;=Assumptions!$F$9,"50-60",IF(AC801&lt;=Assumptions!$F$10,"60+",""))))))</f>
        <v>30-40</v>
      </c>
      <c r="AP801" s="0" t="str">
        <f aca="false">IFERROR(VLOOKUP(O801,Assumptions!$B$14:$C$26,2,FALSE()),"Other")</f>
        <v>Manager</v>
      </c>
      <c r="AQ801" s="0" t="n">
        <f aca="false">IF(T801="",0,1)</f>
        <v>0</v>
      </c>
      <c r="AR801" s="0" t="n">
        <f aca="false">IF(U801="",0,1)</f>
        <v>0</v>
      </c>
      <c r="AS801" s="8" t="n">
        <f aca="false">IF(AK801="","",IF(MAX($AK$2:$AK$921)=MIN($AK$2:$AK$921),50,ROUND((AK801-MIN($AK$2:$AK$921))/(MAX($AK$2:$AK$921)-MIN($AK$2:$AK$921))*100,2)))</f>
        <v>28.55</v>
      </c>
      <c r="AT801" s="8" t="n">
        <f aca="false">IF(MAX($BC$2:$BC$921)=MIN($BC$2:$BC$921),50,ROUND((BC801-MIN($BC$2:$BC$921))/(MAX($BC$2:$BC$921)-MIN($BC$2:$BC$921))*100,2))</f>
        <v>50</v>
      </c>
      <c r="AU801" s="8" t="n">
        <f aca="false">IF(MAX($BE$2:$BE$921)=MIN($BE$2:$BE$921),50,ROUND((BE801-MIN($BE$2:$BE$921))/(MAX($BE$2:$BE$921)-MIN($BE$2:$BE$921))*100,2))</f>
        <v>66.69</v>
      </c>
      <c r="AV801" s="8" t="n">
        <f aca="false">IF(MAX($AD$2:$AD$921)=MIN($AD$2:$AD$921),50,ROUND((AD801-MIN($AD$2:$AD$921))/(MAX($AD$2:$AD$921)-MIN($AD$2:$AD$921))*100,2))</f>
        <v>8.67</v>
      </c>
      <c r="AW801" s="8" t="n">
        <f aca="false">IF(MAX($AN$2:$AN$921)=MIN($AN$2:$AN$921),50,ROUND((AN801-MIN($AN$2:$AN$921))/(MAX($AN$2:$AN$921)-MIN($AN$2:$AN$921))*100,2))</f>
        <v>43.75</v>
      </c>
      <c r="AX801" s="8" t="n">
        <f aca="false">AQ801*100</f>
        <v>0</v>
      </c>
      <c r="AY801" s="8" t="n">
        <f aca="false">AR801*100</f>
        <v>0</v>
      </c>
      <c r="AZ801" s="8" t="n">
        <f aca="false">IFERROR(ROUND(AS801*Assumptions!$I$6+AW801*Assumptions!$I$7+AT801*Assumptions!$I$8+AU801*Assumptions!$I$9+AV801*Assumptions!$I$10+AX801*Assumptions!$I$11+AY801*Assumptions!$I$12,2),"")</f>
        <v>35.69</v>
      </c>
      <c r="BA801" s="0" t="str">
        <f aca="false">IF(AZ801="","",IF(AZ801&lt;=Assumptions!$I$18,"Below Expectation",IF(AZ801&lt;=Assumptions!$I$19,"Developing",IF(AZ801&lt;=Assumptions!$I$20,"Meets Expectation",IF(AZ801&lt;=Assumptions!$I$21,"Exceeds","Star Performer")))))</f>
        <v>Below Expectation</v>
      </c>
      <c r="BB801" s="0" t="n">
        <f aca="false">IF(AZ801="",0,IF(AZ801&gt;=Assumptions!$I$26,1,0))</f>
        <v>0</v>
      </c>
      <c r="BC801" s="9" t="n">
        <f aca="false">IF(AL801="",2,AL801+2)</f>
        <v>2</v>
      </c>
      <c r="BD801" s="10" t="n">
        <f aca="false">IF(AM801="",ROUND(AVERAGE($AM$2:$AM$921),3),AM801)</f>
        <v>0.577</v>
      </c>
      <c r="BE801" s="9" t="n">
        <f aca="false">1-BD801</f>
        <v>0.423</v>
      </c>
    </row>
    <row r="802" customFormat="false" ht="14.25" hidden="true" customHeight="false" outlineLevel="0" collapsed="false">
      <c r="A802" s="4" t="n">
        <v>722</v>
      </c>
      <c r="B802" s="5" t="n">
        <v>55067013</v>
      </c>
      <c r="C802" s="5" t="s">
        <v>57</v>
      </c>
      <c r="D802" s="5" t="s">
        <v>2616</v>
      </c>
      <c r="E802" s="5" t="s">
        <v>96</v>
      </c>
      <c r="F802" s="5" t="s">
        <v>608</v>
      </c>
      <c r="G802" s="5" t="s">
        <v>609</v>
      </c>
      <c r="H802" s="5" t="s">
        <v>608</v>
      </c>
      <c r="I802" s="5" t="s">
        <v>63</v>
      </c>
      <c r="J802" s="5" t="s">
        <v>100</v>
      </c>
      <c r="K802" s="5" t="s">
        <v>65</v>
      </c>
      <c r="L802" s="6" t="n">
        <v>44998</v>
      </c>
      <c r="M802" s="5" t="s">
        <v>842</v>
      </c>
      <c r="N802" s="6" t="n">
        <v>32813</v>
      </c>
      <c r="O802" s="5" t="s">
        <v>365</v>
      </c>
      <c r="P802" s="5" t="s">
        <v>365</v>
      </c>
      <c r="Q802" s="5" t="s">
        <v>103</v>
      </c>
      <c r="R802" s="5" t="s">
        <v>656</v>
      </c>
      <c r="S802" s="5" t="s">
        <v>660</v>
      </c>
      <c r="T802" s="6"/>
      <c r="U802" s="6"/>
      <c r="V802" s="5"/>
      <c r="W802" s="5"/>
      <c r="X802" s="5" t="s">
        <v>631</v>
      </c>
      <c r="Y802" s="5" t="s">
        <v>141</v>
      </c>
      <c r="Z802" s="5" t="s">
        <v>631</v>
      </c>
      <c r="AA802" s="5" t="s">
        <v>2617</v>
      </c>
      <c r="AB802" s="0" t="n">
        <f aca="false">IFERROR(VALUE(R802),0)</f>
        <v>7.4</v>
      </c>
      <c r="AC802" s="0" t="n">
        <f aca="false">IFERROR(VALUE(M802),"")</f>
        <v>36.7</v>
      </c>
      <c r="AD802" s="0" t="n">
        <f aca="false">IFERROR(VALUE(Q802),"")</f>
        <v>3.2</v>
      </c>
      <c r="AE802" s="0" t="n">
        <f aca="false">IFERROR(VALUE(S802),"")</f>
        <v>10.6</v>
      </c>
      <c r="AF802" s="0" t="str">
        <f aca="false">IF(V802="","",VLOOKUP(V802,Assumptions!$B$6:$C$9,2,FALSE()))</f>
        <v/>
      </c>
      <c r="AG802" s="0" t="str">
        <f aca="false">IF(W802="","",VLOOKUP(W802,Assumptions!$B$6:$C$9,2,FALSE()))</f>
        <v/>
      </c>
      <c r="AH802" s="0" t="n">
        <f aca="false">IF(X802="","",VLOOKUP(X802,Assumptions!$B$6:$C$9,2,FALSE()))</f>
        <v>2</v>
      </c>
      <c r="AI802" s="0" t="n">
        <f aca="false">IF(Y802="","",VLOOKUP(Y802,Assumptions!$B$6:$C$9,2,FALSE()))</f>
        <v>3</v>
      </c>
      <c r="AJ802" s="0" t="n">
        <f aca="false">IF(Z802="","",VLOOKUP(Z802,Assumptions!$B$6:$C$9,2,FALSE()))</f>
        <v>2</v>
      </c>
      <c r="AK802" s="7" t="n">
        <f aca="false">IFERROR(ROUND(AVERAGE(AF802:AJ802),3),"")</f>
        <v>2.333</v>
      </c>
      <c r="AL802" s="7" t="str">
        <f aca="false">IF(OR(AF802="",AJ802=""),"",AJ802-AF802)</f>
        <v/>
      </c>
      <c r="AM802" s="7" t="n">
        <f aca="false">IF(COUNT(AF802:AJ802)&gt;=2,ROUND(_xlfn.STDEV.S(AF802:AJ802),3),"")</f>
        <v>0.577</v>
      </c>
      <c r="AN802" s="7" t="n">
        <f aca="false">ROUND((IF(AF802="",0,AF802)*Assumptions!$F$15)+(IF(AG802="",0,AG802)*Assumptions!$F$16)+(IF(AH802="",0,AH802)*Assumptions!$F$17)+(IF(AI802="",0,AI802)*Assumptions!$F$18)+(IF(AJ802="",0,AJ802)*Assumptions!$F$19),3)</f>
        <v>1.75</v>
      </c>
      <c r="AO802" s="0" t="str">
        <f aca="false">IF(AC802&lt;=20,"",IF(AC802&lt;=Assumptions!$F$6,"20-30",IF(AC802&lt;=Assumptions!$F$7,"30-40",IF(AC802&lt;=Assumptions!$F$8,"40-50",IF(AC802&lt;=Assumptions!$F$9,"50-60",IF(AC802&lt;=Assumptions!$F$10,"60+",""))))))</f>
        <v>30-40</v>
      </c>
      <c r="AP802" s="0" t="str">
        <f aca="false">IFERROR(VLOOKUP(O802,Assumptions!$B$14:$C$26,2,FALSE()),"Other")</f>
        <v>Manager</v>
      </c>
      <c r="AQ802" s="0" t="n">
        <f aca="false">IF(T802="",0,1)</f>
        <v>0</v>
      </c>
      <c r="AR802" s="0" t="n">
        <f aca="false">IF(U802="",0,1)</f>
        <v>0</v>
      </c>
      <c r="AS802" s="8" t="n">
        <f aca="false">IF(AK802="","",IF(MAX($AK$2:$AK$921)=MIN($AK$2:$AK$921),50,ROUND((AK802-MIN($AK$2:$AK$921))/(MAX($AK$2:$AK$921)-MIN($AK$2:$AK$921))*100,2)))</f>
        <v>28.55</v>
      </c>
      <c r="AT802" s="8" t="n">
        <f aca="false">IF(MAX($BC$2:$BC$921)=MIN($BC$2:$BC$921),50,ROUND((BC802-MIN($BC$2:$BC$921))/(MAX($BC$2:$BC$921)-MIN($BC$2:$BC$921))*100,2))</f>
        <v>50</v>
      </c>
      <c r="AU802" s="8" t="n">
        <f aca="false">IF(MAX($BE$2:$BE$921)=MIN($BE$2:$BE$921),50,ROUND((BE802-MIN($BE$2:$BE$921))/(MAX($BE$2:$BE$921)-MIN($BE$2:$BE$921))*100,2))</f>
        <v>66.69</v>
      </c>
      <c r="AV802" s="8" t="n">
        <f aca="false">IF(MAX($AD$2:$AD$921)=MIN($AD$2:$AD$921),50,ROUND((AD802-MIN($AD$2:$AD$921))/(MAX($AD$2:$AD$921)-MIN($AD$2:$AD$921))*100,2))</f>
        <v>8.4</v>
      </c>
      <c r="AW802" s="8" t="n">
        <f aca="false">IF(MAX($AN$2:$AN$921)=MIN($AN$2:$AN$921),50,ROUND((AN802-MIN($AN$2:$AN$921))/(MAX($AN$2:$AN$921)-MIN($AN$2:$AN$921))*100,2))</f>
        <v>43.75</v>
      </c>
      <c r="AX802" s="8" t="n">
        <f aca="false">AQ802*100</f>
        <v>0</v>
      </c>
      <c r="AY802" s="8" t="n">
        <f aca="false">AR802*100</f>
        <v>0</v>
      </c>
      <c r="AZ802" s="8" t="n">
        <f aca="false">IFERROR(ROUND(AS802*Assumptions!$I$6+AW802*Assumptions!$I$7+AT802*Assumptions!$I$8+AU802*Assumptions!$I$9+AV802*Assumptions!$I$10+AX802*Assumptions!$I$11+AY802*Assumptions!$I$12,2),"")</f>
        <v>35.66</v>
      </c>
      <c r="BA802" s="0" t="str">
        <f aca="false">IF(AZ802="","",IF(AZ802&lt;=Assumptions!$I$18,"Below Expectation",IF(AZ802&lt;=Assumptions!$I$19,"Developing",IF(AZ802&lt;=Assumptions!$I$20,"Meets Expectation",IF(AZ802&lt;=Assumptions!$I$21,"Exceeds","Star Performer")))))</f>
        <v>Below Expectation</v>
      </c>
      <c r="BB802" s="0" t="n">
        <f aca="false">IF(AZ802="",0,IF(AZ802&gt;=Assumptions!$I$26,1,0))</f>
        <v>0</v>
      </c>
      <c r="BC802" s="9" t="n">
        <f aca="false">IF(AL802="",2,AL802+2)</f>
        <v>2</v>
      </c>
      <c r="BD802" s="10" t="n">
        <f aca="false">IF(AM802="",ROUND(AVERAGE($AM$2:$AM$921),3),AM802)</f>
        <v>0.577</v>
      </c>
      <c r="BE802" s="9" t="n">
        <f aca="false">1-BD802</f>
        <v>0.423</v>
      </c>
    </row>
    <row r="803" customFormat="false" ht="14.25" hidden="true" customHeight="false" outlineLevel="0" collapsed="false">
      <c r="A803" s="4" t="n">
        <v>740</v>
      </c>
      <c r="B803" s="5" t="n">
        <v>55074171</v>
      </c>
      <c r="C803" s="5" t="s">
        <v>85</v>
      </c>
      <c r="D803" s="5" t="s">
        <v>2618</v>
      </c>
      <c r="E803" s="5" t="s">
        <v>1289</v>
      </c>
      <c r="F803" s="5" t="s">
        <v>590</v>
      </c>
      <c r="G803" s="5" t="s">
        <v>589</v>
      </c>
      <c r="H803" s="5" t="s">
        <v>590</v>
      </c>
      <c r="I803" s="5" t="s">
        <v>63</v>
      </c>
      <c r="J803" s="5" t="s">
        <v>76</v>
      </c>
      <c r="K803" s="5" t="s">
        <v>309</v>
      </c>
      <c r="L803" s="6" t="n">
        <v>45132</v>
      </c>
      <c r="M803" s="5" t="s">
        <v>910</v>
      </c>
      <c r="N803" s="6" t="n">
        <v>37052</v>
      </c>
      <c r="O803" s="5" t="s">
        <v>1264</v>
      </c>
      <c r="P803" s="5" t="s">
        <v>1559</v>
      </c>
      <c r="Q803" s="5" t="s">
        <v>271</v>
      </c>
      <c r="R803" s="5" t="s">
        <v>115</v>
      </c>
      <c r="S803" s="5" t="s">
        <v>271</v>
      </c>
      <c r="T803" s="6"/>
      <c r="U803" s="6"/>
      <c r="V803" s="5"/>
      <c r="W803" s="5"/>
      <c r="X803" s="5" t="s">
        <v>631</v>
      </c>
      <c r="Y803" s="5" t="s">
        <v>631</v>
      </c>
      <c r="Z803" s="5" t="s">
        <v>141</v>
      </c>
      <c r="AA803" s="5" t="s">
        <v>2619</v>
      </c>
      <c r="AB803" s="0" t="n">
        <f aca="false">IFERROR(VALUE(R803),0)</f>
        <v>0</v>
      </c>
      <c r="AC803" s="0" t="n">
        <f aca="false">IFERROR(VALUE(M803),"")</f>
        <v>24.11</v>
      </c>
      <c r="AD803" s="0" t="n">
        <f aca="false">IFERROR(VALUE(Q803),"")</f>
        <v>2.1</v>
      </c>
      <c r="AE803" s="0" t="n">
        <f aca="false">IFERROR(VALUE(S803),"")</f>
        <v>2.1</v>
      </c>
      <c r="AF803" s="0" t="str">
        <f aca="false">IF(V803="","",VLOOKUP(V803,Assumptions!$B$6:$C$9,2,FALSE()))</f>
        <v/>
      </c>
      <c r="AG803" s="0" t="str">
        <f aca="false">IF(W803="","",VLOOKUP(W803,Assumptions!$B$6:$C$9,2,FALSE()))</f>
        <v/>
      </c>
      <c r="AH803" s="0" t="n">
        <f aca="false">IF(X803="","",VLOOKUP(X803,Assumptions!$B$6:$C$9,2,FALSE()))</f>
        <v>2</v>
      </c>
      <c r="AI803" s="0" t="n">
        <f aca="false">IF(Y803="","",VLOOKUP(Y803,Assumptions!$B$6:$C$9,2,FALSE()))</f>
        <v>2</v>
      </c>
      <c r="AJ803" s="0" t="n">
        <f aca="false">IF(Z803="","",VLOOKUP(Z803,Assumptions!$B$6:$C$9,2,FALSE()))</f>
        <v>3</v>
      </c>
      <c r="AK803" s="7" t="n">
        <f aca="false">IFERROR(ROUND(AVERAGE(AF803:AJ803),3),"")</f>
        <v>2.333</v>
      </c>
      <c r="AL803" s="7" t="str">
        <f aca="false">IF(OR(AF803="",AJ803=""),"",AJ803-AF803)</f>
        <v/>
      </c>
      <c r="AM803" s="7" t="n">
        <f aca="false">IF(COUNT(AF803:AJ803)&gt;=2,ROUND(_xlfn.STDEV.S(AF803:AJ803),3),"")</f>
        <v>0.577</v>
      </c>
      <c r="AN803" s="7" t="n">
        <f aca="false">ROUND((IF(AF803="",0,AF803)*Assumptions!$F$15)+(IF(AG803="",0,AG803)*Assumptions!$F$16)+(IF(AH803="",0,AH803)*Assumptions!$F$17)+(IF(AI803="",0,AI803)*Assumptions!$F$18)+(IF(AJ803="",0,AJ803)*Assumptions!$F$19),3)</f>
        <v>1.8</v>
      </c>
      <c r="AO803" s="0" t="str">
        <f aca="false">IF(AC803&lt;=20,"",IF(AC803&lt;=Assumptions!$F$6,"20-30",IF(AC803&lt;=Assumptions!$F$7,"30-40",IF(AC803&lt;=Assumptions!$F$8,"40-50",IF(AC803&lt;=Assumptions!$F$9,"50-60",IF(AC803&lt;=Assumptions!$F$10,"60+",""))))))</f>
        <v>20-30</v>
      </c>
      <c r="AP803" s="0" t="str">
        <f aca="false">IFERROR(VLOOKUP(O803,Assumptions!$B$14:$C$26,2,FALSE()),"Other")</f>
        <v>Manager</v>
      </c>
      <c r="AQ803" s="0" t="n">
        <f aca="false">IF(T803="",0,1)</f>
        <v>0</v>
      </c>
      <c r="AR803" s="0" t="n">
        <f aca="false">IF(U803="",0,1)</f>
        <v>0</v>
      </c>
      <c r="AS803" s="8" t="n">
        <f aca="false">IF(AK803="","",IF(MAX($AK$2:$AK$921)=MIN($AK$2:$AK$921),50,ROUND((AK803-MIN($AK$2:$AK$921))/(MAX($AK$2:$AK$921)-MIN($AK$2:$AK$921))*100,2)))</f>
        <v>28.55</v>
      </c>
      <c r="AT803" s="8" t="n">
        <f aca="false">IF(MAX($BC$2:$BC$921)=MIN($BC$2:$BC$921),50,ROUND((BC803-MIN($BC$2:$BC$921))/(MAX($BC$2:$BC$921)-MIN($BC$2:$BC$921))*100,2))</f>
        <v>50</v>
      </c>
      <c r="AU803" s="8" t="n">
        <f aca="false">IF(MAX($BE$2:$BE$921)=MIN($BE$2:$BE$921),50,ROUND((BE803-MIN($BE$2:$BE$921))/(MAX($BE$2:$BE$921)-MIN($BE$2:$BE$921))*100,2))</f>
        <v>66.69</v>
      </c>
      <c r="AV803" s="8" t="n">
        <f aca="false">IF(MAX($AD$2:$AD$921)=MIN($AD$2:$AD$921),50,ROUND((AD803-MIN($AD$2:$AD$921))/(MAX($AD$2:$AD$921)-MIN($AD$2:$AD$921))*100,2))</f>
        <v>5.41</v>
      </c>
      <c r="AW803" s="8" t="n">
        <f aca="false">IF(MAX($AN$2:$AN$921)=MIN($AN$2:$AN$921),50,ROUND((AN803-MIN($AN$2:$AN$921))/(MAX($AN$2:$AN$921)-MIN($AN$2:$AN$921))*100,2))</f>
        <v>45</v>
      </c>
      <c r="AX803" s="8" t="n">
        <f aca="false">AQ803*100</f>
        <v>0</v>
      </c>
      <c r="AY803" s="8" t="n">
        <f aca="false">AR803*100</f>
        <v>0</v>
      </c>
      <c r="AZ803" s="8" t="n">
        <f aca="false">IFERROR(ROUND(AS803*Assumptions!$I$6+AW803*Assumptions!$I$7+AT803*Assumptions!$I$8+AU803*Assumptions!$I$9+AV803*Assumptions!$I$10+AX803*Assumptions!$I$11+AY803*Assumptions!$I$12,2),"")</f>
        <v>35.61</v>
      </c>
      <c r="BA803" s="0" t="str">
        <f aca="false">IF(AZ803="","",IF(AZ803&lt;=Assumptions!$I$18,"Below Expectation",IF(AZ803&lt;=Assumptions!$I$19,"Developing",IF(AZ803&lt;=Assumptions!$I$20,"Meets Expectation",IF(AZ803&lt;=Assumptions!$I$21,"Exceeds","Star Performer")))))</f>
        <v>Below Expectation</v>
      </c>
      <c r="BB803" s="0" t="n">
        <f aca="false">IF(AZ803="",0,IF(AZ803&gt;=Assumptions!$I$26,1,0))</f>
        <v>0</v>
      </c>
      <c r="BC803" s="9" t="n">
        <f aca="false">IF(AL803="",2,AL803+2)</f>
        <v>2</v>
      </c>
      <c r="BD803" s="10" t="n">
        <f aca="false">IF(AM803="",ROUND(AVERAGE($AM$2:$AM$921),3),AM803)</f>
        <v>0.577</v>
      </c>
      <c r="BE803" s="9" t="n">
        <f aca="false">1-BD803</f>
        <v>0.423</v>
      </c>
    </row>
    <row r="804" customFormat="false" ht="14.25" hidden="false" customHeight="false" outlineLevel="0" collapsed="false">
      <c r="A804" s="4" t="n">
        <v>760</v>
      </c>
      <c r="B804" s="5" t="n">
        <v>55085964</v>
      </c>
      <c r="C804" s="5" t="s">
        <v>106</v>
      </c>
      <c r="D804" s="5" t="s">
        <v>2620</v>
      </c>
      <c r="E804" s="5" t="s">
        <v>108</v>
      </c>
      <c r="F804" s="5" t="s">
        <v>590</v>
      </c>
      <c r="G804" s="5" t="s">
        <v>589</v>
      </c>
      <c r="H804" s="5" t="s">
        <v>590</v>
      </c>
      <c r="I804" s="5" t="s">
        <v>63</v>
      </c>
      <c r="J804" s="5" t="s">
        <v>112</v>
      </c>
      <c r="K804" s="5" t="s">
        <v>309</v>
      </c>
      <c r="L804" s="6" t="n">
        <v>45224</v>
      </c>
      <c r="M804" s="5" t="s">
        <v>2540</v>
      </c>
      <c r="N804" s="6" t="n">
        <v>37320</v>
      </c>
      <c r="O804" s="5" t="s">
        <v>1264</v>
      </c>
      <c r="P804" s="5" t="s">
        <v>1559</v>
      </c>
      <c r="Q804" s="5" t="s">
        <v>195</v>
      </c>
      <c r="R804" s="5" t="s">
        <v>115</v>
      </c>
      <c r="S804" s="5" t="s">
        <v>195</v>
      </c>
      <c r="T804" s="6"/>
      <c r="U804" s="6"/>
      <c r="V804" s="5"/>
      <c r="W804" s="5"/>
      <c r="X804" s="5" t="s">
        <v>631</v>
      </c>
      <c r="Y804" s="5" t="s">
        <v>141</v>
      </c>
      <c r="Z804" s="5" t="s">
        <v>631</v>
      </c>
      <c r="AA804" s="5" t="s">
        <v>2621</v>
      </c>
      <c r="AB804" s="0" t="n">
        <f aca="false">IFERROR(VALUE(R804),0)</f>
        <v>0</v>
      </c>
      <c r="AC804" s="0" t="n">
        <f aca="false">IFERROR(VALUE(M804),"")</f>
        <v>24.3</v>
      </c>
      <c r="AD804" s="0" t="n">
        <f aca="false">IFERROR(VALUE(Q804),"")</f>
        <v>2.7</v>
      </c>
      <c r="AE804" s="0" t="n">
        <f aca="false">IFERROR(VALUE(S804),"")</f>
        <v>2.7</v>
      </c>
      <c r="AF804" s="0" t="str">
        <f aca="false">IF(V804="","",VLOOKUP(V804,Assumptions!$B$6:$C$9,2,FALSE()))</f>
        <v/>
      </c>
      <c r="AG804" s="0" t="str">
        <f aca="false">IF(W804="","",VLOOKUP(W804,Assumptions!$B$6:$C$9,2,FALSE()))</f>
        <v/>
      </c>
      <c r="AH804" s="0" t="n">
        <f aca="false">IF(X804="","",VLOOKUP(X804,Assumptions!$B$6:$C$9,2,FALSE()))</f>
        <v>2</v>
      </c>
      <c r="AI804" s="0" t="n">
        <f aca="false">IF(Y804="","",VLOOKUP(Y804,Assumptions!$B$6:$C$9,2,FALSE()))</f>
        <v>3</v>
      </c>
      <c r="AJ804" s="0" t="n">
        <f aca="false">IF(Z804="","",VLOOKUP(Z804,Assumptions!$B$6:$C$9,2,FALSE()))</f>
        <v>2</v>
      </c>
      <c r="AK804" s="7" t="n">
        <f aca="false">IFERROR(ROUND(AVERAGE(AF804:AJ804),3),"")</f>
        <v>2.333</v>
      </c>
      <c r="AL804" s="7" t="str">
        <f aca="false">IF(OR(AF804="",AJ804=""),"",AJ804-AF804)</f>
        <v/>
      </c>
      <c r="AM804" s="7" t="n">
        <f aca="false">IF(COUNT(AF804:AJ804)&gt;=2,ROUND(_xlfn.STDEV.S(AF804:AJ804),3),"")</f>
        <v>0.577</v>
      </c>
      <c r="AN804" s="7" t="n">
        <f aca="false">ROUND((IF(AF804="",0,AF804)*Assumptions!$F$15)+(IF(AG804="",0,AG804)*Assumptions!$F$16)+(IF(AH804="",0,AH804)*Assumptions!$F$17)+(IF(AI804="",0,AI804)*Assumptions!$F$18)+(IF(AJ804="",0,AJ804)*Assumptions!$F$19),3)</f>
        <v>1.75</v>
      </c>
      <c r="AO804" s="0" t="str">
        <f aca="false">IF(AC804&lt;=20,"",IF(AC804&lt;=Assumptions!$F$6,"20-30",IF(AC804&lt;=Assumptions!$F$7,"30-40",IF(AC804&lt;=Assumptions!$F$8,"40-50",IF(AC804&lt;=Assumptions!$F$9,"50-60",IF(AC804&lt;=Assumptions!$F$10,"60+",""))))))</f>
        <v>20-30</v>
      </c>
      <c r="AP804" s="0" t="str">
        <f aca="false">IFERROR(VLOOKUP(O804,Assumptions!$B$14:$C$26,2,FALSE()),"Other")</f>
        <v>Manager</v>
      </c>
      <c r="AQ804" s="0" t="n">
        <f aca="false">IF(T804="",0,1)</f>
        <v>0</v>
      </c>
      <c r="AR804" s="0" t="n">
        <f aca="false">IF(U804="",0,1)</f>
        <v>0</v>
      </c>
      <c r="AS804" s="8" t="n">
        <f aca="false">IF(AK804="","",IF(MAX($AK$2:$AK$921)=MIN($AK$2:$AK$921),50,ROUND((AK804-MIN($AK$2:$AK$921))/(MAX($AK$2:$AK$921)-MIN($AK$2:$AK$921))*100,2)))</f>
        <v>28.55</v>
      </c>
      <c r="AT804" s="8" t="n">
        <f aca="false">IF(MAX($BC$2:$BC$921)=MIN($BC$2:$BC$921),50,ROUND((BC804-MIN($BC$2:$BC$921))/(MAX($BC$2:$BC$921)-MIN($BC$2:$BC$921))*100,2))</f>
        <v>50</v>
      </c>
      <c r="AU804" s="8" t="n">
        <f aca="false">IF(MAX($BE$2:$BE$921)=MIN($BE$2:$BE$921),50,ROUND((BE804-MIN($BE$2:$BE$921))/(MAX($BE$2:$BE$921)-MIN($BE$2:$BE$921))*100,2))</f>
        <v>66.69</v>
      </c>
      <c r="AV804" s="8" t="n">
        <f aca="false">IF(MAX($AD$2:$AD$921)=MIN($AD$2:$AD$921),50,ROUND((AD804-MIN($AD$2:$AD$921))/(MAX($AD$2:$AD$921)-MIN($AD$2:$AD$921))*100,2))</f>
        <v>7.04</v>
      </c>
      <c r="AW804" s="8" t="n">
        <f aca="false">IF(MAX($AN$2:$AN$921)=MIN($AN$2:$AN$921),50,ROUND((AN804-MIN($AN$2:$AN$921))/(MAX($AN$2:$AN$921)-MIN($AN$2:$AN$921))*100,2))</f>
        <v>43.75</v>
      </c>
      <c r="AX804" s="8" t="n">
        <f aca="false">AQ804*100</f>
        <v>0</v>
      </c>
      <c r="AY804" s="8" t="n">
        <f aca="false">AR804*100</f>
        <v>0</v>
      </c>
      <c r="AZ804" s="8" t="n">
        <f aca="false">IFERROR(ROUND(AS804*Assumptions!$I$6+AW804*Assumptions!$I$7+AT804*Assumptions!$I$8+AU804*Assumptions!$I$9+AV804*Assumptions!$I$10+AX804*Assumptions!$I$11+AY804*Assumptions!$I$12,2),"")</f>
        <v>35.52</v>
      </c>
      <c r="BA804" s="0" t="str">
        <f aca="false">IF(AZ804="","",IF(AZ804&lt;=Assumptions!$I$18,"Below Expectation",IF(AZ804&lt;=Assumptions!$I$19,"Developing",IF(AZ804&lt;=Assumptions!$I$20,"Meets Expectation",IF(AZ804&lt;=Assumptions!$I$21,"Exceeds","Star Performer")))))</f>
        <v>Below Expectation</v>
      </c>
      <c r="BB804" s="0" t="n">
        <f aca="false">IF(AZ804="",0,IF(AZ804&gt;=Assumptions!$I$26,1,0))</f>
        <v>0</v>
      </c>
      <c r="BC804" s="9" t="n">
        <f aca="false">IF(AL804="",2,AL804+2)</f>
        <v>2</v>
      </c>
      <c r="BD804" s="10" t="n">
        <f aca="false">IF(AM804="",ROUND(AVERAGE($AM$2:$AM$921),3),AM804)</f>
        <v>0.577</v>
      </c>
      <c r="BE804" s="9" t="n">
        <f aca="false">1-BD804</f>
        <v>0.423</v>
      </c>
    </row>
    <row r="805" customFormat="false" ht="14.25" hidden="false" customHeight="false" outlineLevel="0" collapsed="false">
      <c r="A805" s="4" t="n">
        <v>761</v>
      </c>
      <c r="B805" s="5" t="n">
        <v>55085966</v>
      </c>
      <c r="C805" s="5" t="s">
        <v>106</v>
      </c>
      <c r="D805" s="5" t="s">
        <v>2622</v>
      </c>
      <c r="E805" s="5" t="s">
        <v>108</v>
      </c>
      <c r="F805" s="5" t="s">
        <v>590</v>
      </c>
      <c r="G805" s="5" t="s">
        <v>589</v>
      </c>
      <c r="H805" s="5" t="s">
        <v>590</v>
      </c>
      <c r="I805" s="5" t="s">
        <v>63</v>
      </c>
      <c r="J805" s="5" t="s">
        <v>112</v>
      </c>
      <c r="K805" s="5" t="s">
        <v>309</v>
      </c>
      <c r="L805" s="6" t="n">
        <v>45224</v>
      </c>
      <c r="M805" s="5" t="s">
        <v>1664</v>
      </c>
      <c r="N805" s="6" t="n">
        <v>37256</v>
      </c>
      <c r="O805" s="5" t="s">
        <v>1264</v>
      </c>
      <c r="P805" s="5" t="s">
        <v>1559</v>
      </c>
      <c r="Q805" s="5" t="s">
        <v>195</v>
      </c>
      <c r="R805" s="5" t="s">
        <v>115</v>
      </c>
      <c r="S805" s="5" t="s">
        <v>195</v>
      </c>
      <c r="T805" s="6"/>
      <c r="U805" s="6"/>
      <c r="V805" s="5"/>
      <c r="W805" s="5"/>
      <c r="X805" s="5" t="s">
        <v>631</v>
      </c>
      <c r="Y805" s="5" t="s">
        <v>141</v>
      </c>
      <c r="Z805" s="5" t="s">
        <v>631</v>
      </c>
      <c r="AA805" s="5" t="s">
        <v>2623</v>
      </c>
      <c r="AB805" s="0" t="n">
        <f aca="false">IFERROR(VALUE(R805),0)</f>
        <v>0</v>
      </c>
      <c r="AC805" s="0" t="n">
        <f aca="false">IFERROR(VALUE(M805),"")</f>
        <v>24.5</v>
      </c>
      <c r="AD805" s="0" t="n">
        <f aca="false">IFERROR(VALUE(Q805),"")</f>
        <v>2.7</v>
      </c>
      <c r="AE805" s="0" t="n">
        <f aca="false">IFERROR(VALUE(S805),"")</f>
        <v>2.7</v>
      </c>
      <c r="AF805" s="0" t="str">
        <f aca="false">IF(V805="","",VLOOKUP(V805,Assumptions!$B$6:$C$9,2,FALSE()))</f>
        <v/>
      </c>
      <c r="AG805" s="0" t="str">
        <f aca="false">IF(W805="","",VLOOKUP(W805,Assumptions!$B$6:$C$9,2,FALSE()))</f>
        <v/>
      </c>
      <c r="AH805" s="0" t="n">
        <f aca="false">IF(X805="","",VLOOKUP(X805,Assumptions!$B$6:$C$9,2,FALSE()))</f>
        <v>2</v>
      </c>
      <c r="AI805" s="0" t="n">
        <f aca="false">IF(Y805="","",VLOOKUP(Y805,Assumptions!$B$6:$C$9,2,FALSE()))</f>
        <v>3</v>
      </c>
      <c r="AJ805" s="0" t="n">
        <f aca="false">IF(Z805="","",VLOOKUP(Z805,Assumptions!$B$6:$C$9,2,FALSE()))</f>
        <v>2</v>
      </c>
      <c r="AK805" s="7" t="n">
        <f aca="false">IFERROR(ROUND(AVERAGE(AF805:AJ805),3),"")</f>
        <v>2.333</v>
      </c>
      <c r="AL805" s="7" t="str">
        <f aca="false">IF(OR(AF805="",AJ805=""),"",AJ805-AF805)</f>
        <v/>
      </c>
      <c r="AM805" s="7" t="n">
        <f aca="false">IF(COUNT(AF805:AJ805)&gt;=2,ROUND(_xlfn.STDEV.S(AF805:AJ805),3),"")</f>
        <v>0.577</v>
      </c>
      <c r="AN805" s="7" t="n">
        <f aca="false">ROUND((IF(AF805="",0,AF805)*Assumptions!$F$15)+(IF(AG805="",0,AG805)*Assumptions!$F$16)+(IF(AH805="",0,AH805)*Assumptions!$F$17)+(IF(AI805="",0,AI805)*Assumptions!$F$18)+(IF(AJ805="",0,AJ805)*Assumptions!$F$19),3)</f>
        <v>1.75</v>
      </c>
      <c r="AO805" s="0" t="str">
        <f aca="false">IF(AC805&lt;=20,"",IF(AC805&lt;=Assumptions!$F$6,"20-30",IF(AC805&lt;=Assumptions!$F$7,"30-40",IF(AC805&lt;=Assumptions!$F$8,"40-50",IF(AC805&lt;=Assumptions!$F$9,"50-60",IF(AC805&lt;=Assumptions!$F$10,"60+",""))))))</f>
        <v>20-30</v>
      </c>
      <c r="AP805" s="0" t="str">
        <f aca="false">IFERROR(VLOOKUP(O805,Assumptions!$B$14:$C$26,2,FALSE()),"Other")</f>
        <v>Manager</v>
      </c>
      <c r="AQ805" s="0" t="n">
        <f aca="false">IF(T805="",0,1)</f>
        <v>0</v>
      </c>
      <c r="AR805" s="0" t="n">
        <f aca="false">IF(U805="",0,1)</f>
        <v>0</v>
      </c>
      <c r="AS805" s="8" t="n">
        <f aca="false">IF(AK805="","",IF(MAX($AK$2:$AK$921)=MIN($AK$2:$AK$921),50,ROUND((AK805-MIN($AK$2:$AK$921))/(MAX($AK$2:$AK$921)-MIN($AK$2:$AK$921))*100,2)))</f>
        <v>28.55</v>
      </c>
      <c r="AT805" s="8" t="n">
        <f aca="false">IF(MAX($BC$2:$BC$921)=MIN($BC$2:$BC$921),50,ROUND((BC805-MIN($BC$2:$BC$921))/(MAX($BC$2:$BC$921)-MIN($BC$2:$BC$921))*100,2))</f>
        <v>50</v>
      </c>
      <c r="AU805" s="8" t="n">
        <f aca="false">IF(MAX($BE$2:$BE$921)=MIN($BE$2:$BE$921),50,ROUND((BE805-MIN($BE$2:$BE$921))/(MAX($BE$2:$BE$921)-MIN($BE$2:$BE$921))*100,2))</f>
        <v>66.69</v>
      </c>
      <c r="AV805" s="8" t="n">
        <f aca="false">IF(MAX($AD$2:$AD$921)=MIN($AD$2:$AD$921),50,ROUND((AD805-MIN($AD$2:$AD$921))/(MAX($AD$2:$AD$921)-MIN($AD$2:$AD$921))*100,2))</f>
        <v>7.04</v>
      </c>
      <c r="AW805" s="8" t="n">
        <f aca="false">IF(MAX($AN$2:$AN$921)=MIN($AN$2:$AN$921),50,ROUND((AN805-MIN($AN$2:$AN$921))/(MAX($AN$2:$AN$921)-MIN($AN$2:$AN$921))*100,2))</f>
        <v>43.75</v>
      </c>
      <c r="AX805" s="8" t="n">
        <f aca="false">AQ805*100</f>
        <v>0</v>
      </c>
      <c r="AY805" s="8" t="n">
        <f aca="false">AR805*100</f>
        <v>0</v>
      </c>
      <c r="AZ805" s="8" t="n">
        <f aca="false">IFERROR(ROUND(AS805*Assumptions!$I$6+AW805*Assumptions!$I$7+AT805*Assumptions!$I$8+AU805*Assumptions!$I$9+AV805*Assumptions!$I$10+AX805*Assumptions!$I$11+AY805*Assumptions!$I$12,2),"")</f>
        <v>35.52</v>
      </c>
      <c r="BA805" s="0" t="str">
        <f aca="false">IF(AZ805="","",IF(AZ805&lt;=Assumptions!$I$18,"Below Expectation",IF(AZ805&lt;=Assumptions!$I$19,"Developing",IF(AZ805&lt;=Assumptions!$I$20,"Meets Expectation",IF(AZ805&lt;=Assumptions!$I$21,"Exceeds","Star Performer")))))</f>
        <v>Below Expectation</v>
      </c>
      <c r="BB805" s="0" t="n">
        <f aca="false">IF(AZ805="",0,IF(AZ805&gt;=Assumptions!$I$26,1,0))</f>
        <v>0</v>
      </c>
      <c r="BC805" s="9" t="n">
        <f aca="false">IF(AL805="",2,AL805+2)</f>
        <v>2</v>
      </c>
      <c r="BD805" s="10" t="n">
        <f aca="false">IF(AM805="",ROUND(AVERAGE($AM$2:$AM$921),3),AM805)</f>
        <v>0.577</v>
      </c>
      <c r="BE805" s="9" t="n">
        <f aca="false">1-BD805</f>
        <v>0.423</v>
      </c>
    </row>
    <row r="806" customFormat="false" ht="14.25" hidden="false" customHeight="false" outlineLevel="0" collapsed="false">
      <c r="A806" s="4" t="n">
        <v>766</v>
      </c>
      <c r="B806" s="5" t="n">
        <v>55085978</v>
      </c>
      <c r="C806" s="5" t="s">
        <v>106</v>
      </c>
      <c r="D806" s="5" t="s">
        <v>2624</v>
      </c>
      <c r="E806" s="5" t="s">
        <v>108</v>
      </c>
      <c r="F806" s="5" t="s">
        <v>590</v>
      </c>
      <c r="G806" s="5" t="s">
        <v>589</v>
      </c>
      <c r="H806" s="5" t="s">
        <v>590</v>
      </c>
      <c r="I806" s="5" t="s">
        <v>63</v>
      </c>
      <c r="J806" s="5" t="s">
        <v>112</v>
      </c>
      <c r="K806" s="5" t="s">
        <v>309</v>
      </c>
      <c r="L806" s="6" t="n">
        <v>45224</v>
      </c>
      <c r="M806" s="5" t="s">
        <v>584</v>
      </c>
      <c r="N806" s="6" t="n">
        <v>36529</v>
      </c>
      <c r="O806" s="5" t="s">
        <v>1264</v>
      </c>
      <c r="P806" s="5" t="s">
        <v>1559</v>
      </c>
      <c r="Q806" s="5" t="s">
        <v>195</v>
      </c>
      <c r="R806" s="5" t="s">
        <v>115</v>
      </c>
      <c r="S806" s="5" t="s">
        <v>195</v>
      </c>
      <c r="T806" s="6"/>
      <c r="U806" s="6"/>
      <c r="V806" s="5"/>
      <c r="W806" s="5"/>
      <c r="X806" s="5" t="s">
        <v>631</v>
      </c>
      <c r="Y806" s="5" t="s">
        <v>141</v>
      </c>
      <c r="Z806" s="5" t="s">
        <v>631</v>
      </c>
      <c r="AA806" s="5" t="s">
        <v>2625</v>
      </c>
      <c r="AB806" s="0" t="n">
        <f aca="false">IFERROR(VALUE(R806),0)</f>
        <v>0</v>
      </c>
      <c r="AC806" s="0" t="n">
        <f aca="false">IFERROR(VALUE(M806),"")</f>
        <v>26.5</v>
      </c>
      <c r="AD806" s="0" t="n">
        <f aca="false">IFERROR(VALUE(Q806),"")</f>
        <v>2.7</v>
      </c>
      <c r="AE806" s="0" t="n">
        <f aca="false">IFERROR(VALUE(S806),"")</f>
        <v>2.7</v>
      </c>
      <c r="AF806" s="0" t="str">
        <f aca="false">IF(V806="","",VLOOKUP(V806,Assumptions!$B$6:$C$9,2,FALSE()))</f>
        <v/>
      </c>
      <c r="AG806" s="0" t="str">
        <f aca="false">IF(W806="","",VLOOKUP(W806,Assumptions!$B$6:$C$9,2,FALSE()))</f>
        <v/>
      </c>
      <c r="AH806" s="0" t="n">
        <f aca="false">IF(X806="","",VLOOKUP(X806,Assumptions!$B$6:$C$9,2,FALSE()))</f>
        <v>2</v>
      </c>
      <c r="AI806" s="0" t="n">
        <f aca="false">IF(Y806="","",VLOOKUP(Y806,Assumptions!$B$6:$C$9,2,FALSE()))</f>
        <v>3</v>
      </c>
      <c r="AJ806" s="0" t="n">
        <f aca="false">IF(Z806="","",VLOOKUP(Z806,Assumptions!$B$6:$C$9,2,FALSE()))</f>
        <v>2</v>
      </c>
      <c r="AK806" s="7" t="n">
        <f aca="false">IFERROR(ROUND(AVERAGE(AF806:AJ806),3),"")</f>
        <v>2.333</v>
      </c>
      <c r="AL806" s="7" t="str">
        <f aca="false">IF(OR(AF806="",AJ806=""),"",AJ806-AF806)</f>
        <v/>
      </c>
      <c r="AM806" s="7" t="n">
        <f aca="false">IF(COUNT(AF806:AJ806)&gt;=2,ROUND(_xlfn.STDEV.S(AF806:AJ806),3),"")</f>
        <v>0.577</v>
      </c>
      <c r="AN806" s="7" t="n">
        <f aca="false">ROUND((IF(AF806="",0,AF806)*Assumptions!$F$15)+(IF(AG806="",0,AG806)*Assumptions!$F$16)+(IF(AH806="",0,AH806)*Assumptions!$F$17)+(IF(AI806="",0,AI806)*Assumptions!$F$18)+(IF(AJ806="",0,AJ806)*Assumptions!$F$19),3)</f>
        <v>1.75</v>
      </c>
      <c r="AO806" s="0" t="str">
        <f aca="false">IF(AC806&lt;=20,"",IF(AC806&lt;=Assumptions!$F$6,"20-30",IF(AC806&lt;=Assumptions!$F$7,"30-40",IF(AC806&lt;=Assumptions!$F$8,"40-50",IF(AC806&lt;=Assumptions!$F$9,"50-60",IF(AC806&lt;=Assumptions!$F$10,"60+",""))))))</f>
        <v>20-30</v>
      </c>
      <c r="AP806" s="0" t="str">
        <f aca="false">IFERROR(VLOOKUP(O806,Assumptions!$B$14:$C$26,2,FALSE()),"Other")</f>
        <v>Manager</v>
      </c>
      <c r="AQ806" s="0" t="n">
        <f aca="false">IF(T806="",0,1)</f>
        <v>0</v>
      </c>
      <c r="AR806" s="0" t="n">
        <f aca="false">IF(U806="",0,1)</f>
        <v>0</v>
      </c>
      <c r="AS806" s="8" t="n">
        <f aca="false">IF(AK806="","",IF(MAX($AK$2:$AK$921)=MIN($AK$2:$AK$921),50,ROUND((AK806-MIN($AK$2:$AK$921))/(MAX($AK$2:$AK$921)-MIN($AK$2:$AK$921))*100,2)))</f>
        <v>28.55</v>
      </c>
      <c r="AT806" s="8" t="n">
        <f aca="false">IF(MAX($BC$2:$BC$921)=MIN($BC$2:$BC$921),50,ROUND((BC806-MIN($BC$2:$BC$921))/(MAX($BC$2:$BC$921)-MIN($BC$2:$BC$921))*100,2))</f>
        <v>50</v>
      </c>
      <c r="AU806" s="8" t="n">
        <f aca="false">IF(MAX($BE$2:$BE$921)=MIN($BE$2:$BE$921),50,ROUND((BE806-MIN($BE$2:$BE$921))/(MAX($BE$2:$BE$921)-MIN($BE$2:$BE$921))*100,2))</f>
        <v>66.69</v>
      </c>
      <c r="AV806" s="8" t="n">
        <f aca="false">IF(MAX($AD$2:$AD$921)=MIN($AD$2:$AD$921),50,ROUND((AD806-MIN($AD$2:$AD$921))/(MAX($AD$2:$AD$921)-MIN($AD$2:$AD$921))*100,2))</f>
        <v>7.04</v>
      </c>
      <c r="AW806" s="8" t="n">
        <f aca="false">IF(MAX($AN$2:$AN$921)=MIN($AN$2:$AN$921),50,ROUND((AN806-MIN($AN$2:$AN$921))/(MAX($AN$2:$AN$921)-MIN($AN$2:$AN$921))*100,2))</f>
        <v>43.75</v>
      </c>
      <c r="AX806" s="8" t="n">
        <f aca="false">AQ806*100</f>
        <v>0</v>
      </c>
      <c r="AY806" s="8" t="n">
        <f aca="false">AR806*100</f>
        <v>0</v>
      </c>
      <c r="AZ806" s="8" t="n">
        <f aca="false">IFERROR(ROUND(AS806*Assumptions!$I$6+AW806*Assumptions!$I$7+AT806*Assumptions!$I$8+AU806*Assumptions!$I$9+AV806*Assumptions!$I$10+AX806*Assumptions!$I$11+AY806*Assumptions!$I$12,2),"")</f>
        <v>35.52</v>
      </c>
      <c r="BA806" s="0" t="str">
        <f aca="false">IF(AZ806="","",IF(AZ806&lt;=Assumptions!$I$18,"Below Expectation",IF(AZ806&lt;=Assumptions!$I$19,"Developing",IF(AZ806&lt;=Assumptions!$I$20,"Meets Expectation",IF(AZ806&lt;=Assumptions!$I$21,"Exceeds","Star Performer")))))</f>
        <v>Below Expectation</v>
      </c>
      <c r="BB806" s="0" t="n">
        <f aca="false">IF(AZ806="",0,IF(AZ806&gt;=Assumptions!$I$26,1,0))</f>
        <v>0</v>
      </c>
      <c r="BC806" s="9" t="n">
        <f aca="false">IF(AL806="",2,AL806+2)</f>
        <v>2</v>
      </c>
      <c r="BD806" s="10" t="n">
        <f aca="false">IF(AM806="",ROUND(AVERAGE($AM$2:$AM$921),3),AM806)</f>
        <v>0.577</v>
      </c>
      <c r="BE806" s="9" t="n">
        <f aca="false">1-BD806</f>
        <v>0.423</v>
      </c>
    </row>
    <row r="807" customFormat="false" ht="14.25" hidden="true" customHeight="false" outlineLevel="0" collapsed="false">
      <c r="A807" s="4" t="n">
        <v>769</v>
      </c>
      <c r="B807" s="5" t="n">
        <v>55085986</v>
      </c>
      <c r="C807" s="5" t="s">
        <v>85</v>
      </c>
      <c r="D807" s="5" t="s">
        <v>2626</v>
      </c>
      <c r="E807" s="5" t="s">
        <v>594</v>
      </c>
      <c r="F807" s="5" t="s">
        <v>590</v>
      </c>
      <c r="G807" s="5" t="s">
        <v>589</v>
      </c>
      <c r="H807" s="5" t="s">
        <v>590</v>
      </c>
      <c r="I807" s="5" t="s">
        <v>63</v>
      </c>
      <c r="J807" s="5" t="s">
        <v>76</v>
      </c>
      <c r="K807" s="5" t="s">
        <v>309</v>
      </c>
      <c r="L807" s="6" t="n">
        <v>45224</v>
      </c>
      <c r="M807" s="5" t="s">
        <v>226</v>
      </c>
      <c r="N807" s="6" t="n">
        <v>36784</v>
      </c>
      <c r="O807" s="5" t="s">
        <v>1264</v>
      </c>
      <c r="P807" s="5" t="s">
        <v>1559</v>
      </c>
      <c r="Q807" s="5" t="s">
        <v>195</v>
      </c>
      <c r="R807" s="5" t="s">
        <v>115</v>
      </c>
      <c r="S807" s="5" t="s">
        <v>195</v>
      </c>
      <c r="T807" s="6"/>
      <c r="U807" s="6"/>
      <c r="V807" s="5"/>
      <c r="W807" s="5"/>
      <c r="X807" s="5" t="s">
        <v>631</v>
      </c>
      <c r="Y807" s="5" t="s">
        <v>141</v>
      </c>
      <c r="Z807" s="5" t="s">
        <v>631</v>
      </c>
      <c r="AA807" s="5" t="s">
        <v>2236</v>
      </c>
      <c r="AB807" s="0" t="n">
        <f aca="false">IFERROR(VALUE(R807),0)</f>
        <v>0</v>
      </c>
      <c r="AC807" s="0" t="n">
        <f aca="false">IFERROR(VALUE(M807),"")</f>
        <v>25.8</v>
      </c>
      <c r="AD807" s="0" t="n">
        <f aca="false">IFERROR(VALUE(Q807),"")</f>
        <v>2.7</v>
      </c>
      <c r="AE807" s="0" t="n">
        <f aca="false">IFERROR(VALUE(S807),"")</f>
        <v>2.7</v>
      </c>
      <c r="AF807" s="0" t="str">
        <f aca="false">IF(V807="","",VLOOKUP(V807,Assumptions!$B$6:$C$9,2,FALSE()))</f>
        <v/>
      </c>
      <c r="AG807" s="0" t="str">
        <f aca="false">IF(W807="","",VLOOKUP(W807,Assumptions!$B$6:$C$9,2,FALSE()))</f>
        <v/>
      </c>
      <c r="AH807" s="0" t="n">
        <f aca="false">IF(X807="","",VLOOKUP(X807,Assumptions!$B$6:$C$9,2,FALSE()))</f>
        <v>2</v>
      </c>
      <c r="AI807" s="0" t="n">
        <f aca="false">IF(Y807="","",VLOOKUP(Y807,Assumptions!$B$6:$C$9,2,FALSE()))</f>
        <v>3</v>
      </c>
      <c r="AJ807" s="0" t="n">
        <f aca="false">IF(Z807="","",VLOOKUP(Z807,Assumptions!$B$6:$C$9,2,FALSE()))</f>
        <v>2</v>
      </c>
      <c r="AK807" s="7" t="n">
        <f aca="false">IFERROR(ROUND(AVERAGE(AF807:AJ807),3),"")</f>
        <v>2.333</v>
      </c>
      <c r="AL807" s="7" t="str">
        <f aca="false">IF(OR(AF807="",AJ807=""),"",AJ807-AF807)</f>
        <v/>
      </c>
      <c r="AM807" s="7" t="n">
        <f aca="false">IF(COUNT(AF807:AJ807)&gt;=2,ROUND(_xlfn.STDEV.S(AF807:AJ807),3),"")</f>
        <v>0.577</v>
      </c>
      <c r="AN807" s="7" t="n">
        <f aca="false">ROUND((IF(AF807="",0,AF807)*Assumptions!$F$15)+(IF(AG807="",0,AG807)*Assumptions!$F$16)+(IF(AH807="",0,AH807)*Assumptions!$F$17)+(IF(AI807="",0,AI807)*Assumptions!$F$18)+(IF(AJ807="",0,AJ807)*Assumptions!$F$19),3)</f>
        <v>1.75</v>
      </c>
      <c r="AO807" s="0" t="str">
        <f aca="false">IF(AC807&lt;=20,"",IF(AC807&lt;=Assumptions!$F$6,"20-30",IF(AC807&lt;=Assumptions!$F$7,"30-40",IF(AC807&lt;=Assumptions!$F$8,"40-50",IF(AC807&lt;=Assumptions!$F$9,"50-60",IF(AC807&lt;=Assumptions!$F$10,"60+",""))))))</f>
        <v>20-30</v>
      </c>
      <c r="AP807" s="0" t="str">
        <f aca="false">IFERROR(VLOOKUP(O807,Assumptions!$B$14:$C$26,2,FALSE()),"Other")</f>
        <v>Manager</v>
      </c>
      <c r="AQ807" s="0" t="n">
        <f aca="false">IF(T807="",0,1)</f>
        <v>0</v>
      </c>
      <c r="AR807" s="0" t="n">
        <f aca="false">IF(U807="",0,1)</f>
        <v>0</v>
      </c>
      <c r="AS807" s="8" t="n">
        <f aca="false">IF(AK807="","",IF(MAX($AK$2:$AK$921)=MIN($AK$2:$AK$921),50,ROUND((AK807-MIN($AK$2:$AK$921))/(MAX($AK$2:$AK$921)-MIN($AK$2:$AK$921))*100,2)))</f>
        <v>28.55</v>
      </c>
      <c r="AT807" s="8" t="n">
        <f aca="false">IF(MAX($BC$2:$BC$921)=MIN($BC$2:$BC$921),50,ROUND((BC807-MIN($BC$2:$BC$921))/(MAX($BC$2:$BC$921)-MIN($BC$2:$BC$921))*100,2))</f>
        <v>50</v>
      </c>
      <c r="AU807" s="8" t="n">
        <f aca="false">IF(MAX($BE$2:$BE$921)=MIN($BE$2:$BE$921),50,ROUND((BE807-MIN($BE$2:$BE$921))/(MAX($BE$2:$BE$921)-MIN($BE$2:$BE$921))*100,2))</f>
        <v>66.69</v>
      </c>
      <c r="AV807" s="8" t="n">
        <f aca="false">IF(MAX($AD$2:$AD$921)=MIN($AD$2:$AD$921),50,ROUND((AD807-MIN($AD$2:$AD$921))/(MAX($AD$2:$AD$921)-MIN($AD$2:$AD$921))*100,2))</f>
        <v>7.04</v>
      </c>
      <c r="AW807" s="8" t="n">
        <f aca="false">IF(MAX($AN$2:$AN$921)=MIN($AN$2:$AN$921),50,ROUND((AN807-MIN($AN$2:$AN$921))/(MAX($AN$2:$AN$921)-MIN($AN$2:$AN$921))*100,2))</f>
        <v>43.75</v>
      </c>
      <c r="AX807" s="8" t="n">
        <f aca="false">AQ807*100</f>
        <v>0</v>
      </c>
      <c r="AY807" s="8" t="n">
        <f aca="false">AR807*100</f>
        <v>0</v>
      </c>
      <c r="AZ807" s="8" t="n">
        <f aca="false">IFERROR(ROUND(AS807*Assumptions!$I$6+AW807*Assumptions!$I$7+AT807*Assumptions!$I$8+AU807*Assumptions!$I$9+AV807*Assumptions!$I$10+AX807*Assumptions!$I$11+AY807*Assumptions!$I$12,2),"")</f>
        <v>35.52</v>
      </c>
      <c r="BA807" s="0" t="str">
        <f aca="false">IF(AZ807="","",IF(AZ807&lt;=Assumptions!$I$18,"Below Expectation",IF(AZ807&lt;=Assumptions!$I$19,"Developing",IF(AZ807&lt;=Assumptions!$I$20,"Meets Expectation",IF(AZ807&lt;=Assumptions!$I$21,"Exceeds","Star Performer")))))</f>
        <v>Below Expectation</v>
      </c>
      <c r="BB807" s="0" t="n">
        <f aca="false">IF(AZ807="",0,IF(AZ807&gt;=Assumptions!$I$26,1,0))</f>
        <v>0</v>
      </c>
      <c r="BC807" s="9" t="n">
        <f aca="false">IF(AL807="",2,AL807+2)</f>
        <v>2</v>
      </c>
      <c r="BD807" s="10" t="n">
        <f aca="false">IF(AM807="",ROUND(AVERAGE($AM$2:$AM$921),3),AM807)</f>
        <v>0.577</v>
      </c>
      <c r="BE807" s="9" t="n">
        <f aca="false">1-BD807</f>
        <v>0.423</v>
      </c>
    </row>
    <row r="808" customFormat="false" ht="14.25" hidden="false" customHeight="false" outlineLevel="0" collapsed="false">
      <c r="A808" s="4" t="n">
        <v>774</v>
      </c>
      <c r="B808" s="5" t="n">
        <v>55085993</v>
      </c>
      <c r="C808" s="5" t="s">
        <v>106</v>
      </c>
      <c r="D808" s="5" t="s">
        <v>2627</v>
      </c>
      <c r="E808" s="5" t="s">
        <v>108</v>
      </c>
      <c r="F808" s="5" t="s">
        <v>590</v>
      </c>
      <c r="G808" s="5" t="s">
        <v>589</v>
      </c>
      <c r="H808" s="5" t="s">
        <v>590</v>
      </c>
      <c r="I808" s="5" t="s">
        <v>63</v>
      </c>
      <c r="J808" s="5" t="s">
        <v>112</v>
      </c>
      <c r="K808" s="5" t="s">
        <v>309</v>
      </c>
      <c r="L808" s="6" t="n">
        <v>45224</v>
      </c>
      <c r="M808" s="5" t="s">
        <v>1693</v>
      </c>
      <c r="N808" s="6" t="n">
        <v>36679</v>
      </c>
      <c r="O808" s="5" t="s">
        <v>1264</v>
      </c>
      <c r="P808" s="5" t="s">
        <v>1559</v>
      </c>
      <c r="Q808" s="5" t="s">
        <v>195</v>
      </c>
      <c r="R808" s="5" t="s">
        <v>115</v>
      </c>
      <c r="S808" s="5" t="s">
        <v>195</v>
      </c>
      <c r="T808" s="6"/>
      <c r="U808" s="6"/>
      <c r="V808" s="5"/>
      <c r="W808" s="5"/>
      <c r="X808" s="5" t="s">
        <v>631</v>
      </c>
      <c r="Y808" s="5" t="s">
        <v>141</v>
      </c>
      <c r="Z808" s="5" t="s">
        <v>631</v>
      </c>
      <c r="AA808" s="5" t="s">
        <v>2628</v>
      </c>
      <c r="AB808" s="0" t="n">
        <f aca="false">IFERROR(VALUE(R808),0)</f>
        <v>0</v>
      </c>
      <c r="AC808" s="0" t="n">
        <f aca="false">IFERROR(VALUE(M808),"")</f>
        <v>26</v>
      </c>
      <c r="AD808" s="0" t="n">
        <f aca="false">IFERROR(VALUE(Q808),"")</f>
        <v>2.7</v>
      </c>
      <c r="AE808" s="0" t="n">
        <f aca="false">IFERROR(VALUE(S808),"")</f>
        <v>2.7</v>
      </c>
      <c r="AF808" s="0" t="str">
        <f aca="false">IF(V808="","",VLOOKUP(V808,Assumptions!$B$6:$C$9,2,FALSE()))</f>
        <v/>
      </c>
      <c r="AG808" s="0" t="str">
        <f aca="false">IF(W808="","",VLOOKUP(W808,Assumptions!$B$6:$C$9,2,FALSE()))</f>
        <v/>
      </c>
      <c r="AH808" s="0" t="n">
        <f aca="false">IF(X808="","",VLOOKUP(X808,Assumptions!$B$6:$C$9,2,FALSE()))</f>
        <v>2</v>
      </c>
      <c r="AI808" s="0" t="n">
        <f aca="false">IF(Y808="","",VLOOKUP(Y808,Assumptions!$B$6:$C$9,2,FALSE()))</f>
        <v>3</v>
      </c>
      <c r="AJ808" s="0" t="n">
        <f aca="false">IF(Z808="","",VLOOKUP(Z808,Assumptions!$B$6:$C$9,2,FALSE()))</f>
        <v>2</v>
      </c>
      <c r="AK808" s="7" t="n">
        <f aca="false">IFERROR(ROUND(AVERAGE(AF808:AJ808),3),"")</f>
        <v>2.333</v>
      </c>
      <c r="AL808" s="7" t="str">
        <f aca="false">IF(OR(AF808="",AJ808=""),"",AJ808-AF808)</f>
        <v/>
      </c>
      <c r="AM808" s="7" t="n">
        <f aca="false">IF(COUNT(AF808:AJ808)&gt;=2,ROUND(_xlfn.STDEV.S(AF808:AJ808),3),"")</f>
        <v>0.577</v>
      </c>
      <c r="AN808" s="7" t="n">
        <f aca="false">ROUND((IF(AF808="",0,AF808)*Assumptions!$F$15)+(IF(AG808="",0,AG808)*Assumptions!$F$16)+(IF(AH808="",0,AH808)*Assumptions!$F$17)+(IF(AI808="",0,AI808)*Assumptions!$F$18)+(IF(AJ808="",0,AJ808)*Assumptions!$F$19),3)</f>
        <v>1.75</v>
      </c>
      <c r="AO808" s="0" t="str">
        <f aca="false">IF(AC808&lt;=20,"",IF(AC808&lt;=Assumptions!$F$6,"20-30",IF(AC808&lt;=Assumptions!$F$7,"30-40",IF(AC808&lt;=Assumptions!$F$8,"40-50",IF(AC808&lt;=Assumptions!$F$9,"50-60",IF(AC808&lt;=Assumptions!$F$10,"60+",""))))))</f>
        <v>20-30</v>
      </c>
      <c r="AP808" s="0" t="str">
        <f aca="false">IFERROR(VLOOKUP(O808,Assumptions!$B$14:$C$26,2,FALSE()),"Other")</f>
        <v>Manager</v>
      </c>
      <c r="AQ808" s="0" t="n">
        <f aca="false">IF(T808="",0,1)</f>
        <v>0</v>
      </c>
      <c r="AR808" s="0" t="n">
        <f aca="false">IF(U808="",0,1)</f>
        <v>0</v>
      </c>
      <c r="AS808" s="8" t="n">
        <f aca="false">IF(AK808="","",IF(MAX($AK$2:$AK$921)=MIN($AK$2:$AK$921),50,ROUND((AK808-MIN($AK$2:$AK$921))/(MAX($AK$2:$AK$921)-MIN($AK$2:$AK$921))*100,2)))</f>
        <v>28.55</v>
      </c>
      <c r="AT808" s="8" t="n">
        <f aca="false">IF(MAX($BC$2:$BC$921)=MIN($BC$2:$BC$921),50,ROUND((BC808-MIN($BC$2:$BC$921))/(MAX($BC$2:$BC$921)-MIN($BC$2:$BC$921))*100,2))</f>
        <v>50</v>
      </c>
      <c r="AU808" s="8" t="n">
        <f aca="false">IF(MAX($BE$2:$BE$921)=MIN($BE$2:$BE$921),50,ROUND((BE808-MIN($BE$2:$BE$921))/(MAX($BE$2:$BE$921)-MIN($BE$2:$BE$921))*100,2))</f>
        <v>66.69</v>
      </c>
      <c r="AV808" s="8" t="n">
        <f aca="false">IF(MAX($AD$2:$AD$921)=MIN($AD$2:$AD$921),50,ROUND((AD808-MIN($AD$2:$AD$921))/(MAX($AD$2:$AD$921)-MIN($AD$2:$AD$921))*100,2))</f>
        <v>7.04</v>
      </c>
      <c r="AW808" s="8" t="n">
        <f aca="false">IF(MAX($AN$2:$AN$921)=MIN($AN$2:$AN$921),50,ROUND((AN808-MIN($AN$2:$AN$921))/(MAX($AN$2:$AN$921)-MIN($AN$2:$AN$921))*100,2))</f>
        <v>43.75</v>
      </c>
      <c r="AX808" s="8" t="n">
        <f aca="false">AQ808*100</f>
        <v>0</v>
      </c>
      <c r="AY808" s="8" t="n">
        <f aca="false">AR808*100</f>
        <v>0</v>
      </c>
      <c r="AZ808" s="8" t="n">
        <f aca="false">IFERROR(ROUND(AS808*Assumptions!$I$6+AW808*Assumptions!$I$7+AT808*Assumptions!$I$8+AU808*Assumptions!$I$9+AV808*Assumptions!$I$10+AX808*Assumptions!$I$11+AY808*Assumptions!$I$12,2),"")</f>
        <v>35.52</v>
      </c>
      <c r="BA808" s="0" t="str">
        <f aca="false">IF(AZ808="","",IF(AZ808&lt;=Assumptions!$I$18,"Below Expectation",IF(AZ808&lt;=Assumptions!$I$19,"Developing",IF(AZ808&lt;=Assumptions!$I$20,"Meets Expectation",IF(AZ808&lt;=Assumptions!$I$21,"Exceeds","Star Performer")))))</f>
        <v>Below Expectation</v>
      </c>
      <c r="BB808" s="0" t="n">
        <f aca="false">IF(AZ808="",0,IF(AZ808&gt;=Assumptions!$I$26,1,0))</f>
        <v>0</v>
      </c>
      <c r="BC808" s="9" t="n">
        <f aca="false">IF(AL808="",2,AL808+2)</f>
        <v>2</v>
      </c>
      <c r="BD808" s="10" t="n">
        <f aca="false">IF(AM808="",ROUND(AVERAGE($AM$2:$AM$921),3),AM808)</f>
        <v>0.577</v>
      </c>
      <c r="BE808" s="9" t="n">
        <f aca="false">1-BD808</f>
        <v>0.423</v>
      </c>
    </row>
    <row r="809" customFormat="false" ht="14.25" hidden="false" customHeight="false" outlineLevel="0" collapsed="false">
      <c r="A809" s="4" t="n">
        <v>779</v>
      </c>
      <c r="B809" s="5" t="n">
        <v>55086001</v>
      </c>
      <c r="C809" s="5" t="s">
        <v>106</v>
      </c>
      <c r="D809" s="5" t="s">
        <v>2629</v>
      </c>
      <c r="E809" s="5" t="s">
        <v>108</v>
      </c>
      <c r="F809" s="5" t="s">
        <v>590</v>
      </c>
      <c r="G809" s="5" t="s">
        <v>589</v>
      </c>
      <c r="H809" s="5" t="s">
        <v>590</v>
      </c>
      <c r="I809" s="5" t="s">
        <v>63</v>
      </c>
      <c r="J809" s="5" t="s">
        <v>112</v>
      </c>
      <c r="K809" s="5" t="s">
        <v>309</v>
      </c>
      <c r="L809" s="6" t="n">
        <v>45224</v>
      </c>
      <c r="M809" s="5" t="s">
        <v>1908</v>
      </c>
      <c r="N809" s="6" t="n">
        <v>37016</v>
      </c>
      <c r="O809" s="5" t="s">
        <v>1264</v>
      </c>
      <c r="P809" s="5" t="s">
        <v>1559</v>
      </c>
      <c r="Q809" s="5" t="s">
        <v>195</v>
      </c>
      <c r="R809" s="5" t="s">
        <v>115</v>
      </c>
      <c r="S809" s="5" t="s">
        <v>195</v>
      </c>
      <c r="T809" s="6"/>
      <c r="U809" s="6"/>
      <c r="V809" s="5"/>
      <c r="W809" s="5"/>
      <c r="X809" s="5" t="s">
        <v>631</v>
      </c>
      <c r="Y809" s="5" t="s">
        <v>141</v>
      </c>
      <c r="Z809" s="5" t="s">
        <v>631</v>
      </c>
      <c r="AA809" s="5" t="s">
        <v>2630</v>
      </c>
      <c r="AB809" s="0" t="n">
        <f aca="false">IFERROR(VALUE(R809),0)</f>
        <v>0</v>
      </c>
      <c r="AC809" s="0" t="n">
        <f aca="false">IFERROR(VALUE(M809),"")</f>
        <v>25.1</v>
      </c>
      <c r="AD809" s="0" t="n">
        <f aca="false">IFERROR(VALUE(Q809),"")</f>
        <v>2.7</v>
      </c>
      <c r="AE809" s="0" t="n">
        <f aca="false">IFERROR(VALUE(S809),"")</f>
        <v>2.7</v>
      </c>
      <c r="AF809" s="0" t="str">
        <f aca="false">IF(V809="","",VLOOKUP(V809,Assumptions!$B$6:$C$9,2,FALSE()))</f>
        <v/>
      </c>
      <c r="AG809" s="0" t="str">
        <f aca="false">IF(W809="","",VLOOKUP(W809,Assumptions!$B$6:$C$9,2,FALSE()))</f>
        <v/>
      </c>
      <c r="AH809" s="0" t="n">
        <f aca="false">IF(X809="","",VLOOKUP(X809,Assumptions!$B$6:$C$9,2,FALSE()))</f>
        <v>2</v>
      </c>
      <c r="AI809" s="0" t="n">
        <f aca="false">IF(Y809="","",VLOOKUP(Y809,Assumptions!$B$6:$C$9,2,FALSE()))</f>
        <v>3</v>
      </c>
      <c r="AJ809" s="0" t="n">
        <f aca="false">IF(Z809="","",VLOOKUP(Z809,Assumptions!$B$6:$C$9,2,FALSE()))</f>
        <v>2</v>
      </c>
      <c r="AK809" s="7" t="n">
        <f aca="false">IFERROR(ROUND(AVERAGE(AF809:AJ809),3),"")</f>
        <v>2.333</v>
      </c>
      <c r="AL809" s="7" t="str">
        <f aca="false">IF(OR(AF809="",AJ809=""),"",AJ809-AF809)</f>
        <v/>
      </c>
      <c r="AM809" s="7" t="n">
        <f aca="false">IF(COUNT(AF809:AJ809)&gt;=2,ROUND(_xlfn.STDEV.S(AF809:AJ809),3),"")</f>
        <v>0.577</v>
      </c>
      <c r="AN809" s="7" t="n">
        <f aca="false">ROUND((IF(AF809="",0,AF809)*Assumptions!$F$15)+(IF(AG809="",0,AG809)*Assumptions!$F$16)+(IF(AH809="",0,AH809)*Assumptions!$F$17)+(IF(AI809="",0,AI809)*Assumptions!$F$18)+(IF(AJ809="",0,AJ809)*Assumptions!$F$19),3)</f>
        <v>1.75</v>
      </c>
      <c r="AO809" s="0" t="str">
        <f aca="false">IF(AC809&lt;=20,"",IF(AC809&lt;=Assumptions!$F$6,"20-30",IF(AC809&lt;=Assumptions!$F$7,"30-40",IF(AC809&lt;=Assumptions!$F$8,"40-50",IF(AC809&lt;=Assumptions!$F$9,"50-60",IF(AC809&lt;=Assumptions!$F$10,"60+",""))))))</f>
        <v>20-30</v>
      </c>
      <c r="AP809" s="0" t="str">
        <f aca="false">IFERROR(VLOOKUP(O809,Assumptions!$B$14:$C$26,2,FALSE()),"Other")</f>
        <v>Manager</v>
      </c>
      <c r="AQ809" s="0" t="n">
        <f aca="false">IF(T809="",0,1)</f>
        <v>0</v>
      </c>
      <c r="AR809" s="0" t="n">
        <f aca="false">IF(U809="",0,1)</f>
        <v>0</v>
      </c>
      <c r="AS809" s="8" t="n">
        <f aca="false">IF(AK809="","",IF(MAX($AK$2:$AK$921)=MIN($AK$2:$AK$921),50,ROUND((AK809-MIN($AK$2:$AK$921))/(MAX($AK$2:$AK$921)-MIN($AK$2:$AK$921))*100,2)))</f>
        <v>28.55</v>
      </c>
      <c r="AT809" s="8" t="n">
        <f aca="false">IF(MAX($BC$2:$BC$921)=MIN($BC$2:$BC$921),50,ROUND((BC809-MIN($BC$2:$BC$921))/(MAX($BC$2:$BC$921)-MIN($BC$2:$BC$921))*100,2))</f>
        <v>50</v>
      </c>
      <c r="AU809" s="8" t="n">
        <f aca="false">IF(MAX($BE$2:$BE$921)=MIN($BE$2:$BE$921),50,ROUND((BE809-MIN($BE$2:$BE$921))/(MAX($BE$2:$BE$921)-MIN($BE$2:$BE$921))*100,2))</f>
        <v>66.69</v>
      </c>
      <c r="AV809" s="8" t="n">
        <f aca="false">IF(MAX($AD$2:$AD$921)=MIN($AD$2:$AD$921),50,ROUND((AD809-MIN($AD$2:$AD$921))/(MAX($AD$2:$AD$921)-MIN($AD$2:$AD$921))*100,2))</f>
        <v>7.04</v>
      </c>
      <c r="AW809" s="8" t="n">
        <f aca="false">IF(MAX($AN$2:$AN$921)=MIN($AN$2:$AN$921),50,ROUND((AN809-MIN($AN$2:$AN$921))/(MAX($AN$2:$AN$921)-MIN($AN$2:$AN$921))*100,2))</f>
        <v>43.75</v>
      </c>
      <c r="AX809" s="8" t="n">
        <f aca="false">AQ809*100</f>
        <v>0</v>
      </c>
      <c r="AY809" s="8" t="n">
        <f aca="false">AR809*100</f>
        <v>0</v>
      </c>
      <c r="AZ809" s="8" t="n">
        <f aca="false">IFERROR(ROUND(AS809*Assumptions!$I$6+AW809*Assumptions!$I$7+AT809*Assumptions!$I$8+AU809*Assumptions!$I$9+AV809*Assumptions!$I$10+AX809*Assumptions!$I$11+AY809*Assumptions!$I$12,2),"")</f>
        <v>35.52</v>
      </c>
      <c r="BA809" s="0" t="str">
        <f aca="false">IF(AZ809="","",IF(AZ809&lt;=Assumptions!$I$18,"Below Expectation",IF(AZ809&lt;=Assumptions!$I$19,"Developing",IF(AZ809&lt;=Assumptions!$I$20,"Meets Expectation",IF(AZ809&lt;=Assumptions!$I$21,"Exceeds","Star Performer")))))</f>
        <v>Below Expectation</v>
      </c>
      <c r="BB809" s="0" t="n">
        <f aca="false">IF(AZ809="",0,IF(AZ809&gt;=Assumptions!$I$26,1,0))</f>
        <v>0</v>
      </c>
      <c r="BC809" s="9" t="n">
        <f aca="false">IF(AL809="",2,AL809+2)</f>
        <v>2</v>
      </c>
      <c r="BD809" s="10" t="n">
        <f aca="false">IF(AM809="",ROUND(AVERAGE($AM$2:$AM$921),3),AM809)</f>
        <v>0.577</v>
      </c>
      <c r="BE809" s="9" t="n">
        <f aca="false">1-BD809</f>
        <v>0.423</v>
      </c>
    </row>
    <row r="810" customFormat="false" ht="14.25" hidden="true" customHeight="false" outlineLevel="0" collapsed="false">
      <c r="A810" s="4" t="n">
        <v>815</v>
      </c>
      <c r="B810" s="5" t="n">
        <v>55087271</v>
      </c>
      <c r="C810" s="5" t="s">
        <v>85</v>
      </c>
      <c r="D810" s="5" t="s">
        <v>2631</v>
      </c>
      <c r="E810" s="5" t="s">
        <v>291</v>
      </c>
      <c r="F810" s="5" t="s">
        <v>1382</v>
      </c>
      <c r="G810" s="5" t="s">
        <v>1383</v>
      </c>
      <c r="H810" s="5" t="s">
        <v>1382</v>
      </c>
      <c r="I810" s="5" t="s">
        <v>63</v>
      </c>
      <c r="J810" s="5" t="s">
        <v>76</v>
      </c>
      <c r="K810" s="5" t="s">
        <v>309</v>
      </c>
      <c r="L810" s="6" t="n">
        <v>45230</v>
      </c>
      <c r="M810" s="5" t="s">
        <v>530</v>
      </c>
      <c r="N810" s="6" t="n">
        <v>37162</v>
      </c>
      <c r="O810" s="5" t="s">
        <v>1264</v>
      </c>
      <c r="P810" s="5" t="s">
        <v>1559</v>
      </c>
      <c r="Q810" s="5" t="s">
        <v>195</v>
      </c>
      <c r="R810" s="5" t="s">
        <v>115</v>
      </c>
      <c r="S810" s="5" t="s">
        <v>195</v>
      </c>
      <c r="T810" s="6"/>
      <c r="U810" s="6"/>
      <c r="V810" s="5"/>
      <c r="W810" s="5"/>
      <c r="X810" s="5" t="s">
        <v>631</v>
      </c>
      <c r="Y810" s="5" t="s">
        <v>141</v>
      </c>
      <c r="Z810" s="5" t="s">
        <v>631</v>
      </c>
      <c r="AA810" s="5" t="s">
        <v>2599</v>
      </c>
      <c r="AB810" s="0" t="n">
        <f aca="false">IFERROR(VALUE(R810),0)</f>
        <v>0</v>
      </c>
      <c r="AC810" s="0" t="n">
        <f aca="false">IFERROR(VALUE(M810),"")</f>
        <v>24.8</v>
      </c>
      <c r="AD810" s="0" t="n">
        <f aca="false">IFERROR(VALUE(Q810),"")</f>
        <v>2.7</v>
      </c>
      <c r="AE810" s="0" t="n">
        <f aca="false">IFERROR(VALUE(S810),"")</f>
        <v>2.7</v>
      </c>
      <c r="AF810" s="0" t="str">
        <f aca="false">IF(V810="","",VLOOKUP(V810,Assumptions!$B$6:$C$9,2,FALSE()))</f>
        <v/>
      </c>
      <c r="AG810" s="0" t="str">
        <f aca="false">IF(W810="","",VLOOKUP(W810,Assumptions!$B$6:$C$9,2,FALSE()))</f>
        <v/>
      </c>
      <c r="AH810" s="0" t="n">
        <f aca="false">IF(X810="","",VLOOKUP(X810,Assumptions!$B$6:$C$9,2,FALSE()))</f>
        <v>2</v>
      </c>
      <c r="AI810" s="0" t="n">
        <f aca="false">IF(Y810="","",VLOOKUP(Y810,Assumptions!$B$6:$C$9,2,FALSE()))</f>
        <v>3</v>
      </c>
      <c r="AJ810" s="0" t="n">
        <f aca="false">IF(Z810="","",VLOOKUP(Z810,Assumptions!$B$6:$C$9,2,FALSE()))</f>
        <v>2</v>
      </c>
      <c r="AK810" s="7" t="n">
        <f aca="false">IFERROR(ROUND(AVERAGE(AF810:AJ810),3),"")</f>
        <v>2.333</v>
      </c>
      <c r="AL810" s="7" t="str">
        <f aca="false">IF(OR(AF810="",AJ810=""),"",AJ810-AF810)</f>
        <v/>
      </c>
      <c r="AM810" s="7" t="n">
        <f aca="false">IF(COUNT(AF810:AJ810)&gt;=2,ROUND(_xlfn.STDEV.S(AF810:AJ810),3),"")</f>
        <v>0.577</v>
      </c>
      <c r="AN810" s="7" t="n">
        <f aca="false">ROUND((IF(AF810="",0,AF810)*Assumptions!$F$15)+(IF(AG810="",0,AG810)*Assumptions!$F$16)+(IF(AH810="",0,AH810)*Assumptions!$F$17)+(IF(AI810="",0,AI810)*Assumptions!$F$18)+(IF(AJ810="",0,AJ810)*Assumptions!$F$19),3)</f>
        <v>1.75</v>
      </c>
      <c r="AO810" s="0" t="str">
        <f aca="false">IF(AC810&lt;=20,"",IF(AC810&lt;=Assumptions!$F$6,"20-30",IF(AC810&lt;=Assumptions!$F$7,"30-40",IF(AC810&lt;=Assumptions!$F$8,"40-50",IF(AC810&lt;=Assumptions!$F$9,"50-60",IF(AC810&lt;=Assumptions!$F$10,"60+",""))))))</f>
        <v>20-30</v>
      </c>
      <c r="AP810" s="0" t="str">
        <f aca="false">IFERROR(VLOOKUP(O810,Assumptions!$B$14:$C$26,2,FALSE()),"Other")</f>
        <v>Manager</v>
      </c>
      <c r="AQ810" s="0" t="n">
        <f aca="false">IF(T810="",0,1)</f>
        <v>0</v>
      </c>
      <c r="AR810" s="0" t="n">
        <f aca="false">IF(U810="",0,1)</f>
        <v>0</v>
      </c>
      <c r="AS810" s="8" t="n">
        <f aca="false">IF(AK810="","",IF(MAX($AK$2:$AK$921)=MIN($AK$2:$AK$921),50,ROUND((AK810-MIN($AK$2:$AK$921))/(MAX($AK$2:$AK$921)-MIN($AK$2:$AK$921))*100,2)))</f>
        <v>28.55</v>
      </c>
      <c r="AT810" s="8" t="n">
        <f aca="false">IF(MAX($BC$2:$BC$921)=MIN($BC$2:$BC$921),50,ROUND((BC810-MIN($BC$2:$BC$921))/(MAX($BC$2:$BC$921)-MIN($BC$2:$BC$921))*100,2))</f>
        <v>50</v>
      </c>
      <c r="AU810" s="8" t="n">
        <f aca="false">IF(MAX($BE$2:$BE$921)=MIN($BE$2:$BE$921),50,ROUND((BE810-MIN($BE$2:$BE$921))/(MAX($BE$2:$BE$921)-MIN($BE$2:$BE$921))*100,2))</f>
        <v>66.69</v>
      </c>
      <c r="AV810" s="8" t="n">
        <f aca="false">IF(MAX($AD$2:$AD$921)=MIN($AD$2:$AD$921),50,ROUND((AD810-MIN($AD$2:$AD$921))/(MAX($AD$2:$AD$921)-MIN($AD$2:$AD$921))*100,2))</f>
        <v>7.04</v>
      </c>
      <c r="AW810" s="8" t="n">
        <f aca="false">IF(MAX($AN$2:$AN$921)=MIN($AN$2:$AN$921),50,ROUND((AN810-MIN($AN$2:$AN$921))/(MAX($AN$2:$AN$921)-MIN($AN$2:$AN$921))*100,2))</f>
        <v>43.75</v>
      </c>
      <c r="AX810" s="8" t="n">
        <f aca="false">AQ810*100</f>
        <v>0</v>
      </c>
      <c r="AY810" s="8" t="n">
        <f aca="false">AR810*100</f>
        <v>0</v>
      </c>
      <c r="AZ810" s="8" t="n">
        <f aca="false">IFERROR(ROUND(AS810*Assumptions!$I$6+AW810*Assumptions!$I$7+AT810*Assumptions!$I$8+AU810*Assumptions!$I$9+AV810*Assumptions!$I$10+AX810*Assumptions!$I$11+AY810*Assumptions!$I$12,2),"")</f>
        <v>35.52</v>
      </c>
      <c r="BA810" s="0" t="str">
        <f aca="false">IF(AZ810="","",IF(AZ810&lt;=Assumptions!$I$18,"Below Expectation",IF(AZ810&lt;=Assumptions!$I$19,"Developing",IF(AZ810&lt;=Assumptions!$I$20,"Meets Expectation",IF(AZ810&lt;=Assumptions!$I$21,"Exceeds","Star Performer")))))</f>
        <v>Below Expectation</v>
      </c>
      <c r="BB810" s="0" t="n">
        <f aca="false">IF(AZ810="",0,IF(AZ810&gt;=Assumptions!$I$26,1,0))</f>
        <v>0</v>
      </c>
      <c r="BC810" s="9" t="n">
        <f aca="false">IF(AL810="",2,AL810+2)</f>
        <v>2</v>
      </c>
      <c r="BD810" s="10" t="n">
        <f aca="false">IF(AM810="",ROUND(AVERAGE($AM$2:$AM$921),3),AM810)</f>
        <v>0.577</v>
      </c>
      <c r="BE810" s="9" t="n">
        <f aca="false">1-BD810</f>
        <v>0.423</v>
      </c>
    </row>
    <row r="811" customFormat="false" ht="14.25" hidden="true" customHeight="false" outlineLevel="0" collapsed="false">
      <c r="A811" s="4" t="n">
        <v>836</v>
      </c>
      <c r="B811" s="5" t="n">
        <v>55092882</v>
      </c>
      <c r="C811" s="5" t="s">
        <v>526</v>
      </c>
      <c r="D811" s="5" t="s">
        <v>2632</v>
      </c>
      <c r="E811" s="5" t="s">
        <v>1219</v>
      </c>
      <c r="F811" s="5" t="s">
        <v>590</v>
      </c>
      <c r="G811" s="5" t="s">
        <v>589</v>
      </c>
      <c r="H811" s="5" t="s">
        <v>590</v>
      </c>
      <c r="I811" s="5" t="s">
        <v>63</v>
      </c>
      <c r="J811" s="5" t="s">
        <v>100</v>
      </c>
      <c r="K811" s="5" t="s">
        <v>309</v>
      </c>
      <c r="L811" s="6" t="n">
        <v>45265</v>
      </c>
      <c r="M811" s="5" t="s">
        <v>2540</v>
      </c>
      <c r="N811" s="6" t="n">
        <v>37310</v>
      </c>
      <c r="O811" s="5" t="s">
        <v>1264</v>
      </c>
      <c r="P811" s="5" t="s">
        <v>1559</v>
      </c>
      <c r="Q811" s="5" t="s">
        <v>412</v>
      </c>
      <c r="R811" s="5" t="s">
        <v>115</v>
      </c>
      <c r="S811" s="5" t="s">
        <v>412</v>
      </c>
      <c r="T811" s="6"/>
      <c r="U811" s="6"/>
      <c r="V811" s="5"/>
      <c r="W811" s="5"/>
      <c r="X811" s="5" t="s">
        <v>631</v>
      </c>
      <c r="Y811" s="5" t="s">
        <v>141</v>
      </c>
      <c r="Z811" s="5" t="s">
        <v>631</v>
      </c>
      <c r="AA811" s="5" t="s">
        <v>2633</v>
      </c>
      <c r="AB811" s="0" t="n">
        <f aca="false">IFERROR(VALUE(R811),0)</f>
        <v>0</v>
      </c>
      <c r="AC811" s="0" t="n">
        <f aca="false">IFERROR(VALUE(M811),"")</f>
        <v>24.3</v>
      </c>
      <c r="AD811" s="0" t="n">
        <f aca="false">IFERROR(VALUE(Q811),"")</f>
        <v>2.6</v>
      </c>
      <c r="AE811" s="0" t="n">
        <f aca="false">IFERROR(VALUE(S811),"")</f>
        <v>2.6</v>
      </c>
      <c r="AF811" s="0" t="str">
        <f aca="false">IF(V811="","",VLOOKUP(V811,Assumptions!$B$6:$C$9,2,FALSE()))</f>
        <v/>
      </c>
      <c r="AG811" s="0" t="str">
        <f aca="false">IF(W811="","",VLOOKUP(W811,Assumptions!$B$6:$C$9,2,FALSE()))</f>
        <v/>
      </c>
      <c r="AH811" s="0" t="n">
        <f aca="false">IF(X811="","",VLOOKUP(X811,Assumptions!$B$6:$C$9,2,FALSE()))</f>
        <v>2</v>
      </c>
      <c r="AI811" s="0" t="n">
        <f aca="false">IF(Y811="","",VLOOKUP(Y811,Assumptions!$B$6:$C$9,2,FALSE()))</f>
        <v>3</v>
      </c>
      <c r="AJ811" s="0" t="n">
        <f aca="false">IF(Z811="","",VLOOKUP(Z811,Assumptions!$B$6:$C$9,2,FALSE()))</f>
        <v>2</v>
      </c>
      <c r="AK811" s="7" t="n">
        <f aca="false">IFERROR(ROUND(AVERAGE(AF811:AJ811),3),"")</f>
        <v>2.333</v>
      </c>
      <c r="AL811" s="7" t="str">
        <f aca="false">IF(OR(AF811="",AJ811=""),"",AJ811-AF811)</f>
        <v/>
      </c>
      <c r="AM811" s="7" t="n">
        <f aca="false">IF(COUNT(AF811:AJ811)&gt;=2,ROUND(_xlfn.STDEV.S(AF811:AJ811),3),"")</f>
        <v>0.577</v>
      </c>
      <c r="AN811" s="7" t="n">
        <f aca="false">ROUND((IF(AF811="",0,AF811)*Assumptions!$F$15)+(IF(AG811="",0,AG811)*Assumptions!$F$16)+(IF(AH811="",0,AH811)*Assumptions!$F$17)+(IF(AI811="",0,AI811)*Assumptions!$F$18)+(IF(AJ811="",0,AJ811)*Assumptions!$F$19),3)</f>
        <v>1.75</v>
      </c>
      <c r="AO811" s="0" t="str">
        <f aca="false">IF(AC811&lt;=20,"",IF(AC811&lt;=Assumptions!$F$6,"20-30",IF(AC811&lt;=Assumptions!$F$7,"30-40",IF(AC811&lt;=Assumptions!$F$8,"40-50",IF(AC811&lt;=Assumptions!$F$9,"50-60",IF(AC811&lt;=Assumptions!$F$10,"60+",""))))))</f>
        <v>20-30</v>
      </c>
      <c r="AP811" s="0" t="str">
        <f aca="false">IFERROR(VLOOKUP(O811,Assumptions!$B$14:$C$26,2,FALSE()),"Other")</f>
        <v>Manager</v>
      </c>
      <c r="AQ811" s="0" t="n">
        <f aca="false">IF(T811="",0,1)</f>
        <v>0</v>
      </c>
      <c r="AR811" s="0" t="n">
        <f aca="false">IF(U811="",0,1)</f>
        <v>0</v>
      </c>
      <c r="AS811" s="8" t="n">
        <f aca="false">IF(AK811="","",IF(MAX($AK$2:$AK$921)=MIN($AK$2:$AK$921),50,ROUND((AK811-MIN($AK$2:$AK$921))/(MAX($AK$2:$AK$921)-MIN($AK$2:$AK$921))*100,2)))</f>
        <v>28.55</v>
      </c>
      <c r="AT811" s="8" t="n">
        <f aca="false">IF(MAX($BC$2:$BC$921)=MIN($BC$2:$BC$921),50,ROUND((BC811-MIN($BC$2:$BC$921))/(MAX($BC$2:$BC$921)-MIN($BC$2:$BC$921))*100,2))</f>
        <v>50</v>
      </c>
      <c r="AU811" s="8" t="n">
        <f aca="false">IF(MAX($BE$2:$BE$921)=MIN($BE$2:$BE$921),50,ROUND((BE811-MIN($BE$2:$BE$921))/(MAX($BE$2:$BE$921)-MIN($BE$2:$BE$921))*100,2))</f>
        <v>66.69</v>
      </c>
      <c r="AV811" s="8" t="n">
        <f aca="false">IF(MAX($AD$2:$AD$921)=MIN($AD$2:$AD$921),50,ROUND((AD811-MIN($AD$2:$AD$921))/(MAX($AD$2:$AD$921)-MIN($AD$2:$AD$921))*100,2))</f>
        <v>6.77</v>
      </c>
      <c r="AW811" s="8" t="n">
        <f aca="false">IF(MAX($AN$2:$AN$921)=MIN($AN$2:$AN$921),50,ROUND((AN811-MIN($AN$2:$AN$921))/(MAX($AN$2:$AN$921)-MIN($AN$2:$AN$921))*100,2))</f>
        <v>43.75</v>
      </c>
      <c r="AX811" s="8" t="n">
        <f aca="false">AQ811*100</f>
        <v>0</v>
      </c>
      <c r="AY811" s="8" t="n">
        <f aca="false">AR811*100</f>
        <v>0</v>
      </c>
      <c r="AZ811" s="8" t="n">
        <f aca="false">IFERROR(ROUND(AS811*Assumptions!$I$6+AW811*Assumptions!$I$7+AT811*Assumptions!$I$8+AU811*Assumptions!$I$9+AV811*Assumptions!$I$10+AX811*Assumptions!$I$11+AY811*Assumptions!$I$12,2),"")</f>
        <v>35.5</v>
      </c>
      <c r="BA811" s="0" t="str">
        <f aca="false">IF(AZ811="","",IF(AZ811&lt;=Assumptions!$I$18,"Below Expectation",IF(AZ811&lt;=Assumptions!$I$19,"Developing",IF(AZ811&lt;=Assumptions!$I$20,"Meets Expectation",IF(AZ811&lt;=Assumptions!$I$21,"Exceeds","Star Performer")))))</f>
        <v>Below Expectation</v>
      </c>
      <c r="BB811" s="0" t="n">
        <f aca="false">IF(AZ811="",0,IF(AZ811&gt;=Assumptions!$I$26,1,0))</f>
        <v>0</v>
      </c>
      <c r="BC811" s="9" t="n">
        <f aca="false">IF(AL811="",2,AL811+2)</f>
        <v>2</v>
      </c>
      <c r="BD811" s="10" t="n">
        <f aca="false">IF(AM811="",ROUND(AVERAGE($AM$2:$AM$921),3),AM811)</f>
        <v>0.577</v>
      </c>
      <c r="BE811" s="9" t="n">
        <f aca="false">1-BD811</f>
        <v>0.423</v>
      </c>
    </row>
    <row r="812" customFormat="false" ht="14.25" hidden="true" customHeight="false" outlineLevel="0" collapsed="false">
      <c r="A812" s="4" t="n">
        <v>853</v>
      </c>
      <c r="B812" s="5" t="n">
        <v>55093134</v>
      </c>
      <c r="C812" s="5" t="s">
        <v>85</v>
      </c>
      <c r="D812" s="5" t="s">
        <v>2634</v>
      </c>
      <c r="E812" s="5" t="s">
        <v>291</v>
      </c>
      <c r="F812" s="5" t="s">
        <v>590</v>
      </c>
      <c r="G812" s="5" t="s">
        <v>589</v>
      </c>
      <c r="H812" s="5" t="s">
        <v>590</v>
      </c>
      <c r="I812" s="5" t="s">
        <v>63</v>
      </c>
      <c r="J812" s="5" t="s">
        <v>76</v>
      </c>
      <c r="K812" s="5" t="s">
        <v>309</v>
      </c>
      <c r="L812" s="6" t="n">
        <v>45265</v>
      </c>
      <c r="M812" s="5" t="s">
        <v>2098</v>
      </c>
      <c r="N812" s="6" t="n">
        <v>36864</v>
      </c>
      <c r="O812" s="5" t="s">
        <v>1264</v>
      </c>
      <c r="P812" s="5" t="s">
        <v>1559</v>
      </c>
      <c r="Q812" s="5" t="s">
        <v>412</v>
      </c>
      <c r="R812" s="5" t="s">
        <v>115</v>
      </c>
      <c r="S812" s="5" t="s">
        <v>412</v>
      </c>
      <c r="T812" s="6"/>
      <c r="U812" s="6"/>
      <c r="V812" s="5"/>
      <c r="W812" s="5"/>
      <c r="X812" s="5" t="s">
        <v>631</v>
      </c>
      <c r="Y812" s="5" t="s">
        <v>141</v>
      </c>
      <c r="Z812" s="5" t="s">
        <v>631</v>
      </c>
      <c r="AA812" s="5" t="s">
        <v>2151</v>
      </c>
      <c r="AB812" s="0" t="n">
        <f aca="false">IFERROR(VALUE(R812),0)</f>
        <v>0</v>
      </c>
      <c r="AC812" s="0" t="n">
        <f aca="false">IFERROR(VALUE(M812),"")</f>
        <v>25.6</v>
      </c>
      <c r="AD812" s="0" t="n">
        <f aca="false">IFERROR(VALUE(Q812),"")</f>
        <v>2.6</v>
      </c>
      <c r="AE812" s="0" t="n">
        <f aca="false">IFERROR(VALUE(S812),"")</f>
        <v>2.6</v>
      </c>
      <c r="AF812" s="0" t="str">
        <f aca="false">IF(V812="","",VLOOKUP(V812,Assumptions!$B$6:$C$9,2,FALSE()))</f>
        <v/>
      </c>
      <c r="AG812" s="0" t="str">
        <f aca="false">IF(W812="","",VLOOKUP(W812,Assumptions!$B$6:$C$9,2,FALSE()))</f>
        <v/>
      </c>
      <c r="AH812" s="0" t="n">
        <f aca="false">IF(X812="","",VLOOKUP(X812,Assumptions!$B$6:$C$9,2,FALSE()))</f>
        <v>2</v>
      </c>
      <c r="AI812" s="0" t="n">
        <f aca="false">IF(Y812="","",VLOOKUP(Y812,Assumptions!$B$6:$C$9,2,FALSE()))</f>
        <v>3</v>
      </c>
      <c r="AJ812" s="0" t="n">
        <f aca="false">IF(Z812="","",VLOOKUP(Z812,Assumptions!$B$6:$C$9,2,FALSE()))</f>
        <v>2</v>
      </c>
      <c r="AK812" s="7" t="n">
        <f aca="false">IFERROR(ROUND(AVERAGE(AF812:AJ812),3),"")</f>
        <v>2.333</v>
      </c>
      <c r="AL812" s="7" t="str">
        <f aca="false">IF(OR(AF812="",AJ812=""),"",AJ812-AF812)</f>
        <v/>
      </c>
      <c r="AM812" s="7" t="n">
        <f aca="false">IF(COUNT(AF812:AJ812)&gt;=2,ROUND(_xlfn.STDEV.S(AF812:AJ812),3),"")</f>
        <v>0.577</v>
      </c>
      <c r="AN812" s="7" t="n">
        <f aca="false">ROUND((IF(AF812="",0,AF812)*Assumptions!$F$15)+(IF(AG812="",0,AG812)*Assumptions!$F$16)+(IF(AH812="",0,AH812)*Assumptions!$F$17)+(IF(AI812="",0,AI812)*Assumptions!$F$18)+(IF(AJ812="",0,AJ812)*Assumptions!$F$19),3)</f>
        <v>1.75</v>
      </c>
      <c r="AO812" s="0" t="str">
        <f aca="false">IF(AC812&lt;=20,"",IF(AC812&lt;=Assumptions!$F$6,"20-30",IF(AC812&lt;=Assumptions!$F$7,"30-40",IF(AC812&lt;=Assumptions!$F$8,"40-50",IF(AC812&lt;=Assumptions!$F$9,"50-60",IF(AC812&lt;=Assumptions!$F$10,"60+",""))))))</f>
        <v>20-30</v>
      </c>
      <c r="AP812" s="0" t="str">
        <f aca="false">IFERROR(VLOOKUP(O812,Assumptions!$B$14:$C$26,2,FALSE()),"Other")</f>
        <v>Manager</v>
      </c>
      <c r="AQ812" s="0" t="n">
        <f aca="false">IF(T812="",0,1)</f>
        <v>0</v>
      </c>
      <c r="AR812" s="0" t="n">
        <f aca="false">IF(U812="",0,1)</f>
        <v>0</v>
      </c>
      <c r="AS812" s="8" t="n">
        <f aca="false">IF(AK812="","",IF(MAX($AK$2:$AK$921)=MIN($AK$2:$AK$921),50,ROUND((AK812-MIN($AK$2:$AK$921))/(MAX($AK$2:$AK$921)-MIN($AK$2:$AK$921))*100,2)))</f>
        <v>28.55</v>
      </c>
      <c r="AT812" s="8" t="n">
        <f aca="false">IF(MAX($BC$2:$BC$921)=MIN($BC$2:$BC$921),50,ROUND((BC812-MIN($BC$2:$BC$921))/(MAX($BC$2:$BC$921)-MIN($BC$2:$BC$921))*100,2))</f>
        <v>50</v>
      </c>
      <c r="AU812" s="8" t="n">
        <f aca="false">IF(MAX($BE$2:$BE$921)=MIN($BE$2:$BE$921),50,ROUND((BE812-MIN($BE$2:$BE$921))/(MAX($BE$2:$BE$921)-MIN($BE$2:$BE$921))*100,2))</f>
        <v>66.69</v>
      </c>
      <c r="AV812" s="8" t="n">
        <f aca="false">IF(MAX($AD$2:$AD$921)=MIN($AD$2:$AD$921),50,ROUND((AD812-MIN($AD$2:$AD$921))/(MAX($AD$2:$AD$921)-MIN($AD$2:$AD$921))*100,2))</f>
        <v>6.77</v>
      </c>
      <c r="AW812" s="8" t="n">
        <f aca="false">IF(MAX($AN$2:$AN$921)=MIN($AN$2:$AN$921),50,ROUND((AN812-MIN($AN$2:$AN$921))/(MAX($AN$2:$AN$921)-MIN($AN$2:$AN$921))*100,2))</f>
        <v>43.75</v>
      </c>
      <c r="AX812" s="8" t="n">
        <f aca="false">AQ812*100</f>
        <v>0</v>
      </c>
      <c r="AY812" s="8" t="n">
        <f aca="false">AR812*100</f>
        <v>0</v>
      </c>
      <c r="AZ812" s="8" t="n">
        <f aca="false">IFERROR(ROUND(AS812*Assumptions!$I$6+AW812*Assumptions!$I$7+AT812*Assumptions!$I$8+AU812*Assumptions!$I$9+AV812*Assumptions!$I$10+AX812*Assumptions!$I$11+AY812*Assumptions!$I$12,2),"")</f>
        <v>35.5</v>
      </c>
      <c r="BA812" s="0" t="str">
        <f aca="false">IF(AZ812="","",IF(AZ812&lt;=Assumptions!$I$18,"Below Expectation",IF(AZ812&lt;=Assumptions!$I$19,"Developing",IF(AZ812&lt;=Assumptions!$I$20,"Meets Expectation",IF(AZ812&lt;=Assumptions!$I$21,"Exceeds","Star Performer")))))</f>
        <v>Below Expectation</v>
      </c>
      <c r="BB812" s="0" t="n">
        <f aca="false">IF(AZ812="",0,IF(AZ812&gt;=Assumptions!$I$26,1,0))</f>
        <v>0</v>
      </c>
      <c r="BC812" s="9" t="n">
        <f aca="false">IF(AL812="",2,AL812+2)</f>
        <v>2</v>
      </c>
      <c r="BD812" s="10" t="n">
        <f aca="false">IF(AM812="",ROUND(AVERAGE($AM$2:$AM$921),3),AM812)</f>
        <v>0.577</v>
      </c>
      <c r="BE812" s="9" t="n">
        <f aca="false">1-BD812</f>
        <v>0.423</v>
      </c>
    </row>
    <row r="813" customFormat="false" ht="14.25" hidden="true" customHeight="false" outlineLevel="0" collapsed="false">
      <c r="A813" s="4" t="n">
        <v>149</v>
      </c>
      <c r="B813" s="5" t="n">
        <v>10046690</v>
      </c>
      <c r="C813" s="5" t="s">
        <v>57</v>
      </c>
      <c r="D813" s="5" t="s">
        <v>2635</v>
      </c>
      <c r="E813" s="5" t="s">
        <v>229</v>
      </c>
      <c r="F813" s="5" t="s">
        <v>608</v>
      </c>
      <c r="G813" s="5" t="s">
        <v>609</v>
      </c>
      <c r="H813" s="5" t="s">
        <v>608</v>
      </c>
      <c r="I813" s="5" t="s">
        <v>63</v>
      </c>
      <c r="J813" s="5" t="s">
        <v>100</v>
      </c>
      <c r="K813" s="5" t="s">
        <v>65</v>
      </c>
      <c r="L813" s="6" t="n">
        <v>41946</v>
      </c>
      <c r="M813" s="5" t="s">
        <v>675</v>
      </c>
      <c r="N813" s="6" t="n">
        <v>31632</v>
      </c>
      <c r="O813" s="5" t="s">
        <v>365</v>
      </c>
      <c r="P813" s="5" t="s">
        <v>365</v>
      </c>
      <c r="Q813" s="5" t="s">
        <v>172</v>
      </c>
      <c r="R813" s="5" t="s">
        <v>491</v>
      </c>
      <c r="S813" s="5" t="s">
        <v>194</v>
      </c>
      <c r="T813" s="6"/>
      <c r="U813" s="6"/>
      <c r="V813" s="5" t="s">
        <v>141</v>
      </c>
      <c r="W813" s="5" t="s">
        <v>631</v>
      </c>
      <c r="X813" s="5" t="s">
        <v>631</v>
      </c>
      <c r="Y813" s="5" t="s">
        <v>631</v>
      </c>
      <c r="Z813" s="5" t="s">
        <v>631</v>
      </c>
      <c r="AA813" s="5" t="s">
        <v>2636</v>
      </c>
      <c r="AB813" s="0" t="n">
        <f aca="false">IFERROR(VALUE(R813),0)</f>
        <v>4.7</v>
      </c>
      <c r="AC813" s="0" t="n">
        <f aca="false">IFERROR(VALUE(M813),"")</f>
        <v>39.1</v>
      </c>
      <c r="AD813" s="0" t="n">
        <f aca="false">IFERROR(VALUE(Q813),"")</f>
        <v>11.7</v>
      </c>
      <c r="AE813" s="0" t="n">
        <f aca="false">IFERROR(VALUE(S813),"")</f>
        <v>16.2</v>
      </c>
      <c r="AF813" s="0" t="n">
        <f aca="false">IF(V813="","",VLOOKUP(V813,Assumptions!$B$6:$C$9,2,FALSE()))</f>
        <v>3</v>
      </c>
      <c r="AG813" s="0" t="n">
        <f aca="false">IF(W813="","",VLOOKUP(W813,Assumptions!$B$6:$C$9,2,FALSE()))</f>
        <v>2</v>
      </c>
      <c r="AH813" s="0" t="n">
        <f aca="false">IF(X813="","",VLOOKUP(X813,Assumptions!$B$6:$C$9,2,FALSE()))</f>
        <v>2</v>
      </c>
      <c r="AI813" s="0" t="n">
        <f aca="false">IF(Y813="","",VLOOKUP(Y813,Assumptions!$B$6:$C$9,2,FALSE()))</f>
        <v>2</v>
      </c>
      <c r="AJ813" s="0" t="n">
        <f aca="false">IF(Z813="","",VLOOKUP(Z813,Assumptions!$B$6:$C$9,2,FALSE()))</f>
        <v>2</v>
      </c>
      <c r="AK813" s="7" t="n">
        <f aca="false">IFERROR(ROUND(AVERAGE(AF813:AJ813),3),"")</f>
        <v>2.2</v>
      </c>
      <c r="AL813" s="7" t="n">
        <f aca="false">IF(OR(AF813="",AJ813=""),"",AJ813-AF813)</f>
        <v>-1</v>
      </c>
      <c r="AM813" s="7" t="n">
        <f aca="false">IF(COUNT(AF813:AJ813)&gt;=2,ROUND(_xlfn.STDEV.S(AF813:AJ813),3),"")</f>
        <v>0.447</v>
      </c>
      <c r="AN813" s="7" t="n">
        <f aca="false">ROUND((IF(AF813="",0,AF813)*Assumptions!$F$15)+(IF(AG813="",0,AG813)*Assumptions!$F$16)+(IF(AH813="",0,AH813)*Assumptions!$F$17)+(IF(AI813="",0,AI813)*Assumptions!$F$18)+(IF(AJ813="",0,AJ813)*Assumptions!$F$19),3)</f>
        <v>2.1</v>
      </c>
      <c r="AO813" s="0" t="str">
        <f aca="false">IF(AC813&lt;=20,"",IF(AC813&lt;=Assumptions!$F$6,"20-30",IF(AC813&lt;=Assumptions!$F$7,"30-40",IF(AC813&lt;=Assumptions!$F$8,"40-50",IF(AC813&lt;=Assumptions!$F$9,"50-60",IF(AC813&lt;=Assumptions!$F$10,"60+",""))))))</f>
        <v>30-40</v>
      </c>
      <c r="AP813" s="0" t="str">
        <f aca="false">IFERROR(VLOOKUP(O813,Assumptions!$B$14:$C$26,2,FALSE()),"Other")</f>
        <v>Manager</v>
      </c>
      <c r="AQ813" s="0" t="n">
        <f aca="false">IF(T813="",0,1)</f>
        <v>0</v>
      </c>
      <c r="AR813" s="0" t="n">
        <f aca="false">IF(U813="",0,1)</f>
        <v>0</v>
      </c>
      <c r="AS813" s="8" t="n">
        <f aca="false">IF(AK813="","",IF(MAX($AK$2:$AK$921)=MIN($AK$2:$AK$921),50,ROUND((AK813-MIN($AK$2:$AK$921))/(MAX($AK$2:$AK$921)-MIN($AK$2:$AK$921))*100,2)))</f>
        <v>22.85</v>
      </c>
      <c r="AT813" s="8" t="n">
        <f aca="false">IF(MAX($BC$2:$BC$921)=MIN($BC$2:$BC$921),50,ROUND((BC813-MIN($BC$2:$BC$921))/(MAX($BC$2:$BC$921)-MIN($BC$2:$BC$921))*100,2))</f>
        <v>25</v>
      </c>
      <c r="AU813" s="8" t="n">
        <f aca="false">IF(MAX($BE$2:$BE$921)=MIN($BE$2:$BE$921),50,ROUND((BE813-MIN($BE$2:$BE$921))/(MAX($BE$2:$BE$921)-MIN($BE$2:$BE$921))*100,2))</f>
        <v>74.19</v>
      </c>
      <c r="AV813" s="8" t="n">
        <f aca="false">IF(MAX($AD$2:$AD$921)=MIN($AD$2:$AD$921),50,ROUND((AD813-MIN($AD$2:$AD$921))/(MAX($AD$2:$AD$921)-MIN($AD$2:$AD$921))*100,2))</f>
        <v>31.5</v>
      </c>
      <c r="AW813" s="8" t="n">
        <f aca="false">IF(MAX($AN$2:$AN$921)=MIN($AN$2:$AN$921),50,ROUND((AN813-MIN($AN$2:$AN$921))/(MAX($AN$2:$AN$921)-MIN($AN$2:$AN$921))*100,2))</f>
        <v>52.5</v>
      </c>
      <c r="AX813" s="8" t="n">
        <f aca="false">AQ813*100</f>
        <v>0</v>
      </c>
      <c r="AY813" s="8" t="n">
        <f aca="false">AR813*100</f>
        <v>0</v>
      </c>
      <c r="AZ813" s="8" t="n">
        <f aca="false">IFERROR(ROUND(AS813*Assumptions!$I$6+AW813*Assumptions!$I$7+AT813*Assumptions!$I$8+AU813*Assumptions!$I$9+AV813*Assumptions!$I$10+AX813*Assumptions!$I$11+AY813*Assumptions!$I$12,2),"")</f>
        <v>35.38</v>
      </c>
      <c r="BA813" s="0" t="str">
        <f aca="false">IF(AZ813="","",IF(AZ813&lt;=Assumptions!$I$18,"Below Expectation",IF(AZ813&lt;=Assumptions!$I$19,"Developing",IF(AZ813&lt;=Assumptions!$I$20,"Meets Expectation",IF(AZ813&lt;=Assumptions!$I$21,"Exceeds","Star Performer")))))</f>
        <v>Below Expectation</v>
      </c>
      <c r="BB813" s="0" t="n">
        <f aca="false">IF(AZ813="",0,IF(AZ813&gt;=Assumptions!$I$26,1,0))</f>
        <v>0</v>
      </c>
      <c r="BC813" s="9" t="n">
        <f aca="false">IF(AL813="",2,AL813+2)</f>
        <v>1</v>
      </c>
      <c r="BD813" s="10" t="n">
        <f aca="false">IF(AM813="",ROUND(AVERAGE($AM$2:$AM$921),3),AM813)</f>
        <v>0.447</v>
      </c>
      <c r="BE813" s="9" t="n">
        <f aca="false">1-BD813</f>
        <v>0.553</v>
      </c>
    </row>
    <row r="814" customFormat="false" ht="14.25" hidden="true" customHeight="false" outlineLevel="0" collapsed="false">
      <c r="A814" s="4" t="n">
        <v>742</v>
      </c>
      <c r="B814" s="5" t="n">
        <v>55074176</v>
      </c>
      <c r="C814" s="5" t="s">
        <v>85</v>
      </c>
      <c r="D814" s="5" t="s">
        <v>2637</v>
      </c>
      <c r="E814" s="5" t="s">
        <v>185</v>
      </c>
      <c r="F814" s="5" t="s">
        <v>590</v>
      </c>
      <c r="G814" s="5" t="s">
        <v>589</v>
      </c>
      <c r="H814" s="5" t="s">
        <v>590</v>
      </c>
      <c r="I814" s="5" t="s">
        <v>63</v>
      </c>
      <c r="J814" s="5" t="s">
        <v>76</v>
      </c>
      <c r="K814" s="5" t="s">
        <v>309</v>
      </c>
      <c r="L814" s="6" t="n">
        <v>45132</v>
      </c>
      <c r="M814" s="5" t="s">
        <v>910</v>
      </c>
      <c r="N814" s="6" t="n">
        <v>37060</v>
      </c>
      <c r="O814" s="5" t="s">
        <v>1264</v>
      </c>
      <c r="P814" s="5" t="s">
        <v>1559</v>
      </c>
      <c r="Q814" s="5" t="s">
        <v>271</v>
      </c>
      <c r="R814" s="5" t="s">
        <v>115</v>
      </c>
      <c r="S814" s="5" t="s">
        <v>271</v>
      </c>
      <c r="T814" s="6"/>
      <c r="U814" s="6"/>
      <c r="V814" s="5"/>
      <c r="W814" s="5"/>
      <c r="X814" s="5" t="s">
        <v>631</v>
      </c>
      <c r="Y814" s="5" t="s">
        <v>141</v>
      </c>
      <c r="Z814" s="5" t="s">
        <v>631</v>
      </c>
      <c r="AA814" s="5" t="s">
        <v>2638</v>
      </c>
      <c r="AB814" s="0" t="n">
        <f aca="false">IFERROR(VALUE(R814),0)</f>
        <v>0</v>
      </c>
      <c r="AC814" s="0" t="n">
        <f aca="false">IFERROR(VALUE(M814),"")</f>
        <v>24.11</v>
      </c>
      <c r="AD814" s="0" t="n">
        <f aca="false">IFERROR(VALUE(Q814),"")</f>
        <v>2.1</v>
      </c>
      <c r="AE814" s="0" t="n">
        <f aca="false">IFERROR(VALUE(S814),"")</f>
        <v>2.1</v>
      </c>
      <c r="AF814" s="0" t="str">
        <f aca="false">IF(V814="","",VLOOKUP(V814,Assumptions!$B$6:$C$9,2,FALSE()))</f>
        <v/>
      </c>
      <c r="AG814" s="0" t="str">
        <f aca="false">IF(W814="","",VLOOKUP(W814,Assumptions!$B$6:$C$9,2,FALSE()))</f>
        <v/>
      </c>
      <c r="AH814" s="0" t="n">
        <f aca="false">IF(X814="","",VLOOKUP(X814,Assumptions!$B$6:$C$9,2,FALSE()))</f>
        <v>2</v>
      </c>
      <c r="AI814" s="0" t="n">
        <f aca="false">IF(Y814="","",VLOOKUP(Y814,Assumptions!$B$6:$C$9,2,FALSE()))</f>
        <v>3</v>
      </c>
      <c r="AJ814" s="0" t="n">
        <f aca="false">IF(Z814="","",VLOOKUP(Z814,Assumptions!$B$6:$C$9,2,FALSE()))</f>
        <v>2</v>
      </c>
      <c r="AK814" s="7" t="n">
        <f aca="false">IFERROR(ROUND(AVERAGE(AF814:AJ814),3),"")</f>
        <v>2.333</v>
      </c>
      <c r="AL814" s="7" t="str">
        <f aca="false">IF(OR(AF814="",AJ814=""),"",AJ814-AF814)</f>
        <v/>
      </c>
      <c r="AM814" s="7" t="n">
        <f aca="false">IF(COUNT(AF814:AJ814)&gt;=2,ROUND(_xlfn.STDEV.S(AF814:AJ814),3),"")</f>
        <v>0.577</v>
      </c>
      <c r="AN814" s="7" t="n">
        <f aca="false">ROUND((IF(AF814="",0,AF814)*Assumptions!$F$15)+(IF(AG814="",0,AG814)*Assumptions!$F$16)+(IF(AH814="",0,AH814)*Assumptions!$F$17)+(IF(AI814="",0,AI814)*Assumptions!$F$18)+(IF(AJ814="",0,AJ814)*Assumptions!$F$19),3)</f>
        <v>1.75</v>
      </c>
      <c r="AO814" s="0" t="str">
        <f aca="false">IF(AC814&lt;=20,"",IF(AC814&lt;=Assumptions!$F$6,"20-30",IF(AC814&lt;=Assumptions!$F$7,"30-40",IF(AC814&lt;=Assumptions!$F$8,"40-50",IF(AC814&lt;=Assumptions!$F$9,"50-60",IF(AC814&lt;=Assumptions!$F$10,"60+",""))))))</f>
        <v>20-30</v>
      </c>
      <c r="AP814" s="0" t="str">
        <f aca="false">IFERROR(VLOOKUP(O814,Assumptions!$B$14:$C$26,2,FALSE()),"Other")</f>
        <v>Manager</v>
      </c>
      <c r="AQ814" s="0" t="n">
        <f aca="false">IF(T814="",0,1)</f>
        <v>0</v>
      </c>
      <c r="AR814" s="0" t="n">
        <f aca="false">IF(U814="",0,1)</f>
        <v>0</v>
      </c>
      <c r="AS814" s="8" t="n">
        <f aca="false">IF(AK814="","",IF(MAX($AK$2:$AK$921)=MIN($AK$2:$AK$921),50,ROUND((AK814-MIN($AK$2:$AK$921))/(MAX($AK$2:$AK$921)-MIN($AK$2:$AK$921))*100,2)))</f>
        <v>28.55</v>
      </c>
      <c r="AT814" s="8" t="n">
        <f aca="false">IF(MAX($BC$2:$BC$921)=MIN($BC$2:$BC$921),50,ROUND((BC814-MIN($BC$2:$BC$921))/(MAX($BC$2:$BC$921)-MIN($BC$2:$BC$921))*100,2))</f>
        <v>50</v>
      </c>
      <c r="AU814" s="8" t="n">
        <f aca="false">IF(MAX($BE$2:$BE$921)=MIN($BE$2:$BE$921),50,ROUND((BE814-MIN($BE$2:$BE$921))/(MAX($BE$2:$BE$921)-MIN($BE$2:$BE$921))*100,2))</f>
        <v>66.69</v>
      </c>
      <c r="AV814" s="8" t="n">
        <f aca="false">IF(MAX($AD$2:$AD$921)=MIN($AD$2:$AD$921),50,ROUND((AD814-MIN($AD$2:$AD$921))/(MAX($AD$2:$AD$921)-MIN($AD$2:$AD$921))*100,2))</f>
        <v>5.41</v>
      </c>
      <c r="AW814" s="8" t="n">
        <f aca="false">IF(MAX($AN$2:$AN$921)=MIN($AN$2:$AN$921),50,ROUND((AN814-MIN($AN$2:$AN$921))/(MAX($AN$2:$AN$921)-MIN($AN$2:$AN$921))*100,2))</f>
        <v>43.75</v>
      </c>
      <c r="AX814" s="8" t="n">
        <f aca="false">AQ814*100</f>
        <v>0</v>
      </c>
      <c r="AY814" s="8" t="n">
        <f aca="false">AR814*100</f>
        <v>0</v>
      </c>
      <c r="AZ814" s="8" t="n">
        <f aca="false">IFERROR(ROUND(AS814*Assumptions!$I$6+AW814*Assumptions!$I$7+AT814*Assumptions!$I$8+AU814*Assumptions!$I$9+AV814*Assumptions!$I$10+AX814*Assumptions!$I$11+AY814*Assumptions!$I$12,2),"")</f>
        <v>35.36</v>
      </c>
      <c r="BA814" s="0" t="str">
        <f aca="false">IF(AZ814="","",IF(AZ814&lt;=Assumptions!$I$18,"Below Expectation",IF(AZ814&lt;=Assumptions!$I$19,"Developing",IF(AZ814&lt;=Assumptions!$I$20,"Meets Expectation",IF(AZ814&lt;=Assumptions!$I$21,"Exceeds","Star Performer")))))</f>
        <v>Below Expectation</v>
      </c>
      <c r="BB814" s="0" t="n">
        <f aca="false">IF(AZ814="",0,IF(AZ814&gt;=Assumptions!$I$26,1,0))</f>
        <v>0</v>
      </c>
      <c r="BC814" s="9" t="n">
        <f aca="false">IF(AL814="",2,AL814+2)</f>
        <v>2</v>
      </c>
      <c r="BD814" s="10" t="n">
        <f aca="false">IF(AM814="",ROUND(AVERAGE($AM$2:$AM$921),3),AM814)</f>
        <v>0.577</v>
      </c>
      <c r="BE814" s="9" t="n">
        <f aca="false">1-BD814</f>
        <v>0.423</v>
      </c>
    </row>
    <row r="815" customFormat="false" ht="14.25" hidden="true" customHeight="false" outlineLevel="0" collapsed="false">
      <c r="A815" s="4" t="n">
        <v>746</v>
      </c>
      <c r="B815" s="5" t="n">
        <v>55074186</v>
      </c>
      <c r="C815" s="5" t="s">
        <v>85</v>
      </c>
      <c r="D815" s="5" t="s">
        <v>2639</v>
      </c>
      <c r="E815" s="5" t="s">
        <v>185</v>
      </c>
      <c r="F815" s="5" t="s">
        <v>590</v>
      </c>
      <c r="G815" s="5" t="s">
        <v>589</v>
      </c>
      <c r="H815" s="5" t="s">
        <v>590</v>
      </c>
      <c r="I815" s="5" t="s">
        <v>63</v>
      </c>
      <c r="J815" s="5" t="s">
        <v>76</v>
      </c>
      <c r="K815" s="5" t="s">
        <v>309</v>
      </c>
      <c r="L815" s="6" t="n">
        <v>45132</v>
      </c>
      <c r="M815" s="5" t="s">
        <v>532</v>
      </c>
      <c r="N815" s="6" t="n">
        <v>37105</v>
      </c>
      <c r="O815" s="5" t="s">
        <v>1264</v>
      </c>
      <c r="P815" s="5" t="s">
        <v>1559</v>
      </c>
      <c r="Q815" s="5" t="s">
        <v>271</v>
      </c>
      <c r="R815" s="5" t="s">
        <v>115</v>
      </c>
      <c r="S815" s="5" t="s">
        <v>271</v>
      </c>
      <c r="T815" s="6"/>
      <c r="U815" s="6"/>
      <c r="V815" s="5"/>
      <c r="W815" s="5"/>
      <c r="X815" s="5" t="s">
        <v>631</v>
      </c>
      <c r="Y815" s="5" t="s">
        <v>141</v>
      </c>
      <c r="Z815" s="5" t="s">
        <v>631</v>
      </c>
      <c r="AA815" s="5" t="s">
        <v>2638</v>
      </c>
      <c r="AB815" s="0" t="n">
        <f aca="false">IFERROR(VALUE(R815),0)</f>
        <v>0</v>
      </c>
      <c r="AC815" s="0" t="n">
        <f aca="false">IFERROR(VALUE(M815),"")</f>
        <v>24.1</v>
      </c>
      <c r="AD815" s="0" t="n">
        <f aca="false">IFERROR(VALUE(Q815),"")</f>
        <v>2.1</v>
      </c>
      <c r="AE815" s="0" t="n">
        <f aca="false">IFERROR(VALUE(S815),"")</f>
        <v>2.1</v>
      </c>
      <c r="AF815" s="0" t="str">
        <f aca="false">IF(V815="","",VLOOKUP(V815,Assumptions!$B$6:$C$9,2,FALSE()))</f>
        <v/>
      </c>
      <c r="AG815" s="0" t="str">
        <f aca="false">IF(W815="","",VLOOKUP(W815,Assumptions!$B$6:$C$9,2,FALSE()))</f>
        <v/>
      </c>
      <c r="AH815" s="0" t="n">
        <f aca="false">IF(X815="","",VLOOKUP(X815,Assumptions!$B$6:$C$9,2,FALSE()))</f>
        <v>2</v>
      </c>
      <c r="AI815" s="0" t="n">
        <f aca="false">IF(Y815="","",VLOOKUP(Y815,Assumptions!$B$6:$C$9,2,FALSE()))</f>
        <v>3</v>
      </c>
      <c r="AJ815" s="0" t="n">
        <f aca="false">IF(Z815="","",VLOOKUP(Z815,Assumptions!$B$6:$C$9,2,FALSE()))</f>
        <v>2</v>
      </c>
      <c r="AK815" s="7" t="n">
        <f aca="false">IFERROR(ROUND(AVERAGE(AF815:AJ815),3),"")</f>
        <v>2.333</v>
      </c>
      <c r="AL815" s="7" t="str">
        <f aca="false">IF(OR(AF815="",AJ815=""),"",AJ815-AF815)</f>
        <v/>
      </c>
      <c r="AM815" s="7" t="n">
        <f aca="false">IF(COUNT(AF815:AJ815)&gt;=2,ROUND(_xlfn.STDEV.S(AF815:AJ815),3),"")</f>
        <v>0.577</v>
      </c>
      <c r="AN815" s="7" t="n">
        <f aca="false">ROUND((IF(AF815="",0,AF815)*Assumptions!$F$15)+(IF(AG815="",0,AG815)*Assumptions!$F$16)+(IF(AH815="",0,AH815)*Assumptions!$F$17)+(IF(AI815="",0,AI815)*Assumptions!$F$18)+(IF(AJ815="",0,AJ815)*Assumptions!$F$19),3)</f>
        <v>1.75</v>
      </c>
      <c r="AO815" s="0" t="str">
        <f aca="false">IF(AC815&lt;=20,"",IF(AC815&lt;=Assumptions!$F$6,"20-30",IF(AC815&lt;=Assumptions!$F$7,"30-40",IF(AC815&lt;=Assumptions!$F$8,"40-50",IF(AC815&lt;=Assumptions!$F$9,"50-60",IF(AC815&lt;=Assumptions!$F$10,"60+",""))))))</f>
        <v>20-30</v>
      </c>
      <c r="AP815" s="0" t="str">
        <f aca="false">IFERROR(VLOOKUP(O815,Assumptions!$B$14:$C$26,2,FALSE()),"Other")</f>
        <v>Manager</v>
      </c>
      <c r="AQ815" s="0" t="n">
        <f aca="false">IF(T815="",0,1)</f>
        <v>0</v>
      </c>
      <c r="AR815" s="0" t="n">
        <f aca="false">IF(U815="",0,1)</f>
        <v>0</v>
      </c>
      <c r="AS815" s="8" t="n">
        <f aca="false">IF(AK815="","",IF(MAX($AK$2:$AK$921)=MIN($AK$2:$AK$921),50,ROUND((AK815-MIN($AK$2:$AK$921))/(MAX($AK$2:$AK$921)-MIN($AK$2:$AK$921))*100,2)))</f>
        <v>28.55</v>
      </c>
      <c r="AT815" s="8" t="n">
        <f aca="false">IF(MAX($BC$2:$BC$921)=MIN($BC$2:$BC$921),50,ROUND((BC815-MIN($BC$2:$BC$921))/(MAX($BC$2:$BC$921)-MIN($BC$2:$BC$921))*100,2))</f>
        <v>50</v>
      </c>
      <c r="AU815" s="8" t="n">
        <f aca="false">IF(MAX($BE$2:$BE$921)=MIN($BE$2:$BE$921),50,ROUND((BE815-MIN($BE$2:$BE$921))/(MAX($BE$2:$BE$921)-MIN($BE$2:$BE$921))*100,2))</f>
        <v>66.69</v>
      </c>
      <c r="AV815" s="8" t="n">
        <f aca="false">IF(MAX($AD$2:$AD$921)=MIN($AD$2:$AD$921),50,ROUND((AD815-MIN($AD$2:$AD$921))/(MAX($AD$2:$AD$921)-MIN($AD$2:$AD$921))*100,2))</f>
        <v>5.41</v>
      </c>
      <c r="AW815" s="8" t="n">
        <f aca="false">IF(MAX($AN$2:$AN$921)=MIN($AN$2:$AN$921),50,ROUND((AN815-MIN($AN$2:$AN$921))/(MAX($AN$2:$AN$921)-MIN($AN$2:$AN$921))*100,2))</f>
        <v>43.75</v>
      </c>
      <c r="AX815" s="8" t="n">
        <f aca="false">AQ815*100</f>
        <v>0</v>
      </c>
      <c r="AY815" s="8" t="n">
        <f aca="false">AR815*100</f>
        <v>0</v>
      </c>
      <c r="AZ815" s="8" t="n">
        <f aca="false">IFERROR(ROUND(AS815*Assumptions!$I$6+AW815*Assumptions!$I$7+AT815*Assumptions!$I$8+AU815*Assumptions!$I$9+AV815*Assumptions!$I$10+AX815*Assumptions!$I$11+AY815*Assumptions!$I$12,2),"")</f>
        <v>35.36</v>
      </c>
      <c r="BA815" s="0" t="str">
        <f aca="false">IF(AZ815="","",IF(AZ815&lt;=Assumptions!$I$18,"Below Expectation",IF(AZ815&lt;=Assumptions!$I$19,"Developing",IF(AZ815&lt;=Assumptions!$I$20,"Meets Expectation",IF(AZ815&lt;=Assumptions!$I$21,"Exceeds","Star Performer")))))</f>
        <v>Below Expectation</v>
      </c>
      <c r="BB815" s="0" t="n">
        <f aca="false">IF(AZ815="",0,IF(AZ815&gt;=Assumptions!$I$26,1,0))</f>
        <v>0</v>
      </c>
      <c r="BC815" s="9" t="n">
        <f aca="false">IF(AL815="",2,AL815+2)</f>
        <v>2</v>
      </c>
      <c r="BD815" s="10" t="n">
        <f aca="false">IF(AM815="",ROUND(AVERAGE($AM$2:$AM$921),3),AM815)</f>
        <v>0.577</v>
      </c>
      <c r="BE815" s="9" t="n">
        <f aca="false">1-BD815</f>
        <v>0.423</v>
      </c>
    </row>
    <row r="816" customFormat="false" ht="14.25" hidden="true" customHeight="false" outlineLevel="0" collapsed="false">
      <c r="A816" s="4" t="n">
        <v>706</v>
      </c>
      <c r="B816" s="5" t="n">
        <v>55065562</v>
      </c>
      <c r="C816" s="5"/>
      <c r="D816" s="5" t="s">
        <v>2640</v>
      </c>
      <c r="E816" s="5" t="s">
        <v>257</v>
      </c>
      <c r="F816" s="5" t="s">
        <v>581</v>
      </c>
      <c r="G816" s="5" t="s">
        <v>582</v>
      </c>
      <c r="H816" s="5" t="s">
        <v>583</v>
      </c>
      <c r="I816" s="5" t="s">
        <v>63</v>
      </c>
      <c r="J816" s="5" t="s">
        <v>76</v>
      </c>
      <c r="K816" s="5" t="s">
        <v>65</v>
      </c>
      <c r="L816" s="6" t="n">
        <v>44965</v>
      </c>
      <c r="M816" s="5" t="s">
        <v>2641</v>
      </c>
      <c r="N816" s="6" t="n">
        <v>30711</v>
      </c>
      <c r="O816" s="5" t="s">
        <v>585</v>
      </c>
      <c r="P816" s="5" t="s">
        <v>586</v>
      </c>
      <c r="Q816" s="5" t="s">
        <v>768</v>
      </c>
      <c r="R816" s="5" t="s">
        <v>249</v>
      </c>
      <c r="S816" s="5" t="s">
        <v>1095</v>
      </c>
      <c r="T816" s="6"/>
      <c r="U816" s="6"/>
      <c r="V816" s="5"/>
      <c r="W816" s="5"/>
      <c r="X816" s="5" t="s">
        <v>631</v>
      </c>
      <c r="Y816" s="5" t="s">
        <v>631</v>
      </c>
      <c r="Z816" s="5" t="s">
        <v>631</v>
      </c>
      <c r="AA816" s="5" t="s">
        <v>2642</v>
      </c>
      <c r="AB816" s="0" t="n">
        <f aca="false">IFERROR(VALUE(R816),0)</f>
        <v>14.4</v>
      </c>
      <c r="AC816" s="0" t="n">
        <f aca="false">IFERROR(VALUE(M816),"")</f>
        <v>42.4</v>
      </c>
      <c r="AD816" s="0" t="n">
        <f aca="false">IFERROR(VALUE(Q816),"")</f>
        <v>3.4</v>
      </c>
      <c r="AE816" s="0" t="n">
        <f aca="false">IFERROR(VALUE(S816),"")</f>
        <v>17.8</v>
      </c>
      <c r="AF816" s="0" t="str">
        <f aca="false">IF(V816="","",VLOOKUP(V816,Assumptions!$B$6:$C$9,2,FALSE()))</f>
        <v/>
      </c>
      <c r="AG816" s="0" t="str">
        <f aca="false">IF(W816="","",VLOOKUP(W816,Assumptions!$B$6:$C$9,2,FALSE()))</f>
        <v/>
      </c>
      <c r="AH816" s="0" t="n">
        <f aca="false">IF(X816="","",VLOOKUP(X816,Assumptions!$B$6:$C$9,2,FALSE()))</f>
        <v>2</v>
      </c>
      <c r="AI816" s="0" t="n">
        <f aca="false">IF(Y816="","",VLOOKUP(Y816,Assumptions!$B$6:$C$9,2,FALSE()))</f>
        <v>2</v>
      </c>
      <c r="AJ816" s="0" t="n">
        <f aca="false">IF(Z816="","",VLOOKUP(Z816,Assumptions!$B$6:$C$9,2,FALSE()))</f>
        <v>2</v>
      </c>
      <c r="AK816" s="7" t="n">
        <f aca="false">IFERROR(ROUND(AVERAGE(AF816:AJ816),3),"")</f>
        <v>2</v>
      </c>
      <c r="AL816" s="7" t="str">
        <f aca="false">IF(OR(AF816="",AJ816=""),"",AJ816-AF816)</f>
        <v/>
      </c>
      <c r="AM816" s="7" t="n">
        <f aca="false">IF(COUNT(AF816:AJ816)&gt;=2,ROUND(_xlfn.STDEV.S(AF816:AJ816),3),"")</f>
        <v>0</v>
      </c>
      <c r="AN816" s="7" t="n">
        <f aca="false">ROUND((IF(AF816="",0,AF816)*Assumptions!$F$15)+(IF(AG816="",0,AG816)*Assumptions!$F$16)+(IF(AH816="",0,AH816)*Assumptions!$F$17)+(IF(AI816="",0,AI816)*Assumptions!$F$18)+(IF(AJ816="",0,AJ816)*Assumptions!$F$19),3)</f>
        <v>1.5</v>
      </c>
      <c r="AO816" s="0" t="str">
        <f aca="false">IF(AC816&lt;=20,"",IF(AC816&lt;=Assumptions!$F$6,"20-30",IF(AC816&lt;=Assumptions!$F$7,"30-40",IF(AC816&lt;=Assumptions!$F$8,"40-50",IF(AC816&lt;=Assumptions!$F$9,"50-60",IF(AC816&lt;=Assumptions!$F$10,"60+",""))))))</f>
        <v>40-50</v>
      </c>
      <c r="AP816" s="0" t="str">
        <f aca="false">IFERROR(VLOOKUP(O816,Assumptions!$B$14:$C$26,2,FALSE()),"Other")</f>
        <v>Manager</v>
      </c>
      <c r="AQ816" s="0" t="n">
        <f aca="false">IF(T816="",0,1)</f>
        <v>0</v>
      </c>
      <c r="AR816" s="0" t="n">
        <f aca="false">IF(U816="",0,1)</f>
        <v>0</v>
      </c>
      <c r="AS816" s="8" t="n">
        <f aca="false">IF(AK816="","",IF(MAX($AK$2:$AK$921)=MIN($AK$2:$AK$921),50,ROUND((AK816-MIN($AK$2:$AK$921))/(MAX($AK$2:$AK$921)-MIN($AK$2:$AK$921))*100,2)))</f>
        <v>14.27</v>
      </c>
      <c r="AT816" s="8" t="n">
        <f aca="false">IF(MAX($BC$2:$BC$921)=MIN($BC$2:$BC$921),50,ROUND((BC816-MIN($BC$2:$BC$921))/(MAX($BC$2:$BC$921)-MIN($BC$2:$BC$921))*100,2))</f>
        <v>50</v>
      </c>
      <c r="AU816" s="8" t="n">
        <f aca="false">IF(MAX($BE$2:$BE$921)=MIN($BE$2:$BE$921),50,ROUND((BE816-MIN($BE$2:$BE$921))/(MAX($BE$2:$BE$921)-MIN($BE$2:$BE$921))*100,2))</f>
        <v>100</v>
      </c>
      <c r="AV816" s="8" t="n">
        <f aca="false">IF(MAX($AD$2:$AD$921)=MIN($AD$2:$AD$921),50,ROUND((AD816-MIN($AD$2:$AD$921))/(MAX($AD$2:$AD$921)-MIN($AD$2:$AD$921))*100,2))</f>
        <v>8.94</v>
      </c>
      <c r="AW816" s="8" t="n">
        <f aca="false">IF(MAX($AN$2:$AN$921)=MIN($AN$2:$AN$921),50,ROUND((AN816-MIN($AN$2:$AN$921))/(MAX($AN$2:$AN$921)-MIN($AN$2:$AN$921))*100,2))</f>
        <v>37.5</v>
      </c>
      <c r="AX816" s="8" t="n">
        <f aca="false">AQ816*100</f>
        <v>0</v>
      </c>
      <c r="AY816" s="8" t="n">
        <f aca="false">AR816*100</f>
        <v>0</v>
      </c>
      <c r="AZ816" s="8" t="n">
        <f aca="false">IFERROR(ROUND(AS816*Assumptions!$I$6+AW816*Assumptions!$I$7+AT816*Assumptions!$I$8+AU816*Assumptions!$I$9+AV816*Assumptions!$I$10+AX816*Assumptions!$I$11+AY816*Assumptions!$I$12,2),"")</f>
        <v>35.18</v>
      </c>
      <c r="BA816" s="0" t="str">
        <f aca="false">IF(AZ816="","",IF(AZ816&lt;=Assumptions!$I$18,"Below Expectation",IF(AZ816&lt;=Assumptions!$I$19,"Developing",IF(AZ816&lt;=Assumptions!$I$20,"Meets Expectation",IF(AZ816&lt;=Assumptions!$I$21,"Exceeds","Star Performer")))))</f>
        <v>Below Expectation</v>
      </c>
      <c r="BB816" s="0" t="n">
        <f aca="false">IF(AZ816="",0,IF(AZ816&gt;=Assumptions!$I$26,1,0))</f>
        <v>0</v>
      </c>
      <c r="BC816" s="9" t="n">
        <f aca="false">IF(AL816="",2,AL816+2)</f>
        <v>2</v>
      </c>
      <c r="BD816" s="10" t="n">
        <f aca="false">IF(AM816="",ROUND(AVERAGE($AM$2:$AM$921),3),AM816)</f>
        <v>0</v>
      </c>
      <c r="BE816" s="9" t="n">
        <f aca="false">1-BD816</f>
        <v>1</v>
      </c>
    </row>
    <row r="817" customFormat="false" ht="14.25" hidden="true" customHeight="false" outlineLevel="0" collapsed="false">
      <c r="A817" s="4" t="n">
        <v>707</v>
      </c>
      <c r="B817" s="5" t="n">
        <v>55065628</v>
      </c>
      <c r="C817" s="5" t="s">
        <v>57</v>
      </c>
      <c r="D817" s="5" t="s">
        <v>2643</v>
      </c>
      <c r="E817" s="5" t="s">
        <v>96</v>
      </c>
      <c r="F817" s="5" t="s">
        <v>608</v>
      </c>
      <c r="G817" s="5" t="s">
        <v>609</v>
      </c>
      <c r="H817" s="5" t="s">
        <v>608</v>
      </c>
      <c r="I817" s="5" t="s">
        <v>63</v>
      </c>
      <c r="J817" s="5" t="s">
        <v>100</v>
      </c>
      <c r="K817" s="5" t="s">
        <v>65</v>
      </c>
      <c r="L817" s="6" t="n">
        <v>44966</v>
      </c>
      <c r="M817" s="5" t="s">
        <v>1533</v>
      </c>
      <c r="N817" s="6" t="n">
        <v>34176</v>
      </c>
      <c r="O817" s="5" t="s">
        <v>365</v>
      </c>
      <c r="P817" s="5" t="s">
        <v>365</v>
      </c>
      <c r="Q817" s="5" t="s">
        <v>1042</v>
      </c>
      <c r="R817" s="5" t="s">
        <v>726</v>
      </c>
      <c r="S817" s="5" t="s">
        <v>458</v>
      </c>
      <c r="T817" s="6"/>
      <c r="U817" s="6"/>
      <c r="V817" s="5"/>
      <c r="W817" s="5"/>
      <c r="X817" s="5" t="s">
        <v>631</v>
      </c>
      <c r="Y817" s="5" t="s">
        <v>631</v>
      </c>
      <c r="Z817" s="5" t="s">
        <v>631</v>
      </c>
      <c r="AA817" s="5" t="s">
        <v>2644</v>
      </c>
      <c r="AB817" s="0" t="n">
        <f aca="false">IFERROR(VALUE(R817),0)</f>
        <v>5.5</v>
      </c>
      <c r="AC817" s="0" t="n">
        <f aca="false">IFERROR(VALUE(M817),"")</f>
        <v>32.1</v>
      </c>
      <c r="AD817" s="0" t="n">
        <f aca="false">IFERROR(VALUE(Q817),"")</f>
        <v>3.3</v>
      </c>
      <c r="AE817" s="0" t="n">
        <f aca="false">IFERROR(VALUE(S817),"")</f>
        <v>8.8</v>
      </c>
      <c r="AF817" s="0" t="str">
        <f aca="false">IF(V817="","",VLOOKUP(V817,Assumptions!$B$6:$C$9,2,FALSE()))</f>
        <v/>
      </c>
      <c r="AG817" s="0" t="str">
        <f aca="false">IF(W817="","",VLOOKUP(W817,Assumptions!$B$6:$C$9,2,FALSE()))</f>
        <v/>
      </c>
      <c r="AH817" s="0" t="n">
        <f aca="false">IF(X817="","",VLOOKUP(X817,Assumptions!$B$6:$C$9,2,FALSE()))</f>
        <v>2</v>
      </c>
      <c r="AI817" s="0" t="n">
        <f aca="false">IF(Y817="","",VLOOKUP(Y817,Assumptions!$B$6:$C$9,2,FALSE()))</f>
        <v>2</v>
      </c>
      <c r="AJ817" s="0" t="n">
        <f aca="false">IF(Z817="","",VLOOKUP(Z817,Assumptions!$B$6:$C$9,2,FALSE()))</f>
        <v>2</v>
      </c>
      <c r="AK817" s="7" t="n">
        <f aca="false">IFERROR(ROUND(AVERAGE(AF817:AJ817),3),"")</f>
        <v>2</v>
      </c>
      <c r="AL817" s="7" t="str">
        <f aca="false">IF(OR(AF817="",AJ817=""),"",AJ817-AF817)</f>
        <v/>
      </c>
      <c r="AM817" s="7" t="n">
        <f aca="false">IF(COUNT(AF817:AJ817)&gt;=2,ROUND(_xlfn.STDEV.S(AF817:AJ817),3),"")</f>
        <v>0</v>
      </c>
      <c r="AN817" s="7" t="n">
        <f aca="false">ROUND((IF(AF817="",0,AF817)*Assumptions!$F$15)+(IF(AG817="",0,AG817)*Assumptions!$F$16)+(IF(AH817="",0,AH817)*Assumptions!$F$17)+(IF(AI817="",0,AI817)*Assumptions!$F$18)+(IF(AJ817="",0,AJ817)*Assumptions!$F$19),3)</f>
        <v>1.5</v>
      </c>
      <c r="AO817" s="0" t="str">
        <f aca="false">IF(AC817&lt;=20,"",IF(AC817&lt;=Assumptions!$F$6,"20-30",IF(AC817&lt;=Assumptions!$F$7,"30-40",IF(AC817&lt;=Assumptions!$F$8,"40-50",IF(AC817&lt;=Assumptions!$F$9,"50-60",IF(AC817&lt;=Assumptions!$F$10,"60+",""))))))</f>
        <v>30-40</v>
      </c>
      <c r="AP817" s="0" t="str">
        <f aca="false">IFERROR(VLOOKUP(O817,Assumptions!$B$14:$C$26,2,FALSE()),"Other")</f>
        <v>Manager</v>
      </c>
      <c r="AQ817" s="0" t="n">
        <f aca="false">IF(T817="",0,1)</f>
        <v>0</v>
      </c>
      <c r="AR817" s="0" t="n">
        <f aca="false">IF(U817="",0,1)</f>
        <v>0</v>
      </c>
      <c r="AS817" s="8" t="n">
        <f aca="false">IF(AK817="","",IF(MAX($AK$2:$AK$921)=MIN($AK$2:$AK$921),50,ROUND((AK817-MIN($AK$2:$AK$921))/(MAX($AK$2:$AK$921)-MIN($AK$2:$AK$921))*100,2)))</f>
        <v>14.27</v>
      </c>
      <c r="AT817" s="8" t="n">
        <f aca="false">IF(MAX($BC$2:$BC$921)=MIN($BC$2:$BC$921),50,ROUND((BC817-MIN($BC$2:$BC$921))/(MAX($BC$2:$BC$921)-MIN($BC$2:$BC$921))*100,2))</f>
        <v>50</v>
      </c>
      <c r="AU817" s="8" t="n">
        <f aca="false">IF(MAX($BE$2:$BE$921)=MIN($BE$2:$BE$921),50,ROUND((BE817-MIN($BE$2:$BE$921))/(MAX($BE$2:$BE$921)-MIN($BE$2:$BE$921))*100,2))</f>
        <v>100</v>
      </c>
      <c r="AV817" s="8" t="n">
        <f aca="false">IF(MAX($AD$2:$AD$921)=MIN($AD$2:$AD$921),50,ROUND((AD817-MIN($AD$2:$AD$921))/(MAX($AD$2:$AD$921)-MIN($AD$2:$AD$921))*100,2))</f>
        <v>8.67</v>
      </c>
      <c r="AW817" s="8" t="n">
        <f aca="false">IF(MAX($AN$2:$AN$921)=MIN($AN$2:$AN$921),50,ROUND((AN817-MIN($AN$2:$AN$921))/(MAX($AN$2:$AN$921)-MIN($AN$2:$AN$921))*100,2))</f>
        <v>37.5</v>
      </c>
      <c r="AX817" s="8" t="n">
        <f aca="false">AQ817*100</f>
        <v>0</v>
      </c>
      <c r="AY817" s="8" t="n">
        <f aca="false">AR817*100</f>
        <v>0</v>
      </c>
      <c r="AZ817" s="8" t="n">
        <f aca="false">IFERROR(ROUND(AS817*Assumptions!$I$6+AW817*Assumptions!$I$7+AT817*Assumptions!$I$8+AU817*Assumptions!$I$9+AV817*Assumptions!$I$10+AX817*Assumptions!$I$11+AY817*Assumptions!$I$12,2),"")</f>
        <v>35.15</v>
      </c>
      <c r="BA817" s="0" t="str">
        <f aca="false">IF(AZ817="","",IF(AZ817&lt;=Assumptions!$I$18,"Below Expectation",IF(AZ817&lt;=Assumptions!$I$19,"Developing",IF(AZ817&lt;=Assumptions!$I$20,"Meets Expectation",IF(AZ817&lt;=Assumptions!$I$21,"Exceeds","Star Performer")))))</f>
        <v>Below Expectation</v>
      </c>
      <c r="BB817" s="0" t="n">
        <f aca="false">IF(AZ817="",0,IF(AZ817&gt;=Assumptions!$I$26,1,0))</f>
        <v>0</v>
      </c>
      <c r="BC817" s="9" t="n">
        <f aca="false">IF(AL817="",2,AL817+2)</f>
        <v>2</v>
      </c>
      <c r="BD817" s="10" t="n">
        <f aca="false">IF(AM817="",ROUND(AVERAGE($AM$2:$AM$921),3),AM817)</f>
        <v>0</v>
      </c>
      <c r="BE817" s="9" t="n">
        <f aca="false">1-BD817</f>
        <v>1</v>
      </c>
    </row>
    <row r="818" customFormat="false" ht="14.25" hidden="true" customHeight="false" outlineLevel="0" collapsed="false">
      <c r="A818" s="4" t="n">
        <v>710</v>
      </c>
      <c r="B818" s="5" t="n">
        <v>55066141</v>
      </c>
      <c r="C818" s="5" t="s">
        <v>85</v>
      </c>
      <c r="D818" s="5" t="s">
        <v>2645</v>
      </c>
      <c r="E818" s="5" t="s">
        <v>137</v>
      </c>
      <c r="F818" s="5" t="s">
        <v>2136</v>
      </c>
      <c r="G818" s="5" t="s">
        <v>2646</v>
      </c>
      <c r="H818" s="5" t="s">
        <v>2647</v>
      </c>
      <c r="I818" s="5" t="s">
        <v>63</v>
      </c>
      <c r="J818" s="5" t="s">
        <v>76</v>
      </c>
      <c r="K818" s="5" t="s">
        <v>309</v>
      </c>
      <c r="L818" s="6" t="n">
        <v>44980</v>
      </c>
      <c r="M818" s="5" t="s">
        <v>1726</v>
      </c>
      <c r="N818" s="6" t="n">
        <v>36740</v>
      </c>
      <c r="O818" s="5" t="s">
        <v>1264</v>
      </c>
      <c r="P818" s="5" t="s">
        <v>1559</v>
      </c>
      <c r="Q818" s="5" t="s">
        <v>1042</v>
      </c>
      <c r="R818" s="5" t="s">
        <v>115</v>
      </c>
      <c r="S818" s="5" t="s">
        <v>1042</v>
      </c>
      <c r="T818" s="6"/>
      <c r="U818" s="6"/>
      <c r="V818" s="5"/>
      <c r="W818" s="5"/>
      <c r="X818" s="5" t="s">
        <v>631</v>
      </c>
      <c r="Y818" s="5" t="s">
        <v>631</v>
      </c>
      <c r="Z818" s="5" t="s">
        <v>631</v>
      </c>
      <c r="AA818" s="5" t="s">
        <v>592</v>
      </c>
      <c r="AB818" s="0" t="n">
        <f aca="false">IFERROR(VALUE(R818),0)</f>
        <v>0</v>
      </c>
      <c r="AC818" s="0" t="n">
        <f aca="false">IFERROR(VALUE(M818),"")</f>
        <v>25.1</v>
      </c>
      <c r="AD818" s="0" t="n">
        <f aca="false">IFERROR(VALUE(Q818),"")</f>
        <v>3.3</v>
      </c>
      <c r="AE818" s="0" t="n">
        <f aca="false">IFERROR(VALUE(S818),"")</f>
        <v>3.3</v>
      </c>
      <c r="AF818" s="0" t="str">
        <f aca="false">IF(V818="","",VLOOKUP(V818,Assumptions!$B$6:$C$9,2,FALSE()))</f>
        <v/>
      </c>
      <c r="AG818" s="0" t="str">
        <f aca="false">IF(W818="","",VLOOKUP(W818,Assumptions!$B$6:$C$9,2,FALSE()))</f>
        <v/>
      </c>
      <c r="AH818" s="0" t="n">
        <f aca="false">IF(X818="","",VLOOKUP(X818,Assumptions!$B$6:$C$9,2,FALSE()))</f>
        <v>2</v>
      </c>
      <c r="AI818" s="0" t="n">
        <f aca="false">IF(Y818="","",VLOOKUP(Y818,Assumptions!$B$6:$C$9,2,FALSE()))</f>
        <v>2</v>
      </c>
      <c r="AJ818" s="0" t="n">
        <f aca="false">IF(Z818="","",VLOOKUP(Z818,Assumptions!$B$6:$C$9,2,FALSE()))</f>
        <v>2</v>
      </c>
      <c r="AK818" s="7" t="n">
        <f aca="false">IFERROR(ROUND(AVERAGE(AF818:AJ818),3),"")</f>
        <v>2</v>
      </c>
      <c r="AL818" s="7" t="str">
        <f aca="false">IF(OR(AF818="",AJ818=""),"",AJ818-AF818)</f>
        <v/>
      </c>
      <c r="AM818" s="7" t="n">
        <f aca="false">IF(COUNT(AF818:AJ818)&gt;=2,ROUND(_xlfn.STDEV.S(AF818:AJ818),3),"")</f>
        <v>0</v>
      </c>
      <c r="AN818" s="7" t="n">
        <f aca="false">ROUND((IF(AF818="",0,AF818)*Assumptions!$F$15)+(IF(AG818="",0,AG818)*Assumptions!$F$16)+(IF(AH818="",0,AH818)*Assumptions!$F$17)+(IF(AI818="",0,AI818)*Assumptions!$F$18)+(IF(AJ818="",0,AJ818)*Assumptions!$F$19),3)</f>
        <v>1.5</v>
      </c>
      <c r="AO818" s="0" t="str">
        <f aca="false">IF(AC818&lt;=20,"",IF(AC818&lt;=Assumptions!$F$6,"20-30",IF(AC818&lt;=Assumptions!$F$7,"30-40",IF(AC818&lt;=Assumptions!$F$8,"40-50",IF(AC818&lt;=Assumptions!$F$9,"50-60",IF(AC818&lt;=Assumptions!$F$10,"60+",""))))))</f>
        <v>20-30</v>
      </c>
      <c r="AP818" s="0" t="str">
        <f aca="false">IFERROR(VLOOKUP(O818,Assumptions!$B$14:$C$26,2,FALSE()),"Other")</f>
        <v>Manager</v>
      </c>
      <c r="AQ818" s="0" t="n">
        <f aca="false">IF(T818="",0,1)</f>
        <v>0</v>
      </c>
      <c r="AR818" s="0" t="n">
        <f aca="false">IF(U818="",0,1)</f>
        <v>0</v>
      </c>
      <c r="AS818" s="8" t="n">
        <f aca="false">IF(AK818="","",IF(MAX($AK$2:$AK$921)=MIN($AK$2:$AK$921),50,ROUND((AK818-MIN($AK$2:$AK$921))/(MAX($AK$2:$AK$921)-MIN($AK$2:$AK$921))*100,2)))</f>
        <v>14.27</v>
      </c>
      <c r="AT818" s="8" t="n">
        <f aca="false">IF(MAX($BC$2:$BC$921)=MIN($BC$2:$BC$921),50,ROUND((BC818-MIN($BC$2:$BC$921))/(MAX($BC$2:$BC$921)-MIN($BC$2:$BC$921))*100,2))</f>
        <v>50</v>
      </c>
      <c r="AU818" s="8" t="n">
        <f aca="false">IF(MAX($BE$2:$BE$921)=MIN($BE$2:$BE$921),50,ROUND((BE818-MIN($BE$2:$BE$921))/(MAX($BE$2:$BE$921)-MIN($BE$2:$BE$921))*100,2))</f>
        <v>100</v>
      </c>
      <c r="AV818" s="8" t="n">
        <f aca="false">IF(MAX($AD$2:$AD$921)=MIN($AD$2:$AD$921),50,ROUND((AD818-MIN($AD$2:$AD$921))/(MAX($AD$2:$AD$921)-MIN($AD$2:$AD$921))*100,2))</f>
        <v>8.67</v>
      </c>
      <c r="AW818" s="8" t="n">
        <f aca="false">IF(MAX($AN$2:$AN$921)=MIN($AN$2:$AN$921),50,ROUND((AN818-MIN($AN$2:$AN$921))/(MAX($AN$2:$AN$921)-MIN($AN$2:$AN$921))*100,2))</f>
        <v>37.5</v>
      </c>
      <c r="AX818" s="8" t="n">
        <f aca="false">AQ818*100</f>
        <v>0</v>
      </c>
      <c r="AY818" s="8" t="n">
        <f aca="false">AR818*100</f>
        <v>0</v>
      </c>
      <c r="AZ818" s="8" t="n">
        <f aca="false">IFERROR(ROUND(AS818*Assumptions!$I$6+AW818*Assumptions!$I$7+AT818*Assumptions!$I$8+AU818*Assumptions!$I$9+AV818*Assumptions!$I$10+AX818*Assumptions!$I$11+AY818*Assumptions!$I$12,2),"")</f>
        <v>35.15</v>
      </c>
      <c r="BA818" s="0" t="str">
        <f aca="false">IF(AZ818="","",IF(AZ818&lt;=Assumptions!$I$18,"Below Expectation",IF(AZ818&lt;=Assumptions!$I$19,"Developing",IF(AZ818&lt;=Assumptions!$I$20,"Meets Expectation",IF(AZ818&lt;=Assumptions!$I$21,"Exceeds","Star Performer")))))</f>
        <v>Below Expectation</v>
      </c>
      <c r="BB818" s="0" t="n">
        <f aca="false">IF(AZ818="",0,IF(AZ818&gt;=Assumptions!$I$26,1,0))</f>
        <v>0</v>
      </c>
      <c r="BC818" s="9" t="n">
        <f aca="false">IF(AL818="",2,AL818+2)</f>
        <v>2</v>
      </c>
      <c r="BD818" s="10" t="n">
        <f aca="false">IF(AM818="",ROUND(AVERAGE($AM$2:$AM$921),3),AM818)</f>
        <v>0</v>
      </c>
      <c r="BE818" s="9" t="n">
        <f aca="false">1-BD818</f>
        <v>1</v>
      </c>
    </row>
    <row r="819" customFormat="false" ht="14.25" hidden="true" customHeight="false" outlineLevel="0" collapsed="false">
      <c r="A819" s="4" t="n">
        <v>711</v>
      </c>
      <c r="B819" s="5" t="n">
        <v>55066241</v>
      </c>
      <c r="C819" s="5" t="s">
        <v>85</v>
      </c>
      <c r="D819" s="5" t="s">
        <v>2648</v>
      </c>
      <c r="E819" s="5" t="s">
        <v>1289</v>
      </c>
      <c r="F819" s="5" t="s">
        <v>2136</v>
      </c>
      <c r="G819" s="5" t="s">
        <v>2137</v>
      </c>
      <c r="H819" s="5" t="s">
        <v>2136</v>
      </c>
      <c r="I819" s="5" t="s">
        <v>63</v>
      </c>
      <c r="J819" s="5" t="s">
        <v>76</v>
      </c>
      <c r="K819" s="5" t="s">
        <v>309</v>
      </c>
      <c r="L819" s="6" t="n">
        <v>44984</v>
      </c>
      <c r="M819" s="5" t="s">
        <v>1693</v>
      </c>
      <c r="N819" s="6" t="n">
        <v>36673</v>
      </c>
      <c r="O819" s="5" t="s">
        <v>1264</v>
      </c>
      <c r="P819" s="5" t="s">
        <v>1559</v>
      </c>
      <c r="Q819" s="5" t="s">
        <v>1042</v>
      </c>
      <c r="R819" s="5" t="s">
        <v>115</v>
      </c>
      <c r="S819" s="5" t="s">
        <v>1042</v>
      </c>
      <c r="T819" s="6"/>
      <c r="U819" s="6"/>
      <c r="V819" s="5"/>
      <c r="W819" s="5"/>
      <c r="X819" s="5" t="s">
        <v>631</v>
      </c>
      <c r="Y819" s="5" t="s">
        <v>631</v>
      </c>
      <c r="Z819" s="5" t="s">
        <v>631</v>
      </c>
      <c r="AA819" s="5" t="s">
        <v>2448</v>
      </c>
      <c r="AB819" s="0" t="n">
        <f aca="false">IFERROR(VALUE(R819),0)</f>
        <v>0</v>
      </c>
      <c r="AC819" s="0" t="n">
        <f aca="false">IFERROR(VALUE(M819),"")</f>
        <v>26</v>
      </c>
      <c r="AD819" s="0" t="n">
        <f aca="false">IFERROR(VALUE(Q819),"")</f>
        <v>3.3</v>
      </c>
      <c r="AE819" s="0" t="n">
        <f aca="false">IFERROR(VALUE(S819),"")</f>
        <v>3.3</v>
      </c>
      <c r="AF819" s="0" t="str">
        <f aca="false">IF(V819="","",VLOOKUP(V819,Assumptions!$B$6:$C$9,2,FALSE()))</f>
        <v/>
      </c>
      <c r="AG819" s="0" t="str">
        <f aca="false">IF(W819="","",VLOOKUP(W819,Assumptions!$B$6:$C$9,2,FALSE()))</f>
        <v/>
      </c>
      <c r="AH819" s="0" t="n">
        <f aca="false">IF(X819="","",VLOOKUP(X819,Assumptions!$B$6:$C$9,2,FALSE()))</f>
        <v>2</v>
      </c>
      <c r="AI819" s="0" t="n">
        <f aca="false">IF(Y819="","",VLOOKUP(Y819,Assumptions!$B$6:$C$9,2,FALSE()))</f>
        <v>2</v>
      </c>
      <c r="AJ819" s="0" t="n">
        <f aca="false">IF(Z819="","",VLOOKUP(Z819,Assumptions!$B$6:$C$9,2,FALSE()))</f>
        <v>2</v>
      </c>
      <c r="AK819" s="7" t="n">
        <f aca="false">IFERROR(ROUND(AVERAGE(AF819:AJ819),3),"")</f>
        <v>2</v>
      </c>
      <c r="AL819" s="7" t="str">
        <f aca="false">IF(OR(AF819="",AJ819=""),"",AJ819-AF819)</f>
        <v/>
      </c>
      <c r="AM819" s="7" t="n">
        <f aca="false">IF(COUNT(AF819:AJ819)&gt;=2,ROUND(_xlfn.STDEV.S(AF819:AJ819),3),"")</f>
        <v>0</v>
      </c>
      <c r="AN819" s="7" t="n">
        <f aca="false">ROUND((IF(AF819="",0,AF819)*Assumptions!$F$15)+(IF(AG819="",0,AG819)*Assumptions!$F$16)+(IF(AH819="",0,AH819)*Assumptions!$F$17)+(IF(AI819="",0,AI819)*Assumptions!$F$18)+(IF(AJ819="",0,AJ819)*Assumptions!$F$19),3)</f>
        <v>1.5</v>
      </c>
      <c r="AO819" s="0" t="str">
        <f aca="false">IF(AC819&lt;=20,"",IF(AC819&lt;=Assumptions!$F$6,"20-30",IF(AC819&lt;=Assumptions!$F$7,"30-40",IF(AC819&lt;=Assumptions!$F$8,"40-50",IF(AC819&lt;=Assumptions!$F$9,"50-60",IF(AC819&lt;=Assumptions!$F$10,"60+",""))))))</f>
        <v>20-30</v>
      </c>
      <c r="AP819" s="0" t="str">
        <f aca="false">IFERROR(VLOOKUP(O819,Assumptions!$B$14:$C$26,2,FALSE()),"Other")</f>
        <v>Manager</v>
      </c>
      <c r="AQ819" s="0" t="n">
        <f aca="false">IF(T819="",0,1)</f>
        <v>0</v>
      </c>
      <c r="AR819" s="0" t="n">
        <f aca="false">IF(U819="",0,1)</f>
        <v>0</v>
      </c>
      <c r="AS819" s="8" t="n">
        <f aca="false">IF(AK819="","",IF(MAX($AK$2:$AK$921)=MIN($AK$2:$AK$921),50,ROUND((AK819-MIN($AK$2:$AK$921))/(MAX($AK$2:$AK$921)-MIN($AK$2:$AK$921))*100,2)))</f>
        <v>14.27</v>
      </c>
      <c r="AT819" s="8" t="n">
        <f aca="false">IF(MAX($BC$2:$BC$921)=MIN($BC$2:$BC$921),50,ROUND((BC819-MIN($BC$2:$BC$921))/(MAX($BC$2:$BC$921)-MIN($BC$2:$BC$921))*100,2))</f>
        <v>50</v>
      </c>
      <c r="AU819" s="8" t="n">
        <f aca="false">IF(MAX($BE$2:$BE$921)=MIN($BE$2:$BE$921),50,ROUND((BE819-MIN($BE$2:$BE$921))/(MAX($BE$2:$BE$921)-MIN($BE$2:$BE$921))*100,2))</f>
        <v>100</v>
      </c>
      <c r="AV819" s="8" t="n">
        <f aca="false">IF(MAX($AD$2:$AD$921)=MIN($AD$2:$AD$921),50,ROUND((AD819-MIN($AD$2:$AD$921))/(MAX($AD$2:$AD$921)-MIN($AD$2:$AD$921))*100,2))</f>
        <v>8.67</v>
      </c>
      <c r="AW819" s="8" t="n">
        <f aca="false">IF(MAX($AN$2:$AN$921)=MIN($AN$2:$AN$921),50,ROUND((AN819-MIN($AN$2:$AN$921))/(MAX($AN$2:$AN$921)-MIN($AN$2:$AN$921))*100,2))</f>
        <v>37.5</v>
      </c>
      <c r="AX819" s="8" t="n">
        <f aca="false">AQ819*100</f>
        <v>0</v>
      </c>
      <c r="AY819" s="8" t="n">
        <f aca="false">AR819*100</f>
        <v>0</v>
      </c>
      <c r="AZ819" s="8" t="n">
        <f aca="false">IFERROR(ROUND(AS819*Assumptions!$I$6+AW819*Assumptions!$I$7+AT819*Assumptions!$I$8+AU819*Assumptions!$I$9+AV819*Assumptions!$I$10+AX819*Assumptions!$I$11+AY819*Assumptions!$I$12,2),"")</f>
        <v>35.15</v>
      </c>
      <c r="BA819" s="0" t="str">
        <f aca="false">IF(AZ819="","",IF(AZ819&lt;=Assumptions!$I$18,"Below Expectation",IF(AZ819&lt;=Assumptions!$I$19,"Developing",IF(AZ819&lt;=Assumptions!$I$20,"Meets Expectation",IF(AZ819&lt;=Assumptions!$I$21,"Exceeds","Star Performer")))))</f>
        <v>Below Expectation</v>
      </c>
      <c r="BB819" s="0" t="n">
        <f aca="false">IF(AZ819="",0,IF(AZ819&gt;=Assumptions!$I$26,1,0))</f>
        <v>0</v>
      </c>
      <c r="BC819" s="9" t="n">
        <f aca="false">IF(AL819="",2,AL819+2)</f>
        <v>2</v>
      </c>
      <c r="BD819" s="10" t="n">
        <f aca="false">IF(AM819="",ROUND(AVERAGE($AM$2:$AM$921),3),AM819)</f>
        <v>0</v>
      </c>
      <c r="BE819" s="9" t="n">
        <f aca="false">1-BD819</f>
        <v>1</v>
      </c>
    </row>
    <row r="820" customFormat="false" ht="14.25" hidden="true" customHeight="false" outlineLevel="0" collapsed="false">
      <c r="A820" s="4" t="n">
        <v>714</v>
      </c>
      <c r="B820" s="5" t="n">
        <v>55066407</v>
      </c>
      <c r="C820" s="5" t="s">
        <v>85</v>
      </c>
      <c r="D820" s="5" t="s">
        <v>2649</v>
      </c>
      <c r="E820" s="5" t="s">
        <v>137</v>
      </c>
      <c r="F820" s="5" t="s">
        <v>590</v>
      </c>
      <c r="G820" s="5" t="s">
        <v>589</v>
      </c>
      <c r="H820" s="5" t="s">
        <v>590</v>
      </c>
      <c r="I820" s="5" t="s">
        <v>63</v>
      </c>
      <c r="J820" s="5" t="s">
        <v>76</v>
      </c>
      <c r="K820" s="5" t="s">
        <v>309</v>
      </c>
      <c r="L820" s="6" t="n">
        <v>44985</v>
      </c>
      <c r="M820" s="5" t="s">
        <v>440</v>
      </c>
      <c r="N820" s="6" t="n">
        <v>36614</v>
      </c>
      <c r="O820" s="5" t="s">
        <v>1264</v>
      </c>
      <c r="P820" s="5" t="s">
        <v>1559</v>
      </c>
      <c r="Q820" s="5" t="s">
        <v>1042</v>
      </c>
      <c r="R820" s="5" t="s">
        <v>69</v>
      </c>
      <c r="S820" s="5" t="s">
        <v>468</v>
      </c>
      <c r="T820" s="6"/>
      <c r="U820" s="6"/>
      <c r="V820" s="5"/>
      <c r="W820" s="5"/>
      <c r="X820" s="5" t="s">
        <v>631</v>
      </c>
      <c r="Y820" s="5" t="s">
        <v>631</v>
      </c>
      <c r="Z820" s="5" t="s">
        <v>631</v>
      </c>
      <c r="AA820" s="5" t="s">
        <v>592</v>
      </c>
      <c r="AB820" s="0" t="n">
        <f aca="false">IFERROR(VALUE(R820),0)</f>
        <v>0.3</v>
      </c>
      <c r="AC820" s="0" t="n">
        <f aca="false">IFERROR(VALUE(M820),"")</f>
        <v>26.2</v>
      </c>
      <c r="AD820" s="0" t="n">
        <f aca="false">IFERROR(VALUE(Q820),"")</f>
        <v>3.3</v>
      </c>
      <c r="AE820" s="0" t="n">
        <f aca="false">IFERROR(VALUE(S820),"")</f>
        <v>3.6</v>
      </c>
      <c r="AF820" s="0" t="str">
        <f aca="false">IF(V820="","",VLOOKUP(V820,Assumptions!$B$6:$C$9,2,FALSE()))</f>
        <v/>
      </c>
      <c r="AG820" s="0" t="str">
        <f aca="false">IF(W820="","",VLOOKUP(W820,Assumptions!$B$6:$C$9,2,FALSE()))</f>
        <v/>
      </c>
      <c r="AH820" s="0" t="n">
        <f aca="false">IF(X820="","",VLOOKUP(X820,Assumptions!$B$6:$C$9,2,FALSE()))</f>
        <v>2</v>
      </c>
      <c r="AI820" s="0" t="n">
        <f aca="false">IF(Y820="","",VLOOKUP(Y820,Assumptions!$B$6:$C$9,2,FALSE()))</f>
        <v>2</v>
      </c>
      <c r="AJ820" s="0" t="n">
        <f aca="false">IF(Z820="","",VLOOKUP(Z820,Assumptions!$B$6:$C$9,2,FALSE()))</f>
        <v>2</v>
      </c>
      <c r="AK820" s="7" t="n">
        <f aca="false">IFERROR(ROUND(AVERAGE(AF820:AJ820),3),"")</f>
        <v>2</v>
      </c>
      <c r="AL820" s="7" t="str">
        <f aca="false">IF(OR(AF820="",AJ820=""),"",AJ820-AF820)</f>
        <v/>
      </c>
      <c r="AM820" s="7" t="n">
        <f aca="false">IF(COUNT(AF820:AJ820)&gt;=2,ROUND(_xlfn.STDEV.S(AF820:AJ820),3),"")</f>
        <v>0</v>
      </c>
      <c r="AN820" s="7" t="n">
        <f aca="false">ROUND((IF(AF820="",0,AF820)*Assumptions!$F$15)+(IF(AG820="",0,AG820)*Assumptions!$F$16)+(IF(AH820="",0,AH820)*Assumptions!$F$17)+(IF(AI820="",0,AI820)*Assumptions!$F$18)+(IF(AJ820="",0,AJ820)*Assumptions!$F$19),3)</f>
        <v>1.5</v>
      </c>
      <c r="AO820" s="0" t="str">
        <f aca="false">IF(AC820&lt;=20,"",IF(AC820&lt;=Assumptions!$F$6,"20-30",IF(AC820&lt;=Assumptions!$F$7,"30-40",IF(AC820&lt;=Assumptions!$F$8,"40-50",IF(AC820&lt;=Assumptions!$F$9,"50-60",IF(AC820&lt;=Assumptions!$F$10,"60+",""))))))</f>
        <v>20-30</v>
      </c>
      <c r="AP820" s="0" t="str">
        <f aca="false">IFERROR(VLOOKUP(O820,Assumptions!$B$14:$C$26,2,FALSE()),"Other")</f>
        <v>Manager</v>
      </c>
      <c r="AQ820" s="0" t="n">
        <f aca="false">IF(T820="",0,1)</f>
        <v>0</v>
      </c>
      <c r="AR820" s="0" t="n">
        <f aca="false">IF(U820="",0,1)</f>
        <v>0</v>
      </c>
      <c r="AS820" s="8" t="n">
        <f aca="false">IF(AK820="","",IF(MAX($AK$2:$AK$921)=MIN($AK$2:$AK$921),50,ROUND((AK820-MIN($AK$2:$AK$921))/(MAX($AK$2:$AK$921)-MIN($AK$2:$AK$921))*100,2)))</f>
        <v>14.27</v>
      </c>
      <c r="AT820" s="8" t="n">
        <f aca="false">IF(MAX($BC$2:$BC$921)=MIN($BC$2:$BC$921),50,ROUND((BC820-MIN($BC$2:$BC$921))/(MAX($BC$2:$BC$921)-MIN($BC$2:$BC$921))*100,2))</f>
        <v>50</v>
      </c>
      <c r="AU820" s="8" t="n">
        <f aca="false">IF(MAX($BE$2:$BE$921)=MIN($BE$2:$BE$921),50,ROUND((BE820-MIN($BE$2:$BE$921))/(MAX($BE$2:$BE$921)-MIN($BE$2:$BE$921))*100,2))</f>
        <v>100</v>
      </c>
      <c r="AV820" s="8" t="n">
        <f aca="false">IF(MAX($AD$2:$AD$921)=MIN($AD$2:$AD$921),50,ROUND((AD820-MIN($AD$2:$AD$921))/(MAX($AD$2:$AD$921)-MIN($AD$2:$AD$921))*100,2))</f>
        <v>8.67</v>
      </c>
      <c r="AW820" s="8" t="n">
        <f aca="false">IF(MAX($AN$2:$AN$921)=MIN($AN$2:$AN$921),50,ROUND((AN820-MIN($AN$2:$AN$921))/(MAX($AN$2:$AN$921)-MIN($AN$2:$AN$921))*100,2))</f>
        <v>37.5</v>
      </c>
      <c r="AX820" s="8" t="n">
        <f aca="false">AQ820*100</f>
        <v>0</v>
      </c>
      <c r="AY820" s="8" t="n">
        <f aca="false">AR820*100</f>
        <v>0</v>
      </c>
      <c r="AZ820" s="8" t="n">
        <f aca="false">IFERROR(ROUND(AS820*Assumptions!$I$6+AW820*Assumptions!$I$7+AT820*Assumptions!$I$8+AU820*Assumptions!$I$9+AV820*Assumptions!$I$10+AX820*Assumptions!$I$11+AY820*Assumptions!$I$12,2),"")</f>
        <v>35.15</v>
      </c>
      <c r="BA820" s="0" t="str">
        <f aca="false">IF(AZ820="","",IF(AZ820&lt;=Assumptions!$I$18,"Below Expectation",IF(AZ820&lt;=Assumptions!$I$19,"Developing",IF(AZ820&lt;=Assumptions!$I$20,"Meets Expectation",IF(AZ820&lt;=Assumptions!$I$21,"Exceeds","Star Performer")))))</f>
        <v>Below Expectation</v>
      </c>
      <c r="BB820" s="0" t="n">
        <f aca="false">IF(AZ820="",0,IF(AZ820&gt;=Assumptions!$I$26,1,0))</f>
        <v>0</v>
      </c>
      <c r="BC820" s="9" t="n">
        <f aca="false">IF(AL820="",2,AL820+2)</f>
        <v>2</v>
      </c>
      <c r="BD820" s="10" t="n">
        <f aca="false">IF(AM820="",ROUND(AVERAGE($AM$2:$AM$921),3),AM820)</f>
        <v>0</v>
      </c>
      <c r="BE820" s="9" t="n">
        <f aca="false">1-BD820</f>
        <v>1</v>
      </c>
    </row>
    <row r="821" customFormat="false" ht="14.25" hidden="true" customHeight="false" outlineLevel="0" collapsed="false">
      <c r="A821" s="4" t="n">
        <v>718</v>
      </c>
      <c r="B821" s="5" t="n">
        <v>55066835</v>
      </c>
      <c r="C821" s="5" t="s">
        <v>57</v>
      </c>
      <c r="D821" s="5" t="s">
        <v>2650</v>
      </c>
      <c r="E821" s="5" t="s">
        <v>208</v>
      </c>
      <c r="F821" s="5" t="s">
        <v>608</v>
      </c>
      <c r="G821" s="5" t="s">
        <v>609</v>
      </c>
      <c r="H821" s="5" t="s">
        <v>608</v>
      </c>
      <c r="I821" s="5" t="s">
        <v>63</v>
      </c>
      <c r="J821" s="5" t="s">
        <v>100</v>
      </c>
      <c r="K821" s="5" t="s">
        <v>65</v>
      </c>
      <c r="L821" s="6" t="n">
        <v>44994</v>
      </c>
      <c r="M821" s="5" t="s">
        <v>1845</v>
      </c>
      <c r="N821" s="6" t="n">
        <v>34639</v>
      </c>
      <c r="O821" s="5" t="s">
        <v>365</v>
      </c>
      <c r="P821" s="5" t="s">
        <v>365</v>
      </c>
      <c r="Q821" s="5" t="s">
        <v>103</v>
      </c>
      <c r="R821" s="5" t="s">
        <v>382</v>
      </c>
      <c r="S821" s="5" t="s">
        <v>452</v>
      </c>
      <c r="T821" s="6"/>
      <c r="U821" s="6"/>
      <c r="V821" s="5"/>
      <c r="W821" s="5"/>
      <c r="X821" s="5" t="s">
        <v>631</v>
      </c>
      <c r="Y821" s="5" t="s">
        <v>631</v>
      </c>
      <c r="Z821" s="5" t="s">
        <v>631</v>
      </c>
      <c r="AA821" s="5" t="s">
        <v>2651</v>
      </c>
      <c r="AB821" s="0" t="n">
        <f aca="false">IFERROR(VALUE(R821),0)</f>
        <v>5.4</v>
      </c>
      <c r="AC821" s="0" t="n">
        <f aca="false">IFERROR(VALUE(M821),"")</f>
        <v>31.7</v>
      </c>
      <c r="AD821" s="0" t="n">
        <f aca="false">IFERROR(VALUE(Q821),"")</f>
        <v>3.2</v>
      </c>
      <c r="AE821" s="0" t="n">
        <f aca="false">IFERROR(VALUE(S821),"")</f>
        <v>8.6</v>
      </c>
      <c r="AF821" s="0" t="str">
        <f aca="false">IF(V821="","",VLOOKUP(V821,Assumptions!$B$6:$C$9,2,FALSE()))</f>
        <v/>
      </c>
      <c r="AG821" s="0" t="str">
        <f aca="false">IF(W821="","",VLOOKUP(W821,Assumptions!$B$6:$C$9,2,FALSE()))</f>
        <v/>
      </c>
      <c r="AH821" s="0" t="n">
        <f aca="false">IF(X821="","",VLOOKUP(X821,Assumptions!$B$6:$C$9,2,FALSE()))</f>
        <v>2</v>
      </c>
      <c r="AI821" s="0" t="n">
        <f aca="false">IF(Y821="","",VLOOKUP(Y821,Assumptions!$B$6:$C$9,2,FALSE()))</f>
        <v>2</v>
      </c>
      <c r="AJ821" s="0" t="n">
        <f aca="false">IF(Z821="","",VLOOKUP(Z821,Assumptions!$B$6:$C$9,2,FALSE()))</f>
        <v>2</v>
      </c>
      <c r="AK821" s="7" t="n">
        <f aca="false">IFERROR(ROUND(AVERAGE(AF821:AJ821),3),"")</f>
        <v>2</v>
      </c>
      <c r="AL821" s="7" t="str">
        <f aca="false">IF(OR(AF821="",AJ821=""),"",AJ821-AF821)</f>
        <v/>
      </c>
      <c r="AM821" s="7" t="n">
        <f aca="false">IF(COUNT(AF821:AJ821)&gt;=2,ROUND(_xlfn.STDEV.S(AF821:AJ821),3),"")</f>
        <v>0</v>
      </c>
      <c r="AN821" s="7" t="n">
        <f aca="false">ROUND((IF(AF821="",0,AF821)*Assumptions!$F$15)+(IF(AG821="",0,AG821)*Assumptions!$F$16)+(IF(AH821="",0,AH821)*Assumptions!$F$17)+(IF(AI821="",0,AI821)*Assumptions!$F$18)+(IF(AJ821="",0,AJ821)*Assumptions!$F$19),3)</f>
        <v>1.5</v>
      </c>
      <c r="AO821" s="0" t="str">
        <f aca="false">IF(AC821&lt;=20,"",IF(AC821&lt;=Assumptions!$F$6,"20-30",IF(AC821&lt;=Assumptions!$F$7,"30-40",IF(AC821&lt;=Assumptions!$F$8,"40-50",IF(AC821&lt;=Assumptions!$F$9,"50-60",IF(AC821&lt;=Assumptions!$F$10,"60+",""))))))</f>
        <v>30-40</v>
      </c>
      <c r="AP821" s="0" t="str">
        <f aca="false">IFERROR(VLOOKUP(O821,Assumptions!$B$14:$C$26,2,FALSE()),"Other")</f>
        <v>Manager</v>
      </c>
      <c r="AQ821" s="0" t="n">
        <f aca="false">IF(T821="",0,1)</f>
        <v>0</v>
      </c>
      <c r="AR821" s="0" t="n">
        <f aca="false">IF(U821="",0,1)</f>
        <v>0</v>
      </c>
      <c r="AS821" s="8" t="n">
        <f aca="false">IF(AK821="","",IF(MAX($AK$2:$AK$921)=MIN($AK$2:$AK$921),50,ROUND((AK821-MIN($AK$2:$AK$921))/(MAX($AK$2:$AK$921)-MIN($AK$2:$AK$921))*100,2)))</f>
        <v>14.27</v>
      </c>
      <c r="AT821" s="8" t="n">
        <f aca="false">IF(MAX($BC$2:$BC$921)=MIN($BC$2:$BC$921),50,ROUND((BC821-MIN($BC$2:$BC$921))/(MAX($BC$2:$BC$921)-MIN($BC$2:$BC$921))*100,2))</f>
        <v>50</v>
      </c>
      <c r="AU821" s="8" t="n">
        <f aca="false">IF(MAX($BE$2:$BE$921)=MIN($BE$2:$BE$921),50,ROUND((BE821-MIN($BE$2:$BE$921))/(MAX($BE$2:$BE$921)-MIN($BE$2:$BE$921))*100,2))</f>
        <v>100</v>
      </c>
      <c r="AV821" s="8" t="n">
        <f aca="false">IF(MAX($AD$2:$AD$921)=MIN($AD$2:$AD$921),50,ROUND((AD821-MIN($AD$2:$AD$921))/(MAX($AD$2:$AD$921)-MIN($AD$2:$AD$921))*100,2))</f>
        <v>8.4</v>
      </c>
      <c r="AW821" s="8" t="n">
        <f aca="false">IF(MAX($AN$2:$AN$921)=MIN($AN$2:$AN$921),50,ROUND((AN821-MIN($AN$2:$AN$921))/(MAX($AN$2:$AN$921)-MIN($AN$2:$AN$921))*100,2))</f>
        <v>37.5</v>
      </c>
      <c r="AX821" s="8" t="n">
        <f aca="false">AQ821*100</f>
        <v>0</v>
      </c>
      <c r="AY821" s="8" t="n">
        <f aca="false">AR821*100</f>
        <v>0</v>
      </c>
      <c r="AZ821" s="8" t="n">
        <f aca="false">IFERROR(ROUND(AS821*Assumptions!$I$6+AW821*Assumptions!$I$7+AT821*Assumptions!$I$8+AU821*Assumptions!$I$9+AV821*Assumptions!$I$10+AX821*Assumptions!$I$11+AY821*Assumptions!$I$12,2),"")</f>
        <v>35.12</v>
      </c>
      <c r="BA821" s="0" t="str">
        <f aca="false">IF(AZ821="","",IF(AZ821&lt;=Assumptions!$I$18,"Below Expectation",IF(AZ821&lt;=Assumptions!$I$19,"Developing",IF(AZ821&lt;=Assumptions!$I$20,"Meets Expectation",IF(AZ821&lt;=Assumptions!$I$21,"Exceeds","Star Performer")))))</f>
        <v>Below Expectation</v>
      </c>
      <c r="BB821" s="0" t="n">
        <f aca="false">IF(AZ821="",0,IF(AZ821&gt;=Assumptions!$I$26,1,0))</f>
        <v>0</v>
      </c>
      <c r="BC821" s="9" t="n">
        <f aca="false">IF(AL821="",2,AL821+2)</f>
        <v>2</v>
      </c>
      <c r="BD821" s="10" t="n">
        <f aca="false">IF(AM821="",ROUND(AVERAGE($AM$2:$AM$921),3),AM821)</f>
        <v>0</v>
      </c>
      <c r="BE821" s="9" t="n">
        <f aca="false">1-BD821</f>
        <v>1</v>
      </c>
    </row>
    <row r="822" customFormat="false" ht="14.25" hidden="true" customHeight="false" outlineLevel="0" collapsed="false">
      <c r="A822" s="4" t="n">
        <v>720</v>
      </c>
      <c r="B822" s="5" t="n">
        <v>55066979</v>
      </c>
      <c r="C822" s="5"/>
      <c r="D822" s="5" t="s">
        <v>2652</v>
      </c>
      <c r="E822" s="5" t="s">
        <v>257</v>
      </c>
      <c r="F822" s="5" t="s">
        <v>1382</v>
      </c>
      <c r="G822" s="5" t="s">
        <v>1383</v>
      </c>
      <c r="H822" s="5" t="s">
        <v>1382</v>
      </c>
      <c r="I822" s="5" t="s">
        <v>63</v>
      </c>
      <c r="J822" s="5" t="s">
        <v>76</v>
      </c>
      <c r="K822" s="5" t="s">
        <v>65</v>
      </c>
      <c r="L822" s="6" t="n">
        <v>44998</v>
      </c>
      <c r="M822" s="5" t="s">
        <v>82</v>
      </c>
      <c r="N822" s="6" t="n">
        <v>33762</v>
      </c>
      <c r="O822" s="5" t="s">
        <v>1264</v>
      </c>
      <c r="P822" s="5" t="s">
        <v>1559</v>
      </c>
      <c r="Q822" s="5" t="s">
        <v>103</v>
      </c>
      <c r="R822" s="5" t="s">
        <v>656</v>
      </c>
      <c r="S822" s="5" t="s">
        <v>660</v>
      </c>
      <c r="T822" s="6"/>
      <c r="U822" s="6"/>
      <c r="V822" s="5"/>
      <c r="W822" s="5"/>
      <c r="X822" s="5" t="s">
        <v>631</v>
      </c>
      <c r="Y822" s="5" t="s">
        <v>631</v>
      </c>
      <c r="Z822" s="5" t="s">
        <v>631</v>
      </c>
      <c r="AA822" s="5" t="s">
        <v>2653</v>
      </c>
      <c r="AB822" s="0" t="n">
        <f aca="false">IFERROR(VALUE(R822),0)</f>
        <v>7.4</v>
      </c>
      <c r="AC822" s="0" t="n">
        <f aca="false">IFERROR(VALUE(M822),"")</f>
        <v>34</v>
      </c>
      <c r="AD822" s="0" t="n">
        <f aca="false">IFERROR(VALUE(Q822),"")</f>
        <v>3.2</v>
      </c>
      <c r="AE822" s="0" t="n">
        <f aca="false">IFERROR(VALUE(S822),"")</f>
        <v>10.6</v>
      </c>
      <c r="AF822" s="0" t="str">
        <f aca="false">IF(V822="","",VLOOKUP(V822,Assumptions!$B$6:$C$9,2,FALSE()))</f>
        <v/>
      </c>
      <c r="AG822" s="0" t="str">
        <f aca="false">IF(W822="","",VLOOKUP(W822,Assumptions!$B$6:$C$9,2,FALSE()))</f>
        <v/>
      </c>
      <c r="AH822" s="0" t="n">
        <f aca="false">IF(X822="","",VLOOKUP(X822,Assumptions!$B$6:$C$9,2,FALSE()))</f>
        <v>2</v>
      </c>
      <c r="AI822" s="0" t="n">
        <f aca="false">IF(Y822="","",VLOOKUP(Y822,Assumptions!$B$6:$C$9,2,FALSE()))</f>
        <v>2</v>
      </c>
      <c r="AJ822" s="0" t="n">
        <f aca="false">IF(Z822="","",VLOOKUP(Z822,Assumptions!$B$6:$C$9,2,FALSE()))</f>
        <v>2</v>
      </c>
      <c r="AK822" s="7" t="n">
        <f aca="false">IFERROR(ROUND(AVERAGE(AF822:AJ822),3),"")</f>
        <v>2</v>
      </c>
      <c r="AL822" s="7" t="str">
        <f aca="false">IF(OR(AF822="",AJ822=""),"",AJ822-AF822)</f>
        <v/>
      </c>
      <c r="AM822" s="7" t="n">
        <f aca="false">IF(COUNT(AF822:AJ822)&gt;=2,ROUND(_xlfn.STDEV.S(AF822:AJ822),3),"")</f>
        <v>0</v>
      </c>
      <c r="AN822" s="7" t="n">
        <f aca="false">ROUND((IF(AF822="",0,AF822)*Assumptions!$F$15)+(IF(AG822="",0,AG822)*Assumptions!$F$16)+(IF(AH822="",0,AH822)*Assumptions!$F$17)+(IF(AI822="",0,AI822)*Assumptions!$F$18)+(IF(AJ822="",0,AJ822)*Assumptions!$F$19),3)</f>
        <v>1.5</v>
      </c>
      <c r="AO822" s="0" t="str">
        <f aca="false">IF(AC822&lt;=20,"",IF(AC822&lt;=Assumptions!$F$6,"20-30",IF(AC822&lt;=Assumptions!$F$7,"30-40",IF(AC822&lt;=Assumptions!$F$8,"40-50",IF(AC822&lt;=Assumptions!$F$9,"50-60",IF(AC822&lt;=Assumptions!$F$10,"60+",""))))))</f>
        <v>30-40</v>
      </c>
      <c r="AP822" s="0" t="str">
        <f aca="false">IFERROR(VLOOKUP(O822,Assumptions!$B$14:$C$26,2,FALSE()),"Other")</f>
        <v>Manager</v>
      </c>
      <c r="AQ822" s="0" t="n">
        <f aca="false">IF(T822="",0,1)</f>
        <v>0</v>
      </c>
      <c r="AR822" s="0" t="n">
        <f aca="false">IF(U822="",0,1)</f>
        <v>0</v>
      </c>
      <c r="AS822" s="8" t="n">
        <f aca="false">IF(AK822="","",IF(MAX($AK$2:$AK$921)=MIN($AK$2:$AK$921),50,ROUND((AK822-MIN($AK$2:$AK$921))/(MAX($AK$2:$AK$921)-MIN($AK$2:$AK$921))*100,2)))</f>
        <v>14.27</v>
      </c>
      <c r="AT822" s="8" t="n">
        <f aca="false">IF(MAX($BC$2:$BC$921)=MIN($BC$2:$BC$921),50,ROUND((BC822-MIN($BC$2:$BC$921))/(MAX($BC$2:$BC$921)-MIN($BC$2:$BC$921))*100,2))</f>
        <v>50</v>
      </c>
      <c r="AU822" s="8" t="n">
        <f aca="false">IF(MAX($BE$2:$BE$921)=MIN($BE$2:$BE$921),50,ROUND((BE822-MIN($BE$2:$BE$921))/(MAX($BE$2:$BE$921)-MIN($BE$2:$BE$921))*100,2))</f>
        <v>100</v>
      </c>
      <c r="AV822" s="8" t="n">
        <f aca="false">IF(MAX($AD$2:$AD$921)=MIN($AD$2:$AD$921),50,ROUND((AD822-MIN($AD$2:$AD$921))/(MAX($AD$2:$AD$921)-MIN($AD$2:$AD$921))*100,2))</f>
        <v>8.4</v>
      </c>
      <c r="AW822" s="8" t="n">
        <f aca="false">IF(MAX($AN$2:$AN$921)=MIN($AN$2:$AN$921),50,ROUND((AN822-MIN($AN$2:$AN$921))/(MAX($AN$2:$AN$921)-MIN($AN$2:$AN$921))*100,2))</f>
        <v>37.5</v>
      </c>
      <c r="AX822" s="8" t="n">
        <f aca="false">AQ822*100</f>
        <v>0</v>
      </c>
      <c r="AY822" s="8" t="n">
        <f aca="false">AR822*100</f>
        <v>0</v>
      </c>
      <c r="AZ822" s="8" t="n">
        <f aca="false">IFERROR(ROUND(AS822*Assumptions!$I$6+AW822*Assumptions!$I$7+AT822*Assumptions!$I$8+AU822*Assumptions!$I$9+AV822*Assumptions!$I$10+AX822*Assumptions!$I$11+AY822*Assumptions!$I$12,2),"")</f>
        <v>35.12</v>
      </c>
      <c r="BA822" s="0" t="str">
        <f aca="false">IF(AZ822="","",IF(AZ822&lt;=Assumptions!$I$18,"Below Expectation",IF(AZ822&lt;=Assumptions!$I$19,"Developing",IF(AZ822&lt;=Assumptions!$I$20,"Meets Expectation",IF(AZ822&lt;=Assumptions!$I$21,"Exceeds","Star Performer")))))</f>
        <v>Below Expectation</v>
      </c>
      <c r="BB822" s="0" t="n">
        <f aca="false">IF(AZ822="",0,IF(AZ822&gt;=Assumptions!$I$26,1,0))</f>
        <v>0</v>
      </c>
      <c r="BC822" s="9" t="n">
        <f aca="false">IF(AL822="",2,AL822+2)</f>
        <v>2</v>
      </c>
      <c r="BD822" s="10" t="n">
        <f aca="false">IF(AM822="",ROUND(AVERAGE($AM$2:$AM$921),3),AM822)</f>
        <v>0</v>
      </c>
      <c r="BE822" s="9" t="n">
        <f aca="false">1-BD822</f>
        <v>1</v>
      </c>
    </row>
    <row r="823" customFormat="false" ht="14.25" hidden="true" customHeight="false" outlineLevel="0" collapsed="false">
      <c r="A823" s="4" t="n">
        <v>723</v>
      </c>
      <c r="B823" s="5" t="n">
        <v>55067102</v>
      </c>
      <c r="C823" s="5" t="s">
        <v>57</v>
      </c>
      <c r="D823" s="5" t="s">
        <v>2654</v>
      </c>
      <c r="E823" s="5" t="s">
        <v>96</v>
      </c>
      <c r="F823" s="5" t="s">
        <v>387</v>
      </c>
      <c r="G823" s="5" t="s">
        <v>388</v>
      </c>
      <c r="H823" s="5" t="s">
        <v>387</v>
      </c>
      <c r="I823" s="5" t="s">
        <v>63</v>
      </c>
      <c r="J823" s="5" t="s">
        <v>100</v>
      </c>
      <c r="K823" s="5" t="s">
        <v>65</v>
      </c>
      <c r="L823" s="6" t="n">
        <v>45002</v>
      </c>
      <c r="M823" s="5" t="s">
        <v>813</v>
      </c>
      <c r="N823" s="6" t="n">
        <v>34270</v>
      </c>
      <c r="O823" s="5" t="s">
        <v>332</v>
      </c>
      <c r="P823" s="5" t="s">
        <v>333</v>
      </c>
      <c r="Q823" s="5" t="s">
        <v>103</v>
      </c>
      <c r="R823" s="5" t="s">
        <v>723</v>
      </c>
      <c r="S823" s="5" t="s">
        <v>324</v>
      </c>
      <c r="T823" s="6"/>
      <c r="U823" s="6"/>
      <c r="V823" s="5"/>
      <c r="W823" s="5"/>
      <c r="X823" s="5" t="s">
        <v>631</v>
      </c>
      <c r="Y823" s="5" t="s">
        <v>631</v>
      </c>
      <c r="Z823" s="5" t="s">
        <v>631</v>
      </c>
      <c r="AA823" s="5" t="s">
        <v>2655</v>
      </c>
      <c r="AB823" s="0" t="n">
        <f aca="false">IFERROR(VALUE(R823),0)</f>
        <v>7.3</v>
      </c>
      <c r="AC823" s="0" t="n">
        <f aca="false">IFERROR(VALUE(M823),"")</f>
        <v>32.7</v>
      </c>
      <c r="AD823" s="0" t="n">
        <f aca="false">IFERROR(VALUE(Q823),"")</f>
        <v>3.2</v>
      </c>
      <c r="AE823" s="0" t="n">
        <f aca="false">IFERROR(VALUE(S823),"")</f>
        <v>10.5</v>
      </c>
      <c r="AF823" s="0" t="str">
        <f aca="false">IF(V823="","",VLOOKUP(V823,Assumptions!$B$6:$C$9,2,FALSE()))</f>
        <v/>
      </c>
      <c r="AG823" s="0" t="str">
        <f aca="false">IF(W823="","",VLOOKUP(W823,Assumptions!$B$6:$C$9,2,FALSE()))</f>
        <v/>
      </c>
      <c r="AH823" s="0" t="n">
        <f aca="false">IF(X823="","",VLOOKUP(X823,Assumptions!$B$6:$C$9,2,FALSE()))</f>
        <v>2</v>
      </c>
      <c r="AI823" s="0" t="n">
        <f aca="false">IF(Y823="","",VLOOKUP(Y823,Assumptions!$B$6:$C$9,2,FALSE()))</f>
        <v>2</v>
      </c>
      <c r="AJ823" s="0" t="n">
        <f aca="false">IF(Z823="","",VLOOKUP(Z823,Assumptions!$B$6:$C$9,2,FALSE()))</f>
        <v>2</v>
      </c>
      <c r="AK823" s="7" t="n">
        <f aca="false">IFERROR(ROUND(AVERAGE(AF823:AJ823),3),"")</f>
        <v>2</v>
      </c>
      <c r="AL823" s="7" t="str">
        <f aca="false">IF(OR(AF823="",AJ823=""),"",AJ823-AF823)</f>
        <v/>
      </c>
      <c r="AM823" s="7" t="n">
        <f aca="false">IF(COUNT(AF823:AJ823)&gt;=2,ROUND(_xlfn.STDEV.S(AF823:AJ823),3),"")</f>
        <v>0</v>
      </c>
      <c r="AN823" s="7" t="n">
        <f aca="false">ROUND((IF(AF823="",0,AF823)*Assumptions!$F$15)+(IF(AG823="",0,AG823)*Assumptions!$F$16)+(IF(AH823="",0,AH823)*Assumptions!$F$17)+(IF(AI823="",0,AI823)*Assumptions!$F$18)+(IF(AJ823="",0,AJ823)*Assumptions!$F$19),3)</f>
        <v>1.5</v>
      </c>
      <c r="AO823" s="0" t="str">
        <f aca="false">IF(AC823&lt;=20,"",IF(AC823&lt;=Assumptions!$F$6,"20-30",IF(AC823&lt;=Assumptions!$F$7,"30-40",IF(AC823&lt;=Assumptions!$F$8,"40-50",IF(AC823&lt;=Assumptions!$F$9,"50-60",IF(AC823&lt;=Assumptions!$F$10,"60+",""))))))</f>
        <v>30-40</v>
      </c>
      <c r="AP823" s="0" t="str">
        <f aca="false">IFERROR(VLOOKUP(O823,Assumptions!$B$14:$C$26,2,FALSE()),"Other")</f>
        <v>Manager</v>
      </c>
      <c r="AQ823" s="0" t="n">
        <f aca="false">IF(T823="",0,1)</f>
        <v>0</v>
      </c>
      <c r="AR823" s="0" t="n">
        <f aca="false">IF(U823="",0,1)</f>
        <v>0</v>
      </c>
      <c r="AS823" s="8" t="n">
        <f aca="false">IF(AK823="","",IF(MAX($AK$2:$AK$921)=MIN($AK$2:$AK$921),50,ROUND((AK823-MIN($AK$2:$AK$921))/(MAX($AK$2:$AK$921)-MIN($AK$2:$AK$921))*100,2)))</f>
        <v>14.27</v>
      </c>
      <c r="AT823" s="8" t="n">
        <f aca="false">IF(MAX($BC$2:$BC$921)=MIN($BC$2:$BC$921),50,ROUND((BC823-MIN($BC$2:$BC$921))/(MAX($BC$2:$BC$921)-MIN($BC$2:$BC$921))*100,2))</f>
        <v>50</v>
      </c>
      <c r="AU823" s="8" t="n">
        <f aca="false">IF(MAX($BE$2:$BE$921)=MIN($BE$2:$BE$921),50,ROUND((BE823-MIN($BE$2:$BE$921))/(MAX($BE$2:$BE$921)-MIN($BE$2:$BE$921))*100,2))</f>
        <v>100</v>
      </c>
      <c r="AV823" s="8" t="n">
        <f aca="false">IF(MAX($AD$2:$AD$921)=MIN($AD$2:$AD$921),50,ROUND((AD823-MIN($AD$2:$AD$921))/(MAX($AD$2:$AD$921)-MIN($AD$2:$AD$921))*100,2))</f>
        <v>8.4</v>
      </c>
      <c r="AW823" s="8" t="n">
        <f aca="false">IF(MAX($AN$2:$AN$921)=MIN($AN$2:$AN$921),50,ROUND((AN823-MIN($AN$2:$AN$921))/(MAX($AN$2:$AN$921)-MIN($AN$2:$AN$921))*100,2))</f>
        <v>37.5</v>
      </c>
      <c r="AX823" s="8" t="n">
        <f aca="false">AQ823*100</f>
        <v>0</v>
      </c>
      <c r="AY823" s="8" t="n">
        <f aca="false">AR823*100</f>
        <v>0</v>
      </c>
      <c r="AZ823" s="8" t="n">
        <f aca="false">IFERROR(ROUND(AS823*Assumptions!$I$6+AW823*Assumptions!$I$7+AT823*Assumptions!$I$8+AU823*Assumptions!$I$9+AV823*Assumptions!$I$10+AX823*Assumptions!$I$11+AY823*Assumptions!$I$12,2),"")</f>
        <v>35.12</v>
      </c>
      <c r="BA823" s="0" t="str">
        <f aca="false">IF(AZ823="","",IF(AZ823&lt;=Assumptions!$I$18,"Below Expectation",IF(AZ823&lt;=Assumptions!$I$19,"Developing",IF(AZ823&lt;=Assumptions!$I$20,"Meets Expectation",IF(AZ823&lt;=Assumptions!$I$21,"Exceeds","Star Performer")))))</f>
        <v>Below Expectation</v>
      </c>
      <c r="BB823" s="0" t="n">
        <f aca="false">IF(AZ823="",0,IF(AZ823&gt;=Assumptions!$I$26,1,0))</f>
        <v>0</v>
      </c>
      <c r="BC823" s="9" t="n">
        <f aca="false">IF(AL823="",2,AL823+2)</f>
        <v>2</v>
      </c>
      <c r="BD823" s="10" t="n">
        <f aca="false">IF(AM823="",ROUND(AVERAGE($AM$2:$AM$921),3),AM823)</f>
        <v>0</v>
      </c>
      <c r="BE823" s="9" t="n">
        <f aca="false">1-BD823</f>
        <v>1</v>
      </c>
    </row>
    <row r="824" customFormat="false" ht="14.25" hidden="true" customHeight="false" outlineLevel="0" collapsed="false">
      <c r="A824" s="4" t="n">
        <v>732</v>
      </c>
      <c r="B824" s="5" t="n">
        <v>55068369</v>
      </c>
      <c r="C824" s="5" t="s">
        <v>57</v>
      </c>
      <c r="D824" s="5" t="s">
        <v>2656</v>
      </c>
      <c r="E824" s="5" t="s">
        <v>208</v>
      </c>
      <c r="F824" s="5" t="s">
        <v>608</v>
      </c>
      <c r="G824" s="5" t="s">
        <v>609</v>
      </c>
      <c r="H824" s="5" t="s">
        <v>608</v>
      </c>
      <c r="I824" s="5" t="s">
        <v>63</v>
      </c>
      <c r="J824" s="5" t="s">
        <v>100</v>
      </c>
      <c r="K824" s="5" t="s">
        <v>65</v>
      </c>
      <c r="L824" s="6" t="n">
        <v>45041</v>
      </c>
      <c r="M824" s="5" t="s">
        <v>1822</v>
      </c>
      <c r="N824" s="6" t="n">
        <v>34429</v>
      </c>
      <c r="O824" s="5" t="s">
        <v>365</v>
      </c>
      <c r="P824" s="5" t="s">
        <v>365</v>
      </c>
      <c r="Q824" s="5" t="s">
        <v>1002</v>
      </c>
      <c r="R824" s="5" t="s">
        <v>768</v>
      </c>
      <c r="S824" s="5" t="s">
        <v>486</v>
      </c>
      <c r="T824" s="6"/>
      <c r="U824" s="6"/>
      <c r="V824" s="5"/>
      <c r="W824" s="5"/>
      <c r="X824" s="5" t="s">
        <v>631</v>
      </c>
      <c r="Y824" s="5" t="s">
        <v>631</v>
      </c>
      <c r="Z824" s="5" t="s">
        <v>631</v>
      </c>
      <c r="AA824" s="5" t="s">
        <v>2657</v>
      </c>
      <c r="AB824" s="0" t="n">
        <f aca="false">IFERROR(VALUE(R824),0)</f>
        <v>3.4</v>
      </c>
      <c r="AC824" s="0" t="n">
        <f aca="false">IFERROR(VALUE(M824),"")</f>
        <v>32.2</v>
      </c>
      <c r="AD824" s="0" t="n">
        <f aca="false">IFERROR(VALUE(Q824),"")</f>
        <v>3.1</v>
      </c>
      <c r="AE824" s="0" t="n">
        <f aca="false">IFERROR(VALUE(S824),"")</f>
        <v>6.5</v>
      </c>
      <c r="AF824" s="0" t="str">
        <f aca="false">IF(V824="","",VLOOKUP(V824,Assumptions!$B$6:$C$9,2,FALSE()))</f>
        <v/>
      </c>
      <c r="AG824" s="0" t="str">
        <f aca="false">IF(W824="","",VLOOKUP(W824,Assumptions!$B$6:$C$9,2,FALSE()))</f>
        <v/>
      </c>
      <c r="AH824" s="0" t="n">
        <f aca="false">IF(X824="","",VLOOKUP(X824,Assumptions!$B$6:$C$9,2,FALSE()))</f>
        <v>2</v>
      </c>
      <c r="AI824" s="0" t="n">
        <f aca="false">IF(Y824="","",VLOOKUP(Y824,Assumptions!$B$6:$C$9,2,FALSE()))</f>
        <v>2</v>
      </c>
      <c r="AJ824" s="0" t="n">
        <f aca="false">IF(Z824="","",VLOOKUP(Z824,Assumptions!$B$6:$C$9,2,FALSE()))</f>
        <v>2</v>
      </c>
      <c r="AK824" s="7" t="n">
        <f aca="false">IFERROR(ROUND(AVERAGE(AF824:AJ824),3),"")</f>
        <v>2</v>
      </c>
      <c r="AL824" s="7" t="str">
        <f aca="false">IF(OR(AF824="",AJ824=""),"",AJ824-AF824)</f>
        <v/>
      </c>
      <c r="AM824" s="7" t="n">
        <f aca="false">IF(COUNT(AF824:AJ824)&gt;=2,ROUND(_xlfn.STDEV.S(AF824:AJ824),3),"")</f>
        <v>0</v>
      </c>
      <c r="AN824" s="7" t="n">
        <f aca="false">ROUND((IF(AF824="",0,AF824)*Assumptions!$F$15)+(IF(AG824="",0,AG824)*Assumptions!$F$16)+(IF(AH824="",0,AH824)*Assumptions!$F$17)+(IF(AI824="",0,AI824)*Assumptions!$F$18)+(IF(AJ824="",0,AJ824)*Assumptions!$F$19),3)</f>
        <v>1.5</v>
      </c>
      <c r="AO824" s="0" t="str">
        <f aca="false">IF(AC824&lt;=20,"",IF(AC824&lt;=Assumptions!$F$6,"20-30",IF(AC824&lt;=Assumptions!$F$7,"30-40",IF(AC824&lt;=Assumptions!$F$8,"40-50",IF(AC824&lt;=Assumptions!$F$9,"50-60",IF(AC824&lt;=Assumptions!$F$10,"60+",""))))))</f>
        <v>30-40</v>
      </c>
      <c r="AP824" s="0" t="str">
        <f aca="false">IFERROR(VLOOKUP(O824,Assumptions!$B$14:$C$26,2,FALSE()),"Other")</f>
        <v>Manager</v>
      </c>
      <c r="AQ824" s="0" t="n">
        <f aca="false">IF(T824="",0,1)</f>
        <v>0</v>
      </c>
      <c r="AR824" s="0" t="n">
        <f aca="false">IF(U824="",0,1)</f>
        <v>0</v>
      </c>
      <c r="AS824" s="8" t="n">
        <f aca="false">IF(AK824="","",IF(MAX($AK$2:$AK$921)=MIN($AK$2:$AK$921),50,ROUND((AK824-MIN($AK$2:$AK$921))/(MAX($AK$2:$AK$921)-MIN($AK$2:$AK$921))*100,2)))</f>
        <v>14.27</v>
      </c>
      <c r="AT824" s="8" t="n">
        <f aca="false">IF(MAX($BC$2:$BC$921)=MIN($BC$2:$BC$921),50,ROUND((BC824-MIN($BC$2:$BC$921))/(MAX($BC$2:$BC$921)-MIN($BC$2:$BC$921))*100,2))</f>
        <v>50</v>
      </c>
      <c r="AU824" s="8" t="n">
        <f aca="false">IF(MAX($BE$2:$BE$921)=MIN($BE$2:$BE$921),50,ROUND((BE824-MIN($BE$2:$BE$921))/(MAX($BE$2:$BE$921)-MIN($BE$2:$BE$921))*100,2))</f>
        <v>100</v>
      </c>
      <c r="AV824" s="8" t="n">
        <f aca="false">IF(MAX($AD$2:$AD$921)=MIN($AD$2:$AD$921),50,ROUND((AD824-MIN($AD$2:$AD$921))/(MAX($AD$2:$AD$921)-MIN($AD$2:$AD$921))*100,2))</f>
        <v>8.13</v>
      </c>
      <c r="AW824" s="8" t="n">
        <f aca="false">IF(MAX($AN$2:$AN$921)=MIN($AN$2:$AN$921),50,ROUND((AN824-MIN($AN$2:$AN$921))/(MAX($AN$2:$AN$921)-MIN($AN$2:$AN$921))*100,2))</f>
        <v>37.5</v>
      </c>
      <c r="AX824" s="8" t="n">
        <f aca="false">AQ824*100</f>
        <v>0</v>
      </c>
      <c r="AY824" s="8" t="n">
        <f aca="false">AR824*100</f>
        <v>0</v>
      </c>
      <c r="AZ824" s="8" t="n">
        <f aca="false">IFERROR(ROUND(AS824*Assumptions!$I$6+AW824*Assumptions!$I$7+AT824*Assumptions!$I$8+AU824*Assumptions!$I$9+AV824*Assumptions!$I$10+AX824*Assumptions!$I$11+AY824*Assumptions!$I$12,2),"")</f>
        <v>35.09</v>
      </c>
      <c r="BA824" s="0" t="str">
        <f aca="false">IF(AZ824="","",IF(AZ824&lt;=Assumptions!$I$18,"Below Expectation",IF(AZ824&lt;=Assumptions!$I$19,"Developing",IF(AZ824&lt;=Assumptions!$I$20,"Meets Expectation",IF(AZ824&lt;=Assumptions!$I$21,"Exceeds","Star Performer")))))</f>
        <v>Below Expectation</v>
      </c>
      <c r="BB824" s="0" t="n">
        <f aca="false">IF(AZ824="",0,IF(AZ824&gt;=Assumptions!$I$26,1,0))</f>
        <v>0</v>
      </c>
      <c r="BC824" s="9" t="n">
        <f aca="false">IF(AL824="",2,AL824+2)</f>
        <v>2</v>
      </c>
      <c r="BD824" s="10" t="n">
        <f aca="false">IF(AM824="",ROUND(AVERAGE($AM$2:$AM$921),3),AM824)</f>
        <v>0</v>
      </c>
      <c r="BE824" s="9" t="n">
        <f aca="false">1-BD824</f>
        <v>1</v>
      </c>
    </row>
    <row r="825" customFormat="false" ht="14.25" hidden="true" customHeight="false" outlineLevel="0" collapsed="false">
      <c r="A825" s="4" t="n">
        <v>755</v>
      </c>
      <c r="B825" s="5" t="n">
        <v>55082321</v>
      </c>
      <c r="C825" s="5" t="s">
        <v>57</v>
      </c>
      <c r="D825" s="5" t="s">
        <v>2658</v>
      </c>
      <c r="E825" s="5" t="s">
        <v>229</v>
      </c>
      <c r="F825" s="5" t="s">
        <v>608</v>
      </c>
      <c r="G825" s="5" t="s">
        <v>609</v>
      </c>
      <c r="H825" s="5" t="s">
        <v>608</v>
      </c>
      <c r="I825" s="5" t="s">
        <v>63</v>
      </c>
      <c r="J825" s="5" t="s">
        <v>100</v>
      </c>
      <c r="K825" s="5" t="s">
        <v>65</v>
      </c>
      <c r="L825" s="6" t="n">
        <v>45195</v>
      </c>
      <c r="M825" s="5" t="s">
        <v>1596</v>
      </c>
      <c r="N825" s="6" t="n">
        <v>30036</v>
      </c>
      <c r="O825" s="5" t="s">
        <v>365</v>
      </c>
      <c r="P825" s="5" t="s">
        <v>365</v>
      </c>
      <c r="Q825" s="5" t="s">
        <v>920</v>
      </c>
      <c r="R825" s="5" t="s">
        <v>1124</v>
      </c>
      <c r="S825" s="5" t="s">
        <v>1670</v>
      </c>
      <c r="T825" s="6"/>
      <c r="U825" s="6"/>
      <c r="V825" s="5"/>
      <c r="W825" s="5"/>
      <c r="X825" s="5" t="s">
        <v>631</v>
      </c>
      <c r="Y825" s="5" t="s">
        <v>631</v>
      </c>
      <c r="Z825" s="5" t="s">
        <v>631</v>
      </c>
      <c r="AA825" s="5" t="s">
        <v>2659</v>
      </c>
      <c r="AB825" s="0" t="n">
        <f aca="false">IFERROR(VALUE(R825),0)</f>
        <v>13.5</v>
      </c>
      <c r="AC825" s="0" t="n">
        <f aca="false">IFERROR(VALUE(M825),"")</f>
        <v>44.2</v>
      </c>
      <c r="AD825" s="0" t="n">
        <f aca="false">IFERROR(VALUE(Q825),"")</f>
        <v>2.8</v>
      </c>
      <c r="AE825" s="0" t="n">
        <f aca="false">IFERROR(VALUE(S825),"")</f>
        <v>16.1</v>
      </c>
      <c r="AF825" s="0" t="str">
        <f aca="false">IF(V825="","",VLOOKUP(V825,Assumptions!$B$6:$C$9,2,FALSE()))</f>
        <v/>
      </c>
      <c r="AG825" s="0" t="str">
        <f aca="false">IF(W825="","",VLOOKUP(W825,Assumptions!$B$6:$C$9,2,FALSE()))</f>
        <v/>
      </c>
      <c r="AH825" s="0" t="n">
        <f aca="false">IF(X825="","",VLOOKUP(X825,Assumptions!$B$6:$C$9,2,FALSE()))</f>
        <v>2</v>
      </c>
      <c r="AI825" s="0" t="n">
        <f aca="false">IF(Y825="","",VLOOKUP(Y825,Assumptions!$B$6:$C$9,2,FALSE()))</f>
        <v>2</v>
      </c>
      <c r="AJ825" s="0" t="n">
        <f aca="false">IF(Z825="","",VLOOKUP(Z825,Assumptions!$B$6:$C$9,2,FALSE()))</f>
        <v>2</v>
      </c>
      <c r="AK825" s="7" t="n">
        <f aca="false">IFERROR(ROUND(AVERAGE(AF825:AJ825),3),"")</f>
        <v>2</v>
      </c>
      <c r="AL825" s="7" t="str">
        <f aca="false">IF(OR(AF825="",AJ825=""),"",AJ825-AF825)</f>
        <v/>
      </c>
      <c r="AM825" s="7" t="n">
        <f aca="false">IF(COUNT(AF825:AJ825)&gt;=2,ROUND(_xlfn.STDEV.S(AF825:AJ825),3),"")</f>
        <v>0</v>
      </c>
      <c r="AN825" s="7" t="n">
        <f aca="false">ROUND((IF(AF825="",0,AF825)*Assumptions!$F$15)+(IF(AG825="",0,AG825)*Assumptions!$F$16)+(IF(AH825="",0,AH825)*Assumptions!$F$17)+(IF(AI825="",0,AI825)*Assumptions!$F$18)+(IF(AJ825="",0,AJ825)*Assumptions!$F$19),3)</f>
        <v>1.5</v>
      </c>
      <c r="AO825" s="0" t="str">
        <f aca="false">IF(AC825&lt;=20,"",IF(AC825&lt;=Assumptions!$F$6,"20-30",IF(AC825&lt;=Assumptions!$F$7,"30-40",IF(AC825&lt;=Assumptions!$F$8,"40-50",IF(AC825&lt;=Assumptions!$F$9,"50-60",IF(AC825&lt;=Assumptions!$F$10,"60+",""))))))</f>
        <v>40-50</v>
      </c>
      <c r="AP825" s="0" t="str">
        <f aca="false">IFERROR(VLOOKUP(O825,Assumptions!$B$14:$C$26,2,FALSE()),"Other")</f>
        <v>Manager</v>
      </c>
      <c r="AQ825" s="0" t="n">
        <f aca="false">IF(T825="",0,1)</f>
        <v>0</v>
      </c>
      <c r="AR825" s="0" t="n">
        <f aca="false">IF(U825="",0,1)</f>
        <v>0</v>
      </c>
      <c r="AS825" s="8" t="n">
        <f aca="false">IF(AK825="","",IF(MAX($AK$2:$AK$921)=MIN($AK$2:$AK$921),50,ROUND((AK825-MIN($AK$2:$AK$921))/(MAX($AK$2:$AK$921)-MIN($AK$2:$AK$921))*100,2)))</f>
        <v>14.27</v>
      </c>
      <c r="AT825" s="8" t="n">
        <f aca="false">IF(MAX($BC$2:$BC$921)=MIN($BC$2:$BC$921),50,ROUND((BC825-MIN($BC$2:$BC$921))/(MAX($BC$2:$BC$921)-MIN($BC$2:$BC$921))*100,2))</f>
        <v>50</v>
      </c>
      <c r="AU825" s="8" t="n">
        <f aca="false">IF(MAX($BE$2:$BE$921)=MIN($BE$2:$BE$921),50,ROUND((BE825-MIN($BE$2:$BE$921))/(MAX($BE$2:$BE$921)-MIN($BE$2:$BE$921))*100,2))</f>
        <v>100</v>
      </c>
      <c r="AV825" s="8" t="n">
        <f aca="false">IF(MAX($AD$2:$AD$921)=MIN($AD$2:$AD$921),50,ROUND((AD825-MIN($AD$2:$AD$921))/(MAX($AD$2:$AD$921)-MIN($AD$2:$AD$921))*100,2))</f>
        <v>7.31</v>
      </c>
      <c r="AW825" s="8" t="n">
        <f aca="false">IF(MAX($AN$2:$AN$921)=MIN($AN$2:$AN$921),50,ROUND((AN825-MIN($AN$2:$AN$921))/(MAX($AN$2:$AN$921)-MIN($AN$2:$AN$921))*100,2))</f>
        <v>37.5</v>
      </c>
      <c r="AX825" s="8" t="n">
        <f aca="false">AQ825*100</f>
        <v>0</v>
      </c>
      <c r="AY825" s="8" t="n">
        <f aca="false">AR825*100</f>
        <v>0</v>
      </c>
      <c r="AZ825" s="8" t="n">
        <f aca="false">IFERROR(ROUND(AS825*Assumptions!$I$6+AW825*Assumptions!$I$7+AT825*Assumptions!$I$8+AU825*Assumptions!$I$9+AV825*Assumptions!$I$10+AX825*Assumptions!$I$11+AY825*Assumptions!$I$12,2),"")</f>
        <v>35.01</v>
      </c>
      <c r="BA825" s="0" t="str">
        <f aca="false">IF(AZ825="","",IF(AZ825&lt;=Assumptions!$I$18,"Below Expectation",IF(AZ825&lt;=Assumptions!$I$19,"Developing",IF(AZ825&lt;=Assumptions!$I$20,"Meets Expectation",IF(AZ825&lt;=Assumptions!$I$21,"Exceeds","Star Performer")))))</f>
        <v>Below Expectation</v>
      </c>
      <c r="BB825" s="0" t="n">
        <f aca="false">IF(AZ825="",0,IF(AZ825&gt;=Assumptions!$I$26,1,0))</f>
        <v>0</v>
      </c>
      <c r="BC825" s="9" t="n">
        <f aca="false">IF(AL825="",2,AL825+2)</f>
        <v>2</v>
      </c>
      <c r="BD825" s="10" t="n">
        <f aca="false">IF(AM825="",ROUND(AVERAGE($AM$2:$AM$921),3),AM825)</f>
        <v>0</v>
      </c>
      <c r="BE825" s="9" t="n">
        <f aca="false">1-BD825</f>
        <v>1</v>
      </c>
    </row>
    <row r="826" customFormat="false" ht="14.25" hidden="false" customHeight="false" outlineLevel="0" collapsed="false">
      <c r="A826" s="4" t="n">
        <v>763</v>
      </c>
      <c r="B826" s="5" t="n">
        <v>55085975</v>
      </c>
      <c r="C826" s="5" t="s">
        <v>106</v>
      </c>
      <c r="D826" s="5" t="s">
        <v>2660</v>
      </c>
      <c r="E826" s="5" t="s">
        <v>108</v>
      </c>
      <c r="F826" s="5" t="s">
        <v>590</v>
      </c>
      <c r="G826" s="5" t="s">
        <v>589</v>
      </c>
      <c r="H826" s="5" t="s">
        <v>590</v>
      </c>
      <c r="I826" s="5" t="s">
        <v>63</v>
      </c>
      <c r="J826" s="5" t="s">
        <v>112</v>
      </c>
      <c r="K826" s="5" t="s">
        <v>309</v>
      </c>
      <c r="L826" s="6" t="n">
        <v>45224</v>
      </c>
      <c r="M826" s="5" t="s">
        <v>530</v>
      </c>
      <c r="N826" s="6" t="n">
        <v>37153</v>
      </c>
      <c r="O826" s="5" t="s">
        <v>1264</v>
      </c>
      <c r="P826" s="5" t="s">
        <v>1559</v>
      </c>
      <c r="Q826" s="5" t="s">
        <v>195</v>
      </c>
      <c r="R826" s="5" t="s">
        <v>115</v>
      </c>
      <c r="S826" s="5" t="s">
        <v>195</v>
      </c>
      <c r="T826" s="6"/>
      <c r="U826" s="6"/>
      <c r="V826" s="5"/>
      <c r="W826" s="5"/>
      <c r="X826" s="5" t="s">
        <v>631</v>
      </c>
      <c r="Y826" s="5" t="s">
        <v>631</v>
      </c>
      <c r="Z826" s="5" t="s">
        <v>631</v>
      </c>
      <c r="AA826" s="5" t="s">
        <v>2161</v>
      </c>
      <c r="AB826" s="0" t="n">
        <f aca="false">IFERROR(VALUE(R826),0)</f>
        <v>0</v>
      </c>
      <c r="AC826" s="0" t="n">
        <f aca="false">IFERROR(VALUE(M826),"")</f>
        <v>24.8</v>
      </c>
      <c r="AD826" s="0" t="n">
        <f aca="false">IFERROR(VALUE(Q826),"")</f>
        <v>2.7</v>
      </c>
      <c r="AE826" s="0" t="n">
        <f aca="false">IFERROR(VALUE(S826),"")</f>
        <v>2.7</v>
      </c>
      <c r="AF826" s="0" t="str">
        <f aca="false">IF(V826="","",VLOOKUP(V826,Assumptions!$B$6:$C$9,2,FALSE()))</f>
        <v/>
      </c>
      <c r="AG826" s="0" t="str">
        <f aca="false">IF(W826="","",VLOOKUP(W826,Assumptions!$B$6:$C$9,2,FALSE()))</f>
        <v/>
      </c>
      <c r="AH826" s="0" t="n">
        <f aca="false">IF(X826="","",VLOOKUP(X826,Assumptions!$B$6:$C$9,2,FALSE()))</f>
        <v>2</v>
      </c>
      <c r="AI826" s="0" t="n">
        <f aca="false">IF(Y826="","",VLOOKUP(Y826,Assumptions!$B$6:$C$9,2,FALSE()))</f>
        <v>2</v>
      </c>
      <c r="AJ826" s="0" t="n">
        <f aca="false">IF(Z826="","",VLOOKUP(Z826,Assumptions!$B$6:$C$9,2,FALSE()))</f>
        <v>2</v>
      </c>
      <c r="AK826" s="7" t="n">
        <f aca="false">IFERROR(ROUND(AVERAGE(AF826:AJ826),3),"")</f>
        <v>2</v>
      </c>
      <c r="AL826" s="7" t="str">
        <f aca="false">IF(OR(AF826="",AJ826=""),"",AJ826-AF826)</f>
        <v/>
      </c>
      <c r="AM826" s="7" t="n">
        <f aca="false">IF(COUNT(AF826:AJ826)&gt;=2,ROUND(_xlfn.STDEV.S(AF826:AJ826),3),"")</f>
        <v>0</v>
      </c>
      <c r="AN826" s="7" t="n">
        <f aca="false">ROUND((IF(AF826="",0,AF826)*Assumptions!$F$15)+(IF(AG826="",0,AG826)*Assumptions!$F$16)+(IF(AH826="",0,AH826)*Assumptions!$F$17)+(IF(AI826="",0,AI826)*Assumptions!$F$18)+(IF(AJ826="",0,AJ826)*Assumptions!$F$19),3)</f>
        <v>1.5</v>
      </c>
      <c r="AO826" s="0" t="str">
        <f aca="false">IF(AC826&lt;=20,"",IF(AC826&lt;=Assumptions!$F$6,"20-30",IF(AC826&lt;=Assumptions!$F$7,"30-40",IF(AC826&lt;=Assumptions!$F$8,"40-50",IF(AC826&lt;=Assumptions!$F$9,"50-60",IF(AC826&lt;=Assumptions!$F$10,"60+",""))))))</f>
        <v>20-30</v>
      </c>
      <c r="AP826" s="0" t="str">
        <f aca="false">IFERROR(VLOOKUP(O826,Assumptions!$B$14:$C$26,2,FALSE()),"Other")</f>
        <v>Manager</v>
      </c>
      <c r="AQ826" s="0" t="n">
        <f aca="false">IF(T826="",0,1)</f>
        <v>0</v>
      </c>
      <c r="AR826" s="0" t="n">
        <f aca="false">IF(U826="",0,1)</f>
        <v>0</v>
      </c>
      <c r="AS826" s="8" t="n">
        <f aca="false">IF(AK826="","",IF(MAX($AK$2:$AK$921)=MIN($AK$2:$AK$921),50,ROUND((AK826-MIN($AK$2:$AK$921))/(MAX($AK$2:$AK$921)-MIN($AK$2:$AK$921))*100,2)))</f>
        <v>14.27</v>
      </c>
      <c r="AT826" s="8" t="n">
        <f aca="false">IF(MAX($BC$2:$BC$921)=MIN($BC$2:$BC$921),50,ROUND((BC826-MIN($BC$2:$BC$921))/(MAX($BC$2:$BC$921)-MIN($BC$2:$BC$921))*100,2))</f>
        <v>50</v>
      </c>
      <c r="AU826" s="8" t="n">
        <f aca="false">IF(MAX($BE$2:$BE$921)=MIN($BE$2:$BE$921),50,ROUND((BE826-MIN($BE$2:$BE$921))/(MAX($BE$2:$BE$921)-MIN($BE$2:$BE$921))*100,2))</f>
        <v>100</v>
      </c>
      <c r="AV826" s="8" t="n">
        <f aca="false">IF(MAX($AD$2:$AD$921)=MIN($AD$2:$AD$921),50,ROUND((AD826-MIN($AD$2:$AD$921))/(MAX($AD$2:$AD$921)-MIN($AD$2:$AD$921))*100,2))</f>
        <v>7.04</v>
      </c>
      <c r="AW826" s="8" t="n">
        <f aca="false">IF(MAX($AN$2:$AN$921)=MIN($AN$2:$AN$921),50,ROUND((AN826-MIN($AN$2:$AN$921))/(MAX($AN$2:$AN$921)-MIN($AN$2:$AN$921))*100,2))</f>
        <v>37.5</v>
      </c>
      <c r="AX826" s="8" t="n">
        <f aca="false">AQ826*100</f>
        <v>0</v>
      </c>
      <c r="AY826" s="8" t="n">
        <f aca="false">AR826*100</f>
        <v>0</v>
      </c>
      <c r="AZ826" s="8" t="n">
        <f aca="false">IFERROR(ROUND(AS826*Assumptions!$I$6+AW826*Assumptions!$I$7+AT826*Assumptions!$I$8+AU826*Assumptions!$I$9+AV826*Assumptions!$I$10+AX826*Assumptions!$I$11+AY826*Assumptions!$I$12,2),"")</f>
        <v>34.99</v>
      </c>
      <c r="BA826" s="0" t="str">
        <f aca="false">IF(AZ826="","",IF(AZ826&lt;=Assumptions!$I$18,"Below Expectation",IF(AZ826&lt;=Assumptions!$I$19,"Developing",IF(AZ826&lt;=Assumptions!$I$20,"Meets Expectation",IF(AZ826&lt;=Assumptions!$I$21,"Exceeds","Star Performer")))))</f>
        <v>Below Expectation</v>
      </c>
      <c r="BB826" s="0" t="n">
        <f aca="false">IF(AZ826="",0,IF(AZ826&gt;=Assumptions!$I$26,1,0))</f>
        <v>0</v>
      </c>
      <c r="BC826" s="9" t="n">
        <f aca="false">IF(AL826="",2,AL826+2)</f>
        <v>2</v>
      </c>
      <c r="BD826" s="10" t="n">
        <f aca="false">IF(AM826="",ROUND(AVERAGE($AM$2:$AM$921),3),AM826)</f>
        <v>0</v>
      </c>
      <c r="BE826" s="9" t="n">
        <f aca="false">1-BD826</f>
        <v>1</v>
      </c>
    </row>
    <row r="827" customFormat="false" ht="14.25" hidden="false" customHeight="false" outlineLevel="0" collapsed="false">
      <c r="A827" s="4" t="n">
        <v>764</v>
      </c>
      <c r="B827" s="5" t="n">
        <v>55085976</v>
      </c>
      <c r="C827" s="5" t="s">
        <v>106</v>
      </c>
      <c r="D827" s="5" t="s">
        <v>2661</v>
      </c>
      <c r="E827" s="5" t="s">
        <v>108</v>
      </c>
      <c r="F827" s="5" t="s">
        <v>590</v>
      </c>
      <c r="G827" s="5" t="s">
        <v>589</v>
      </c>
      <c r="H827" s="5" t="s">
        <v>590</v>
      </c>
      <c r="I827" s="5" t="s">
        <v>63</v>
      </c>
      <c r="J827" s="5" t="s">
        <v>112</v>
      </c>
      <c r="K827" s="5" t="s">
        <v>309</v>
      </c>
      <c r="L827" s="6" t="n">
        <v>45224</v>
      </c>
      <c r="M827" s="5" t="s">
        <v>530</v>
      </c>
      <c r="N827" s="6" t="n">
        <v>37156</v>
      </c>
      <c r="O827" s="5" t="s">
        <v>1264</v>
      </c>
      <c r="P827" s="5" t="s">
        <v>1559</v>
      </c>
      <c r="Q827" s="5" t="s">
        <v>195</v>
      </c>
      <c r="R827" s="5" t="s">
        <v>115</v>
      </c>
      <c r="S827" s="5" t="s">
        <v>195</v>
      </c>
      <c r="T827" s="6"/>
      <c r="U827" s="6"/>
      <c r="V827" s="5"/>
      <c r="W827" s="5"/>
      <c r="X827" s="5" t="s">
        <v>631</v>
      </c>
      <c r="Y827" s="5" t="s">
        <v>631</v>
      </c>
      <c r="Z827" s="5" t="s">
        <v>631</v>
      </c>
      <c r="AA827" s="5" t="s">
        <v>2662</v>
      </c>
      <c r="AB827" s="0" t="n">
        <f aca="false">IFERROR(VALUE(R827),0)</f>
        <v>0</v>
      </c>
      <c r="AC827" s="0" t="n">
        <f aca="false">IFERROR(VALUE(M827),"")</f>
        <v>24.8</v>
      </c>
      <c r="AD827" s="0" t="n">
        <f aca="false">IFERROR(VALUE(Q827),"")</f>
        <v>2.7</v>
      </c>
      <c r="AE827" s="0" t="n">
        <f aca="false">IFERROR(VALUE(S827),"")</f>
        <v>2.7</v>
      </c>
      <c r="AF827" s="0" t="str">
        <f aca="false">IF(V827="","",VLOOKUP(V827,Assumptions!$B$6:$C$9,2,FALSE()))</f>
        <v/>
      </c>
      <c r="AG827" s="0" t="str">
        <f aca="false">IF(W827="","",VLOOKUP(W827,Assumptions!$B$6:$C$9,2,FALSE()))</f>
        <v/>
      </c>
      <c r="AH827" s="0" t="n">
        <f aca="false">IF(X827="","",VLOOKUP(X827,Assumptions!$B$6:$C$9,2,FALSE()))</f>
        <v>2</v>
      </c>
      <c r="AI827" s="0" t="n">
        <f aca="false">IF(Y827="","",VLOOKUP(Y827,Assumptions!$B$6:$C$9,2,FALSE()))</f>
        <v>2</v>
      </c>
      <c r="AJ827" s="0" t="n">
        <f aca="false">IF(Z827="","",VLOOKUP(Z827,Assumptions!$B$6:$C$9,2,FALSE()))</f>
        <v>2</v>
      </c>
      <c r="AK827" s="7" t="n">
        <f aca="false">IFERROR(ROUND(AVERAGE(AF827:AJ827),3),"")</f>
        <v>2</v>
      </c>
      <c r="AL827" s="7" t="str">
        <f aca="false">IF(OR(AF827="",AJ827=""),"",AJ827-AF827)</f>
        <v/>
      </c>
      <c r="AM827" s="7" t="n">
        <f aca="false">IF(COUNT(AF827:AJ827)&gt;=2,ROUND(_xlfn.STDEV.S(AF827:AJ827),3),"")</f>
        <v>0</v>
      </c>
      <c r="AN827" s="7" t="n">
        <f aca="false">ROUND((IF(AF827="",0,AF827)*Assumptions!$F$15)+(IF(AG827="",0,AG827)*Assumptions!$F$16)+(IF(AH827="",0,AH827)*Assumptions!$F$17)+(IF(AI827="",0,AI827)*Assumptions!$F$18)+(IF(AJ827="",0,AJ827)*Assumptions!$F$19),3)</f>
        <v>1.5</v>
      </c>
      <c r="AO827" s="0" t="str">
        <f aca="false">IF(AC827&lt;=20,"",IF(AC827&lt;=Assumptions!$F$6,"20-30",IF(AC827&lt;=Assumptions!$F$7,"30-40",IF(AC827&lt;=Assumptions!$F$8,"40-50",IF(AC827&lt;=Assumptions!$F$9,"50-60",IF(AC827&lt;=Assumptions!$F$10,"60+",""))))))</f>
        <v>20-30</v>
      </c>
      <c r="AP827" s="0" t="str">
        <f aca="false">IFERROR(VLOOKUP(O827,Assumptions!$B$14:$C$26,2,FALSE()),"Other")</f>
        <v>Manager</v>
      </c>
      <c r="AQ827" s="0" t="n">
        <f aca="false">IF(T827="",0,1)</f>
        <v>0</v>
      </c>
      <c r="AR827" s="0" t="n">
        <f aca="false">IF(U827="",0,1)</f>
        <v>0</v>
      </c>
      <c r="AS827" s="8" t="n">
        <f aca="false">IF(AK827="","",IF(MAX($AK$2:$AK$921)=MIN($AK$2:$AK$921),50,ROUND((AK827-MIN($AK$2:$AK$921))/(MAX($AK$2:$AK$921)-MIN($AK$2:$AK$921))*100,2)))</f>
        <v>14.27</v>
      </c>
      <c r="AT827" s="8" t="n">
        <f aca="false">IF(MAX($BC$2:$BC$921)=MIN($BC$2:$BC$921),50,ROUND((BC827-MIN($BC$2:$BC$921))/(MAX($BC$2:$BC$921)-MIN($BC$2:$BC$921))*100,2))</f>
        <v>50</v>
      </c>
      <c r="AU827" s="8" t="n">
        <f aca="false">IF(MAX($BE$2:$BE$921)=MIN($BE$2:$BE$921),50,ROUND((BE827-MIN($BE$2:$BE$921))/(MAX($BE$2:$BE$921)-MIN($BE$2:$BE$921))*100,2))</f>
        <v>100</v>
      </c>
      <c r="AV827" s="8" t="n">
        <f aca="false">IF(MAX($AD$2:$AD$921)=MIN($AD$2:$AD$921),50,ROUND((AD827-MIN($AD$2:$AD$921))/(MAX($AD$2:$AD$921)-MIN($AD$2:$AD$921))*100,2))</f>
        <v>7.04</v>
      </c>
      <c r="AW827" s="8" t="n">
        <f aca="false">IF(MAX($AN$2:$AN$921)=MIN($AN$2:$AN$921),50,ROUND((AN827-MIN($AN$2:$AN$921))/(MAX($AN$2:$AN$921)-MIN($AN$2:$AN$921))*100,2))</f>
        <v>37.5</v>
      </c>
      <c r="AX827" s="8" t="n">
        <f aca="false">AQ827*100</f>
        <v>0</v>
      </c>
      <c r="AY827" s="8" t="n">
        <f aca="false">AR827*100</f>
        <v>0</v>
      </c>
      <c r="AZ827" s="8" t="n">
        <f aca="false">IFERROR(ROUND(AS827*Assumptions!$I$6+AW827*Assumptions!$I$7+AT827*Assumptions!$I$8+AU827*Assumptions!$I$9+AV827*Assumptions!$I$10+AX827*Assumptions!$I$11+AY827*Assumptions!$I$12,2),"")</f>
        <v>34.99</v>
      </c>
      <c r="BA827" s="0" t="str">
        <f aca="false">IF(AZ827="","",IF(AZ827&lt;=Assumptions!$I$18,"Below Expectation",IF(AZ827&lt;=Assumptions!$I$19,"Developing",IF(AZ827&lt;=Assumptions!$I$20,"Meets Expectation",IF(AZ827&lt;=Assumptions!$I$21,"Exceeds","Star Performer")))))</f>
        <v>Below Expectation</v>
      </c>
      <c r="BB827" s="0" t="n">
        <f aca="false">IF(AZ827="",0,IF(AZ827&gt;=Assumptions!$I$26,1,0))</f>
        <v>0</v>
      </c>
      <c r="BC827" s="9" t="n">
        <f aca="false">IF(AL827="",2,AL827+2)</f>
        <v>2</v>
      </c>
      <c r="BD827" s="10" t="n">
        <f aca="false">IF(AM827="",ROUND(AVERAGE($AM$2:$AM$921),3),AM827)</f>
        <v>0</v>
      </c>
      <c r="BE827" s="9" t="n">
        <f aca="false">1-BD827</f>
        <v>1</v>
      </c>
    </row>
    <row r="828" customFormat="false" ht="14.25" hidden="true" customHeight="false" outlineLevel="0" collapsed="false">
      <c r="A828" s="4" t="n">
        <v>776</v>
      </c>
      <c r="B828" s="5" t="n">
        <v>55085996</v>
      </c>
      <c r="C828" s="5" t="s">
        <v>85</v>
      </c>
      <c r="D828" s="5" t="s">
        <v>2663</v>
      </c>
      <c r="E828" s="5" t="s">
        <v>137</v>
      </c>
      <c r="F828" s="5" t="s">
        <v>590</v>
      </c>
      <c r="G828" s="5" t="s">
        <v>589</v>
      </c>
      <c r="H828" s="5" t="s">
        <v>590</v>
      </c>
      <c r="I828" s="5" t="s">
        <v>63</v>
      </c>
      <c r="J828" s="5" t="s">
        <v>76</v>
      </c>
      <c r="K828" s="5" t="s">
        <v>309</v>
      </c>
      <c r="L828" s="6" t="n">
        <v>45224</v>
      </c>
      <c r="M828" s="5" t="s">
        <v>1783</v>
      </c>
      <c r="N828" s="6" t="n">
        <v>37271</v>
      </c>
      <c r="O828" s="5" t="s">
        <v>1264</v>
      </c>
      <c r="P828" s="5" t="s">
        <v>1559</v>
      </c>
      <c r="Q828" s="5" t="s">
        <v>195</v>
      </c>
      <c r="R828" s="5" t="s">
        <v>115</v>
      </c>
      <c r="S828" s="5" t="s">
        <v>195</v>
      </c>
      <c r="T828" s="6"/>
      <c r="U828" s="6"/>
      <c r="V828" s="5"/>
      <c r="W828" s="5"/>
      <c r="X828" s="5" t="s">
        <v>631</v>
      </c>
      <c r="Y828" s="5" t="s">
        <v>631</v>
      </c>
      <c r="Z828" s="5" t="s">
        <v>631</v>
      </c>
      <c r="AA828" s="5" t="s">
        <v>2664</v>
      </c>
      <c r="AB828" s="0" t="n">
        <f aca="false">IFERROR(VALUE(R828),0)</f>
        <v>0</v>
      </c>
      <c r="AC828" s="0" t="n">
        <f aca="false">IFERROR(VALUE(M828),"")</f>
        <v>24.4</v>
      </c>
      <c r="AD828" s="0" t="n">
        <f aca="false">IFERROR(VALUE(Q828),"")</f>
        <v>2.7</v>
      </c>
      <c r="AE828" s="0" t="n">
        <f aca="false">IFERROR(VALUE(S828),"")</f>
        <v>2.7</v>
      </c>
      <c r="AF828" s="0" t="str">
        <f aca="false">IF(V828="","",VLOOKUP(V828,Assumptions!$B$6:$C$9,2,FALSE()))</f>
        <v/>
      </c>
      <c r="AG828" s="0" t="str">
        <f aca="false">IF(W828="","",VLOOKUP(W828,Assumptions!$B$6:$C$9,2,FALSE()))</f>
        <v/>
      </c>
      <c r="AH828" s="0" t="n">
        <f aca="false">IF(X828="","",VLOOKUP(X828,Assumptions!$B$6:$C$9,2,FALSE()))</f>
        <v>2</v>
      </c>
      <c r="AI828" s="0" t="n">
        <f aca="false">IF(Y828="","",VLOOKUP(Y828,Assumptions!$B$6:$C$9,2,FALSE()))</f>
        <v>2</v>
      </c>
      <c r="AJ828" s="0" t="n">
        <f aca="false">IF(Z828="","",VLOOKUP(Z828,Assumptions!$B$6:$C$9,2,FALSE()))</f>
        <v>2</v>
      </c>
      <c r="AK828" s="7" t="n">
        <f aca="false">IFERROR(ROUND(AVERAGE(AF828:AJ828),3),"")</f>
        <v>2</v>
      </c>
      <c r="AL828" s="7" t="str">
        <f aca="false">IF(OR(AF828="",AJ828=""),"",AJ828-AF828)</f>
        <v/>
      </c>
      <c r="AM828" s="7" t="n">
        <f aca="false">IF(COUNT(AF828:AJ828)&gt;=2,ROUND(_xlfn.STDEV.S(AF828:AJ828),3),"")</f>
        <v>0</v>
      </c>
      <c r="AN828" s="7" t="n">
        <f aca="false">ROUND((IF(AF828="",0,AF828)*Assumptions!$F$15)+(IF(AG828="",0,AG828)*Assumptions!$F$16)+(IF(AH828="",0,AH828)*Assumptions!$F$17)+(IF(AI828="",0,AI828)*Assumptions!$F$18)+(IF(AJ828="",0,AJ828)*Assumptions!$F$19),3)</f>
        <v>1.5</v>
      </c>
      <c r="AO828" s="0" t="str">
        <f aca="false">IF(AC828&lt;=20,"",IF(AC828&lt;=Assumptions!$F$6,"20-30",IF(AC828&lt;=Assumptions!$F$7,"30-40",IF(AC828&lt;=Assumptions!$F$8,"40-50",IF(AC828&lt;=Assumptions!$F$9,"50-60",IF(AC828&lt;=Assumptions!$F$10,"60+",""))))))</f>
        <v>20-30</v>
      </c>
      <c r="AP828" s="0" t="str">
        <f aca="false">IFERROR(VLOOKUP(O828,Assumptions!$B$14:$C$26,2,FALSE()),"Other")</f>
        <v>Manager</v>
      </c>
      <c r="AQ828" s="0" t="n">
        <f aca="false">IF(T828="",0,1)</f>
        <v>0</v>
      </c>
      <c r="AR828" s="0" t="n">
        <f aca="false">IF(U828="",0,1)</f>
        <v>0</v>
      </c>
      <c r="AS828" s="8" t="n">
        <f aca="false">IF(AK828="","",IF(MAX($AK$2:$AK$921)=MIN($AK$2:$AK$921),50,ROUND((AK828-MIN($AK$2:$AK$921))/(MAX($AK$2:$AK$921)-MIN($AK$2:$AK$921))*100,2)))</f>
        <v>14.27</v>
      </c>
      <c r="AT828" s="8" t="n">
        <f aca="false">IF(MAX($BC$2:$BC$921)=MIN($BC$2:$BC$921),50,ROUND((BC828-MIN($BC$2:$BC$921))/(MAX($BC$2:$BC$921)-MIN($BC$2:$BC$921))*100,2))</f>
        <v>50</v>
      </c>
      <c r="AU828" s="8" t="n">
        <f aca="false">IF(MAX($BE$2:$BE$921)=MIN($BE$2:$BE$921),50,ROUND((BE828-MIN($BE$2:$BE$921))/(MAX($BE$2:$BE$921)-MIN($BE$2:$BE$921))*100,2))</f>
        <v>100</v>
      </c>
      <c r="AV828" s="8" t="n">
        <f aca="false">IF(MAX($AD$2:$AD$921)=MIN($AD$2:$AD$921),50,ROUND((AD828-MIN($AD$2:$AD$921))/(MAX($AD$2:$AD$921)-MIN($AD$2:$AD$921))*100,2))</f>
        <v>7.04</v>
      </c>
      <c r="AW828" s="8" t="n">
        <f aca="false">IF(MAX($AN$2:$AN$921)=MIN($AN$2:$AN$921),50,ROUND((AN828-MIN($AN$2:$AN$921))/(MAX($AN$2:$AN$921)-MIN($AN$2:$AN$921))*100,2))</f>
        <v>37.5</v>
      </c>
      <c r="AX828" s="8" t="n">
        <f aca="false">AQ828*100</f>
        <v>0</v>
      </c>
      <c r="AY828" s="8" t="n">
        <f aca="false">AR828*100</f>
        <v>0</v>
      </c>
      <c r="AZ828" s="8" t="n">
        <f aca="false">IFERROR(ROUND(AS828*Assumptions!$I$6+AW828*Assumptions!$I$7+AT828*Assumptions!$I$8+AU828*Assumptions!$I$9+AV828*Assumptions!$I$10+AX828*Assumptions!$I$11+AY828*Assumptions!$I$12,2),"")</f>
        <v>34.99</v>
      </c>
      <c r="BA828" s="0" t="str">
        <f aca="false">IF(AZ828="","",IF(AZ828&lt;=Assumptions!$I$18,"Below Expectation",IF(AZ828&lt;=Assumptions!$I$19,"Developing",IF(AZ828&lt;=Assumptions!$I$20,"Meets Expectation",IF(AZ828&lt;=Assumptions!$I$21,"Exceeds","Star Performer")))))</f>
        <v>Below Expectation</v>
      </c>
      <c r="BB828" s="0" t="n">
        <f aca="false">IF(AZ828="",0,IF(AZ828&gt;=Assumptions!$I$26,1,0))</f>
        <v>0</v>
      </c>
      <c r="BC828" s="9" t="n">
        <f aca="false">IF(AL828="",2,AL828+2)</f>
        <v>2</v>
      </c>
      <c r="BD828" s="10" t="n">
        <f aca="false">IF(AM828="",ROUND(AVERAGE($AM$2:$AM$921),3),AM828)</f>
        <v>0</v>
      </c>
      <c r="BE828" s="9" t="n">
        <f aca="false">1-BD828</f>
        <v>1</v>
      </c>
    </row>
    <row r="829" customFormat="false" ht="14.25" hidden="false" customHeight="false" outlineLevel="0" collapsed="false">
      <c r="A829" s="4" t="n">
        <v>784</v>
      </c>
      <c r="B829" s="5" t="n">
        <v>55086010</v>
      </c>
      <c r="C829" s="5" t="s">
        <v>106</v>
      </c>
      <c r="D829" s="5" t="s">
        <v>2665</v>
      </c>
      <c r="E829" s="5" t="s">
        <v>108</v>
      </c>
      <c r="F829" s="5" t="s">
        <v>590</v>
      </c>
      <c r="G829" s="5" t="s">
        <v>589</v>
      </c>
      <c r="H829" s="5" t="s">
        <v>590</v>
      </c>
      <c r="I829" s="5" t="s">
        <v>63</v>
      </c>
      <c r="J829" s="5" t="s">
        <v>112</v>
      </c>
      <c r="K829" s="5" t="s">
        <v>309</v>
      </c>
      <c r="L829" s="6" t="n">
        <v>45224</v>
      </c>
      <c r="M829" s="5" t="s">
        <v>134</v>
      </c>
      <c r="N829" s="6" t="n">
        <v>37175</v>
      </c>
      <c r="O829" s="5" t="s">
        <v>1264</v>
      </c>
      <c r="P829" s="5" t="s">
        <v>1559</v>
      </c>
      <c r="Q829" s="5" t="s">
        <v>195</v>
      </c>
      <c r="R829" s="5" t="s">
        <v>115</v>
      </c>
      <c r="S829" s="5" t="s">
        <v>195</v>
      </c>
      <c r="T829" s="6"/>
      <c r="U829" s="6"/>
      <c r="V829" s="5"/>
      <c r="W829" s="5"/>
      <c r="X829" s="5" t="s">
        <v>631</v>
      </c>
      <c r="Y829" s="5" t="s">
        <v>631</v>
      </c>
      <c r="Z829" s="5" t="s">
        <v>631</v>
      </c>
      <c r="AA829" s="5" t="s">
        <v>2232</v>
      </c>
      <c r="AB829" s="0" t="n">
        <f aca="false">IFERROR(VALUE(R829),0)</f>
        <v>0</v>
      </c>
      <c r="AC829" s="0" t="n">
        <f aca="false">IFERROR(VALUE(M829),"")</f>
        <v>24.7</v>
      </c>
      <c r="AD829" s="0" t="n">
        <f aca="false">IFERROR(VALUE(Q829),"")</f>
        <v>2.7</v>
      </c>
      <c r="AE829" s="0" t="n">
        <f aca="false">IFERROR(VALUE(S829),"")</f>
        <v>2.7</v>
      </c>
      <c r="AF829" s="0" t="str">
        <f aca="false">IF(V829="","",VLOOKUP(V829,Assumptions!$B$6:$C$9,2,FALSE()))</f>
        <v/>
      </c>
      <c r="AG829" s="0" t="str">
        <f aca="false">IF(W829="","",VLOOKUP(W829,Assumptions!$B$6:$C$9,2,FALSE()))</f>
        <v/>
      </c>
      <c r="AH829" s="0" t="n">
        <f aca="false">IF(X829="","",VLOOKUP(X829,Assumptions!$B$6:$C$9,2,FALSE()))</f>
        <v>2</v>
      </c>
      <c r="AI829" s="0" t="n">
        <f aca="false">IF(Y829="","",VLOOKUP(Y829,Assumptions!$B$6:$C$9,2,FALSE()))</f>
        <v>2</v>
      </c>
      <c r="AJ829" s="0" t="n">
        <f aca="false">IF(Z829="","",VLOOKUP(Z829,Assumptions!$B$6:$C$9,2,FALSE()))</f>
        <v>2</v>
      </c>
      <c r="AK829" s="7" t="n">
        <f aca="false">IFERROR(ROUND(AVERAGE(AF829:AJ829),3),"")</f>
        <v>2</v>
      </c>
      <c r="AL829" s="7" t="str">
        <f aca="false">IF(OR(AF829="",AJ829=""),"",AJ829-AF829)</f>
        <v/>
      </c>
      <c r="AM829" s="7" t="n">
        <f aca="false">IF(COUNT(AF829:AJ829)&gt;=2,ROUND(_xlfn.STDEV.S(AF829:AJ829),3),"")</f>
        <v>0</v>
      </c>
      <c r="AN829" s="7" t="n">
        <f aca="false">ROUND((IF(AF829="",0,AF829)*Assumptions!$F$15)+(IF(AG829="",0,AG829)*Assumptions!$F$16)+(IF(AH829="",0,AH829)*Assumptions!$F$17)+(IF(AI829="",0,AI829)*Assumptions!$F$18)+(IF(AJ829="",0,AJ829)*Assumptions!$F$19),3)</f>
        <v>1.5</v>
      </c>
      <c r="AO829" s="0" t="str">
        <f aca="false">IF(AC829&lt;=20,"",IF(AC829&lt;=Assumptions!$F$6,"20-30",IF(AC829&lt;=Assumptions!$F$7,"30-40",IF(AC829&lt;=Assumptions!$F$8,"40-50",IF(AC829&lt;=Assumptions!$F$9,"50-60",IF(AC829&lt;=Assumptions!$F$10,"60+",""))))))</f>
        <v>20-30</v>
      </c>
      <c r="AP829" s="0" t="str">
        <f aca="false">IFERROR(VLOOKUP(O829,Assumptions!$B$14:$C$26,2,FALSE()),"Other")</f>
        <v>Manager</v>
      </c>
      <c r="AQ829" s="0" t="n">
        <f aca="false">IF(T829="",0,1)</f>
        <v>0</v>
      </c>
      <c r="AR829" s="0" t="n">
        <f aca="false">IF(U829="",0,1)</f>
        <v>0</v>
      </c>
      <c r="AS829" s="8" t="n">
        <f aca="false">IF(AK829="","",IF(MAX($AK$2:$AK$921)=MIN($AK$2:$AK$921),50,ROUND((AK829-MIN($AK$2:$AK$921))/(MAX($AK$2:$AK$921)-MIN($AK$2:$AK$921))*100,2)))</f>
        <v>14.27</v>
      </c>
      <c r="AT829" s="8" t="n">
        <f aca="false">IF(MAX($BC$2:$BC$921)=MIN($BC$2:$BC$921),50,ROUND((BC829-MIN($BC$2:$BC$921))/(MAX($BC$2:$BC$921)-MIN($BC$2:$BC$921))*100,2))</f>
        <v>50</v>
      </c>
      <c r="AU829" s="8" t="n">
        <f aca="false">IF(MAX($BE$2:$BE$921)=MIN($BE$2:$BE$921),50,ROUND((BE829-MIN($BE$2:$BE$921))/(MAX($BE$2:$BE$921)-MIN($BE$2:$BE$921))*100,2))</f>
        <v>100</v>
      </c>
      <c r="AV829" s="8" t="n">
        <f aca="false">IF(MAX($AD$2:$AD$921)=MIN($AD$2:$AD$921),50,ROUND((AD829-MIN($AD$2:$AD$921))/(MAX($AD$2:$AD$921)-MIN($AD$2:$AD$921))*100,2))</f>
        <v>7.04</v>
      </c>
      <c r="AW829" s="8" t="n">
        <f aca="false">IF(MAX($AN$2:$AN$921)=MIN($AN$2:$AN$921),50,ROUND((AN829-MIN($AN$2:$AN$921))/(MAX($AN$2:$AN$921)-MIN($AN$2:$AN$921))*100,2))</f>
        <v>37.5</v>
      </c>
      <c r="AX829" s="8" t="n">
        <f aca="false">AQ829*100</f>
        <v>0</v>
      </c>
      <c r="AY829" s="8" t="n">
        <f aca="false">AR829*100</f>
        <v>0</v>
      </c>
      <c r="AZ829" s="8" t="n">
        <f aca="false">IFERROR(ROUND(AS829*Assumptions!$I$6+AW829*Assumptions!$I$7+AT829*Assumptions!$I$8+AU829*Assumptions!$I$9+AV829*Assumptions!$I$10+AX829*Assumptions!$I$11+AY829*Assumptions!$I$12,2),"")</f>
        <v>34.99</v>
      </c>
      <c r="BA829" s="0" t="str">
        <f aca="false">IF(AZ829="","",IF(AZ829&lt;=Assumptions!$I$18,"Below Expectation",IF(AZ829&lt;=Assumptions!$I$19,"Developing",IF(AZ829&lt;=Assumptions!$I$20,"Meets Expectation",IF(AZ829&lt;=Assumptions!$I$21,"Exceeds","Star Performer")))))</f>
        <v>Below Expectation</v>
      </c>
      <c r="BB829" s="0" t="n">
        <f aca="false">IF(AZ829="",0,IF(AZ829&gt;=Assumptions!$I$26,1,0))</f>
        <v>0</v>
      </c>
      <c r="BC829" s="9" t="n">
        <f aca="false">IF(AL829="",2,AL829+2)</f>
        <v>2</v>
      </c>
      <c r="BD829" s="10" t="n">
        <f aca="false">IF(AM829="",ROUND(AVERAGE($AM$2:$AM$921),3),AM829)</f>
        <v>0</v>
      </c>
      <c r="BE829" s="9" t="n">
        <f aca="false">1-BD829</f>
        <v>1</v>
      </c>
    </row>
    <row r="830" customFormat="false" ht="14.25" hidden="true" customHeight="false" outlineLevel="0" collapsed="false">
      <c r="A830" s="4" t="n">
        <v>790</v>
      </c>
      <c r="B830" s="5" t="n">
        <v>55086067</v>
      </c>
      <c r="C830" s="5" t="s">
        <v>666</v>
      </c>
      <c r="D830" s="5" t="s">
        <v>2666</v>
      </c>
      <c r="E830" s="5" t="s">
        <v>841</v>
      </c>
      <c r="F830" s="5" t="s">
        <v>465</v>
      </c>
      <c r="G830" s="5" t="s">
        <v>464</v>
      </c>
      <c r="H830" s="5" t="s">
        <v>465</v>
      </c>
      <c r="I830" s="5" t="s">
        <v>63</v>
      </c>
      <c r="J830" s="5" t="s">
        <v>100</v>
      </c>
      <c r="K830" s="5" t="s">
        <v>309</v>
      </c>
      <c r="L830" s="6" t="n">
        <v>45224</v>
      </c>
      <c r="M830" s="5" t="s">
        <v>165</v>
      </c>
      <c r="N830" s="6" t="n">
        <v>37033</v>
      </c>
      <c r="O830" s="5" t="s">
        <v>585</v>
      </c>
      <c r="P830" s="5" t="s">
        <v>586</v>
      </c>
      <c r="Q830" s="5" t="s">
        <v>195</v>
      </c>
      <c r="R830" s="5" t="s">
        <v>115</v>
      </c>
      <c r="S830" s="5" t="s">
        <v>195</v>
      </c>
      <c r="T830" s="6"/>
      <c r="U830" s="6"/>
      <c r="V830" s="5"/>
      <c r="W830" s="5"/>
      <c r="X830" s="5" t="s">
        <v>631</v>
      </c>
      <c r="Y830" s="5" t="s">
        <v>631</v>
      </c>
      <c r="Z830" s="5" t="s">
        <v>631</v>
      </c>
      <c r="AA830" s="5" t="s">
        <v>2667</v>
      </c>
      <c r="AB830" s="0" t="n">
        <f aca="false">IFERROR(VALUE(R830),0)</f>
        <v>0</v>
      </c>
      <c r="AC830" s="0" t="n">
        <f aca="false">IFERROR(VALUE(M830),"")</f>
        <v>25</v>
      </c>
      <c r="AD830" s="0" t="n">
        <f aca="false">IFERROR(VALUE(Q830),"")</f>
        <v>2.7</v>
      </c>
      <c r="AE830" s="0" t="n">
        <f aca="false">IFERROR(VALUE(S830),"")</f>
        <v>2.7</v>
      </c>
      <c r="AF830" s="0" t="str">
        <f aca="false">IF(V830="","",VLOOKUP(V830,Assumptions!$B$6:$C$9,2,FALSE()))</f>
        <v/>
      </c>
      <c r="AG830" s="0" t="str">
        <f aca="false">IF(W830="","",VLOOKUP(W830,Assumptions!$B$6:$C$9,2,FALSE()))</f>
        <v/>
      </c>
      <c r="AH830" s="0" t="n">
        <f aca="false">IF(X830="","",VLOOKUP(X830,Assumptions!$B$6:$C$9,2,FALSE()))</f>
        <v>2</v>
      </c>
      <c r="AI830" s="0" t="n">
        <f aca="false">IF(Y830="","",VLOOKUP(Y830,Assumptions!$B$6:$C$9,2,FALSE()))</f>
        <v>2</v>
      </c>
      <c r="AJ830" s="0" t="n">
        <f aca="false">IF(Z830="","",VLOOKUP(Z830,Assumptions!$B$6:$C$9,2,FALSE()))</f>
        <v>2</v>
      </c>
      <c r="AK830" s="7" t="n">
        <f aca="false">IFERROR(ROUND(AVERAGE(AF830:AJ830),3),"")</f>
        <v>2</v>
      </c>
      <c r="AL830" s="7" t="str">
        <f aca="false">IF(OR(AF830="",AJ830=""),"",AJ830-AF830)</f>
        <v/>
      </c>
      <c r="AM830" s="7" t="n">
        <f aca="false">IF(COUNT(AF830:AJ830)&gt;=2,ROUND(_xlfn.STDEV.S(AF830:AJ830),3),"")</f>
        <v>0</v>
      </c>
      <c r="AN830" s="7" t="n">
        <f aca="false">ROUND((IF(AF830="",0,AF830)*Assumptions!$F$15)+(IF(AG830="",0,AG830)*Assumptions!$F$16)+(IF(AH830="",0,AH830)*Assumptions!$F$17)+(IF(AI830="",0,AI830)*Assumptions!$F$18)+(IF(AJ830="",0,AJ830)*Assumptions!$F$19),3)</f>
        <v>1.5</v>
      </c>
      <c r="AO830" s="0" t="str">
        <f aca="false">IF(AC830&lt;=20,"",IF(AC830&lt;=Assumptions!$F$6,"20-30",IF(AC830&lt;=Assumptions!$F$7,"30-40",IF(AC830&lt;=Assumptions!$F$8,"40-50",IF(AC830&lt;=Assumptions!$F$9,"50-60",IF(AC830&lt;=Assumptions!$F$10,"60+",""))))))</f>
        <v>20-30</v>
      </c>
      <c r="AP830" s="0" t="str">
        <f aca="false">IFERROR(VLOOKUP(O830,Assumptions!$B$14:$C$26,2,FALSE()),"Other")</f>
        <v>Manager</v>
      </c>
      <c r="AQ830" s="0" t="n">
        <f aca="false">IF(T830="",0,1)</f>
        <v>0</v>
      </c>
      <c r="AR830" s="0" t="n">
        <f aca="false">IF(U830="",0,1)</f>
        <v>0</v>
      </c>
      <c r="AS830" s="8" t="n">
        <f aca="false">IF(AK830="","",IF(MAX($AK$2:$AK$921)=MIN($AK$2:$AK$921),50,ROUND((AK830-MIN($AK$2:$AK$921))/(MAX($AK$2:$AK$921)-MIN($AK$2:$AK$921))*100,2)))</f>
        <v>14.27</v>
      </c>
      <c r="AT830" s="8" t="n">
        <f aca="false">IF(MAX($BC$2:$BC$921)=MIN($BC$2:$BC$921),50,ROUND((BC830-MIN($BC$2:$BC$921))/(MAX($BC$2:$BC$921)-MIN($BC$2:$BC$921))*100,2))</f>
        <v>50</v>
      </c>
      <c r="AU830" s="8" t="n">
        <f aca="false">IF(MAX($BE$2:$BE$921)=MIN($BE$2:$BE$921),50,ROUND((BE830-MIN($BE$2:$BE$921))/(MAX($BE$2:$BE$921)-MIN($BE$2:$BE$921))*100,2))</f>
        <v>100</v>
      </c>
      <c r="AV830" s="8" t="n">
        <f aca="false">IF(MAX($AD$2:$AD$921)=MIN($AD$2:$AD$921),50,ROUND((AD830-MIN($AD$2:$AD$921))/(MAX($AD$2:$AD$921)-MIN($AD$2:$AD$921))*100,2))</f>
        <v>7.04</v>
      </c>
      <c r="AW830" s="8" t="n">
        <f aca="false">IF(MAX($AN$2:$AN$921)=MIN($AN$2:$AN$921),50,ROUND((AN830-MIN($AN$2:$AN$921))/(MAX($AN$2:$AN$921)-MIN($AN$2:$AN$921))*100,2))</f>
        <v>37.5</v>
      </c>
      <c r="AX830" s="8" t="n">
        <f aca="false">AQ830*100</f>
        <v>0</v>
      </c>
      <c r="AY830" s="8" t="n">
        <f aca="false">AR830*100</f>
        <v>0</v>
      </c>
      <c r="AZ830" s="8" t="n">
        <f aca="false">IFERROR(ROUND(AS830*Assumptions!$I$6+AW830*Assumptions!$I$7+AT830*Assumptions!$I$8+AU830*Assumptions!$I$9+AV830*Assumptions!$I$10+AX830*Assumptions!$I$11+AY830*Assumptions!$I$12,2),"")</f>
        <v>34.99</v>
      </c>
      <c r="BA830" s="0" t="str">
        <f aca="false">IF(AZ830="","",IF(AZ830&lt;=Assumptions!$I$18,"Below Expectation",IF(AZ830&lt;=Assumptions!$I$19,"Developing",IF(AZ830&lt;=Assumptions!$I$20,"Meets Expectation",IF(AZ830&lt;=Assumptions!$I$21,"Exceeds","Star Performer")))))</f>
        <v>Below Expectation</v>
      </c>
      <c r="BB830" s="0" t="n">
        <f aca="false">IF(AZ830="",0,IF(AZ830&gt;=Assumptions!$I$26,1,0))</f>
        <v>0</v>
      </c>
      <c r="BC830" s="9" t="n">
        <f aca="false">IF(AL830="",2,AL830+2)</f>
        <v>2</v>
      </c>
      <c r="BD830" s="10" t="n">
        <f aca="false">IF(AM830="",ROUND(AVERAGE($AM$2:$AM$921),3),AM830)</f>
        <v>0</v>
      </c>
      <c r="BE830" s="9" t="n">
        <f aca="false">1-BD830</f>
        <v>1</v>
      </c>
    </row>
    <row r="831" customFormat="false" ht="14.25" hidden="false" customHeight="false" outlineLevel="0" collapsed="false">
      <c r="A831" s="4" t="n">
        <v>794</v>
      </c>
      <c r="B831" s="5" t="n">
        <v>55086240</v>
      </c>
      <c r="C831" s="5" t="s">
        <v>106</v>
      </c>
      <c r="D831" s="5" t="s">
        <v>2668</v>
      </c>
      <c r="E831" s="5" t="s">
        <v>108</v>
      </c>
      <c r="F831" s="5" t="s">
        <v>590</v>
      </c>
      <c r="G831" s="5" t="s">
        <v>589</v>
      </c>
      <c r="H831" s="5" t="s">
        <v>590</v>
      </c>
      <c r="I831" s="5" t="s">
        <v>63</v>
      </c>
      <c r="J831" s="5" t="s">
        <v>112</v>
      </c>
      <c r="K831" s="5" t="s">
        <v>309</v>
      </c>
      <c r="L831" s="6" t="n">
        <v>45224</v>
      </c>
      <c r="M831" s="5" t="s">
        <v>230</v>
      </c>
      <c r="N831" s="6" t="n">
        <v>36910</v>
      </c>
      <c r="O831" s="5" t="s">
        <v>1264</v>
      </c>
      <c r="P831" s="5" t="s">
        <v>1559</v>
      </c>
      <c r="Q831" s="5" t="s">
        <v>195</v>
      </c>
      <c r="R831" s="5" t="s">
        <v>115</v>
      </c>
      <c r="S831" s="5" t="s">
        <v>195</v>
      </c>
      <c r="T831" s="6"/>
      <c r="U831" s="6"/>
      <c r="V831" s="5"/>
      <c r="W831" s="5"/>
      <c r="X831" s="5" t="s">
        <v>631</v>
      </c>
      <c r="Y831" s="5" t="s">
        <v>631</v>
      </c>
      <c r="Z831" s="5" t="s">
        <v>631</v>
      </c>
      <c r="AA831" s="5" t="s">
        <v>2669</v>
      </c>
      <c r="AB831" s="0" t="n">
        <f aca="false">IFERROR(VALUE(R831),0)</f>
        <v>0</v>
      </c>
      <c r="AC831" s="0" t="n">
        <f aca="false">IFERROR(VALUE(M831),"")</f>
        <v>25.4</v>
      </c>
      <c r="AD831" s="0" t="n">
        <f aca="false">IFERROR(VALUE(Q831),"")</f>
        <v>2.7</v>
      </c>
      <c r="AE831" s="0" t="n">
        <f aca="false">IFERROR(VALUE(S831),"")</f>
        <v>2.7</v>
      </c>
      <c r="AF831" s="0" t="str">
        <f aca="false">IF(V831="","",VLOOKUP(V831,Assumptions!$B$6:$C$9,2,FALSE()))</f>
        <v/>
      </c>
      <c r="AG831" s="0" t="str">
        <f aca="false">IF(W831="","",VLOOKUP(W831,Assumptions!$B$6:$C$9,2,FALSE()))</f>
        <v/>
      </c>
      <c r="AH831" s="0" t="n">
        <f aca="false">IF(X831="","",VLOOKUP(X831,Assumptions!$B$6:$C$9,2,FALSE()))</f>
        <v>2</v>
      </c>
      <c r="AI831" s="0" t="n">
        <f aca="false">IF(Y831="","",VLOOKUP(Y831,Assumptions!$B$6:$C$9,2,FALSE()))</f>
        <v>2</v>
      </c>
      <c r="AJ831" s="0" t="n">
        <f aca="false">IF(Z831="","",VLOOKUP(Z831,Assumptions!$B$6:$C$9,2,FALSE()))</f>
        <v>2</v>
      </c>
      <c r="AK831" s="7" t="n">
        <f aca="false">IFERROR(ROUND(AVERAGE(AF831:AJ831),3),"")</f>
        <v>2</v>
      </c>
      <c r="AL831" s="7" t="str">
        <f aca="false">IF(OR(AF831="",AJ831=""),"",AJ831-AF831)</f>
        <v/>
      </c>
      <c r="AM831" s="7" t="n">
        <f aca="false">IF(COUNT(AF831:AJ831)&gt;=2,ROUND(_xlfn.STDEV.S(AF831:AJ831),3),"")</f>
        <v>0</v>
      </c>
      <c r="AN831" s="7" t="n">
        <f aca="false">ROUND((IF(AF831="",0,AF831)*Assumptions!$F$15)+(IF(AG831="",0,AG831)*Assumptions!$F$16)+(IF(AH831="",0,AH831)*Assumptions!$F$17)+(IF(AI831="",0,AI831)*Assumptions!$F$18)+(IF(AJ831="",0,AJ831)*Assumptions!$F$19),3)</f>
        <v>1.5</v>
      </c>
      <c r="AO831" s="0" t="str">
        <f aca="false">IF(AC831&lt;=20,"",IF(AC831&lt;=Assumptions!$F$6,"20-30",IF(AC831&lt;=Assumptions!$F$7,"30-40",IF(AC831&lt;=Assumptions!$F$8,"40-50",IF(AC831&lt;=Assumptions!$F$9,"50-60",IF(AC831&lt;=Assumptions!$F$10,"60+",""))))))</f>
        <v>20-30</v>
      </c>
      <c r="AP831" s="0" t="str">
        <f aca="false">IFERROR(VLOOKUP(O831,Assumptions!$B$14:$C$26,2,FALSE()),"Other")</f>
        <v>Manager</v>
      </c>
      <c r="AQ831" s="0" t="n">
        <f aca="false">IF(T831="",0,1)</f>
        <v>0</v>
      </c>
      <c r="AR831" s="0" t="n">
        <f aca="false">IF(U831="",0,1)</f>
        <v>0</v>
      </c>
      <c r="AS831" s="8" t="n">
        <f aca="false">IF(AK831="","",IF(MAX($AK$2:$AK$921)=MIN($AK$2:$AK$921),50,ROUND((AK831-MIN($AK$2:$AK$921))/(MAX($AK$2:$AK$921)-MIN($AK$2:$AK$921))*100,2)))</f>
        <v>14.27</v>
      </c>
      <c r="AT831" s="8" t="n">
        <f aca="false">IF(MAX($BC$2:$BC$921)=MIN($BC$2:$BC$921),50,ROUND((BC831-MIN($BC$2:$BC$921))/(MAX($BC$2:$BC$921)-MIN($BC$2:$BC$921))*100,2))</f>
        <v>50</v>
      </c>
      <c r="AU831" s="8" t="n">
        <f aca="false">IF(MAX($BE$2:$BE$921)=MIN($BE$2:$BE$921),50,ROUND((BE831-MIN($BE$2:$BE$921))/(MAX($BE$2:$BE$921)-MIN($BE$2:$BE$921))*100,2))</f>
        <v>100</v>
      </c>
      <c r="AV831" s="8" t="n">
        <f aca="false">IF(MAX($AD$2:$AD$921)=MIN($AD$2:$AD$921),50,ROUND((AD831-MIN($AD$2:$AD$921))/(MAX($AD$2:$AD$921)-MIN($AD$2:$AD$921))*100,2))</f>
        <v>7.04</v>
      </c>
      <c r="AW831" s="8" t="n">
        <f aca="false">IF(MAX($AN$2:$AN$921)=MIN($AN$2:$AN$921),50,ROUND((AN831-MIN($AN$2:$AN$921))/(MAX($AN$2:$AN$921)-MIN($AN$2:$AN$921))*100,2))</f>
        <v>37.5</v>
      </c>
      <c r="AX831" s="8" t="n">
        <f aca="false">AQ831*100</f>
        <v>0</v>
      </c>
      <c r="AY831" s="8" t="n">
        <f aca="false">AR831*100</f>
        <v>0</v>
      </c>
      <c r="AZ831" s="8" t="n">
        <f aca="false">IFERROR(ROUND(AS831*Assumptions!$I$6+AW831*Assumptions!$I$7+AT831*Assumptions!$I$8+AU831*Assumptions!$I$9+AV831*Assumptions!$I$10+AX831*Assumptions!$I$11+AY831*Assumptions!$I$12,2),"")</f>
        <v>34.99</v>
      </c>
      <c r="BA831" s="0" t="str">
        <f aca="false">IF(AZ831="","",IF(AZ831&lt;=Assumptions!$I$18,"Below Expectation",IF(AZ831&lt;=Assumptions!$I$19,"Developing",IF(AZ831&lt;=Assumptions!$I$20,"Meets Expectation",IF(AZ831&lt;=Assumptions!$I$21,"Exceeds","Star Performer")))))</f>
        <v>Below Expectation</v>
      </c>
      <c r="BB831" s="0" t="n">
        <f aca="false">IF(AZ831="",0,IF(AZ831&gt;=Assumptions!$I$26,1,0))</f>
        <v>0</v>
      </c>
      <c r="BC831" s="9" t="n">
        <f aca="false">IF(AL831="",2,AL831+2)</f>
        <v>2</v>
      </c>
      <c r="BD831" s="10" t="n">
        <f aca="false">IF(AM831="",ROUND(AVERAGE($AM$2:$AM$921),3),AM831)</f>
        <v>0</v>
      </c>
      <c r="BE831" s="9" t="n">
        <f aca="false">1-BD831</f>
        <v>1</v>
      </c>
    </row>
    <row r="832" customFormat="false" ht="14.25" hidden="true" customHeight="false" outlineLevel="0" collapsed="false">
      <c r="A832" s="4" t="n">
        <v>799</v>
      </c>
      <c r="B832" s="5" t="n">
        <v>55086291</v>
      </c>
      <c r="C832" s="5" t="s">
        <v>666</v>
      </c>
      <c r="D832" s="5" t="s">
        <v>2670</v>
      </c>
      <c r="E832" s="5" t="s">
        <v>841</v>
      </c>
      <c r="F832" s="5" t="s">
        <v>465</v>
      </c>
      <c r="G832" s="5" t="s">
        <v>464</v>
      </c>
      <c r="H832" s="5" t="s">
        <v>465</v>
      </c>
      <c r="I832" s="5" t="s">
        <v>63</v>
      </c>
      <c r="J832" s="5" t="s">
        <v>100</v>
      </c>
      <c r="K832" s="5" t="s">
        <v>309</v>
      </c>
      <c r="L832" s="6" t="n">
        <v>45224</v>
      </c>
      <c r="M832" s="5" t="s">
        <v>1690</v>
      </c>
      <c r="N832" s="6" t="n">
        <v>36546</v>
      </c>
      <c r="O832" s="5" t="s">
        <v>585</v>
      </c>
      <c r="P832" s="5" t="s">
        <v>586</v>
      </c>
      <c r="Q832" s="5" t="s">
        <v>195</v>
      </c>
      <c r="R832" s="5" t="s">
        <v>115</v>
      </c>
      <c r="S832" s="5" t="s">
        <v>195</v>
      </c>
      <c r="T832" s="6"/>
      <c r="U832" s="6"/>
      <c r="V832" s="5"/>
      <c r="W832" s="5"/>
      <c r="X832" s="5" t="s">
        <v>631</v>
      </c>
      <c r="Y832" s="5" t="s">
        <v>631</v>
      </c>
      <c r="Z832" s="5" t="s">
        <v>631</v>
      </c>
      <c r="AA832" s="5" t="s">
        <v>2671</v>
      </c>
      <c r="AB832" s="0" t="n">
        <f aca="false">IFERROR(VALUE(R832),0)</f>
        <v>0</v>
      </c>
      <c r="AC832" s="0" t="n">
        <f aca="false">IFERROR(VALUE(M832),"")</f>
        <v>26.4</v>
      </c>
      <c r="AD832" s="0" t="n">
        <f aca="false">IFERROR(VALUE(Q832),"")</f>
        <v>2.7</v>
      </c>
      <c r="AE832" s="0" t="n">
        <f aca="false">IFERROR(VALUE(S832),"")</f>
        <v>2.7</v>
      </c>
      <c r="AF832" s="0" t="str">
        <f aca="false">IF(V832="","",VLOOKUP(V832,Assumptions!$B$6:$C$9,2,FALSE()))</f>
        <v/>
      </c>
      <c r="AG832" s="0" t="str">
        <f aca="false">IF(W832="","",VLOOKUP(W832,Assumptions!$B$6:$C$9,2,FALSE()))</f>
        <v/>
      </c>
      <c r="AH832" s="0" t="n">
        <f aca="false">IF(X832="","",VLOOKUP(X832,Assumptions!$B$6:$C$9,2,FALSE()))</f>
        <v>2</v>
      </c>
      <c r="AI832" s="0" t="n">
        <f aca="false">IF(Y832="","",VLOOKUP(Y832,Assumptions!$B$6:$C$9,2,FALSE()))</f>
        <v>2</v>
      </c>
      <c r="AJ832" s="0" t="n">
        <f aca="false">IF(Z832="","",VLOOKUP(Z832,Assumptions!$B$6:$C$9,2,FALSE()))</f>
        <v>2</v>
      </c>
      <c r="AK832" s="7" t="n">
        <f aca="false">IFERROR(ROUND(AVERAGE(AF832:AJ832),3),"")</f>
        <v>2</v>
      </c>
      <c r="AL832" s="7" t="str">
        <f aca="false">IF(OR(AF832="",AJ832=""),"",AJ832-AF832)</f>
        <v/>
      </c>
      <c r="AM832" s="7" t="n">
        <f aca="false">IF(COUNT(AF832:AJ832)&gt;=2,ROUND(_xlfn.STDEV.S(AF832:AJ832),3),"")</f>
        <v>0</v>
      </c>
      <c r="AN832" s="7" t="n">
        <f aca="false">ROUND((IF(AF832="",0,AF832)*Assumptions!$F$15)+(IF(AG832="",0,AG832)*Assumptions!$F$16)+(IF(AH832="",0,AH832)*Assumptions!$F$17)+(IF(AI832="",0,AI832)*Assumptions!$F$18)+(IF(AJ832="",0,AJ832)*Assumptions!$F$19),3)</f>
        <v>1.5</v>
      </c>
      <c r="AO832" s="0" t="str">
        <f aca="false">IF(AC832&lt;=20,"",IF(AC832&lt;=Assumptions!$F$6,"20-30",IF(AC832&lt;=Assumptions!$F$7,"30-40",IF(AC832&lt;=Assumptions!$F$8,"40-50",IF(AC832&lt;=Assumptions!$F$9,"50-60",IF(AC832&lt;=Assumptions!$F$10,"60+",""))))))</f>
        <v>20-30</v>
      </c>
      <c r="AP832" s="0" t="str">
        <f aca="false">IFERROR(VLOOKUP(O832,Assumptions!$B$14:$C$26,2,FALSE()),"Other")</f>
        <v>Manager</v>
      </c>
      <c r="AQ832" s="0" t="n">
        <f aca="false">IF(T832="",0,1)</f>
        <v>0</v>
      </c>
      <c r="AR832" s="0" t="n">
        <f aca="false">IF(U832="",0,1)</f>
        <v>0</v>
      </c>
      <c r="AS832" s="8" t="n">
        <f aca="false">IF(AK832="","",IF(MAX($AK$2:$AK$921)=MIN($AK$2:$AK$921),50,ROUND((AK832-MIN($AK$2:$AK$921))/(MAX($AK$2:$AK$921)-MIN($AK$2:$AK$921))*100,2)))</f>
        <v>14.27</v>
      </c>
      <c r="AT832" s="8" t="n">
        <f aca="false">IF(MAX($BC$2:$BC$921)=MIN($BC$2:$BC$921),50,ROUND((BC832-MIN($BC$2:$BC$921))/(MAX($BC$2:$BC$921)-MIN($BC$2:$BC$921))*100,2))</f>
        <v>50</v>
      </c>
      <c r="AU832" s="8" t="n">
        <f aca="false">IF(MAX($BE$2:$BE$921)=MIN($BE$2:$BE$921),50,ROUND((BE832-MIN($BE$2:$BE$921))/(MAX($BE$2:$BE$921)-MIN($BE$2:$BE$921))*100,2))</f>
        <v>100</v>
      </c>
      <c r="AV832" s="8" t="n">
        <f aca="false">IF(MAX($AD$2:$AD$921)=MIN($AD$2:$AD$921),50,ROUND((AD832-MIN($AD$2:$AD$921))/(MAX($AD$2:$AD$921)-MIN($AD$2:$AD$921))*100,2))</f>
        <v>7.04</v>
      </c>
      <c r="AW832" s="8" t="n">
        <f aca="false">IF(MAX($AN$2:$AN$921)=MIN($AN$2:$AN$921),50,ROUND((AN832-MIN($AN$2:$AN$921))/(MAX($AN$2:$AN$921)-MIN($AN$2:$AN$921))*100,2))</f>
        <v>37.5</v>
      </c>
      <c r="AX832" s="8" t="n">
        <f aca="false">AQ832*100</f>
        <v>0</v>
      </c>
      <c r="AY832" s="8" t="n">
        <f aca="false">AR832*100</f>
        <v>0</v>
      </c>
      <c r="AZ832" s="8" t="n">
        <f aca="false">IFERROR(ROUND(AS832*Assumptions!$I$6+AW832*Assumptions!$I$7+AT832*Assumptions!$I$8+AU832*Assumptions!$I$9+AV832*Assumptions!$I$10+AX832*Assumptions!$I$11+AY832*Assumptions!$I$12,2),"")</f>
        <v>34.99</v>
      </c>
      <c r="BA832" s="0" t="str">
        <f aca="false">IF(AZ832="","",IF(AZ832&lt;=Assumptions!$I$18,"Below Expectation",IF(AZ832&lt;=Assumptions!$I$19,"Developing",IF(AZ832&lt;=Assumptions!$I$20,"Meets Expectation",IF(AZ832&lt;=Assumptions!$I$21,"Exceeds","Star Performer")))))</f>
        <v>Below Expectation</v>
      </c>
      <c r="BB832" s="0" t="n">
        <f aca="false">IF(AZ832="",0,IF(AZ832&gt;=Assumptions!$I$26,1,0))</f>
        <v>0</v>
      </c>
      <c r="BC832" s="9" t="n">
        <f aca="false">IF(AL832="",2,AL832+2)</f>
        <v>2</v>
      </c>
      <c r="BD832" s="10" t="n">
        <f aca="false">IF(AM832="",ROUND(AVERAGE($AM$2:$AM$921),3),AM832)</f>
        <v>0</v>
      </c>
      <c r="BE832" s="9" t="n">
        <f aca="false">1-BD832</f>
        <v>1</v>
      </c>
    </row>
    <row r="833" customFormat="false" ht="14.25" hidden="true" customHeight="false" outlineLevel="0" collapsed="false">
      <c r="A833" s="4" t="n">
        <v>802</v>
      </c>
      <c r="B833" s="5" t="n">
        <v>55086337</v>
      </c>
      <c r="C833" s="5" t="s">
        <v>85</v>
      </c>
      <c r="D833" s="5" t="s">
        <v>2672</v>
      </c>
      <c r="E833" s="5" t="s">
        <v>339</v>
      </c>
      <c r="F833" s="5" t="s">
        <v>590</v>
      </c>
      <c r="G833" s="5" t="s">
        <v>589</v>
      </c>
      <c r="H833" s="5" t="s">
        <v>590</v>
      </c>
      <c r="I833" s="5" t="s">
        <v>63</v>
      </c>
      <c r="J833" s="5" t="s">
        <v>76</v>
      </c>
      <c r="K833" s="5" t="s">
        <v>309</v>
      </c>
      <c r="L833" s="6" t="n">
        <v>45224</v>
      </c>
      <c r="M833" s="5" t="s">
        <v>242</v>
      </c>
      <c r="N833" s="6" t="n">
        <v>36397</v>
      </c>
      <c r="O833" s="5" t="s">
        <v>1264</v>
      </c>
      <c r="P833" s="5" t="s">
        <v>1559</v>
      </c>
      <c r="Q833" s="5" t="s">
        <v>195</v>
      </c>
      <c r="R833" s="5" t="s">
        <v>115</v>
      </c>
      <c r="S833" s="5" t="s">
        <v>195</v>
      </c>
      <c r="T833" s="6"/>
      <c r="U833" s="6"/>
      <c r="V833" s="5"/>
      <c r="W833" s="5"/>
      <c r="X833" s="5" t="s">
        <v>631</v>
      </c>
      <c r="Y833" s="5" t="s">
        <v>631</v>
      </c>
      <c r="Z833" s="5" t="s">
        <v>631</v>
      </c>
      <c r="AA833" s="5" t="s">
        <v>2673</v>
      </c>
      <c r="AB833" s="0" t="n">
        <f aca="false">IFERROR(VALUE(R833),0)</f>
        <v>0</v>
      </c>
      <c r="AC833" s="0" t="n">
        <f aca="false">IFERROR(VALUE(M833),"")</f>
        <v>26.9</v>
      </c>
      <c r="AD833" s="0" t="n">
        <f aca="false">IFERROR(VALUE(Q833),"")</f>
        <v>2.7</v>
      </c>
      <c r="AE833" s="0" t="n">
        <f aca="false">IFERROR(VALUE(S833),"")</f>
        <v>2.7</v>
      </c>
      <c r="AF833" s="0" t="str">
        <f aca="false">IF(V833="","",VLOOKUP(V833,Assumptions!$B$6:$C$9,2,FALSE()))</f>
        <v/>
      </c>
      <c r="AG833" s="0" t="str">
        <f aca="false">IF(W833="","",VLOOKUP(W833,Assumptions!$B$6:$C$9,2,FALSE()))</f>
        <v/>
      </c>
      <c r="AH833" s="0" t="n">
        <f aca="false">IF(X833="","",VLOOKUP(X833,Assumptions!$B$6:$C$9,2,FALSE()))</f>
        <v>2</v>
      </c>
      <c r="AI833" s="0" t="n">
        <f aca="false">IF(Y833="","",VLOOKUP(Y833,Assumptions!$B$6:$C$9,2,FALSE()))</f>
        <v>2</v>
      </c>
      <c r="AJ833" s="0" t="n">
        <f aca="false">IF(Z833="","",VLOOKUP(Z833,Assumptions!$B$6:$C$9,2,FALSE()))</f>
        <v>2</v>
      </c>
      <c r="AK833" s="7" t="n">
        <f aca="false">IFERROR(ROUND(AVERAGE(AF833:AJ833),3),"")</f>
        <v>2</v>
      </c>
      <c r="AL833" s="7" t="str">
        <f aca="false">IF(OR(AF833="",AJ833=""),"",AJ833-AF833)</f>
        <v/>
      </c>
      <c r="AM833" s="7" t="n">
        <f aca="false">IF(COUNT(AF833:AJ833)&gt;=2,ROUND(_xlfn.STDEV.S(AF833:AJ833),3),"")</f>
        <v>0</v>
      </c>
      <c r="AN833" s="7" t="n">
        <f aca="false">ROUND((IF(AF833="",0,AF833)*Assumptions!$F$15)+(IF(AG833="",0,AG833)*Assumptions!$F$16)+(IF(AH833="",0,AH833)*Assumptions!$F$17)+(IF(AI833="",0,AI833)*Assumptions!$F$18)+(IF(AJ833="",0,AJ833)*Assumptions!$F$19),3)</f>
        <v>1.5</v>
      </c>
      <c r="AO833" s="0" t="str">
        <f aca="false">IF(AC833&lt;=20,"",IF(AC833&lt;=Assumptions!$F$6,"20-30",IF(AC833&lt;=Assumptions!$F$7,"30-40",IF(AC833&lt;=Assumptions!$F$8,"40-50",IF(AC833&lt;=Assumptions!$F$9,"50-60",IF(AC833&lt;=Assumptions!$F$10,"60+",""))))))</f>
        <v>20-30</v>
      </c>
      <c r="AP833" s="0" t="str">
        <f aca="false">IFERROR(VLOOKUP(O833,Assumptions!$B$14:$C$26,2,FALSE()),"Other")</f>
        <v>Manager</v>
      </c>
      <c r="AQ833" s="0" t="n">
        <f aca="false">IF(T833="",0,1)</f>
        <v>0</v>
      </c>
      <c r="AR833" s="0" t="n">
        <f aca="false">IF(U833="",0,1)</f>
        <v>0</v>
      </c>
      <c r="AS833" s="8" t="n">
        <f aca="false">IF(AK833="","",IF(MAX($AK$2:$AK$921)=MIN($AK$2:$AK$921),50,ROUND((AK833-MIN($AK$2:$AK$921))/(MAX($AK$2:$AK$921)-MIN($AK$2:$AK$921))*100,2)))</f>
        <v>14.27</v>
      </c>
      <c r="AT833" s="8" t="n">
        <f aca="false">IF(MAX($BC$2:$BC$921)=MIN($BC$2:$BC$921),50,ROUND((BC833-MIN($BC$2:$BC$921))/(MAX($BC$2:$BC$921)-MIN($BC$2:$BC$921))*100,2))</f>
        <v>50</v>
      </c>
      <c r="AU833" s="8" t="n">
        <f aca="false">IF(MAX($BE$2:$BE$921)=MIN($BE$2:$BE$921),50,ROUND((BE833-MIN($BE$2:$BE$921))/(MAX($BE$2:$BE$921)-MIN($BE$2:$BE$921))*100,2))</f>
        <v>100</v>
      </c>
      <c r="AV833" s="8" t="n">
        <f aca="false">IF(MAX($AD$2:$AD$921)=MIN($AD$2:$AD$921),50,ROUND((AD833-MIN($AD$2:$AD$921))/(MAX($AD$2:$AD$921)-MIN($AD$2:$AD$921))*100,2))</f>
        <v>7.04</v>
      </c>
      <c r="AW833" s="8" t="n">
        <f aca="false">IF(MAX($AN$2:$AN$921)=MIN($AN$2:$AN$921),50,ROUND((AN833-MIN($AN$2:$AN$921))/(MAX($AN$2:$AN$921)-MIN($AN$2:$AN$921))*100,2))</f>
        <v>37.5</v>
      </c>
      <c r="AX833" s="8" t="n">
        <f aca="false">AQ833*100</f>
        <v>0</v>
      </c>
      <c r="AY833" s="8" t="n">
        <f aca="false">AR833*100</f>
        <v>0</v>
      </c>
      <c r="AZ833" s="8" t="n">
        <f aca="false">IFERROR(ROUND(AS833*Assumptions!$I$6+AW833*Assumptions!$I$7+AT833*Assumptions!$I$8+AU833*Assumptions!$I$9+AV833*Assumptions!$I$10+AX833*Assumptions!$I$11+AY833*Assumptions!$I$12,2),"")</f>
        <v>34.99</v>
      </c>
      <c r="BA833" s="0" t="str">
        <f aca="false">IF(AZ833="","",IF(AZ833&lt;=Assumptions!$I$18,"Below Expectation",IF(AZ833&lt;=Assumptions!$I$19,"Developing",IF(AZ833&lt;=Assumptions!$I$20,"Meets Expectation",IF(AZ833&lt;=Assumptions!$I$21,"Exceeds","Star Performer")))))</f>
        <v>Below Expectation</v>
      </c>
      <c r="BB833" s="0" t="n">
        <f aca="false">IF(AZ833="",0,IF(AZ833&gt;=Assumptions!$I$26,1,0))</f>
        <v>0</v>
      </c>
      <c r="BC833" s="9" t="n">
        <f aca="false">IF(AL833="",2,AL833+2)</f>
        <v>2</v>
      </c>
      <c r="BD833" s="10" t="n">
        <f aca="false">IF(AM833="",ROUND(AVERAGE($AM$2:$AM$921),3),AM833)</f>
        <v>0</v>
      </c>
      <c r="BE833" s="9" t="n">
        <f aca="false">1-BD833</f>
        <v>1</v>
      </c>
    </row>
    <row r="834" customFormat="false" ht="14.25" hidden="false" customHeight="false" outlineLevel="0" collapsed="false">
      <c r="A834" s="4" t="n">
        <v>804</v>
      </c>
      <c r="B834" s="5" t="n">
        <v>55086349</v>
      </c>
      <c r="C834" s="5" t="s">
        <v>106</v>
      </c>
      <c r="D834" s="5" t="s">
        <v>2674</v>
      </c>
      <c r="E834" s="5" t="s">
        <v>108</v>
      </c>
      <c r="F834" s="5" t="s">
        <v>590</v>
      </c>
      <c r="G834" s="5" t="s">
        <v>589</v>
      </c>
      <c r="H834" s="5" t="s">
        <v>590</v>
      </c>
      <c r="I834" s="5" t="s">
        <v>63</v>
      </c>
      <c r="J834" s="5" t="s">
        <v>112</v>
      </c>
      <c r="K834" s="5" t="s">
        <v>309</v>
      </c>
      <c r="L834" s="6" t="n">
        <v>45224</v>
      </c>
      <c r="M834" s="5" t="s">
        <v>226</v>
      </c>
      <c r="N834" s="6" t="n">
        <v>36801</v>
      </c>
      <c r="O834" s="5" t="s">
        <v>1264</v>
      </c>
      <c r="P834" s="5" t="s">
        <v>1559</v>
      </c>
      <c r="Q834" s="5" t="s">
        <v>195</v>
      </c>
      <c r="R834" s="5" t="s">
        <v>115</v>
      </c>
      <c r="S834" s="5" t="s">
        <v>195</v>
      </c>
      <c r="T834" s="6"/>
      <c r="U834" s="6"/>
      <c r="V834" s="5"/>
      <c r="W834" s="5"/>
      <c r="X834" s="5" t="s">
        <v>631</v>
      </c>
      <c r="Y834" s="5" t="s">
        <v>631</v>
      </c>
      <c r="Z834" s="5" t="s">
        <v>631</v>
      </c>
      <c r="AA834" s="5" t="s">
        <v>2675</v>
      </c>
      <c r="AB834" s="0" t="n">
        <f aca="false">IFERROR(VALUE(R834),0)</f>
        <v>0</v>
      </c>
      <c r="AC834" s="0" t="n">
        <f aca="false">IFERROR(VALUE(M834),"")</f>
        <v>25.8</v>
      </c>
      <c r="AD834" s="0" t="n">
        <f aca="false">IFERROR(VALUE(Q834),"")</f>
        <v>2.7</v>
      </c>
      <c r="AE834" s="0" t="n">
        <f aca="false">IFERROR(VALUE(S834),"")</f>
        <v>2.7</v>
      </c>
      <c r="AF834" s="0" t="str">
        <f aca="false">IF(V834="","",VLOOKUP(V834,Assumptions!$B$6:$C$9,2,FALSE()))</f>
        <v/>
      </c>
      <c r="AG834" s="0" t="str">
        <f aca="false">IF(W834="","",VLOOKUP(W834,Assumptions!$B$6:$C$9,2,FALSE()))</f>
        <v/>
      </c>
      <c r="AH834" s="0" t="n">
        <f aca="false">IF(X834="","",VLOOKUP(X834,Assumptions!$B$6:$C$9,2,FALSE()))</f>
        <v>2</v>
      </c>
      <c r="AI834" s="0" t="n">
        <f aca="false">IF(Y834="","",VLOOKUP(Y834,Assumptions!$B$6:$C$9,2,FALSE()))</f>
        <v>2</v>
      </c>
      <c r="AJ834" s="0" t="n">
        <f aca="false">IF(Z834="","",VLOOKUP(Z834,Assumptions!$B$6:$C$9,2,FALSE()))</f>
        <v>2</v>
      </c>
      <c r="AK834" s="7" t="n">
        <f aca="false">IFERROR(ROUND(AVERAGE(AF834:AJ834),3),"")</f>
        <v>2</v>
      </c>
      <c r="AL834" s="7" t="str">
        <f aca="false">IF(OR(AF834="",AJ834=""),"",AJ834-AF834)</f>
        <v/>
      </c>
      <c r="AM834" s="7" t="n">
        <f aca="false">IF(COUNT(AF834:AJ834)&gt;=2,ROUND(_xlfn.STDEV.S(AF834:AJ834),3),"")</f>
        <v>0</v>
      </c>
      <c r="AN834" s="7" t="n">
        <f aca="false">ROUND((IF(AF834="",0,AF834)*Assumptions!$F$15)+(IF(AG834="",0,AG834)*Assumptions!$F$16)+(IF(AH834="",0,AH834)*Assumptions!$F$17)+(IF(AI834="",0,AI834)*Assumptions!$F$18)+(IF(AJ834="",0,AJ834)*Assumptions!$F$19),3)</f>
        <v>1.5</v>
      </c>
      <c r="AO834" s="0" t="str">
        <f aca="false">IF(AC834&lt;=20,"",IF(AC834&lt;=Assumptions!$F$6,"20-30",IF(AC834&lt;=Assumptions!$F$7,"30-40",IF(AC834&lt;=Assumptions!$F$8,"40-50",IF(AC834&lt;=Assumptions!$F$9,"50-60",IF(AC834&lt;=Assumptions!$F$10,"60+",""))))))</f>
        <v>20-30</v>
      </c>
      <c r="AP834" s="0" t="str">
        <f aca="false">IFERROR(VLOOKUP(O834,Assumptions!$B$14:$C$26,2,FALSE()),"Other")</f>
        <v>Manager</v>
      </c>
      <c r="AQ834" s="0" t="n">
        <f aca="false">IF(T834="",0,1)</f>
        <v>0</v>
      </c>
      <c r="AR834" s="0" t="n">
        <f aca="false">IF(U834="",0,1)</f>
        <v>0</v>
      </c>
      <c r="AS834" s="8" t="n">
        <f aca="false">IF(AK834="","",IF(MAX($AK$2:$AK$921)=MIN($AK$2:$AK$921),50,ROUND((AK834-MIN($AK$2:$AK$921))/(MAX($AK$2:$AK$921)-MIN($AK$2:$AK$921))*100,2)))</f>
        <v>14.27</v>
      </c>
      <c r="AT834" s="8" t="n">
        <f aca="false">IF(MAX($BC$2:$BC$921)=MIN($BC$2:$BC$921),50,ROUND((BC834-MIN($BC$2:$BC$921))/(MAX($BC$2:$BC$921)-MIN($BC$2:$BC$921))*100,2))</f>
        <v>50</v>
      </c>
      <c r="AU834" s="8" t="n">
        <f aca="false">IF(MAX($BE$2:$BE$921)=MIN($BE$2:$BE$921),50,ROUND((BE834-MIN($BE$2:$BE$921))/(MAX($BE$2:$BE$921)-MIN($BE$2:$BE$921))*100,2))</f>
        <v>100</v>
      </c>
      <c r="AV834" s="8" t="n">
        <f aca="false">IF(MAX($AD$2:$AD$921)=MIN($AD$2:$AD$921),50,ROUND((AD834-MIN($AD$2:$AD$921))/(MAX($AD$2:$AD$921)-MIN($AD$2:$AD$921))*100,2))</f>
        <v>7.04</v>
      </c>
      <c r="AW834" s="8" t="n">
        <f aca="false">IF(MAX($AN$2:$AN$921)=MIN($AN$2:$AN$921),50,ROUND((AN834-MIN($AN$2:$AN$921))/(MAX($AN$2:$AN$921)-MIN($AN$2:$AN$921))*100,2))</f>
        <v>37.5</v>
      </c>
      <c r="AX834" s="8" t="n">
        <f aca="false">AQ834*100</f>
        <v>0</v>
      </c>
      <c r="AY834" s="8" t="n">
        <f aca="false">AR834*100</f>
        <v>0</v>
      </c>
      <c r="AZ834" s="8" t="n">
        <f aca="false">IFERROR(ROUND(AS834*Assumptions!$I$6+AW834*Assumptions!$I$7+AT834*Assumptions!$I$8+AU834*Assumptions!$I$9+AV834*Assumptions!$I$10+AX834*Assumptions!$I$11+AY834*Assumptions!$I$12,2),"")</f>
        <v>34.99</v>
      </c>
      <c r="BA834" s="0" t="str">
        <f aca="false">IF(AZ834="","",IF(AZ834&lt;=Assumptions!$I$18,"Below Expectation",IF(AZ834&lt;=Assumptions!$I$19,"Developing",IF(AZ834&lt;=Assumptions!$I$20,"Meets Expectation",IF(AZ834&lt;=Assumptions!$I$21,"Exceeds","Star Performer")))))</f>
        <v>Below Expectation</v>
      </c>
      <c r="BB834" s="0" t="n">
        <f aca="false">IF(AZ834="",0,IF(AZ834&gt;=Assumptions!$I$26,1,0))</f>
        <v>0</v>
      </c>
      <c r="BC834" s="9" t="n">
        <f aca="false">IF(AL834="",2,AL834+2)</f>
        <v>2</v>
      </c>
      <c r="BD834" s="10" t="n">
        <f aca="false">IF(AM834="",ROUND(AVERAGE($AM$2:$AM$921),3),AM834)</f>
        <v>0</v>
      </c>
      <c r="BE834" s="9" t="n">
        <f aca="false">1-BD834</f>
        <v>1</v>
      </c>
    </row>
    <row r="835" customFormat="false" ht="14.25" hidden="true" customHeight="false" outlineLevel="0" collapsed="false">
      <c r="A835" s="4" t="n">
        <v>806</v>
      </c>
      <c r="B835" s="5" t="n">
        <v>55086359</v>
      </c>
      <c r="C835" s="5" t="s">
        <v>85</v>
      </c>
      <c r="D835" s="5" t="s">
        <v>2676</v>
      </c>
      <c r="E835" s="5" t="s">
        <v>137</v>
      </c>
      <c r="F835" s="5" t="s">
        <v>590</v>
      </c>
      <c r="G835" s="5" t="s">
        <v>589</v>
      </c>
      <c r="H835" s="5" t="s">
        <v>590</v>
      </c>
      <c r="I835" s="5" t="s">
        <v>63</v>
      </c>
      <c r="J835" s="5" t="s">
        <v>76</v>
      </c>
      <c r="K835" s="5" t="s">
        <v>309</v>
      </c>
      <c r="L835" s="6" t="n">
        <v>45224</v>
      </c>
      <c r="M835" s="5" t="s">
        <v>1726</v>
      </c>
      <c r="N835" s="6" t="n">
        <v>36733</v>
      </c>
      <c r="O835" s="5" t="s">
        <v>1264</v>
      </c>
      <c r="P835" s="5" t="s">
        <v>1559</v>
      </c>
      <c r="Q835" s="5" t="s">
        <v>195</v>
      </c>
      <c r="R835" s="5" t="s">
        <v>115</v>
      </c>
      <c r="S835" s="5" t="s">
        <v>195</v>
      </c>
      <c r="T835" s="6"/>
      <c r="U835" s="6"/>
      <c r="V835" s="5"/>
      <c r="W835" s="5"/>
      <c r="X835" s="5" t="s">
        <v>631</v>
      </c>
      <c r="Y835" s="5" t="s">
        <v>631</v>
      </c>
      <c r="Z835" s="5" t="s">
        <v>631</v>
      </c>
      <c r="AA835" s="5" t="s">
        <v>2677</v>
      </c>
      <c r="AB835" s="0" t="n">
        <f aca="false">IFERROR(VALUE(R835),0)</f>
        <v>0</v>
      </c>
      <c r="AC835" s="0" t="n">
        <f aca="false">IFERROR(VALUE(M835),"")</f>
        <v>25.1</v>
      </c>
      <c r="AD835" s="0" t="n">
        <f aca="false">IFERROR(VALUE(Q835),"")</f>
        <v>2.7</v>
      </c>
      <c r="AE835" s="0" t="n">
        <f aca="false">IFERROR(VALUE(S835),"")</f>
        <v>2.7</v>
      </c>
      <c r="AF835" s="0" t="str">
        <f aca="false">IF(V835="","",VLOOKUP(V835,Assumptions!$B$6:$C$9,2,FALSE()))</f>
        <v/>
      </c>
      <c r="AG835" s="0" t="str">
        <f aca="false">IF(W835="","",VLOOKUP(W835,Assumptions!$B$6:$C$9,2,FALSE()))</f>
        <v/>
      </c>
      <c r="AH835" s="0" t="n">
        <f aca="false">IF(X835="","",VLOOKUP(X835,Assumptions!$B$6:$C$9,2,FALSE()))</f>
        <v>2</v>
      </c>
      <c r="AI835" s="0" t="n">
        <f aca="false">IF(Y835="","",VLOOKUP(Y835,Assumptions!$B$6:$C$9,2,FALSE()))</f>
        <v>2</v>
      </c>
      <c r="AJ835" s="0" t="n">
        <f aca="false">IF(Z835="","",VLOOKUP(Z835,Assumptions!$B$6:$C$9,2,FALSE()))</f>
        <v>2</v>
      </c>
      <c r="AK835" s="7" t="n">
        <f aca="false">IFERROR(ROUND(AVERAGE(AF835:AJ835),3),"")</f>
        <v>2</v>
      </c>
      <c r="AL835" s="7" t="str">
        <f aca="false">IF(OR(AF835="",AJ835=""),"",AJ835-AF835)</f>
        <v/>
      </c>
      <c r="AM835" s="7" t="n">
        <f aca="false">IF(COUNT(AF835:AJ835)&gt;=2,ROUND(_xlfn.STDEV.S(AF835:AJ835),3),"")</f>
        <v>0</v>
      </c>
      <c r="AN835" s="7" t="n">
        <f aca="false">ROUND((IF(AF835="",0,AF835)*Assumptions!$F$15)+(IF(AG835="",0,AG835)*Assumptions!$F$16)+(IF(AH835="",0,AH835)*Assumptions!$F$17)+(IF(AI835="",0,AI835)*Assumptions!$F$18)+(IF(AJ835="",0,AJ835)*Assumptions!$F$19),3)</f>
        <v>1.5</v>
      </c>
      <c r="AO835" s="0" t="str">
        <f aca="false">IF(AC835&lt;=20,"",IF(AC835&lt;=Assumptions!$F$6,"20-30",IF(AC835&lt;=Assumptions!$F$7,"30-40",IF(AC835&lt;=Assumptions!$F$8,"40-50",IF(AC835&lt;=Assumptions!$F$9,"50-60",IF(AC835&lt;=Assumptions!$F$10,"60+",""))))))</f>
        <v>20-30</v>
      </c>
      <c r="AP835" s="0" t="str">
        <f aca="false">IFERROR(VLOOKUP(O835,Assumptions!$B$14:$C$26,2,FALSE()),"Other")</f>
        <v>Manager</v>
      </c>
      <c r="AQ835" s="0" t="n">
        <f aca="false">IF(T835="",0,1)</f>
        <v>0</v>
      </c>
      <c r="AR835" s="0" t="n">
        <f aca="false">IF(U835="",0,1)</f>
        <v>0</v>
      </c>
      <c r="AS835" s="8" t="n">
        <f aca="false">IF(AK835="","",IF(MAX($AK$2:$AK$921)=MIN($AK$2:$AK$921),50,ROUND((AK835-MIN($AK$2:$AK$921))/(MAX($AK$2:$AK$921)-MIN($AK$2:$AK$921))*100,2)))</f>
        <v>14.27</v>
      </c>
      <c r="AT835" s="8" t="n">
        <f aca="false">IF(MAX($BC$2:$BC$921)=MIN($BC$2:$BC$921),50,ROUND((BC835-MIN($BC$2:$BC$921))/(MAX($BC$2:$BC$921)-MIN($BC$2:$BC$921))*100,2))</f>
        <v>50</v>
      </c>
      <c r="AU835" s="8" t="n">
        <f aca="false">IF(MAX($BE$2:$BE$921)=MIN($BE$2:$BE$921),50,ROUND((BE835-MIN($BE$2:$BE$921))/(MAX($BE$2:$BE$921)-MIN($BE$2:$BE$921))*100,2))</f>
        <v>100</v>
      </c>
      <c r="AV835" s="8" t="n">
        <f aca="false">IF(MAX($AD$2:$AD$921)=MIN($AD$2:$AD$921),50,ROUND((AD835-MIN($AD$2:$AD$921))/(MAX($AD$2:$AD$921)-MIN($AD$2:$AD$921))*100,2))</f>
        <v>7.04</v>
      </c>
      <c r="AW835" s="8" t="n">
        <f aca="false">IF(MAX($AN$2:$AN$921)=MIN($AN$2:$AN$921),50,ROUND((AN835-MIN($AN$2:$AN$921))/(MAX($AN$2:$AN$921)-MIN($AN$2:$AN$921))*100,2))</f>
        <v>37.5</v>
      </c>
      <c r="AX835" s="8" t="n">
        <f aca="false">AQ835*100</f>
        <v>0</v>
      </c>
      <c r="AY835" s="8" t="n">
        <f aca="false">AR835*100</f>
        <v>0</v>
      </c>
      <c r="AZ835" s="8" t="n">
        <f aca="false">IFERROR(ROUND(AS835*Assumptions!$I$6+AW835*Assumptions!$I$7+AT835*Assumptions!$I$8+AU835*Assumptions!$I$9+AV835*Assumptions!$I$10+AX835*Assumptions!$I$11+AY835*Assumptions!$I$12,2),"")</f>
        <v>34.99</v>
      </c>
      <c r="BA835" s="0" t="str">
        <f aca="false">IF(AZ835="","",IF(AZ835&lt;=Assumptions!$I$18,"Below Expectation",IF(AZ835&lt;=Assumptions!$I$19,"Developing",IF(AZ835&lt;=Assumptions!$I$20,"Meets Expectation",IF(AZ835&lt;=Assumptions!$I$21,"Exceeds","Star Performer")))))</f>
        <v>Below Expectation</v>
      </c>
      <c r="BB835" s="0" t="n">
        <f aca="false">IF(AZ835="",0,IF(AZ835&gt;=Assumptions!$I$26,1,0))</f>
        <v>0</v>
      </c>
      <c r="BC835" s="9" t="n">
        <f aca="false">IF(AL835="",2,AL835+2)</f>
        <v>2</v>
      </c>
      <c r="BD835" s="10" t="n">
        <f aca="false">IF(AM835="",ROUND(AVERAGE($AM$2:$AM$921),3),AM835)</f>
        <v>0</v>
      </c>
      <c r="BE835" s="9" t="n">
        <f aca="false">1-BD835</f>
        <v>1</v>
      </c>
    </row>
    <row r="836" customFormat="false" ht="14.25" hidden="false" customHeight="false" outlineLevel="0" collapsed="false">
      <c r="A836" s="4" t="n">
        <v>809</v>
      </c>
      <c r="B836" s="5" t="n">
        <v>55086367</v>
      </c>
      <c r="C836" s="5" t="s">
        <v>106</v>
      </c>
      <c r="D836" s="5" t="s">
        <v>2678</v>
      </c>
      <c r="E836" s="5" t="s">
        <v>108</v>
      </c>
      <c r="F836" s="5" t="s">
        <v>590</v>
      </c>
      <c r="G836" s="5" t="s">
        <v>589</v>
      </c>
      <c r="H836" s="5" t="s">
        <v>590</v>
      </c>
      <c r="I836" s="5" t="s">
        <v>63</v>
      </c>
      <c r="J836" s="5" t="s">
        <v>112</v>
      </c>
      <c r="K836" s="5" t="s">
        <v>309</v>
      </c>
      <c r="L836" s="6" t="n">
        <v>45224</v>
      </c>
      <c r="M836" s="5" t="s">
        <v>960</v>
      </c>
      <c r="N836" s="6" t="n">
        <v>36983</v>
      </c>
      <c r="O836" s="5" t="s">
        <v>1264</v>
      </c>
      <c r="P836" s="5" t="s">
        <v>1559</v>
      </c>
      <c r="Q836" s="5" t="s">
        <v>195</v>
      </c>
      <c r="R836" s="5" t="s">
        <v>115</v>
      </c>
      <c r="S836" s="5" t="s">
        <v>195</v>
      </c>
      <c r="T836" s="6"/>
      <c r="U836" s="6"/>
      <c r="V836" s="5"/>
      <c r="W836" s="5"/>
      <c r="X836" s="5" t="s">
        <v>631</v>
      </c>
      <c r="Y836" s="5" t="s">
        <v>631</v>
      </c>
      <c r="Z836" s="5" t="s">
        <v>631</v>
      </c>
      <c r="AA836" s="5" t="s">
        <v>2677</v>
      </c>
      <c r="AB836" s="0" t="n">
        <f aca="false">IFERROR(VALUE(R836),0)</f>
        <v>0</v>
      </c>
      <c r="AC836" s="0" t="n">
        <f aca="false">IFERROR(VALUE(M836),"")</f>
        <v>25.2</v>
      </c>
      <c r="AD836" s="0" t="n">
        <f aca="false">IFERROR(VALUE(Q836),"")</f>
        <v>2.7</v>
      </c>
      <c r="AE836" s="0" t="n">
        <f aca="false">IFERROR(VALUE(S836),"")</f>
        <v>2.7</v>
      </c>
      <c r="AF836" s="0" t="str">
        <f aca="false">IF(V836="","",VLOOKUP(V836,Assumptions!$B$6:$C$9,2,FALSE()))</f>
        <v/>
      </c>
      <c r="AG836" s="0" t="str">
        <f aca="false">IF(W836="","",VLOOKUP(W836,Assumptions!$B$6:$C$9,2,FALSE()))</f>
        <v/>
      </c>
      <c r="AH836" s="0" t="n">
        <f aca="false">IF(X836="","",VLOOKUP(X836,Assumptions!$B$6:$C$9,2,FALSE()))</f>
        <v>2</v>
      </c>
      <c r="AI836" s="0" t="n">
        <f aca="false">IF(Y836="","",VLOOKUP(Y836,Assumptions!$B$6:$C$9,2,FALSE()))</f>
        <v>2</v>
      </c>
      <c r="AJ836" s="0" t="n">
        <f aca="false">IF(Z836="","",VLOOKUP(Z836,Assumptions!$B$6:$C$9,2,FALSE()))</f>
        <v>2</v>
      </c>
      <c r="AK836" s="7" t="n">
        <f aca="false">IFERROR(ROUND(AVERAGE(AF836:AJ836),3),"")</f>
        <v>2</v>
      </c>
      <c r="AL836" s="7" t="str">
        <f aca="false">IF(OR(AF836="",AJ836=""),"",AJ836-AF836)</f>
        <v/>
      </c>
      <c r="AM836" s="7" t="n">
        <f aca="false">IF(COUNT(AF836:AJ836)&gt;=2,ROUND(_xlfn.STDEV.S(AF836:AJ836),3),"")</f>
        <v>0</v>
      </c>
      <c r="AN836" s="7" t="n">
        <f aca="false">ROUND((IF(AF836="",0,AF836)*Assumptions!$F$15)+(IF(AG836="",0,AG836)*Assumptions!$F$16)+(IF(AH836="",0,AH836)*Assumptions!$F$17)+(IF(AI836="",0,AI836)*Assumptions!$F$18)+(IF(AJ836="",0,AJ836)*Assumptions!$F$19),3)</f>
        <v>1.5</v>
      </c>
      <c r="AO836" s="0" t="str">
        <f aca="false">IF(AC836&lt;=20,"",IF(AC836&lt;=Assumptions!$F$6,"20-30",IF(AC836&lt;=Assumptions!$F$7,"30-40",IF(AC836&lt;=Assumptions!$F$8,"40-50",IF(AC836&lt;=Assumptions!$F$9,"50-60",IF(AC836&lt;=Assumptions!$F$10,"60+",""))))))</f>
        <v>20-30</v>
      </c>
      <c r="AP836" s="0" t="str">
        <f aca="false">IFERROR(VLOOKUP(O836,Assumptions!$B$14:$C$26,2,FALSE()),"Other")</f>
        <v>Manager</v>
      </c>
      <c r="AQ836" s="0" t="n">
        <f aca="false">IF(T836="",0,1)</f>
        <v>0</v>
      </c>
      <c r="AR836" s="0" t="n">
        <f aca="false">IF(U836="",0,1)</f>
        <v>0</v>
      </c>
      <c r="AS836" s="8" t="n">
        <f aca="false">IF(AK836="","",IF(MAX($AK$2:$AK$921)=MIN($AK$2:$AK$921),50,ROUND((AK836-MIN($AK$2:$AK$921))/(MAX($AK$2:$AK$921)-MIN($AK$2:$AK$921))*100,2)))</f>
        <v>14.27</v>
      </c>
      <c r="AT836" s="8" t="n">
        <f aca="false">IF(MAX($BC$2:$BC$921)=MIN($BC$2:$BC$921),50,ROUND((BC836-MIN($BC$2:$BC$921))/(MAX($BC$2:$BC$921)-MIN($BC$2:$BC$921))*100,2))</f>
        <v>50</v>
      </c>
      <c r="AU836" s="8" t="n">
        <f aca="false">IF(MAX($BE$2:$BE$921)=MIN($BE$2:$BE$921),50,ROUND((BE836-MIN($BE$2:$BE$921))/(MAX($BE$2:$BE$921)-MIN($BE$2:$BE$921))*100,2))</f>
        <v>100</v>
      </c>
      <c r="AV836" s="8" t="n">
        <f aca="false">IF(MAX($AD$2:$AD$921)=MIN($AD$2:$AD$921),50,ROUND((AD836-MIN($AD$2:$AD$921))/(MAX($AD$2:$AD$921)-MIN($AD$2:$AD$921))*100,2))</f>
        <v>7.04</v>
      </c>
      <c r="AW836" s="8" t="n">
        <f aca="false">IF(MAX($AN$2:$AN$921)=MIN($AN$2:$AN$921),50,ROUND((AN836-MIN($AN$2:$AN$921))/(MAX($AN$2:$AN$921)-MIN($AN$2:$AN$921))*100,2))</f>
        <v>37.5</v>
      </c>
      <c r="AX836" s="8" t="n">
        <f aca="false">AQ836*100</f>
        <v>0</v>
      </c>
      <c r="AY836" s="8" t="n">
        <f aca="false">AR836*100</f>
        <v>0</v>
      </c>
      <c r="AZ836" s="8" t="n">
        <f aca="false">IFERROR(ROUND(AS836*Assumptions!$I$6+AW836*Assumptions!$I$7+AT836*Assumptions!$I$8+AU836*Assumptions!$I$9+AV836*Assumptions!$I$10+AX836*Assumptions!$I$11+AY836*Assumptions!$I$12,2),"")</f>
        <v>34.99</v>
      </c>
      <c r="BA836" s="0" t="str">
        <f aca="false">IF(AZ836="","",IF(AZ836&lt;=Assumptions!$I$18,"Below Expectation",IF(AZ836&lt;=Assumptions!$I$19,"Developing",IF(AZ836&lt;=Assumptions!$I$20,"Meets Expectation",IF(AZ836&lt;=Assumptions!$I$21,"Exceeds","Star Performer")))))</f>
        <v>Below Expectation</v>
      </c>
      <c r="BB836" s="0" t="n">
        <f aca="false">IF(AZ836="",0,IF(AZ836&gt;=Assumptions!$I$26,1,0))</f>
        <v>0</v>
      </c>
      <c r="BC836" s="9" t="n">
        <f aca="false">IF(AL836="",2,AL836+2)</f>
        <v>2</v>
      </c>
      <c r="BD836" s="10" t="n">
        <f aca="false">IF(AM836="",ROUND(AVERAGE($AM$2:$AM$921),3),AM836)</f>
        <v>0</v>
      </c>
      <c r="BE836" s="9" t="n">
        <f aca="false">1-BD836</f>
        <v>1</v>
      </c>
    </row>
    <row r="837" customFormat="false" ht="14.25" hidden="false" customHeight="false" outlineLevel="0" collapsed="false">
      <c r="A837" s="4" t="n">
        <v>810</v>
      </c>
      <c r="B837" s="5" t="n">
        <v>55086371</v>
      </c>
      <c r="C837" s="5" t="s">
        <v>106</v>
      </c>
      <c r="D837" s="5" t="s">
        <v>2679</v>
      </c>
      <c r="E837" s="5" t="s">
        <v>108</v>
      </c>
      <c r="F837" s="5" t="s">
        <v>590</v>
      </c>
      <c r="G837" s="5" t="s">
        <v>589</v>
      </c>
      <c r="H837" s="5" t="s">
        <v>590</v>
      </c>
      <c r="I837" s="5" t="s">
        <v>63</v>
      </c>
      <c r="J837" s="5" t="s">
        <v>112</v>
      </c>
      <c r="K837" s="5" t="s">
        <v>309</v>
      </c>
      <c r="L837" s="6" t="n">
        <v>45224</v>
      </c>
      <c r="M837" s="5" t="s">
        <v>230</v>
      </c>
      <c r="N837" s="6" t="n">
        <v>36904</v>
      </c>
      <c r="O837" s="5" t="s">
        <v>1264</v>
      </c>
      <c r="P837" s="5" t="s">
        <v>1559</v>
      </c>
      <c r="Q837" s="5" t="s">
        <v>195</v>
      </c>
      <c r="R837" s="5" t="s">
        <v>115</v>
      </c>
      <c r="S837" s="5" t="s">
        <v>195</v>
      </c>
      <c r="T837" s="6"/>
      <c r="U837" s="6"/>
      <c r="V837" s="5"/>
      <c r="W837" s="5"/>
      <c r="X837" s="5" t="s">
        <v>631</v>
      </c>
      <c r="Y837" s="5" t="s">
        <v>631</v>
      </c>
      <c r="Z837" s="5" t="s">
        <v>631</v>
      </c>
      <c r="AA837" s="5" t="s">
        <v>2680</v>
      </c>
      <c r="AB837" s="0" t="n">
        <f aca="false">IFERROR(VALUE(R837),0)</f>
        <v>0</v>
      </c>
      <c r="AC837" s="0" t="n">
        <f aca="false">IFERROR(VALUE(M837),"")</f>
        <v>25.4</v>
      </c>
      <c r="AD837" s="0" t="n">
        <f aca="false">IFERROR(VALUE(Q837),"")</f>
        <v>2.7</v>
      </c>
      <c r="AE837" s="0" t="n">
        <f aca="false">IFERROR(VALUE(S837),"")</f>
        <v>2.7</v>
      </c>
      <c r="AF837" s="0" t="str">
        <f aca="false">IF(V837="","",VLOOKUP(V837,Assumptions!$B$6:$C$9,2,FALSE()))</f>
        <v/>
      </c>
      <c r="AG837" s="0" t="str">
        <f aca="false">IF(W837="","",VLOOKUP(W837,Assumptions!$B$6:$C$9,2,FALSE()))</f>
        <v/>
      </c>
      <c r="AH837" s="0" t="n">
        <f aca="false">IF(X837="","",VLOOKUP(X837,Assumptions!$B$6:$C$9,2,FALSE()))</f>
        <v>2</v>
      </c>
      <c r="AI837" s="0" t="n">
        <f aca="false">IF(Y837="","",VLOOKUP(Y837,Assumptions!$B$6:$C$9,2,FALSE()))</f>
        <v>2</v>
      </c>
      <c r="AJ837" s="0" t="n">
        <f aca="false">IF(Z837="","",VLOOKUP(Z837,Assumptions!$B$6:$C$9,2,FALSE()))</f>
        <v>2</v>
      </c>
      <c r="AK837" s="7" t="n">
        <f aca="false">IFERROR(ROUND(AVERAGE(AF837:AJ837),3),"")</f>
        <v>2</v>
      </c>
      <c r="AL837" s="7" t="str">
        <f aca="false">IF(OR(AF837="",AJ837=""),"",AJ837-AF837)</f>
        <v/>
      </c>
      <c r="AM837" s="7" t="n">
        <f aca="false">IF(COUNT(AF837:AJ837)&gt;=2,ROUND(_xlfn.STDEV.S(AF837:AJ837),3),"")</f>
        <v>0</v>
      </c>
      <c r="AN837" s="7" t="n">
        <f aca="false">ROUND((IF(AF837="",0,AF837)*Assumptions!$F$15)+(IF(AG837="",0,AG837)*Assumptions!$F$16)+(IF(AH837="",0,AH837)*Assumptions!$F$17)+(IF(AI837="",0,AI837)*Assumptions!$F$18)+(IF(AJ837="",0,AJ837)*Assumptions!$F$19),3)</f>
        <v>1.5</v>
      </c>
      <c r="AO837" s="0" t="str">
        <f aca="false">IF(AC837&lt;=20,"",IF(AC837&lt;=Assumptions!$F$6,"20-30",IF(AC837&lt;=Assumptions!$F$7,"30-40",IF(AC837&lt;=Assumptions!$F$8,"40-50",IF(AC837&lt;=Assumptions!$F$9,"50-60",IF(AC837&lt;=Assumptions!$F$10,"60+",""))))))</f>
        <v>20-30</v>
      </c>
      <c r="AP837" s="0" t="str">
        <f aca="false">IFERROR(VLOOKUP(O837,Assumptions!$B$14:$C$26,2,FALSE()),"Other")</f>
        <v>Manager</v>
      </c>
      <c r="AQ837" s="0" t="n">
        <f aca="false">IF(T837="",0,1)</f>
        <v>0</v>
      </c>
      <c r="AR837" s="0" t="n">
        <f aca="false">IF(U837="",0,1)</f>
        <v>0</v>
      </c>
      <c r="AS837" s="8" t="n">
        <f aca="false">IF(AK837="","",IF(MAX($AK$2:$AK$921)=MIN($AK$2:$AK$921),50,ROUND((AK837-MIN($AK$2:$AK$921))/(MAX($AK$2:$AK$921)-MIN($AK$2:$AK$921))*100,2)))</f>
        <v>14.27</v>
      </c>
      <c r="AT837" s="8" t="n">
        <f aca="false">IF(MAX($BC$2:$BC$921)=MIN($BC$2:$BC$921),50,ROUND((BC837-MIN($BC$2:$BC$921))/(MAX($BC$2:$BC$921)-MIN($BC$2:$BC$921))*100,2))</f>
        <v>50</v>
      </c>
      <c r="AU837" s="8" t="n">
        <f aca="false">IF(MAX($BE$2:$BE$921)=MIN($BE$2:$BE$921),50,ROUND((BE837-MIN($BE$2:$BE$921))/(MAX($BE$2:$BE$921)-MIN($BE$2:$BE$921))*100,2))</f>
        <v>100</v>
      </c>
      <c r="AV837" s="8" t="n">
        <f aca="false">IF(MAX($AD$2:$AD$921)=MIN($AD$2:$AD$921),50,ROUND((AD837-MIN($AD$2:$AD$921))/(MAX($AD$2:$AD$921)-MIN($AD$2:$AD$921))*100,2))</f>
        <v>7.04</v>
      </c>
      <c r="AW837" s="8" t="n">
        <f aca="false">IF(MAX($AN$2:$AN$921)=MIN($AN$2:$AN$921),50,ROUND((AN837-MIN($AN$2:$AN$921))/(MAX($AN$2:$AN$921)-MIN($AN$2:$AN$921))*100,2))</f>
        <v>37.5</v>
      </c>
      <c r="AX837" s="8" t="n">
        <f aca="false">AQ837*100</f>
        <v>0</v>
      </c>
      <c r="AY837" s="8" t="n">
        <f aca="false">AR837*100</f>
        <v>0</v>
      </c>
      <c r="AZ837" s="8" t="n">
        <f aca="false">IFERROR(ROUND(AS837*Assumptions!$I$6+AW837*Assumptions!$I$7+AT837*Assumptions!$I$8+AU837*Assumptions!$I$9+AV837*Assumptions!$I$10+AX837*Assumptions!$I$11+AY837*Assumptions!$I$12,2),"")</f>
        <v>34.99</v>
      </c>
      <c r="BA837" s="0" t="str">
        <f aca="false">IF(AZ837="","",IF(AZ837&lt;=Assumptions!$I$18,"Below Expectation",IF(AZ837&lt;=Assumptions!$I$19,"Developing",IF(AZ837&lt;=Assumptions!$I$20,"Meets Expectation",IF(AZ837&lt;=Assumptions!$I$21,"Exceeds","Star Performer")))))</f>
        <v>Below Expectation</v>
      </c>
      <c r="BB837" s="0" t="n">
        <f aca="false">IF(AZ837="",0,IF(AZ837&gt;=Assumptions!$I$26,1,0))</f>
        <v>0</v>
      </c>
      <c r="BC837" s="9" t="n">
        <f aca="false">IF(AL837="",2,AL837+2)</f>
        <v>2</v>
      </c>
      <c r="BD837" s="10" t="n">
        <f aca="false">IF(AM837="",ROUND(AVERAGE($AM$2:$AM$921),3),AM837)</f>
        <v>0</v>
      </c>
      <c r="BE837" s="9" t="n">
        <f aca="false">1-BD837</f>
        <v>1</v>
      </c>
    </row>
    <row r="838" customFormat="false" ht="14.25" hidden="true" customHeight="false" outlineLevel="0" collapsed="false">
      <c r="A838" s="4" t="n">
        <v>818</v>
      </c>
      <c r="B838" s="5" t="n">
        <v>55087552</v>
      </c>
      <c r="C838" s="5" t="s">
        <v>85</v>
      </c>
      <c r="D838" s="5" t="s">
        <v>2681</v>
      </c>
      <c r="E838" s="5" t="s">
        <v>315</v>
      </c>
      <c r="F838" s="5" t="s">
        <v>2251</v>
      </c>
      <c r="G838" s="5" t="s">
        <v>2250</v>
      </c>
      <c r="H838" s="5" t="s">
        <v>2251</v>
      </c>
      <c r="I838" s="5" t="s">
        <v>63</v>
      </c>
      <c r="J838" s="5" t="s">
        <v>76</v>
      </c>
      <c r="K838" s="5" t="s">
        <v>309</v>
      </c>
      <c r="L838" s="6" t="n">
        <v>45230</v>
      </c>
      <c r="M838" s="5" t="s">
        <v>132</v>
      </c>
      <c r="N838" s="6" t="n">
        <v>37558</v>
      </c>
      <c r="O838" s="5" t="s">
        <v>1264</v>
      </c>
      <c r="P838" s="5" t="s">
        <v>1559</v>
      </c>
      <c r="Q838" s="5" t="s">
        <v>195</v>
      </c>
      <c r="R838" s="5" t="s">
        <v>115</v>
      </c>
      <c r="S838" s="5" t="s">
        <v>195</v>
      </c>
      <c r="T838" s="6"/>
      <c r="U838" s="6"/>
      <c r="V838" s="5"/>
      <c r="W838" s="5"/>
      <c r="X838" s="5" t="s">
        <v>631</v>
      </c>
      <c r="Y838" s="5" t="s">
        <v>631</v>
      </c>
      <c r="Z838" s="5" t="s">
        <v>631</v>
      </c>
      <c r="AA838" s="5" t="s">
        <v>2682</v>
      </c>
      <c r="AB838" s="0" t="n">
        <f aca="false">IFERROR(VALUE(R838),0)</f>
        <v>0</v>
      </c>
      <c r="AC838" s="0" t="n">
        <f aca="false">IFERROR(VALUE(M838),"")</f>
        <v>23.7</v>
      </c>
      <c r="AD838" s="0" t="n">
        <f aca="false">IFERROR(VALUE(Q838),"")</f>
        <v>2.7</v>
      </c>
      <c r="AE838" s="0" t="n">
        <f aca="false">IFERROR(VALUE(S838),"")</f>
        <v>2.7</v>
      </c>
      <c r="AF838" s="0" t="str">
        <f aca="false">IF(V838="","",VLOOKUP(V838,Assumptions!$B$6:$C$9,2,FALSE()))</f>
        <v/>
      </c>
      <c r="AG838" s="0" t="str">
        <f aca="false">IF(W838="","",VLOOKUP(W838,Assumptions!$B$6:$C$9,2,FALSE()))</f>
        <v/>
      </c>
      <c r="AH838" s="0" t="n">
        <f aca="false">IF(X838="","",VLOOKUP(X838,Assumptions!$B$6:$C$9,2,FALSE()))</f>
        <v>2</v>
      </c>
      <c r="AI838" s="0" t="n">
        <f aca="false">IF(Y838="","",VLOOKUP(Y838,Assumptions!$B$6:$C$9,2,FALSE()))</f>
        <v>2</v>
      </c>
      <c r="AJ838" s="0" t="n">
        <f aca="false">IF(Z838="","",VLOOKUP(Z838,Assumptions!$B$6:$C$9,2,FALSE()))</f>
        <v>2</v>
      </c>
      <c r="AK838" s="7" t="n">
        <f aca="false">IFERROR(ROUND(AVERAGE(AF838:AJ838),3),"")</f>
        <v>2</v>
      </c>
      <c r="AL838" s="7" t="str">
        <f aca="false">IF(OR(AF838="",AJ838=""),"",AJ838-AF838)</f>
        <v/>
      </c>
      <c r="AM838" s="7" t="n">
        <f aca="false">IF(COUNT(AF838:AJ838)&gt;=2,ROUND(_xlfn.STDEV.S(AF838:AJ838),3),"")</f>
        <v>0</v>
      </c>
      <c r="AN838" s="7" t="n">
        <f aca="false">ROUND((IF(AF838="",0,AF838)*Assumptions!$F$15)+(IF(AG838="",0,AG838)*Assumptions!$F$16)+(IF(AH838="",0,AH838)*Assumptions!$F$17)+(IF(AI838="",0,AI838)*Assumptions!$F$18)+(IF(AJ838="",0,AJ838)*Assumptions!$F$19),3)</f>
        <v>1.5</v>
      </c>
      <c r="AO838" s="0" t="str">
        <f aca="false">IF(AC838&lt;=20,"",IF(AC838&lt;=Assumptions!$F$6,"20-30",IF(AC838&lt;=Assumptions!$F$7,"30-40",IF(AC838&lt;=Assumptions!$F$8,"40-50",IF(AC838&lt;=Assumptions!$F$9,"50-60",IF(AC838&lt;=Assumptions!$F$10,"60+",""))))))</f>
        <v>20-30</v>
      </c>
      <c r="AP838" s="0" t="str">
        <f aca="false">IFERROR(VLOOKUP(O838,Assumptions!$B$14:$C$26,2,FALSE()),"Other")</f>
        <v>Manager</v>
      </c>
      <c r="AQ838" s="0" t="n">
        <f aca="false">IF(T838="",0,1)</f>
        <v>0</v>
      </c>
      <c r="AR838" s="0" t="n">
        <f aca="false">IF(U838="",0,1)</f>
        <v>0</v>
      </c>
      <c r="AS838" s="8" t="n">
        <f aca="false">IF(AK838="","",IF(MAX($AK$2:$AK$921)=MIN($AK$2:$AK$921),50,ROUND((AK838-MIN($AK$2:$AK$921))/(MAX($AK$2:$AK$921)-MIN($AK$2:$AK$921))*100,2)))</f>
        <v>14.27</v>
      </c>
      <c r="AT838" s="8" t="n">
        <f aca="false">IF(MAX($BC$2:$BC$921)=MIN($BC$2:$BC$921),50,ROUND((BC838-MIN($BC$2:$BC$921))/(MAX($BC$2:$BC$921)-MIN($BC$2:$BC$921))*100,2))</f>
        <v>50</v>
      </c>
      <c r="AU838" s="8" t="n">
        <f aca="false">IF(MAX($BE$2:$BE$921)=MIN($BE$2:$BE$921),50,ROUND((BE838-MIN($BE$2:$BE$921))/(MAX($BE$2:$BE$921)-MIN($BE$2:$BE$921))*100,2))</f>
        <v>100</v>
      </c>
      <c r="AV838" s="8" t="n">
        <f aca="false">IF(MAX($AD$2:$AD$921)=MIN($AD$2:$AD$921),50,ROUND((AD838-MIN($AD$2:$AD$921))/(MAX($AD$2:$AD$921)-MIN($AD$2:$AD$921))*100,2))</f>
        <v>7.04</v>
      </c>
      <c r="AW838" s="8" t="n">
        <f aca="false">IF(MAX($AN$2:$AN$921)=MIN($AN$2:$AN$921),50,ROUND((AN838-MIN($AN$2:$AN$921))/(MAX($AN$2:$AN$921)-MIN($AN$2:$AN$921))*100,2))</f>
        <v>37.5</v>
      </c>
      <c r="AX838" s="8" t="n">
        <f aca="false">AQ838*100</f>
        <v>0</v>
      </c>
      <c r="AY838" s="8" t="n">
        <f aca="false">AR838*100</f>
        <v>0</v>
      </c>
      <c r="AZ838" s="8" t="n">
        <f aca="false">IFERROR(ROUND(AS838*Assumptions!$I$6+AW838*Assumptions!$I$7+AT838*Assumptions!$I$8+AU838*Assumptions!$I$9+AV838*Assumptions!$I$10+AX838*Assumptions!$I$11+AY838*Assumptions!$I$12,2),"")</f>
        <v>34.99</v>
      </c>
      <c r="BA838" s="0" t="str">
        <f aca="false">IF(AZ838="","",IF(AZ838&lt;=Assumptions!$I$18,"Below Expectation",IF(AZ838&lt;=Assumptions!$I$19,"Developing",IF(AZ838&lt;=Assumptions!$I$20,"Meets Expectation",IF(AZ838&lt;=Assumptions!$I$21,"Exceeds","Star Performer")))))</f>
        <v>Below Expectation</v>
      </c>
      <c r="BB838" s="0" t="n">
        <f aca="false">IF(AZ838="",0,IF(AZ838&gt;=Assumptions!$I$26,1,0))</f>
        <v>0</v>
      </c>
      <c r="BC838" s="9" t="n">
        <f aca="false">IF(AL838="",2,AL838+2)</f>
        <v>2</v>
      </c>
      <c r="BD838" s="10" t="n">
        <f aca="false">IF(AM838="",ROUND(AVERAGE($AM$2:$AM$921),3),AM838)</f>
        <v>0</v>
      </c>
      <c r="BE838" s="9" t="n">
        <f aca="false">1-BD838</f>
        <v>1</v>
      </c>
    </row>
    <row r="839" customFormat="false" ht="14.25" hidden="true" customHeight="false" outlineLevel="0" collapsed="false">
      <c r="A839" s="4" t="n">
        <v>819</v>
      </c>
      <c r="B839" s="5" t="n">
        <v>55087555</v>
      </c>
      <c r="C839" s="5" t="s">
        <v>85</v>
      </c>
      <c r="D839" s="5" t="s">
        <v>2683</v>
      </c>
      <c r="E839" s="5" t="s">
        <v>315</v>
      </c>
      <c r="F839" s="5" t="s">
        <v>2251</v>
      </c>
      <c r="G839" s="5" t="s">
        <v>2250</v>
      </c>
      <c r="H839" s="5" t="s">
        <v>2251</v>
      </c>
      <c r="I839" s="5" t="s">
        <v>63</v>
      </c>
      <c r="J839" s="5" t="s">
        <v>76</v>
      </c>
      <c r="K839" s="5" t="s">
        <v>309</v>
      </c>
      <c r="L839" s="6" t="n">
        <v>45230</v>
      </c>
      <c r="M839" s="5" t="s">
        <v>132</v>
      </c>
      <c r="N839" s="6" t="n">
        <v>37546</v>
      </c>
      <c r="O839" s="5" t="s">
        <v>1264</v>
      </c>
      <c r="P839" s="5" t="s">
        <v>1559</v>
      </c>
      <c r="Q839" s="5" t="s">
        <v>195</v>
      </c>
      <c r="R839" s="5" t="s">
        <v>115</v>
      </c>
      <c r="S839" s="5" t="s">
        <v>195</v>
      </c>
      <c r="T839" s="6"/>
      <c r="U839" s="6"/>
      <c r="V839" s="5"/>
      <c r="W839" s="5"/>
      <c r="X839" s="5" t="s">
        <v>631</v>
      </c>
      <c r="Y839" s="5" t="s">
        <v>631</v>
      </c>
      <c r="Z839" s="5" t="s">
        <v>631</v>
      </c>
      <c r="AA839" s="5" t="s">
        <v>2684</v>
      </c>
      <c r="AB839" s="0" t="n">
        <f aca="false">IFERROR(VALUE(R839),0)</f>
        <v>0</v>
      </c>
      <c r="AC839" s="0" t="n">
        <f aca="false">IFERROR(VALUE(M839),"")</f>
        <v>23.7</v>
      </c>
      <c r="AD839" s="0" t="n">
        <f aca="false">IFERROR(VALUE(Q839),"")</f>
        <v>2.7</v>
      </c>
      <c r="AE839" s="0" t="n">
        <f aca="false">IFERROR(VALUE(S839),"")</f>
        <v>2.7</v>
      </c>
      <c r="AF839" s="0" t="str">
        <f aca="false">IF(V839="","",VLOOKUP(V839,Assumptions!$B$6:$C$9,2,FALSE()))</f>
        <v/>
      </c>
      <c r="AG839" s="0" t="str">
        <f aca="false">IF(W839="","",VLOOKUP(W839,Assumptions!$B$6:$C$9,2,FALSE()))</f>
        <v/>
      </c>
      <c r="AH839" s="0" t="n">
        <f aca="false">IF(X839="","",VLOOKUP(X839,Assumptions!$B$6:$C$9,2,FALSE()))</f>
        <v>2</v>
      </c>
      <c r="AI839" s="0" t="n">
        <f aca="false">IF(Y839="","",VLOOKUP(Y839,Assumptions!$B$6:$C$9,2,FALSE()))</f>
        <v>2</v>
      </c>
      <c r="AJ839" s="0" t="n">
        <f aca="false">IF(Z839="","",VLOOKUP(Z839,Assumptions!$B$6:$C$9,2,FALSE()))</f>
        <v>2</v>
      </c>
      <c r="AK839" s="7" t="n">
        <f aca="false">IFERROR(ROUND(AVERAGE(AF839:AJ839),3),"")</f>
        <v>2</v>
      </c>
      <c r="AL839" s="7" t="str">
        <f aca="false">IF(OR(AF839="",AJ839=""),"",AJ839-AF839)</f>
        <v/>
      </c>
      <c r="AM839" s="7" t="n">
        <f aca="false">IF(COUNT(AF839:AJ839)&gt;=2,ROUND(_xlfn.STDEV.S(AF839:AJ839),3),"")</f>
        <v>0</v>
      </c>
      <c r="AN839" s="7" t="n">
        <f aca="false">ROUND((IF(AF839="",0,AF839)*Assumptions!$F$15)+(IF(AG839="",0,AG839)*Assumptions!$F$16)+(IF(AH839="",0,AH839)*Assumptions!$F$17)+(IF(AI839="",0,AI839)*Assumptions!$F$18)+(IF(AJ839="",0,AJ839)*Assumptions!$F$19),3)</f>
        <v>1.5</v>
      </c>
      <c r="AO839" s="0" t="str">
        <f aca="false">IF(AC839&lt;=20,"",IF(AC839&lt;=Assumptions!$F$6,"20-30",IF(AC839&lt;=Assumptions!$F$7,"30-40",IF(AC839&lt;=Assumptions!$F$8,"40-50",IF(AC839&lt;=Assumptions!$F$9,"50-60",IF(AC839&lt;=Assumptions!$F$10,"60+",""))))))</f>
        <v>20-30</v>
      </c>
      <c r="AP839" s="0" t="str">
        <f aca="false">IFERROR(VLOOKUP(O839,Assumptions!$B$14:$C$26,2,FALSE()),"Other")</f>
        <v>Manager</v>
      </c>
      <c r="AQ839" s="0" t="n">
        <f aca="false">IF(T839="",0,1)</f>
        <v>0</v>
      </c>
      <c r="AR839" s="0" t="n">
        <f aca="false">IF(U839="",0,1)</f>
        <v>0</v>
      </c>
      <c r="AS839" s="8" t="n">
        <f aca="false">IF(AK839="","",IF(MAX($AK$2:$AK$921)=MIN($AK$2:$AK$921),50,ROUND((AK839-MIN($AK$2:$AK$921))/(MAX($AK$2:$AK$921)-MIN($AK$2:$AK$921))*100,2)))</f>
        <v>14.27</v>
      </c>
      <c r="AT839" s="8" t="n">
        <f aca="false">IF(MAX($BC$2:$BC$921)=MIN($BC$2:$BC$921),50,ROUND((BC839-MIN($BC$2:$BC$921))/(MAX($BC$2:$BC$921)-MIN($BC$2:$BC$921))*100,2))</f>
        <v>50</v>
      </c>
      <c r="AU839" s="8" t="n">
        <f aca="false">IF(MAX($BE$2:$BE$921)=MIN($BE$2:$BE$921),50,ROUND((BE839-MIN($BE$2:$BE$921))/(MAX($BE$2:$BE$921)-MIN($BE$2:$BE$921))*100,2))</f>
        <v>100</v>
      </c>
      <c r="AV839" s="8" t="n">
        <f aca="false">IF(MAX($AD$2:$AD$921)=MIN($AD$2:$AD$921),50,ROUND((AD839-MIN($AD$2:$AD$921))/(MAX($AD$2:$AD$921)-MIN($AD$2:$AD$921))*100,2))</f>
        <v>7.04</v>
      </c>
      <c r="AW839" s="8" t="n">
        <f aca="false">IF(MAX($AN$2:$AN$921)=MIN($AN$2:$AN$921),50,ROUND((AN839-MIN($AN$2:$AN$921))/(MAX($AN$2:$AN$921)-MIN($AN$2:$AN$921))*100,2))</f>
        <v>37.5</v>
      </c>
      <c r="AX839" s="8" t="n">
        <f aca="false">AQ839*100</f>
        <v>0</v>
      </c>
      <c r="AY839" s="8" t="n">
        <f aca="false">AR839*100</f>
        <v>0</v>
      </c>
      <c r="AZ839" s="8" t="n">
        <f aca="false">IFERROR(ROUND(AS839*Assumptions!$I$6+AW839*Assumptions!$I$7+AT839*Assumptions!$I$8+AU839*Assumptions!$I$9+AV839*Assumptions!$I$10+AX839*Assumptions!$I$11+AY839*Assumptions!$I$12,2),"")</f>
        <v>34.99</v>
      </c>
      <c r="BA839" s="0" t="str">
        <f aca="false">IF(AZ839="","",IF(AZ839&lt;=Assumptions!$I$18,"Below Expectation",IF(AZ839&lt;=Assumptions!$I$19,"Developing",IF(AZ839&lt;=Assumptions!$I$20,"Meets Expectation",IF(AZ839&lt;=Assumptions!$I$21,"Exceeds","Star Performer")))))</f>
        <v>Below Expectation</v>
      </c>
      <c r="BB839" s="0" t="n">
        <f aca="false">IF(AZ839="",0,IF(AZ839&gt;=Assumptions!$I$26,1,0))</f>
        <v>0</v>
      </c>
      <c r="BC839" s="9" t="n">
        <f aca="false">IF(AL839="",2,AL839+2)</f>
        <v>2</v>
      </c>
      <c r="BD839" s="10" t="n">
        <f aca="false">IF(AM839="",ROUND(AVERAGE($AM$2:$AM$921),3),AM839)</f>
        <v>0</v>
      </c>
      <c r="BE839" s="9" t="n">
        <f aca="false">1-BD839</f>
        <v>1</v>
      </c>
    </row>
    <row r="840" customFormat="false" ht="14.25" hidden="true" customHeight="false" outlineLevel="0" collapsed="false">
      <c r="A840" s="4" t="n">
        <v>820</v>
      </c>
      <c r="B840" s="5" t="n">
        <v>55087557</v>
      </c>
      <c r="C840" s="5" t="s">
        <v>85</v>
      </c>
      <c r="D840" s="5" t="s">
        <v>2685</v>
      </c>
      <c r="E840" s="5" t="s">
        <v>315</v>
      </c>
      <c r="F840" s="5" t="s">
        <v>2251</v>
      </c>
      <c r="G840" s="5" t="s">
        <v>2250</v>
      </c>
      <c r="H840" s="5" t="s">
        <v>2251</v>
      </c>
      <c r="I840" s="5" t="s">
        <v>63</v>
      </c>
      <c r="J840" s="5" t="s">
        <v>76</v>
      </c>
      <c r="K840" s="5" t="s">
        <v>309</v>
      </c>
      <c r="L840" s="6" t="n">
        <v>45230</v>
      </c>
      <c r="M840" s="5" t="s">
        <v>522</v>
      </c>
      <c r="N840" s="6" t="n">
        <v>37609</v>
      </c>
      <c r="O840" s="5" t="s">
        <v>1264</v>
      </c>
      <c r="P840" s="5" t="s">
        <v>1559</v>
      </c>
      <c r="Q840" s="5" t="s">
        <v>195</v>
      </c>
      <c r="R840" s="5" t="s">
        <v>115</v>
      </c>
      <c r="S840" s="5" t="s">
        <v>195</v>
      </c>
      <c r="T840" s="6"/>
      <c r="U840" s="6"/>
      <c r="V840" s="5"/>
      <c r="W840" s="5"/>
      <c r="X840" s="5" t="s">
        <v>631</v>
      </c>
      <c r="Y840" s="5" t="s">
        <v>631</v>
      </c>
      <c r="Z840" s="5" t="s">
        <v>631</v>
      </c>
      <c r="AA840" s="5" t="s">
        <v>2686</v>
      </c>
      <c r="AB840" s="0" t="n">
        <f aca="false">IFERROR(VALUE(R840),0)</f>
        <v>0</v>
      </c>
      <c r="AC840" s="0" t="n">
        <f aca="false">IFERROR(VALUE(M840),"")</f>
        <v>23.5</v>
      </c>
      <c r="AD840" s="0" t="n">
        <f aca="false">IFERROR(VALUE(Q840),"")</f>
        <v>2.7</v>
      </c>
      <c r="AE840" s="0" t="n">
        <f aca="false">IFERROR(VALUE(S840),"")</f>
        <v>2.7</v>
      </c>
      <c r="AF840" s="0" t="str">
        <f aca="false">IF(V840="","",VLOOKUP(V840,Assumptions!$B$6:$C$9,2,FALSE()))</f>
        <v/>
      </c>
      <c r="AG840" s="0" t="str">
        <f aca="false">IF(W840="","",VLOOKUP(W840,Assumptions!$B$6:$C$9,2,FALSE()))</f>
        <v/>
      </c>
      <c r="AH840" s="0" t="n">
        <f aca="false">IF(X840="","",VLOOKUP(X840,Assumptions!$B$6:$C$9,2,FALSE()))</f>
        <v>2</v>
      </c>
      <c r="AI840" s="0" t="n">
        <f aca="false">IF(Y840="","",VLOOKUP(Y840,Assumptions!$B$6:$C$9,2,FALSE()))</f>
        <v>2</v>
      </c>
      <c r="AJ840" s="0" t="n">
        <f aca="false">IF(Z840="","",VLOOKUP(Z840,Assumptions!$B$6:$C$9,2,FALSE()))</f>
        <v>2</v>
      </c>
      <c r="AK840" s="7" t="n">
        <f aca="false">IFERROR(ROUND(AVERAGE(AF840:AJ840),3),"")</f>
        <v>2</v>
      </c>
      <c r="AL840" s="7" t="str">
        <f aca="false">IF(OR(AF840="",AJ840=""),"",AJ840-AF840)</f>
        <v/>
      </c>
      <c r="AM840" s="7" t="n">
        <f aca="false">IF(COUNT(AF840:AJ840)&gt;=2,ROUND(_xlfn.STDEV.S(AF840:AJ840),3),"")</f>
        <v>0</v>
      </c>
      <c r="AN840" s="7" t="n">
        <f aca="false">ROUND((IF(AF840="",0,AF840)*Assumptions!$F$15)+(IF(AG840="",0,AG840)*Assumptions!$F$16)+(IF(AH840="",0,AH840)*Assumptions!$F$17)+(IF(AI840="",0,AI840)*Assumptions!$F$18)+(IF(AJ840="",0,AJ840)*Assumptions!$F$19),3)</f>
        <v>1.5</v>
      </c>
      <c r="AO840" s="0" t="str">
        <f aca="false">IF(AC840&lt;=20,"",IF(AC840&lt;=Assumptions!$F$6,"20-30",IF(AC840&lt;=Assumptions!$F$7,"30-40",IF(AC840&lt;=Assumptions!$F$8,"40-50",IF(AC840&lt;=Assumptions!$F$9,"50-60",IF(AC840&lt;=Assumptions!$F$10,"60+",""))))))</f>
        <v>20-30</v>
      </c>
      <c r="AP840" s="0" t="str">
        <f aca="false">IFERROR(VLOOKUP(O840,Assumptions!$B$14:$C$26,2,FALSE()),"Other")</f>
        <v>Manager</v>
      </c>
      <c r="AQ840" s="0" t="n">
        <f aca="false">IF(T840="",0,1)</f>
        <v>0</v>
      </c>
      <c r="AR840" s="0" t="n">
        <f aca="false">IF(U840="",0,1)</f>
        <v>0</v>
      </c>
      <c r="AS840" s="8" t="n">
        <f aca="false">IF(AK840="","",IF(MAX($AK$2:$AK$921)=MIN($AK$2:$AK$921),50,ROUND((AK840-MIN($AK$2:$AK$921))/(MAX($AK$2:$AK$921)-MIN($AK$2:$AK$921))*100,2)))</f>
        <v>14.27</v>
      </c>
      <c r="AT840" s="8" t="n">
        <f aca="false">IF(MAX($BC$2:$BC$921)=MIN($BC$2:$BC$921),50,ROUND((BC840-MIN($BC$2:$BC$921))/(MAX($BC$2:$BC$921)-MIN($BC$2:$BC$921))*100,2))</f>
        <v>50</v>
      </c>
      <c r="AU840" s="8" t="n">
        <f aca="false">IF(MAX($BE$2:$BE$921)=MIN($BE$2:$BE$921),50,ROUND((BE840-MIN($BE$2:$BE$921))/(MAX($BE$2:$BE$921)-MIN($BE$2:$BE$921))*100,2))</f>
        <v>100</v>
      </c>
      <c r="AV840" s="8" t="n">
        <f aca="false">IF(MAX($AD$2:$AD$921)=MIN($AD$2:$AD$921),50,ROUND((AD840-MIN($AD$2:$AD$921))/(MAX($AD$2:$AD$921)-MIN($AD$2:$AD$921))*100,2))</f>
        <v>7.04</v>
      </c>
      <c r="AW840" s="8" t="n">
        <f aca="false">IF(MAX($AN$2:$AN$921)=MIN($AN$2:$AN$921),50,ROUND((AN840-MIN($AN$2:$AN$921))/(MAX($AN$2:$AN$921)-MIN($AN$2:$AN$921))*100,2))</f>
        <v>37.5</v>
      </c>
      <c r="AX840" s="8" t="n">
        <f aca="false">AQ840*100</f>
        <v>0</v>
      </c>
      <c r="AY840" s="8" t="n">
        <f aca="false">AR840*100</f>
        <v>0</v>
      </c>
      <c r="AZ840" s="8" t="n">
        <f aca="false">IFERROR(ROUND(AS840*Assumptions!$I$6+AW840*Assumptions!$I$7+AT840*Assumptions!$I$8+AU840*Assumptions!$I$9+AV840*Assumptions!$I$10+AX840*Assumptions!$I$11+AY840*Assumptions!$I$12,2),"")</f>
        <v>34.99</v>
      </c>
      <c r="BA840" s="0" t="str">
        <f aca="false">IF(AZ840="","",IF(AZ840&lt;=Assumptions!$I$18,"Below Expectation",IF(AZ840&lt;=Assumptions!$I$19,"Developing",IF(AZ840&lt;=Assumptions!$I$20,"Meets Expectation",IF(AZ840&lt;=Assumptions!$I$21,"Exceeds","Star Performer")))))</f>
        <v>Below Expectation</v>
      </c>
      <c r="BB840" s="0" t="n">
        <f aca="false">IF(AZ840="",0,IF(AZ840&gt;=Assumptions!$I$26,1,0))</f>
        <v>0</v>
      </c>
      <c r="BC840" s="9" t="n">
        <f aca="false">IF(AL840="",2,AL840+2)</f>
        <v>2</v>
      </c>
      <c r="BD840" s="10" t="n">
        <f aca="false">IF(AM840="",ROUND(AVERAGE($AM$2:$AM$921),3),AM840)</f>
        <v>0</v>
      </c>
      <c r="BE840" s="9" t="n">
        <f aca="false">1-BD840</f>
        <v>1</v>
      </c>
    </row>
    <row r="841" customFormat="false" ht="14.25" hidden="true" customHeight="false" outlineLevel="0" collapsed="false">
      <c r="A841" s="4" t="n">
        <v>821</v>
      </c>
      <c r="B841" s="5" t="n">
        <v>55087569</v>
      </c>
      <c r="C841" s="5" t="s">
        <v>85</v>
      </c>
      <c r="D841" s="5" t="s">
        <v>2687</v>
      </c>
      <c r="E841" s="5" t="s">
        <v>315</v>
      </c>
      <c r="F841" s="5" t="s">
        <v>2251</v>
      </c>
      <c r="G841" s="5" t="s">
        <v>2250</v>
      </c>
      <c r="H841" s="5" t="s">
        <v>2251</v>
      </c>
      <c r="I841" s="5" t="s">
        <v>63</v>
      </c>
      <c r="J841" s="5" t="s">
        <v>76</v>
      </c>
      <c r="K841" s="5" t="s">
        <v>309</v>
      </c>
      <c r="L841" s="6" t="n">
        <v>45230</v>
      </c>
      <c r="M841" s="5" t="s">
        <v>132</v>
      </c>
      <c r="N841" s="6" t="n">
        <v>37561</v>
      </c>
      <c r="O841" s="5" t="s">
        <v>1264</v>
      </c>
      <c r="P841" s="5" t="s">
        <v>1559</v>
      </c>
      <c r="Q841" s="5" t="s">
        <v>195</v>
      </c>
      <c r="R841" s="5" t="s">
        <v>115</v>
      </c>
      <c r="S841" s="5" t="s">
        <v>195</v>
      </c>
      <c r="T841" s="6"/>
      <c r="U841" s="6"/>
      <c r="V841" s="5"/>
      <c r="W841" s="5"/>
      <c r="X841" s="5" t="s">
        <v>631</v>
      </c>
      <c r="Y841" s="5" t="s">
        <v>631</v>
      </c>
      <c r="Z841" s="5" t="s">
        <v>631</v>
      </c>
      <c r="AA841" s="5" t="s">
        <v>2688</v>
      </c>
      <c r="AB841" s="0" t="n">
        <f aca="false">IFERROR(VALUE(R841),0)</f>
        <v>0</v>
      </c>
      <c r="AC841" s="0" t="n">
        <f aca="false">IFERROR(VALUE(M841),"")</f>
        <v>23.7</v>
      </c>
      <c r="AD841" s="0" t="n">
        <f aca="false">IFERROR(VALUE(Q841),"")</f>
        <v>2.7</v>
      </c>
      <c r="AE841" s="0" t="n">
        <f aca="false">IFERROR(VALUE(S841),"")</f>
        <v>2.7</v>
      </c>
      <c r="AF841" s="0" t="str">
        <f aca="false">IF(V841="","",VLOOKUP(V841,Assumptions!$B$6:$C$9,2,FALSE()))</f>
        <v/>
      </c>
      <c r="AG841" s="0" t="str">
        <f aca="false">IF(W841="","",VLOOKUP(W841,Assumptions!$B$6:$C$9,2,FALSE()))</f>
        <v/>
      </c>
      <c r="AH841" s="0" t="n">
        <f aca="false">IF(X841="","",VLOOKUP(X841,Assumptions!$B$6:$C$9,2,FALSE()))</f>
        <v>2</v>
      </c>
      <c r="AI841" s="0" t="n">
        <f aca="false">IF(Y841="","",VLOOKUP(Y841,Assumptions!$B$6:$C$9,2,FALSE()))</f>
        <v>2</v>
      </c>
      <c r="AJ841" s="0" t="n">
        <f aca="false">IF(Z841="","",VLOOKUP(Z841,Assumptions!$B$6:$C$9,2,FALSE()))</f>
        <v>2</v>
      </c>
      <c r="AK841" s="7" t="n">
        <f aca="false">IFERROR(ROUND(AVERAGE(AF841:AJ841),3),"")</f>
        <v>2</v>
      </c>
      <c r="AL841" s="7" t="str">
        <f aca="false">IF(OR(AF841="",AJ841=""),"",AJ841-AF841)</f>
        <v/>
      </c>
      <c r="AM841" s="7" t="n">
        <f aca="false">IF(COUNT(AF841:AJ841)&gt;=2,ROUND(_xlfn.STDEV.S(AF841:AJ841),3),"")</f>
        <v>0</v>
      </c>
      <c r="AN841" s="7" t="n">
        <f aca="false">ROUND((IF(AF841="",0,AF841)*Assumptions!$F$15)+(IF(AG841="",0,AG841)*Assumptions!$F$16)+(IF(AH841="",0,AH841)*Assumptions!$F$17)+(IF(AI841="",0,AI841)*Assumptions!$F$18)+(IF(AJ841="",0,AJ841)*Assumptions!$F$19),3)</f>
        <v>1.5</v>
      </c>
      <c r="AO841" s="0" t="str">
        <f aca="false">IF(AC841&lt;=20,"",IF(AC841&lt;=Assumptions!$F$6,"20-30",IF(AC841&lt;=Assumptions!$F$7,"30-40",IF(AC841&lt;=Assumptions!$F$8,"40-50",IF(AC841&lt;=Assumptions!$F$9,"50-60",IF(AC841&lt;=Assumptions!$F$10,"60+",""))))))</f>
        <v>20-30</v>
      </c>
      <c r="AP841" s="0" t="str">
        <f aca="false">IFERROR(VLOOKUP(O841,Assumptions!$B$14:$C$26,2,FALSE()),"Other")</f>
        <v>Manager</v>
      </c>
      <c r="AQ841" s="0" t="n">
        <f aca="false">IF(T841="",0,1)</f>
        <v>0</v>
      </c>
      <c r="AR841" s="0" t="n">
        <f aca="false">IF(U841="",0,1)</f>
        <v>0</v>
      </c>
      <c r="AS841" s="8" t="n">
        <f aca="false">IF(AK841="","",IF(MAX($AK$2:$AK$921)=MIN($AK$2:$AK$921),50,ROUND((AK841-MIN($AK$2:$AK$921))/(MAX($AK$2:$AK$921)-MIN($AK$2:$AK$921))*100,2)))</f>
        <v>14.27</v>
      </c>
      <c r="AT841" s="8" t="n">
        <f aca="false">IF(MAX($BC$2:$BC$921)=MIN($BC$2:$BC$921),50,ROUND((BC841-MIN($BC$2:$BC$921))/(MAX($BC$2:$BC$921)-MIN($BC$2:$BC$921))*100,2))</f>
        <v>50</v>
      </c>
      <c r="AU841" s="8" t="n">
        <f aca="false">IF(MAX($BE$2:$BE$921)=MIN($BE$2:$BE$921),50,ROUND((BE841-MIN($BE$2:$BE$921))/(MAX($BE$2:$BE$921)-MIN($BE$2:$BE$921))*100,2))</f>
        <v>100</v>
      </c>
      <c r="AV841" s="8" t="n">
        <f aca="false">IF(MAX($AD$2:$AD$921)=MIN($AD$2:$AD$921),50,ROUND((AD841-MIN($AD$2:$AD$921))/(MAX($AD$2:$AD$921)-MIN($AD$2:$AD$921))*100,2))</f>
        <v>7.04</v>
      </c>
      <c r="AW841" s="8" t="n">
        <f aca="false">IF(MAX($AN$2:$AN$921)=MIN($AN$2:$AN$921),50,ROUND((AN841-MIN($AN$2:$AN$921))/(MAX($AN$2:$AN$921)-MIN($AN$2:$AN$921))*100,2))</f>
        <v>37.5</v>
      </c>
      <c r="AX841" s="8" t="n">
        <f aca="false">AQ841*100</f>
        <v>0</v>
      </c>
      <c r="AY841" s="8" t="n">
        <f aca="false">AR841*100</f>
        <v>0</v>
      </c>
      <c r="AZ841" s="8" t="n">
        <f aca="false">IFERROR(ROUND(AS841*Assumptions!$I$6+AW841*Assumptions!$I$7+AT841*Assumptions!$I$8+AU841*Assumptions!$I$9+AV841*Assumptions!$I$10+AX841*Assumptions!$I$11+AY841*Assumptions!$I$12,2),"")</f>
        <v>34.99</v>
      </c>
      <c r="BA841" s="0" t="str">
        <f aca="false">IF(AZ841="","",IF(AZ841&lt;=Assumptions!$I$18,"Below Expectation",IF(AZ841&lt;=Assumptions!$I$19,"Developing",IF(AZ841&lt;=Assumptions!$I$20,"Meets Expectation",IF(AZ841&lt;=Assumptions!$I$21,"Exceeds","Star Performer")))))</f>
        <v>Below Expectation</v>
      </c>
      <c r="BB841" s="0" t="n">
        <f aca="false">IF(AZ841="",0,IF(AZ841&gt;=Assumptions!$I$26,1,0))</f>
        <v>0</v>
      </c>
      <c r="BC841" s="9" t="n">
        <f aca="false">IF(AL841="",2,AL841+2)</f>
        <v>2</v>
      </c>
      <c r="BD841" s="10" t="n">
        <f aca="false">IF(AM841="",ROUND(AVERAGE($AM$2:$AM$921),3),AM841)</f>
        <v>0</v>
      </c>
      <c r="BE841" s="9" t="n">
        <f aca="false">1-BD841</f>
        <v>1</v>
      </c>
    </row>
    <row r="842" customFormat="false" ht="14.25" hidden="true" customHeight="false" outlineLevel="0" collapsed="false">
      <c r="A842" s="4" t="n">
        <v>822</v>
      </c>
      <c r="B842" s="5" t="n">
        <v>55087570</v>
      </c>
      <c r="C842" s="5" t="s">
        <v>85</v>
      </c>
      <c r="D842" s="5" t="s">
        <v>2689</v>
      </c>
      <c r="E842" s="5" t="s">
        <v>315</v>
      </c>
      <c r="F842" s="5" t="s">
        <v>2251</v>
      </c>
      <c r="G842" s="5" t="s">
        <v>2250</v>
      </c>
      <c r="H842" s="5" t="s">
        <v>2251</v>
      </c>
      <c r="I842" s="5" t="s">
        <v>63</v>
      </c>
      <c r="J842" s="5" t="s">
        <v>76</v>
      </c>
      <c r="K842" s="5" t="s">
        <v>309</v>
      </c>
      <c r="L842" s="6" t="n">
        <v>45230</v>
      </c>
      <c r="M842" s="5" t="s">
        <v>346</v>
      </c>
      <c r="N842" s="6" t="n">
        <v>37762</v>
      </c>
      <c r="O842" s="5" t="s">
        <v>1264</v>
      </c>
      <c r="P842" s="5" t="s">
        <v>1559</v>
      </c>
      <c r="Q842" s="5" t="s">
        <v>195</v>
      </c>
      <c r="R842" s="5" t="s">
        <v>115</v>
      </c>
      <c r="S842" s="5" t="s">
        <v>195</v>
      </c>
      <c r="T842" s="6"/>
      <c r="U842" s="6"/>
      <c r="V842" s="5"/>
      <c r="W842" s="5"/>
      <c r="X842" s="5" t="s">
        <v>631</v>
      </c>
      <c r="Y842" s="5" t="s">
        <v>631</v>
      </c>
      <c r="Z842" s="5" t="s">
        <v>631</v>
      </c>
      <c r="AA842" s="5" t="s">
        <v>2690</v>
      </c>
      <c r="AB842" s="0" t="n">
        <f aca="false">IFERROR(VALUE(R842),0)</f>
        <v>0</v>
      </c>
      <c r="AC842" s="0" t="n">
        <f aca="false">IFERROR(VALUE(M842),"")</f>
        <v>23</v>
      </c>
      <c r="AD842" s="0" t="n">
        <f aca="false">IFERROR(VALUE(Q842),"")</f>
        <v>2.7</v>
      </c>
      <c r="AE842" s="0" t="n">
        <f aca="false">IFERROR(VALUE(S842),"")</f>
        <v>2.7</v>
      </c>
      <c r="AF842" s="0" t="str">
        <f aca="false">IF(V842="","",VLOOKUP(V842,Assumptions!$B$6:$C$9,2,FALSE()))</f>
        <v/>
      </c>
      <c r="AG842" s="0" t="str">
        <f aca="false">IF(W842="","",VLOOKUP(W842,Assumptions!$B$6:$C$9,2,FALSE()))</f>
        <v/>
      </c>
      <c r="AH842" s="0" t="n">
        <f aca="false">IF(X842="","",VLOOKUP(X842,Assumptions!$B$6:$C$9,2,FALSE()))</f>
        <v>2</v>
      </c>
      <c r="AI842" s="0" t="n">
        <f aca="false">IF(Y842="","",VLOOKUP(Y842,Assumptions!$B$6:$C$9,2,FALSE()))</f>
        <v>2</v>
      </c>
      <c r="AJ842" s="0" t="n">
        <f aca="false">IF(Z842="","",VLOOKUP(Z842,Assumptions!$B$6:$C$9,2,FALSE()))</f>
        <v>2</v>
      </c>
      <c r="AK842" s="7" t="n">
        <f aca="false">IFERROR(ROUND(AVERAGE(AF842:AJ842),3),"")</f>
        <v>2</v>
      </c>
      <c r="AL842" s="7" t="str">
        <f aca="false">IF(OR(AF842="",AJ842=""),"",AJ842-AF842)</f>
        <v/>
      </c>
      <c r="AM842" s="7" t="n">
        <f aca="false">IF(COUNT(AF842:AJ842)&gt;=2,ROUND(_xlfn.STDEV.S(AF842:AJ842),3),"")</f>
        <v>0</v>
      </c>
      <c r="AN842" s="7" t="n">
        <f aca="false">ROUND((IF(AF842="",0,AF842)*Assumptions!$F$15)+(IF(AG842="",0,AG842)*Assumptions!$F$16)+(IF(AH842="",0,AH842)*Assumptions!$F$17)+(IF(AI842="",0,AI842)*Assumptions!$F$18)+(IF(AJ842="",0,AJ842)*Assumptions!$F$19),3)</f>
        <v>1.5</v>
      </c>
      <c r="AO842" s="0" t="str">
        <f aca="false">IF(AC842&lt;=20,"",IF(AC842&lt;=Assumptions!$F$6,"20-30",IF(AC842&lt;=Assumptions!$F$7,"30-40",IF(AC842&lt;=Assumptions!$F$8,"40-50",IF(AC842&lt;=Assumptions!$F$9,"50-60",IF(AC842&lt;=Assumptions!$F$10,"60+",""))))))</f>
        <v>20-30</v>
      </c>
      <c r="AP842" s="0" t="str">
        <f aca="false">IFERROR(VLOOKUP(O842,Assumptions!$B$14:$C$26,2,FALSE()),"Other")</f>
        <v>Manager</v>
      </c>
      <c r="AQ842" s="0" t="n">
        <f aca="false">IF(T842="",0,1)</f>
        <v>0</v>
      </c>
      <c r="AR842" s="0" t="n">
        <f aca="false">IF(U842="",0,1)</f>
        <v>0</v>
      </c>
      <c r="AS842" s="8" t="n">
        <f aca="false">IF(AK842="","",IF(MAX($AK$2:$AK$921)=MIN($AK$2:$AK$921),50,ROUND((AK842-MIN($AK$2:$AK$921))/(MAX($AK$2:$AK$921)-MIN($AK$2:$AK$921))*100,2)))</f>
        <v>14.27</v>
      </c>
      <c r="AT842" s="8" t="n">
        <f aca="false">IF(MAX($BC$2:$BC$921)=MIN($BC$2:$BC$921),50,ROUND((BC842-MIN($BC$2:$BC$921))/(MAX($BC$2:$BC$921)-MIN($BC$2:$BC$921))*100,2))</f>
        <v>50</v>
      </c>
      <c r="AU842" s="8" t="n">
        <f aca="false">IF(MAX($BE$2:$BE$921)=MIN($BE$2:$BE$921),50,ROUND((BE842-MIN($BE$2:$BE$921))/(MAX($BE$2:$BE$921)-MIN($BE$2:$BE$921))*100,2))</f>
        <v>100</v>
      </c>
      <c r="AV842" s="8" t="n">
        <f aca="false">IF(MAX($AD$2:$AD$921)=MIN($AD$2:$AD$921),50,ROUND((AD842-MIN($AD$2:$AD$921))/(MAX($AD$2:$AD$921)-MIN($AD$2:$AD$921))*100,2))</f>
        <v>7.04</v>
      </c>
      <c r="AW842" s="8" t="n">
        <f aca="false">IF(MAX($AN$2:$AN$921)=MIN($AN$2:$AN$921),50,ROUND((AN842-MIN($AN$2:$AN$921))/(MAX($AN$2:$AN$921)-MIN($AN$2:$AN$921))*100,2))</f>
        <v>37.5</v>
      </c>
      <c r="AX842" s="8" t="n">
        <f aca="false">AQ842*100</f>
        <v>0</v>
      </c>
      <c r="AY842" s="8" t="n">
        <f aca="false">AR842*100</f>
        <v>0</v>
      </c>
      <c r="AZ842" s="8" t="n">
        <f aca="false">IFERROR(ROUND(AS842*Assumptions!$I$6+AW842*Assumptions!$I$7+AT842*Assumptions!$I$8+AU842*Assumptions!$I$9+AV842*Assumptions!$I$10+AX842*Assumptions!$I$11+AY842*Assumptions!$I$12,2),"")</f>
        <v>34.99</v>
      </c>
      <c r="BA842" s="0" t="str">
        <f aca="false">IF(AZ842="","",IF(AZ842&lt;=Assumptions!$I$18,"Below Expectation",IF(AZ842&lt;=Assumptions!$I$19,"Developing",IF(AZ842&lt;=Assumptions!$I$20,"Meets Expectation",IF(AZ842&lt;=Assumptions!$I$21,"Exceeds","Star Performer")))))</f>
        <v>Below Expectation</v>
      </c>
      <c r="BB842" s="0" t="n">
        <f aca="false">IF(AZ842="",0,IF(AZ842&gt;=Assumptions!$I$26,1,0))</f>
        <v>0</v>
      </c>
      <c r="BC842" s="9" t="n">
        <f aca="false">IF(AL842="",2,AL842+2)</f>
        <v>2</v>
      </c>
      <c r="BD842" s="10" t="n">
        <f aca="false">IF(AM842="",ROUND(AVERAGE($AM$2:$AM$921),3),AM842)</f>
        <v>0</v>
      </c>
      <c r="BE842" s="9" t="n">
        <f aca="false">1-BD842</f>
        <v>1</v>
      </c>
    </row>
    <row r="843" customFormat="false" ht="14.25" hidden="true" customHeight="false" outlineLevel="0" collapsed="false">
      <c r="A843" s="4" t="n">
        <v>823</v>
      </c>
      <c r="B843" s="5" t="n">
        <v>55087574</v>
      </c>
      <c r="C843" s="5" t="s">
        <v>85</v>
      </c>
      <c r="D843" s="5" t="s">
        <v>2691</v>
      </c>
      <c r="E843" s="5" t="s">
        <v>315</v>
      </c>
      <c r="F843" s="5" t="s">
        <v>2251</v>
      </c>
      <c r="G843" s="5" t="s">
        <v>2250</v>
      </c>
      <c r="H843" s="5" t="s">
        <v>2251</v>
      </c>
      <c r="I843" s="5" t="s">
        <v>63</v>
      </c>
      <c r="J843" s="5" t="s">
        <v>76</v>
      </c>
      <c r="K843" s="5" t="s">
        <v>309</v>
      </c>
      <c r="L843" s="6" t="n">
        <v>45230</v>
      </c>
      <c r="M843" s="5" t="s">
        <v>282</v>
      </c>
      <c r="N843" s="6" t="n">
        <v>37391</v>
      </c>
      <c r="O843" s="5" t="s">
        <v>1264</v>
      </c>
      <c r="P843" s="5" t="s">
        <v>1559</v>
      </c>
      <c r="Q843" s="5" t="s">
        <v>195</v>
      </c>
      <c r="R843" s="5" t="s">
        <v>115</v>
      </c>
      <c r="S843" s="5" t="s">
        <v>195</v>
      </c>
      <c r="T843" s="6"/>
      <c r="U843" s="6"/>
      <c r="V843" s="5"/>
      <c r="W843" s="5"/>
      <c r="X843" s="5" t="s">
        <v>631</v>
      </c>
      <c r="Y843" s="5" t="s">
        <v>631</v>
      </c>
      <c r="Z843" s="5" t="s">
        <v>631</v>
      </c>
      <c r="AA843" s="5" t="s">
        <v>2692</v>
      </c>
      <c r="AB843" s="0" t="n">
        <f aca="false">IFERROR(VALUE(R843),0)</f>
        <v>0</v>
      </c>
      <c r="AC843" s="0" t="n">
        <f aca="false">IFERROR(VALUE(M843),"")</f>
        <v>24</v>
      </c>
      <c r="AD843" s="0" t="n">
        <f aca="false">IFERROR(VALUE(Q843),"")</f>
        <v>2.7</v>
      </c>
      <c r="AE843" s="0" t="n">
        <f aca="false">IFERROR(VALUE(S843),"")</f>
        <v>2.7</v>
      </c>
      <c r="AF843" s="0" t="str">
        <f aca="false">IF(V843="","",VLOOKUP(V843,Assumptions!$B$6:$C$9,2,FALSE()))</f>
        <v/>
      </c>
      <c r="AG843" s="0" t="str">
        <f aca="false">IF(W843="","",VLOOKUP(W843,Assumptions!$B$6:$C$9,2,FALSE()))</f>
        <v/>
      </c>
      <c r="AH843" s="0" t="n">
        <f aca="false">IF(X843="","",VLOOKUP(X843,Assumptions!$B$6:$C$9,2,FALSE()))</f>
        <v>2</v>
      </c>
      <c r="AI843" s="0" t="n">
        <f aca="false">IF(Y843="","",VLOOKUP(Y843,Assumptions!$B$6:$C$9,2,FALSE()))</f>
        <v>2</v>
      </c>
      <c r="AJ843" s="0" t="n">
        <f aca="false">IF(Z843="","",VLOOKUP(Z843,Assumptions!$B$6:$C$9,2,FALSE()))</f>
        <v>2</v>
      </c>
      <c r="AK843" s="7" t="n">
        <f aca="false">IFERROR(ROUND(AVERAGE(AF843:AJ843),3),"")</f>
        <v>2</v>
      </c>
      <c r="AL843" s="7" t="str">
        <f aca="false">IF(OR(AF843="",AJ843=""),"",AJ843-AF843)</f>
        <v/>
      </c>
      <c r="AM843" s="7" t="n">
        <f aca="false">IF(COUNT(AF843:AJ843)&gt;=2,ROUND(_xlfn.STDEV.S(AF843:AJ843),3),"")</f>
        <v>0</v>
      </c>
      <c r="AN843" s="7" t="n">
        <f aca="false">ROUND((IF(AF843="",0,AF843)*Assumptions!$F$15)+(IF(AG843="",0,AG843)*Assumptions!$F$16)+(IF(AH843="",0,AH843)*Assumptions!$F$17)+(IF(AI843="",0,AI843)*Assumptions!$F$18)+(IF(AJ843="",0,AJ843)*Assumptions!$F$19),3)</f>
        <v>1.5</v>
      </c>
      <c r="AO843" s="0" t="str">
        <f aca="false">IF(AC843&lt;=20,"",IF(AC843&lt;=Assumptions!$F$6,"20-30",IF(AC843&lt;=Assumptions!$F$7,"30-40",IF(AC843&lt;=Assumptions!$F$8,"40-50",IF(AC843&lt;=Assumptions!$F$9,"50-60",IF(AC843&lt;=Assumptions!$F$10,"60+",""))))))</f>
        <v>20-30</v>
      </c>
      <c r="AP843" s="0" t="str">
        <f aca="false">IFERROR(VLOOKUP(O843,Assumptions!$B$14:$C$26,2,FALSE()),"Other")</f>
        <v>Manager</v>
      </c>
      <c r="AQ843" s="0" t="n">
        <f aca="false">IF(T843="",0,1)</f>
        <v>0</v>
      </c>
      <c r="AR843" s="0" t="n">
        <f aca="false">IF(U843="",0,1)</f>
        <v>0</v>
      </c>
      <c r="AS843" s="8" t="n">
        <f aca="false">IF(AK843="","",IF(MAX($AK$2:$AK$921)=MIN($AK$2:$AK$921),50,ROUND((AK843-MIN($AK$2:$AK$921))/(MAX($AK$2:$AK$921)-MIN($AK$2:$AK$921))*100,2)))</f>
        <v>14.27</v>
      </c>
      <c r="AT843" s="8" t="n">
        <f aca="false">IF(MAX($BC$2:$BC$921)=MIN($BC$2:$BC$921),50,ROUND((BC843-MIN($BC$2:$BC$921))/(MAX($BC$2:$BC$921)-MIN($BC$2:$BC$921))*100,2))</f>
        <v>50</v>
      </c>
      <c r="AU843" s="8" t="n">
        <f aca="false">IF(MAX($BE$2:$BE$921)=MIN($BE$2:$BE$921),50,ROUND((BE843-MIN($BE$2:$BE$921))/(MAX($BE$2:$BE$921)-MIN($BE$2:$BE$921))*100,2))</f>
        <v>100</v>
      </c>
      <c r="AV843" s="8" t="n">
        <f aca="false">IF(MAX($AD$2:$AD$921)=MIN($AD$2:$AD$921),50,ROUND((AD843-MIN($AD$2:$AD$921))/(MAX($AD$2:$AD$921)-MIN($AD$2:$AD$921))*100,2))</f>
        <v>7.04</v>
      </c>
      <c r="AW843" s="8" t="n">
        <f aca="false">IF(MAX($AN$2:$AN$921)=MIN($AN$2:$AN$921),50,ROUND((AN843-MIN($AN$2:$AN$921))/(MAX($AN$2:$AN$921)-MIN($AN$2:$AN$921))*100,2))</f>
        <v>37.5</v>
      </c>
      <c r="AX843" s="8" t="n">
        <f aca="false">AQ843*100</f>
        <v>0</v>
      </c>
      <c r="AY843" s="8" t="n">
        <f aca="false">AR843*100</f>
        <v>0</v>
      </c>
      <c r="AZ843" s="8" t="n">
        <f aca="false">IFERROR(ROUND(AS843*Assumptions!$I$6+AW843*Assumptions!$I$7+AT843*Assumptions!$I$8+AU843*Assumptions!$I$9+AV843*Assumptions!$I$10+AX843*Assumptions!$I$11+AY843*Assumptions!$I$12,2),"")</f>
        <v>34.99</v>
      </c>
      <c r="BA843" s="0" t="str">
        <f aca="false">IF(AZ843="","",IF(AZ843&lt;=Assumptions!$I$18,"Below Expectation",IF(AZ843&lt;=Assumptions!$I$19,"Developing",IF(AZ843&lt;=Assumptions!$I$20,"Meets Expectation",IF(AZ843&lt;=Assumptions!$I$21,"Exceeds","Star Performer")))))</f>
        <v>Below Expectation</v>
      </c>
      <c r="BB843" s="0" t="n">
        <f aca="false">IF(AZ843="",0,IF(AZ843&gt;=Assumptions!$I$26,1,0))</f>
        <v>0</v>
      </c>
      <c r="BC843" s="9" t="n">
        <f aca="false">IF(AL843="",2,AL843+2)</f>
        <v>2</v>
      </c>
      <c r="BD843" s="10" t="n">
        <f aca="false">IF(AM843="",ROUND(AVERAGE($AM$2:$AM$921),3),AM843)</f>
        <v>0</v>
      </c>
      <c r="BE843" s="9" t="n">
        <f aca="false">1-BD843</f>
        <v>1</v>
      </c>
    </row>
    <row r="844" customFormat="false" ht="14.25" hidden="true" customHeight="false" outlineLevel="0" collapsed="false">
      <c r="A844" s="4" t="n">
        <v>824</v>
      </c>
      <c r="B844" s="5" t="n">
        <v>55087585</v>
      </c>
      <c r="C844" s="5" t="s">
        <v>85</v>
      </c>
      <c r="D844" s="5" t="s">
        <v>2693</v>
      </c>
      <c r="E844" s="5" t="s">
        <v>315</v>
      </c>
      <c r="F844" s="5" t="s">
        <v>2251</v>
      </c>
      <c r="G844" s="5" t="s">
        <v>2250</v>
      </c>
      <c r="H844" s="5" t="s">
        <v>2251</v>
      </c>
      <c r="I844" s="5" t="s">
        <v>63</v>
      </c>
      <c r="J844" s="5" t="s">
        <v>76</v>
      </c>
      <c r="K844" s="5" t="s">
        <v>309</v>
      </c>
      <c r="L844" s="6" t="n">
        <v>45230</v>
      </c>
      <c r="M844" s="5" t="s">
        <v>522</v>
      </c>
      <c r="N844" s="6" t="n">
        <v>37602</v>
      </c>
      <c r="O844" s="5" t="s">
        <v>1264</v>
      </c>
      <c r="P844" s="5" t="s">
        <v>1559</v>
      </c>
      <c r="Q844" s="5" t="s">
        <v>195</v>
      </c>
      <c r="R844" s="5" t="s">
        <v>115</v>
      </c>
      <c r="S844" s="5" t="s">
        <v>195</v>
      </c>
      <c r="T844" s="6"/>
      <c r="U844" s="6"/>
      <c r="V844" s="5"/>
      <c r="W844" s="5"/>
      <c r="X844" s="5" t="s">
        <v>631</v>
      </c>
      <c r="Y844" s="5" t="s">
        <v>631</v>
      </c>
      <c r="Z844" s="5" t="s">
        <v>631</v>
      </c>
      <c r="AA844" s="5" t="s">
        <v>2694</v>
      </c>
      <c r="AB844" s="0" t="n">
        <f aca="false">IFERROR(VALUE(R844),0)</f>
        <v>0</v>
      </c>
      <c r="AC844" s="0" t="n">
        <f aca="false">IFERROR(VALUE(M844),"")</f>
        <v>23.5</v>
      </c>
      <c r="AD844" s="0" t="n">
        <f aca="false">IFERROR(VALUE(Q844),"")</f>
        <v>2.7</v>
      </c>
      <c r="AE844" s="0" t="n">
        <f aca="false">IFERROR(VALUE(S844),"")</f>
        <v>2.7</v>
      </c>
      <c r="AF844" s="0" t="str">
        <f aca="false">IF(V844="","",VLOOKUP(V844,Assumptions!$B$6:$C$9,2,FALSE()))</f>
        <v/>
      </c>
      <c r="AG844" s="0" t="str">
        <f aca="false">IF(W844="","",VLOOKUP(W844,Assumptions!$B$6:$C$9,2,FALSE()))</f>
        <v/>
      </c>
      <c r="AH844" s="0" t="n">
        <f aca="false">IF(X844="","",VLOOKUP(X844,Assumptions!$B$6:$C$9,2,FALSE()))</f>
        <v>2</v>
      </c>
      <c r="AI844" s="0" t="n">
        <f aca="false">IF(Y844="","",VLOOKUP(Y844,Assumptions!$B$6:$C$9,2,FALSE()))</f>
        <v>2</v>
      </c>
      <c r="AJ844" s="0" t="n">
        <f aca="false">IF(Z844="","",VLOOKUP(Z844,Assumptions!$B$6:$C$9,2,FALSE()))</f>
        <v>2</v>
      </c>
      <c r="AK844" s="7" t="n">
        <f aca="false">IFERROR(ROUND(AVERAGE(AF844:AJ844),3),"")</f>
        <v>2</v>
      </c>
      <c r="AL844" s="7" t="str">
        <f aca="false">IF(OR(AF844="",AJ844=""),"",AJ844-AF844)</f>
        <v/>
      </c>
      <c r="AM844" s="7" t="n">
        <f aca="false">IF(COUNT(AF844:AJ844)&gt;=2,ROUND(_xlfn.STDEV.S(AF844:AJ844),3),"")</f>
        <v>0</v>
      </c>
      <c r="AN844" s="7" t="n">
        <f aca="false">ROUND((IF(AF844="",0,AF844)*Assumptions!$F$15)+(IF(AG844="",0,AG844)*Assumptions!$F$16)+(IF(AH844="",0,AH844)*Assumptions!$F$17)+(IF(AI844="",0,AI844)*Assumptions!$F$18)+(IF(AJ844="",0,AJ844)*Assumptions!$F$19),3)</f>
        <v>1.5</v>
      </c>
      <c r="AO844" s="0" t="str">
        <f aca="false">IF(AC844&lt;=20,"",IF(AC844&lt;=Assumptions!$F$6,"20-30",IF(AC844&lt;=Assumptions!$F$7,"30-40",IF(AC844&lt;=Assumptions!$F$8,"40-50",IF(AC844&lt;=Assumptions!$F$9,"50-60",IF(AC844&lt;=Assumptions!$F$10,"60+",""))))))</f>
        <v>20-30</v>
      </c>
      <c r="AP844" s="0" t="str">
        <f aca="false">IFERROR(VLOOKUP(O844,Assumptions!$B$14:$C$26,2,FALSE()),"Other")</f>
        <v>Manager</v>
      </c>
      <c r="AQ844" s="0" t="n">
        <f aca="false">IF(T844="",0,1)</f>
        <v>0</v>
      </c>
      <c r="AR844" s="0" t="n">
        <f aca="false">IF(U844="",0,1)</f>
        <v>0</v>
      </c>
      <c r="AS844" s="8" t="n">
        <f aca="false">IF(AK844="","",IF(MAX($AK$2:$AK$921)=MIN($AK$2:$AK$921),50,ROUND((AK844-MIN($AK$2:$AK$921))/(MAX($AK$2:$AK$921)-MIN($AK$2:$AK$921))*100,2)))</f>
        <v>14.27</v>
      </c>
      <c r="AT844" s="8" t="n">
        <f aca="false">IF(MAX($BC$2:$BC$921)=MIN($BC$2:$BC$921),50,ROUND((BC844-MIN($BC$2:$BC$921))/(MAX($BC$2:$BC$921)-MIN($BC$2:$BC$921))*100,2))</f>
        <v>50</v>
      </c>
      <c r="AU844" s="8" t="n">
        <f aca="false">IF(MAX($BE$2:$BE$921)=MIN($BE$2:$BE$921),50,ROUND((BE844-MIN($BE$2:$BE$921))/(MAX($BE$2:$BE$921)-MIN($BE$2:$BE$921))*100,2))</f>
        <v>100</v>
      </c>
      <c r="AV844" s="8" t="n">
        <f aca="false">IF(MAX($AD$2:$AD$921)=MIN($AD$2:$AD$921),50,ROUND((AD844-MIN($AD$2:$AD$921))/(MAX($AD$2:$AD$921)-MIN($AD$2:$AD$921))*100,2))</f>
        <v>7.04</v>
      </c>
      <c r="AW844" s="8" t="n">
        <f aca="false">IF(MAX($AN$2:$AN$921)=MIN($AN$2:$AN$921),50,ROUND((AN844-MIN($AN$2:$AN$921))/(MAX($AN$2:$AN$921)-MIN($AN$2:$AN$921))*100,2))</f>
        <v>37.5</v>
      </c>
      <c r="AX844" s="8" t="n">
        <f aca="false">AQ844*100</f>
        <v>0</v>
      </c>
      <c r="AY844" s="8" t="n">
        <f aca="false">AR844*100</f>
        <v>0</v>
      </c>
      <c r="AZ844" s="8" t="n">
        <f aca="false">IFERROR(ROUND(AS844*Assumptions!$I$6+AW844*Assumptions!$I$7+AT844*Assumptions!$I$8+AU844*Assumptions!$I$9+AV844*Assumptions!$I$10+AX844*Assumptions!$I$11+AY844*Assumptions!$I$12,2),"")</f>
        <v>34.99</v>
      </c>
      <c r="BA844" s="0" t="str">
        <f aca="false">IF(AZ844="","",IF(AZ844&lt;=Assumptions!$I$18,"Below Expectation",IF(AZ844&lt;=Assumptions!$I$19,"Developing",IF(AZ844&lt;=Assumptions!$I$20,"Meets Expectation",IF(AZ844&lt;=Assumptions!$I$21,"Exceeds","Star Performer")))))</f>
        <v>Below Expectation</v>
      </c>
      <c r="BB844" s="0" t="n">
        <f aca="false">IF(AZ844="",0,IF(AZ844&gt;=Assumptions!$I$26,1,0))</f>
        <v>0</v>
      </c>
      <c r="BC844" s="9" t="n">
        <f aca="false">IF(AL844="",2,AL844+2)</f>
        <v>2</v>
      </c>
      <c r="BD844" s="10" t="n">
        <f aca="false">IF(AM844="",ROUND(AVERAGE($AM$2:$AM$921),3),AM844)</f>
        <v>0</v>
      </c>
      <c r="BE844" s="9" t="n">
        <f aca="false">1-BD844</f>
        <v>1</v>
      </c>
    </row>
    <row r="845" customFormat="false" ht="14.25" hidden="true" customHeight="false" outlineLevel="0" collapsed="false">
      <c r="A845" s="4" t="n">
        <v>825</v>
      </c>
      <c r="B845" s="5" t="n">
        <v>55087587</v>
      </c>
      <c r="C845" s="5" t="s">
        <v>85</v>
      </c>
      <c r="D845" s="5" t="s">
        <v>2695</v>
      </c>
      <c r="E845" s="5" t="s">
        <v>315</v>
      </c>
      <c r="F845" s="5" t="s">
        <v>2251</v>
      </c>
      <c r="G845" s="5" t="s">
        <v>2250</v>
      </c>
      <c r="H845" s="5" t="s">
        <v>2251</v>
      </c>
      <c r="I845" s="5" t="s">
        <v>63</v>
      </c>
      <c r="J845" s="5" t="s">
        <v>76</v>
      </c>
      <c r="K845" s="5" t="s">
        <v>309</v>
      </c>
      <c r="L845" s="6" t="n">
        <v>45230</v>
      </c>
      <c r="M845" s="5" t="s">
        <v>1445</v>
      </c>
      <c r="N845" s="6" t="n">
        <v>37451</v>
      </c>
      <c r="O845" s="5" t="s">
        <v>1264</v>
      </c>
      <c r="P845" s="5" t="s">
        <v>1559</v>
      </c>
      <c r="Q845" s="5" t="s">
        <v>195</v>
      </c>
      <c r="R845" s="5" t="s">
        <v>115</v>
      </c>
      <c r="S845" s="5" t="s">
        <v>195</v>
      </c>
      <c r="T845" s="6"/>
      <c r="U845" s="6"/>
      <c r="V845" s="5"/>
      <c r="W845" s="5"/>
      <c r="X845" s="5" t="s">
        <v>631</v>
      </c>
      <c r="Y845" s="5" t="s">
        <v>631</v>
      </c>
      <c r="Z845" s="5" t="s">
        <v>631</v>
      </c>
      <c r="AA845" s="5" t="s">
        <v>2690</v>
      </c>
      <c r="AB845" s="0" t="n">
        <f aca="false">IFERROR(VALUE(R845),0)</f>
        <v>0</v>
      </c>
      <c r="AC845" s="0" t="n">
        <f aca="false">IFERROR(VALUE(M845),"")</f>
        <v>23.1</v>
      </c>
      <c r="AD845" s="0" t="n">
        <f aca="false">IFERROR(VALUE(Q845),"")</f>
        <v>2.7</v>
      </c>
      <c r="AE845" s="0" t="n">
        <f aca="false">IFERROR(VALUE(S845),"")</f>
        <v>2.7</v>
      </c>
      <c r="AF845" s="0" t="str">
        <f aca="false">IF(V845="","",VLOOKUP(V845,Assumptions!$B$6:$C$9,2,FALSE()))</f>
        <v/>
      </c>
      <c r="AG845" s="0" t="str">
        <f aca="false">IF(W845="","",VLOOKUP(W845,Assumptions!$B$6:$C$9,2,FALSE()))</f>
        <v/>
      </c>
      <c r="AH845" s="0" t="n">
        <f aca="false">IF(X845="","",VLOOKUP(X845,Assumptions!$B$6:$C$9,2,FALSE()))</f>
        <v>2</v>
      </c>
      <c r="AI845" s="0" t="n">
        <f aca="false">IF(Y845="","",VLOOKUP(Y845,Assumptions!$B$6:$C$9,2,FALSE()))</f>
        <v>2</v>
      </c>
      <c r="AJ845" s="0" t="n">
        <f aca="false">IF(Z845="","",VLOOKUP(Z845,Assumptions!$B$6:$C$9,2,FALSE()))</f>
        <v>2</v>
      </c>
      <c r="AK845" s="7" t="n">
        <f aca="false">IFERROR(ROUND(AVERAGE(AF845:AJ845),3),"")</f>
        <v>2</v>
      </c>
      <c r="AL845" s="7" t="str">
        <f aca="false">IF(OR(AF845="",AJ845=""),"",AJ845-AF845)</f>
        <v/>
      </c>
      <c r="AM845" s="7" t="n">
        <f aca="false">IF(COUNT(AF845:AJ845)&gt;=2,ROUND(_xlfn.STDEV.S(AF845:AJ845),3),"")</f>
        <v>0</v>
      </c>
      <c r="AN845" s="7" t="n">
        <f aca="false">ROUND((IF(AF845="",0,AF845)*Assumptions!$F$15)+(IF(AG845="",0,AG845)*Assumptions!$F$16)+(IF(AH845="",0,AH845)*Assumptions!$F$17)+(IF(AI845="",0,AI845)*Assumptions!$F$18)+(IF(AJ845="",0,AJ845)*Assumptions!$F$19),3)</f>
        <v>1.5</v>
      </c>
      <c r="AO845" s="0" t="str">
        <f aca="false">IF(AC845&lt;=20,"",IF(AC845&lt;=Assumptions!$F$6,"20-30",IF(AC845&lt;=Assumptions!$F$7,"30-40",IF(AC845&lt;=Assumptions!$F$8,"40-50",IF(AC845&lt;=Assumptions!$F$9,"50-60",IF(AC845&lt;=Assumptions!$F$10,"60+",""))))))</f>
        <v>20-30</v>
      </c>
      <c r="AP845" s="0" t="str">
        <f aca="false">IFERROR(VLOOKUP(O845,Assumptions!$B$14:$C$26,2,FALSE()),"Other")</f>
        <v>Manager</v>
      </c>
      <c r="AQ845" s="0" t="n">
        <f aca="false">IF(T845="",0,1)</f>
        <v>0</v>
      </c>
      <c r="AR845" s="0" t="n">
        <f aca="false">IF(U845="",0,1)</f>
        <v>0</v>
      </c>
      <c r="AS845" s="8" t="n">
        <f aca="false">IF(AK845="","",IF(MAX($AK$2:$AK$921)=MIN($AK$2:$AK$921),50,ROUND((AK845-MIN($AK$2:$AK$921))/(MAX($AK$2:$AK$921)-MIN($AK$2:$AK$921))*100,2)))</f>
        <v>14.27</v>
      </c>
      <c r="AT845" s="8" t="n">
        <f aca="false">IF(MAX($BC$2:$BC$921)=MIN($BC$2:$BC$921),50,ROUND((BC845-MIN($BC$2:$BC$921))/(MAX($BC$2:$BC$921)-MIN($BC$2:$BC$921))*100,2))</f>
        <v>50</v>
      </c>
      <c r="AU845" s="8" t="n">
        <f aca="false">IF(MAX($BE$2:$BE$921)=MIN($BE$2:$BE$921),50,ROUND((BE845-MIN($BE$2:$BE$921))/(MAX($BE$2:$BE$921)-MIN($BE$2:$BE$921))*100,2))</f>
        <v>100</v>
      </c>
      <c r="AV845" s="8" t="n">
        <f aca="false">IF(MAX($AD$2:$AD$921)=MIN($AD$2:$AD$921),50,ROUND((AD845-MIN($AD$2:$AD$921))/(MAX($AD$2:$AD$921)-MIN($AD$2:$AD$921))*100,2))</f>
        <v>7.04</v>
      </c>
      <c r="AW845" s="8" t="n">
        <f aca="false">IF(MAX($AN$2:$AN$921)=MIN($AN$2:$AN$921),50,ROUND((AN845-MIN($AN$2:$AN$921))/(MAX($AN$2:$AN$921)-MIN($AN$2:$AN$921))*100,2))</f>
        <v>37.5</v>
      </c>
      <c r="AX845" s="8" t="n">
        <f aca="false">AQ845*100</f>
        <v>0</v>
      </c>
      <c r="AY845" s="8" t="n">
        <f aca="false">AR845*100</f>
        <v>0</v>
      </c>
      <c r="AZ845" s="8" t="n">
        <f aca="false">IFERROR(ROUND(AS845*Assumptions!$I$6+AW845*Assumptions!$I$7+AT845*Assumptions!$I$8+AU845*Assumptions!$I$9+AV845*Assumptions!$I$10+AX845*Assumptions!$I$11+AY845*Assumptions!$I$12,2),"")</f>
        <v>34.99</v>
      </c>
      <c r="BA845" s="0" t="str">
        <f aca="false">IF(AZ845="","",IF(AZ845&lt;=Assumptions!$I$18,"Below Expectation",IF(AZ845&lt;=Assumptions!$I$19,"Developing",IF(AZ845&lt;=Assumptions!$I$20,"Meets Expectation",IF(AZ845&lt;=Assumptions!$I$21,"Exceeds","Star Performer")))))</f>
        <v>Below Expectation</v>
      </c>
      <c r="BB845" s="0" t="n">
        <f aca="false">IF(AZ845="",0,IF(AZ845&gt;=Assumptions!$I$26,1,0))</f>
        <v>0</v>
      </c>
      <c r="BC845" s="9" t="n">
        <f aca="false">IF(AL845="",2,AL845+2)</f>
        <v>2</v>
      </c>
      <c r="BD845" s="10" t="n">
        <f aca="false">IF(AM845="",ROUND(AVERAGE($AM$2:$AM$921),3),AM845)</f>
        <v>0</v>
      </c>
      <c r="BE845" s="9" t="n">
        <f aca="false">1-BD845</f>
        <v>1</v>
      </c>
    </row>
    <row r="846" customFormat="false" ht="14.25" hidden="true" customHeight="false" outlineLevel="0" collapsed="false">
      <c r="A846" s="4" t="n">
        <v>826</v>
      </c>
      <c r="B846" s="5" t="n">
        <v>55087591</v>
      </c>
      <c r="C846" s="5" t="s">
        <v>85</v>
      </c>
      <c r="D846" s="5" t="s">
        <v>2696</v>
      </c>
      <c r="E846" s="5" t="s">
        <v>315</v>
      </c>
      <c r="F846" s="5" t="s">
        <v>2251</v>
      </c>
      <c r="G846" s="5" t="s">
        <v>2250</v>
      </c>
      <c r="H846" s="5" t="s">
        <v>2251</v>
      </c>
      <c r="I846" s="5" t="s">
        <v>63</v>
      </c>
      <c r="J846" s="5" t="s">
        <v>76</v>
      </c>
      <c r="K846" s="5" t="s">
        <v>309</v>
      </c>
      <c r="L846" s="6" t="n">
        <v>45230</v>
      </c>
      <c r="M846" s="5" t="s">
        <v>353</v>
      </c>
      <c r="N846" s="6" t="n">
        <v>37439</v>
      </c>
      <c r="O846" s="5" t="s">
        <v>1264</v>
      </c>
      <c r="P846" s="5" t="s">
        <v>1559</v>
      </c>
      <c r="Q846" s="5" t="s">
        <v>195</v>
      </c>
      <c r="R846" s="5" t="s">
        <v>115</v>
      </c>
      <c r="S846" s="5" t="s">
        <v>195</v>
      </c>
      <c r="T846" s="6"/>
      <c r="U846" s="6"/>
      <c r="V846" s="5"/>
      <c r="W846" s="5"/>
      <c r="X846" s="5" t="s">
        <v>631</v>
      </c>
      <c r="Y846" s="5" t="s">
        <v>631</v>
      </c>
      <c r="Z846" s="5" t="s">
        <v>631</v>
      </c>
      <c r="AA846" s="5" t="s">
        <v>2697</v>
      </c>
      <c r="AB846" s="0" t="n">
        <f aca="false">IFERROR(VALUE(R846),0)</f>
        <v>0</v>
      </c>
      <c r="AC846" s="0" t="n">
        <f aca="false">IFERROR(VALUE(M846),"")</f>
        <v>23.11</v>
      </c>
      <c r="AD846" s="0" t="n">
        <f aca="false">IFERROR(VALUE(Q846),"")</f>
        <v>2.7</v>
      </c>
      <c r="AE846" s="0" t="n">
        <f aca="false">IFERROR(VALUE(S846),"")</f>
        <v>2.7</v>
      </c>
      <c r="AF846" s="0" t="str">
        <f aca="false">IF(V846="","",VLOOKUP(V846,Assumptions!$B$6:$C$9,2,FALSE()))</f>
        <v/>
      </c>
      <c r="AG846" s="0" t="str">
        <f aca="false">IF(W846="","",VLOOKUP(W846,Assumptions!$B$6:$C$9,2,FALSE()))</f>
        <v/>
      </c>
      <c r="AH846" s="0" t="n">
        <f aca="false">IF(X846="","",VLOOKUP(X846,Assumptions!$B$6:$C$9,2,FALSE()))</f>
        <v>2</v>
      </c>
      <c r="AI846" s="0" t="n">
        <f aca="false">IF(Y846="","",VLOOKUP(Y846,Assumptions!$B$6:$C$9,2,FALSE()))</f>
        <v>2</v>
      </c>
      <c r="AJ846" s="0" t="n">
        <f aca="false">IF(Z846="","",VLOOKUP(Z846,Assumptions!$B$6:$C$9,2,FALSE()))</f>
        <v>2</v>
      </c>
      <c r="AK846" s="7" t="n">
        <f aca="false">IFERROR(ROUND(AVERAGE(AF846:AJ846),3),"")</f>
        <v>2</v>
      </c>
      <c r="AL846" s="7" t="str">
        <f aca="false">IF(OR(AF846="",AJ846=""),"",AJ846-AF846)</f>
        <v/>
      </c>
      <c r="AM846" s="7" t="n">
        <f aca="false">IF(COUNT(AF846:AJ846)&gt;=2,ROUND(_xlfn.STDEV.S(AF846:AJ846),3),"")</f>
        <v>0</v>
      </c>
      <c r="AN846" s="7" t="n">
        <f aca="false">ROUND((IF(AF846="",0,AF846)*Assumptions!$F$15)+(IF(AG846="",0,AG846)*Assumptions!$F$16)+(IF(AH846="",0,AH846)*Assumptions!$F$17)+(IF(AI846="",0,AI846)*Assumptions!$F$18)+(IF(AJ846="",0,AJ846)*Assumptions!$F$19),3)</f>
        <v>1.5</v>
      </c>
      <c r="AO846" s="0" t="str">
        <f aca="false">IF(AC846&lt;=20,"",IF(AC846&lt;=Assumptions!$F$6,"20-30",IF(AC846&lt;=Assumptions!$F$7,"30-40",IF(AC846&lt;=Assumptions!$F$8,"40-50",IF(AC846&lt;=Assumptions!$F$9,"50-60",IF(AC846&lt;=Assumptions!$F$10,"60+",""))))))</f>
        <v>20-30</v>
      </c>
      <c r="AP846" s="0" t="str">
        <f aca="false">IFERROR(VLOOKUP(O846,Assumptions!$B$14:$C$26,2,FALSE()),"Other")</f>
        <v>Manager</v>
      </c>
      <c r="AQ846" s="0" t="n">
        <f aca="false">IF(T846="",0,1)</f>
        <v>0</v>
      </c>
      <c r="AR846" s="0" t="n">
        <f aca="false">IF(U846="",0,1)</f>
        <v>0</v>
      </c>
      <c r="AS846" s="8" t="n">
        <f aca="false">IF(AK846="","",IF(MAX($AK$2:$AK$921)=MIN($AK$2:$AK$921),50,ROUND((AK846-MIN($AK$2:$AK$921))/(MAX($AK$2:$AK$921)-MIN($AK$2:$AK$921))*100,2)))</f>
        <v>14.27</v>
      </c>
      <c r="AT846" s="8" t="n">
        <f aca="false">IF(MAX($BC$2:$BC$921)=MIN($BC$2:$BC$921),50,ROUND((BC846-MIN($BC$2:$BC$921))/(MAX($BC$2:$BC$921)-MIN($BC$2:$BC$921))*100,2))</f>
        <v>50</v>
      </c>
      <c r="AU846" s="8" t="n">
        <f aca="false">IF(MAX($BE$2:$BE$921)=MIN($BE$2:$BE$921),50,ROUND((BE846-MIN($BE$2:$BE$921))/(MAX($BE$2:$BE$921)-MIN($BE$2:$BE$921))*100,2))</f>
        <v>100</v>
      </c>
      <c r="AV846" s="8" t="n">
        <f aca="false">IF(MAX($AD$2:$AD$921)=MIN($AD$2:$AD$921),50,ROUND((AD846-MIN($AD$2:$AD$921))/(MAX($AD$2:$AD$921)-MIN($AD$2:$AD$921))*100,2))</f>
        <v>7.04</v>
      </c>
      <c r="AW846" s="8" t="n">
        <f aca="false">IF(MAX($AN$2:$AN$921)=MIN($AN$2:$AN$921),50,ROUND((AN846-MIN($AN$2:$AN$921))/(MAX($AN$2:$AN$921)-MIN($AN$2:$AN$921))*100,2))</f>
        <v>37.5</v>
      </c>
      <c r="AX846" s="8" t="n">
        <f aca="false">AQ846*100</f>
        <v>0</v>
      </c>
      <c r="AY846" s="8" t="n">
        <f aca="false">AR846*100</f>
        <v>0</v>
      </c>
      <c r="AZ846" s="8" t="n">
        <f aca="false">IFERROR(ROUND(AS846*Assumptions!$I$6+AW846*Assumptions!$I$7+AT846*Assumptions!$I$8+AU846*Assumptions!$I$9+AV846*Assumptions!$I$10+AX846*Assumptions!$I$11+AY846*Assumptions!$I$12,2),"")</f>
        <v>34.99</v>
      </c>
      <c r="BA846" s="0" t="str">
        <f aca="false">IF(AZ846="","",IF(AZ846&lt;=Assumptions!$I$18,"Below Expectation",IF(AZ846&lt;=Assumptions!$I$19,"Developing",IF(AZ846&lt;=Assumptions!$I$20,"Meets Expectation",IF(AZ846&lt;=Assumptions!$I$21,"Exceeds","Star Performer")))))</f>
        <v>Below Expectation</v>
      </c>
      <c r="BB846" s="0" t="n">
        <f aca="false">IF(AZ846="",0,IF(AZ846&gt;=Assumptions!$I$26,1,0))</f>
        <v>0</v>
      </c>
      <c r="BC846" s="9" t="n">
        <f aca="false">IF(AL846="",2,AL846+2)</f>
        <v>2</v>
      </c>
      <c r="BD846" s="10" t="n">
        <f aca="false">IF(AM846="",ROUND(AVERAGE($AM$2:$AM$921),3),AM846)</f>
        <v>0</v>
      </c>
      <c r="BE846" s="9" t="n">
        <f aca="false">1-BD846</f>
        <v>1</v>
      </c>
    </row>
    <row r="847" customFormat="false" ht="14.25" hidden="true" customHeight="false" outlineLevel="0" collapsed="false">
      <c r="A847" s="4" t="n">
        <v>827</v>
      </c>
      <c r="B847" s="5" t="n">
        <v>55087600</v>
      </c>
      <c r="C847" s="5" t="s">
        <v>85</v>
      </c>
      <c r="D847" s="5" t="s">
        <v>2698</v>
      </c>
      <c r="E847" s="5" t="s">
        <v>315</v>
      </c>
      <c r="F847" s="5" t="s">
        <v>2251</v>
      </c>
      <c r="G847" s="5" t="s">
        <v>2250</v>
      </c>
      <c r="H847" s="5" t="s">
        <v>2251</v>
      </c>
      <c r="I847" s="5" t="s">
        <v>63</v>
      </c>
      <c r="J847" s="5" t="s">
        <v>76</v>
      </c>
      <c r="K847" s="5" t="s">
        <v>65</v>
      </c>
      <c r="L847" s="6" t="n">
        <v>45230</v>
      </c>
      <c r="M847" s="5" t="s">
        <v>134</v>
      </c>
      <c r="N847" s="6" t="n">
        <v>37176</v>
      </c>
      <c r="O847" s="5" t="s">
        <v>1264</v>
      </c>
      <c r="P847" s="5" t="s">
        <v>1559</v>
      </c>
      <c r="Q847" s="5" t="s">
        <v>195</v>
      </c>
      <c r="R847" s="5" t="s">
        <v>115</v>
      </c>
      <c r="S847" s="5" t="s">
        <v>195</v>
      </c>
      <c r="T847" s="6"/>
      <c r="U847" s="6"/>
      <c r="V847" s="5"/>
      <c r="W847" s="5"/>
      <c r="X847" s="5" t="s">
        <v>631</v>
      </c>
      <c r="Y847" s="5" t="s">
        <v>631</v>
      </c>
      <c r="Z847" s="5" t="s">
        <v>631</v>
      </c>
      <c r="AA847" s="5" t="s">
        <v>2699</v>
      </c>
      <c r="AB847" s="0" t="n">
        <f aca="false">IFERROR(VALUE(R847),0)</f>
        <v>0</v>
      </c>
      <c r="AC847" s="0" t="n">
        <f aca="false">IFERROR(VALUE(M847),"")</f>
        <v>24.7</v>
      </c>
      <c r="AD847" s="0" t="n">
        <f aca="false">IFERROR(VALUE(Q847),"")</f>
        <v>2.7</v>
      </c>
      <c r="AE847" s="0" t="n">
        <f aca="false">IFERROR(VALUE(S847),"")</f>
        <v>2.7</v>
      </c>
      <c r="AF847" s="0" t="str">
        <f aca="false">IF(V847="","",VLOOKUP(V847,Assumptions!$B$6:$C$9,2,FALSE()))</f>
        <v/>
      </c>
      <c r="AG847" s="0" t="str">
        <f aca="false">IF(W847="","",VLOOKUP(W847,Assumptions!$B$6:$C$9,2,FALSE()))</f>
        <v/>
      </c>
      <c r="AH847" s="0" t="n">
        <f aca="false">IF(X847="","",VLOOKUP(X847,Assumptions!$B$6:$C$9,2,FALSE()))</f>
        <v>2</v>
      </c>
      <c r="AI847" s="0" t="n">
        <f aca="false">IF(Y847="","",VLOOKUP(Y847,Assumptions!$B$6:$C$9,2,FALSE()))</f>
        <v>2</v>
      </c>
      <c r="AJ847" s="0" t="n">
        <f aca="false">IF(Z847="","",VLOOKUP(Z847,Assumptions!$B$6:$C$9,2,FALSE()))</f>
        <v>2</v>
      </c>
      <c r="AK847" s="7" t="n">
        <f aca="false">IFERROR(ROUND(AVERAGE(AF847:AJ847),3),"")</f>
        <v>2</v>
      </c>
      <c r="AL847" s="7" t="str">
        <f aca="false">IF(OR(AF847="",AJ847=""),"",AJ847-AF847)</f>
        <v/>
      </c>
      <c r="AM847" s="7" t="n">
        <f aca="false">IF(COUNT(AF847:AJ847)&gt;=2,ROUND(_xlfn.STDEV.S(AF847:AJ847),3),"")</f>
        <v>0</v>
      </c>
      <c r="AN847" s="7" t="n">
        <f aca="false">ROUND((IF(AF847="",0,AF847)*Assumptions!$F$15)+(IF(AG847="",0,AG847)*Assumptions!$F$16)+(IF(AH847="",0,AH847)*Assumptions!$F$17)+(IF(AI847="",0,AI847)*Assumptions!$F$18)+(IF(AJ847="",0,AJ847)*Assumptions!$F$19),3)</f>
        <v>1.5</v>
      </c>
      <c r="AO847" s="0" t="str">
        <f aca="false">IF(AC847&lt;=20,"",IF(AC847&lt;=Assumptions!$F$6,"20-30",IF(AC847&lt;=Assumptions!$F$7,"30-40",IF(AC847&lt;=Assumptions!$F$8,"40-50",IF(AC847&lt;=Assumptions!$F$9,"50-60",IF(AC847&lt;=Assumptions!$F$10,"60+",""))))))</f>
        <v>20-30</v>
      </c>
      <c r="AP847" s="0" t="str">
        <f aca="false">IFERROR(VLOOKUP(O847,Assumptions!$B$14:$C$26,2,FALSE()),"Other")</f>
        <v>Manager</v>
      </c>
      <c r="AQ847" s="0" t="n">
        <f aca="false">IF(T847="",0,1)</f>
        <v>0</v>
      </c>
      <c r="AR847" s="0" t="n">
        <f aca="false">IF(U847="",0,1)</f>
        <v>0</v>
      </c>
      <c r="AS847" s="8" t="n">
        <f aca="false">IF(AK847="","",IF(MAX($AK$2:$AK$921)=MIN($AK$2:$AK$921),50,ROUND((AK847-MIN($AK$2:$AK$921))/(MAX($AK$2:$AK$921)-MIN($AK$2:$AK$921))*100,2)))</f>
        <v>14.27</v>
      </c>
      <c r="AT847" s="8" t="n">
        <f aca="false">IF(MAX($BC$2:$BC$921)=MIN($BC$2:$BC$921),50,ROUND((BC847-MIN($BC$2:$BC$921))/(MAX($BC$2:$BC$921)-MIN($BC$2:$BC$921))*100,2))</f>
        <v>50</v>
      </c>
      <c r="AU847" s="8" t="n">
        <f aca="false">IF(MAX($BE$2:$BE$921)=MIN($BE$2:$BE$921),50,ROUND((BE847-MIN($BE$2:$BE$921))/(MAX($BE$2:$BE$921)-MIN($BE$2:$BE$921))*100,2))</f>
        <v>100</v>
      </c>
      <c r="AV847" s="8" t="n">
        <f aca="false">IF(MAX($AD$2:$AD$921)=MIN($AD$2:$AD$921),50,ROUND((AD847-MIN($AD$2:$AD$921))/(MAX($AD$2:$AD$921)-MIN($AD$2:$AD$921))*100,2))</f>
        <v>7.04</v>
      </c>
      <c r="AW847" s="8" t="n">
        <f aca="false">IF(MAX($AN$2:$AN$921)=MIN($AN$2:$AN$921),50,ROUND((AN847-MIN($AN$2:$AN$921))/(MAX($AN$2:$AN$921)-MIN($AN$2:$AN$921))*100,2))</f>
        <v>37.5</v>
      </c>
      <c r="AX847" s="8" t="n">
        <f aca="false">AQ847*100</f>
        <v>0</v>
      </c>
      <c r="AY847" s="8" t="n">
        <f aca="false">AR847*100</f>
        <v>0</v>
      </c>
      <c r="AZ847" s="8" t="n">
        <f aca="false">IFERROR(ROUND(AS847*Assumptions!$I$6+AW847*Assumptions!$I$7+AT847*Assumptions!$I$8+AU847*Assumptions!$I$9+AV847*Assumptions!$I$10+AX847*Assumptions!$I$11+AY847*Assumptions!$I$12,2),"")</f>
        <v>34.99</v>
      </c>
      <c r="BA847" s="0" t="str">
        <f aca="false">IF(AZ847="","",IF(AZ847&lt;=Assumptions!$I$18,"Below Expectation",IF(AZ847&lt;=Assumptions!$I$19,"Developing",IF(AZ847&lt;=Assumptions!$I$20,"Meets Expectation",IF(AZ847&lt;=Assumptions!$I$21,"Exceeds","Star Performer")))))</f>
        <v>Below Expectation</v>
      </c>
      <c r="BB847" s="0" t="n">
        <f aca="false">IF(AZ847="",0,IF(AZ847&gt;=Assumptions!$I$26,1,0))</f>
        <v>0</v>
      </c>
      <c r="BC847" s="9" t="n">
        <f aca="false">IF(AL847="",2,AL847+2)</f>
        <v>2</v>
      </c>
      <c r="BD847" s="10" t="n">
        <f aca="false">IF(AM847="",ROUND(AVERAGE($AM$2:$AM$921),3),AM847)</f>
        <v>0</v>
      </c>
      <c r="BE847" s="9" t="n">
        <f aca="false">1-BD847</f>
        <v>1</v>
      </c>
    </row>
    <row r="848" customFormat="false" ht="14.25" hidden="true" customHeight="false" outlineLevel="0" collapsed="false">
      <c r="A848" s="4" t="n">
        <v>828</v>
      </c>
      <c r="B848" s="5" t="n">
        <v>55087661</v>
      </c>
      <c r="C848" s="5" t="s">
        <v>85</v>
      </c>
      <c r="D848" s="5" t="s">
        <v>2700</v>
      </c>
      <c r="E848" s="5" t="s">
        <v>315</v>
      </c>
      <c r="F848" s="5" t="s">
        <v>2251</v>
      </c>
      <c r="G848" s="5" t="s">
        <v>2250</v>
      </c>
      <c r="H848" s="5" t="s">
        <v>2251</v>
      </c>
      <c r="I848" s="5" t="s">
        <v>63</v>
      </c>
      <c r="J848" s="5" t="s">
        <v>76</v>
      </c>
      <c r="K848" s="5" t="s">
        <v>309</v>
      </c>
      <c r="L848" s="6" t="n">
        <v>45230</v>
      </c>
      <c r="M848" s="5" t="s">
        <v>282</v>
      </c>
      <c r="N848" s="6" t="n">
        <v>37385</v>
      </c>
      <c r="O848" s="5" t="s">
        <v>1264</v>
      </c>
      <c r="P848" s="5" t="s">
        <v>1559</v>
      </c>
      <c r="Q848" s="5" t="s">
        <v>195</v>
      </c>
      <c r="R848" s="5" t="s">
        <v>115</v>
      </c>
      <c r="S848" s="5" t="s">
        <v>195</v>
      </c>
      <c r="T848" s="6"/>
      <c r="U848" s="6"/>
      <c r="V848" s="5"/>
      <c r="W848" s="5"/>
      <c r="X848" s="5" t="s">
        <v>631</v>
      </c>
      <c r="Y848" s="5" t="s">
        <v>631</v>
      </c>
      <c r="Z848" s="5" t="s">
        <v>631</v>
      </c>
      <c r="AA848" s="5" t="s">
        <v>2701</v>
      </c>
      <c r="AB848" s="0" t="n">
        <f aca="false">IFERROR(VALUE(R848),0)</f>
        <v>0</v>
      </c>
      <c r="AC848" s="0" t="n">
        <f aca="false">IFERROR(VALUE(M848),"")</f>
        <v>24</v>
      </c>
      <c r="AD848" s="0" t="n">
        <f aca="false">IFERROR(VALUE(Q848),"")</f>
        <v>2.7</v>
      </c>
      <c r="AE848" s="0" t="n">
        <f aca="false">IFERROR(VALUE(S848),"")</f>
        <v>2.7</v>
      </c>
      <c r="AF848" s="0" t="str">
        <f aca="false">IF(V848="","",VLOOKUP(V848,Assumptions!$B$6:$C$9,2,FALSE()))</f>
        <v/>
      </c>
      <c r="AG848" s="0" t="str">
        <f aca="false">IF(W848="","",VLOOKUP(W848,Assumptions!$B$6:$C$9,2,FALSE()))</f>
        <v/>
      </c>
      <c r="AH848" s="0" t="n">
        <f aca="false">IF(X848="","",VLOOKUP(X848,Assumptions!$B$6:$C$9,2,FALSE()))</f>
        <v>2</v>
      </c>
      <c r="AI848" s="0" t="n">
        <f aca="false">IF(Y848="","",VLOOKUP(Y848,Assumptions!$B$6:$C$9,2,FALSE()))</f>
        <v>2</v>
      </c>
      <c r="AJ848" s="0" t="n">
        <f aca="false">IF(Z848="","",VLOOKUP(Z848,Assumptions!$B$6:$C$9,2,FALSE()))</f>
        <v>2</v>
      </c>
      <c r="AK848" s="7" t="n">
        <f aca="false">IFERROR(ROUND(AVERAGE(AF848:AJ848),3),"")</f>
        <v>2</v>
      </c>
      <c r="AL848" s="7" t="str">
        <f aca="false">IF(OR(AF848="",AJ848=""),"",AJ848-AF848)</f>
        <v/>
      </c>
      <c r="AM848" s="7" t="n">
        <f aca="false">IF(COUNT(AF848:AJ848)&gt;=2,ROUND(_xlfn.STDEV.S(AF848:AJ848),3),"")</f>
        <v>0</v>
      </c>
      <c r="AN848" s="7" t="n">
        <f aca="false">ROUND((IF(AF848="",0,AF848)*Assumptions!$F$15)+(IF(AG848="",0,AG848)*Assumptions!$F$16)+(IF(AH848="",0,AH848)*Assumptions!$F$17)+(IF(AI848="",0,AI848)*Assumptions!$F$18)+(IF(AJ848="",0,AJ848)*Assumptions!$F$19),3)</f>
        <v>1.5</v>
      </c>
      <c r="AO848" s="0" t="str">
        <f aca="false">IF(AC848&lt;=20,"",IF(AC848&lt;=Assumptions!$F$6,"20-30",IF(AC848&lt;=Assumptions!$F$7,"30-40",IF(AC848&lt;=Assumptions!$F$8,"40-50",IF(AC848&lt;=Assumptions!$F$9,"50-60",IF(AC848&lt;=Assumptions!$F$10,"60+",""))))))</f>
        <v>20-30</v>
      </c>
      <c r="AP848" s="0" t="str">
        <f aca="false">IFERROR(VLOOKUP(O848,Assumptions!$B$14:$C$26,2,FALSE()),"Other")</f>
        <v>Manager</v>
      </c>
      <c r="AQ848" s="0" t="n">
        <f aca="false">IF(T848="",0,1)</f>
        <v>0</v>
      </c>
      <c r="AR848" s="0" t="n">
        <f aca="false">IF(U848="",0,1)</f>
        <v>0</v>
      </c>
      <c r="AS848" s="8" t="n">
        <f aca="false">IF(AK848="","",IF(MAX($AK$2:$AK$921)=MIN($AK$2:$AK$921),50,ROUND((AK848-MIN($AK$2:$AK$921))/(MAX($AK$2:$AK$921)-MIN($AK$2:$AK$921))*100,2)))</f>
        <v>14.27</v>
      </c>
      <c r="AT848" s="8" t="n">
        <f aca="false">IF(MAX($BC$2:$BC$921)=MIN($BC$2:$BC$921),50,ROUND((BC848-MIN($BC$2:$BC$921))/(MAX($BC$2:$BC$921)-MIN($BC$2:$BC$921))*100,2))</f>
        <v>50</v>
      </c>
      <c r="AU848" s="8" t="n">
        <f aca="false">IF(MAX($BE$2:$BE$921)=MIN($BE$2:$BE$921),50,ROUND((BE848-MIN($BE$2:$BE$921))/(MAX($BE$2:$BE$921)-MIN($BE$2:$BE$921))*100,2))</f>
        <v>100</v>
      </c>
      <c r="AV848" s="8" t="n">
        <f aca="false">IF(MAX($AD$2:$AD$921)=MIN($AD$2:$AD$921),50,ROUND((AD848-MIN($AD$2:$AD$921))/(MAX($AD$2:$AD$921)-MIN($AD$2:$AD$921))*100,2))</f>
        <v>7.04</v>
      </c>
      <c r="AW848" s="8" t="n">
        <f aca="false">IF(MAX($AN$2:$AN$921)=MIN($AN$2:$AN$921),50,ROUND((AN848-MIN($AN$2:$AN$921))/(MAX($AN$2:$AN$921)-MIN($AN$2:$AN$921))*100,2))</f>
        <v>37.5</v>
      </c>
      <c r="AX848" s="8" t="n">
        <f aca="false">AQ848*100</f>
        <v>0</v>
      </c>
      <c r="AY848" s="8" t="n">
        <f aca="false">AR848*100</f>
        <v>0</v>
      </c>
      <c r="AZ848" s="8" t="n">
        <f aca="false">IFERROR(ROUND(AS848*Assumptions!$I$6+AW848*Assumptions!$I$7+AT848*Assumptions!$I$8+AU848*Assumptions!$I$9+AV848*Assumptions!$I$10+AX848*Assumptions!$I$11+AY848*Assumptions!$I$12,2),"")</f>
        <v>34.99</v>
      </c>
      <c r="BA848" s="0" t="str">
        <f aca="false">IF(AZ848="","",IF(AZ848&lt;=Assumptions!$I$18,"Below Expectation",IF(AZ848&lt;=Assumptions!$I$19,"Developing",IF(AZ848&lt;=Assumptions!$I$20,"Meets Expectation",IF(AZ848&lt;=Assumptions!$I$21,"Exceeds","Star Performer")))))</f>
        <v>Below Expectation</v>
      </c>
      <c r="BB848" s="0" t="n">
        <f aca="false">IF(AZ848="",0,IF(AZ848&gt;=Assumptions!$I$26,1,0))</f>
        <v>0</v>
      </c>
      <c r="BC848" s="9" t="n">
        <f aca="false">IF(AL848="",2,AL848+2)</f>
        <v>2</v>
      </c>
      <c r="BD848" s="10" t="n">
        <f aca="false">IF(AM848="",ROUND(AVERAGE($AM$2:$AM$921),3),AM848)</f>
        <v>0</v>
      </c>
      <c r="BE848" s="9" t="n">
        <f aca="false">1-BD848</f>
        <v>1</v>
      </c>
    </row>
    <row r="849" customFormat="false" ht="14.25" hidden="true" customHeight="false" outlineLevel="0" collapsed="false">
      <c r="A849" s="4" t="n">
        <v>829</v>
      </c>
      <c r="B849" s="5" t="n">
        <v>55087676</v>
      </c>
      <c r="C849" s="5" t="s">
        <v>85</v>
      </c>
      <c r="D849" s="5" t="s">
        <v>2702</v>
      </c>
      <c r="E849" s="5" t="s">
        <v>315</v>
      </c>
      <c r="F849" s="5" t="s">
        <v>2251</v>
      </c>
      <c r="G849" s="5" t="s">
        <v>2250</v>
      </c>
      <c r="H849" s="5" t="s">
        <v>2251</v>
      </c>
      <c r="I849" s="5" t="s">
        <v>63</v>
      </c>
      <c r="J849" s="5" t="s">
        <v>76</v>
      </c>
      <c r="K849" s="5" t="s">
        <v>309</v>
      </c>
      <c r="L849" s="6" t="n">
        <v>45230</v>
      </c>
      <c r="M849" s="5" t="s">
        <v>578</v>
      </c>
      <c r="N849" s="6" t="n">
        <v>37341</v>
      </c>
      <c r="O849" s="5" t="s">
        <v>1264</v>
      </c>
      <c r="P849" s="5" t="s">
        <v>1559</v>
      </c>
      <c r="Q849" s="5" t="s">
        <v>195</v>
      </c>
      <c r="R849" s="5" t="s">
        <v>115</v>
      </c>
      <c r="S849" s="5" t="s">
        <v>195</v>
      </c>
      <c r="T849" s="6"/>
      <c r="U849" s="6"/>
      <c r="V849" s="5"/>
      <c r="W849" s="5"/>
      <c r="X849" s="5" t="s">
        <v>631</v>
      </c>
      <c r="Y849" s="5" t="s">
        <v>631</v>
      </c>
      <c r="Z849" s="5" t="s">
        <v>631</v>
      </c>
      <c r="AA849" s="5" t="s">
        <v>2703</v>
      </c>
      <c r="AB849" s="0" t="n">
        <f aca="false">IFERROR(VALUE(R849),0)</f>
        <v>0</v>
      </c>
      <c r="AC849" s="0" t="n">
        <f aca="false">IFERROR(VALUE(M849),"")</f>
        <v>24.2</v>
      </c>
      <c r="AD849" s="0" t="n">
        <f aca="false">IFERROR(VALUE(Q849),"")</f>
        <v>2.7</v>
      </c>
      <c r="AE849" s="0" t="n">
        <f aca="false">IFERROR(VALUE(S849),"")</f>
        <v>2.7</v>
      </c>
      <c r="AF849" s="0" t="str">
        <f aca="false">IF(V849="","",VLOOKUP(V849,Assumptions!$B$6:$C$9,2,FALSE()))</f>
        <v/>
      </c>
      <c r="AG849" s="0" t="str">
        <f aca="false">IF(W849="","",VLOOKUP(W849,Assumptions!$B$6:$C$9,2,FALSE()))</f>
        <v/>
      </c>
      <c r="AH849" s="0" t="n">
        <f aca="false">IF(X849="","",VLOOKUP(X849,Assumptions!$B$6:$C$9,2,FALSE()))</f>
        <v>2</v>
      </c>
      <c r="AI849" s="0" t="n">
        <f aca="false">IF(Y849="","",VLOOKUP(Y849,Assumptions!$B$6:$C$9,2,FALSE()))</f>
        <v>2</v>
      </c>
      <c r="AJ849" s="0" t="n">
        <f aca="false">IF(Z849="","",VLOOKUP(Z849,Assumptions!$B$6:$C$9,2,FALSE()))</f>
        <v>2</v>
      </c>
      <c r="AK849" s="7" t="n">
        <f aca="false">IFERROR(ROUND(AVERAGE(AF849:AJ849),3),"")</f>
        <v>2</v>
      </c>
      <c r="AL849" s="7" t="str">
        <f aca="false">IF(OR(AF849="",AJ849=""),"",AJ849-AF849)</f>
        <v/>
      </c>
      <c r="AM849" s="7" t="n">
        <f aca="false">IF(COUNT(AF849:AJ849)&gt;=2,ROUND(_xlfn.STDEV.S(AF849:AJ849),3),"")</f>
        <v>0</v>
      </c>
      <c r="AN849" s="7" t="n">
        <f aca="false">ROUND((IF(AF849="",0,AF849)*Assumptions!$F$15)+(IF(AG849="",0,AG849)*Assumptions!$F$16)+(IF(AH849="",0,AH849)*Assumptions!$F$17)+(IF(AI849="",0,AI849)*Assumptions!$F$18)+(IF(AJ849="",0,AJ849)*Assumptions!$F$19),3)</f>
        <v>1.5</v>
      </c>
      <c r="AO849" s="0" t="str">
        <f aca="false">IF(AC849&lt;=20,"",IF(AC849&lt;=Assumptions!$F$6,"20-30",IF(AC849&lt;=Assumptions!$F$7,"30-40",IF(AC849&lt;=Assumptions!$F$8,"40-50",IF(AC849&lt;=Assumptions!$F$9,"50-60",IF(AC849&lt;=Assumptions!$F$10,"60+",""))))))</f>
        <v>20-30</v>
      </c>
      <c r="AP849" s="0" t="str">
        <f aca="false">IFERROR(VLOOKUP(O849,Assumptions!$B$14:$C$26,2,FALSE()),"Other")</f>
        <v>Manager</v>
      </c>
      <c r="AQ849" s="0" t="n">
        <f aca="false">IF(T849="",0,1)</f>
        <v>0</v>
      </c>
      <c r="AR849" s="0" t="n">
        <f aca="false">IF(U849="",0,1)</f>
        <v>0</v>
      </c>
      <c r="AS849" s="8" t="n">
        <f aca="false">IF(AK849="","",IF(MAX($AK$2:$AK$921)=MIN($AK$2:$AK$921),50,ROUND((AK849-MIN($AK$2:$AK$921))/(MAX($AK$2:$AK$921)-MIN($AK$2:$AK$921))*100,2)))</f>
        <v>14.27</v>
      </c>
      <c r="AT849" s="8" t="n">
        <f aca="false">IF(MAX($BC$2:$BC$921)=MIN($BC$2:$BC$921),50,ROUND((BC849-MIN($BC$2:$BC$921))/(MAX($BC$2:$BC$921)-MIN($BC$2:$BC$921))*100,2))</f>
        <v>50</v>
      </c>
      <c r="AU849" s="8" t="n">
        <f aca="false">IF(MAX($BE$2:$BE$921)=MIN($BE$2:$BE$921),50,ROUND((BE849-MIN($BE$2:$BE$921))/(MAX($BE$2:$BE$921)-MIN($BE$2:$BE$921))*100,2))</f>
        <v>100</v>
      </c>
      <c r="AV849" s="8" t="n">
        <f aca="false">IF(MAX($AD$2:$AD$921)=MIN($AD$2:$AD$921),50,ROUND((AD849-MIN($AD$2:$AD$921))/(MAX($AD$2:$AD$921)-MIN($AD$2:$AD$921))*100,2))</f>
        <v>7.04</v>
      </c>
      <c r="AW849" s="8" t="n">
        <f aca="false">IF(MAX($AN$2:$AN$921)=MIN($AN$2:$AN$921),50,ROUND((AN849-MIN($AN$2:$AN$921))/(MAX($AN$2:$AN$921)-MIN($AN$2:$AN$921))*100,2))</f>
        <v>37.5</v>
      </c>
      <c r="AX849" s="8" t="n">
        <f aca="false">AQ849*100</f>
        <v>0</v>
      </c>
      <c r="AY849" s="8" t="n">
        <f aca="false">AR849*100</f>
        <v>0</v>
      </c>
      <c r="AZ849" s="8" t="n">
        <f aca="false">IFERROR(ROUND(AS849*Assumptions!$I$6+AW849*Assumptions!$I$7+AT849*Assumptions!$I$8+AU849*Assumptions!$I$9+AV849*Assumptions!$I$10+AX849*Assumptions!$I$11+AY849*Assumptions!$I$12,2),"")</f>
        <v>34.99</v>
      </c>
      <c r="BA849" s="0" t="str">
        <f aca="false">IF(AZ849="","",IF(AZ849&lt;=Assumptions!$I$18,"Below Expectation",IF(AZ849&lt;=Assumptions!$I$19,"Developing",IF(AZ849&lt;=Assumptions!$I$20,"Meets Expectation",IF(AZ849&lt;=Assumptions!$I$21,"Exceeds","Star Performer")))))</f>
        <v>Below Expectation</v>
      </c>
      <c r="BB849" s="0" t="n">
        <f aca="false">IF(AZ849="",0,IF(AZ849&gt;=Assumptions!$I$26,1,0))</f>
        <v>0</v>
      </c>
      <c r="BC849" s="9" t="n">
        <f aca="false">IF(AL849="",2,AL849+2)</f>
        <v>2</v>
      </c>
      <c r="BD849" s="10" t="n">
        <f aca="false">IF(AM849="",ROUND(AVERAGE($AM$2:$AM$921),3),AM849)</f>
        <v>0</v>
      </c>
      <c r="BE849" s="9" t="n">
        <f aca="false">1-BD849</f>
        <v>1</v>
      </c>
    </row>
    <row r="850" customFormat="false" ht="14.25" hidden="true" customHeight="false" outlineLevel="0" collapsed="false">
      <c r="A850" s="4" t="n">
        <v>830</v>
      </c>
      <c r="B850" s="5" t="n">
        <v>55087678</v>
      </c>
      <c r="C850" s="5" t="s">
        <v>85</v>
      </c>
      <c r="D850" s="5" t="s">
        <v>2704</v>
      </c>
      <c r="E850" s="5" t="s">
        <v>315</v>
      </c>
      <c r="F850" s="5" t="s">
        <v>2251</v>
      </c>
      <c r="G850" s="5" t="s">
        <v>2250</v>
      </c>
      <c r="H850" s="5" t="s">
        <v>2251</v>
      </c>
      <c r="I850" s="5" t="s">
        <v>63</v>
      </c>
      <c r="J850" s="5" t="s">
        <v>76</v>
      </c>
      <c r="K850" s="5" t="s">
        <v>309</v>
      </c>
      <c r="L850" s="6" t="n">
        <v>45230</v>
      </c>
      <c r="M850" s="5" t="s">
        <v>578</v>
      </c>
      <c r="N850" s="6" t="n">
        <v>37328</v>
      </c>
      <c r="O850" s="5" t="s">
        <v>1264</v>
      </c>
      <c r="P850" s="5" t="s">
        <v>1559</v>
      </c>
      <c r="Q850" s="5" t="s">
        <v>195</v>
      </c>
      <c r="R850" s="5" t="s">
        <v>115</v>
      </c>
      <c r="S850" s="5" t="s">
        <v>195</v>
      </c>
      <c r="T850" s="6"/>
      <c r="U850" s="6"/>
      <c r="V850" s="5"/>
      <c r="W850" s="5"/>
      <c r="X850" s="5" t="s">
        <v>631</v>
      </c>
      <c r="Y850" s="5" t="s">
        <v>631</v>
      </c>
      <c r="Z850" s="5" t="s">
        <v>631</v>
      </c>
      <c r="AA850" s="5" t="s">
        <v>2705</v>
      </c>
      <c r="AB850" s="0" t="n">
        <f aca="false">IFERROR(VALUE(R850),0)</f>
        <v>0</v>
      </c>
      <c r="AC850" s="0" t="n">
        <f aca="false">IFERROR(VALUE(M850),"")</f>
        <v>24.2</v>
      </c>
      <c r="AD850" s="0" t="n">
        <f aca="false">IFERROR(VALUE(Q850),"")</f>
        <v>2.7</v>
      </c>
      <c r="AE850" s="0" t="n">
        <f aca="false">IFERROR(VALUE(S850),"")</f>
        <v>2.7</v>
      </c>
      <c r="AF850" s="0" t="str">
        <f aca="false">IF(V850="","",VLOOKUP(V850,Assumptions!$B$6:$C$9,2,FALSE()))</f>
        <v/>
      </c>
      <c r="AG850" s="0" t="str">
        <f aca="false">IF(W850="","",VLOOKUP(W850,Assumptions!$B$6:$C$9,2,FALSE()))</f>
        <v/>
      </c>
      <c r="AH850" s="0" t="n">
        <f aca="false">IF(X850="","",VLOOKUP(X850,Assumptions!$B$6:$C$9,2,FALSE()))</f>
        <v>2</v>
      </c>
      <c r="AI850" s="0" t="n">
        <f aca="false">IF(Y850="","",VLOOKUP(Y850,Assumptions!$B$6:$C$9,2,FALSE()))</f>
        <v>2</v>
      </c>
      <c r="AJ850" s="0" t="n">
        <f aca="false">IF(Z850="","",VLOOKUP(Z850,Assumptions!$B$6:$C$9,2,FALSE()))</f>
        <v>2</v>
      </c>
      <c r="AK850" s="7" t="n">
        <f aca="false">IFERROR(ROUND(AVERAGE(AF850:AJ850),3),"")</f>
        <v>2</v>
      </c>
      <c r="AL850" s="7" t="str">
        <f aca="false">IF(OR(AF850="",AJ850=""),"",AJ850-AF850)</f>
        <v/>
      </c>
      <c r="AM850" s="7" t="n">
        <f aca="false">IF(COUNT(AF850:AJ850)&gt;=2,ROUND(_xlfn.STDEV.S(AF850:AJ850),3),"")</f>
        <v>0</v>
      </c>
      <c r="AN850" s="7" t="n">
        <f aca="false">ROUND((IF(AF850="",0,AF850)*Assumptions!$F$15)+(IF(AG850="",0,AG850)*Assumptions!$F$16)+(IF(AH850="",0,AH850)*Assumptions!$F$17)+(IF(AI850="",0,AI850)*Assumptions!$F$18)+(IF(AJ850="",0,AJ850)*Assumptions!$F$19),3)</f>
        <v>1.5</v>
      </c>
      <c r="AO850" s="0" t="str">
        <f aca="false">IF(AC850&lt;=20,"",IF(AC850&lt;=Assumptions!$F$6,"20-30",IF(AC850&lt;=Assumptions!$F$7,"30-40",IF(AC850&lt;=Assumptions!$F$8,"40-50",IF(AC850&lt;=Assumptions!$F$9,"50-60",IF(AC850&lt;=Assumptions!$F$10,"60+",""))))))</f>
        <v>20-30</v>
      </c>
      <c r="AP850" s="0" t="str">
        <f aca="false">IFERROR(VLOOKUP(O850,Assumptions!$B$14:$C$26,2,FALSE()),"Other")</f>
        <v>Manager</v>
      </c>
      <c r="AQ850" s="0" t="n">
        <f aca="false">IF(T850="",0,1)</f>
        <v>0</v>
      </c>
      <c r="AR850" s="0" t="n">
        <f aca="false">IF(U850="",0,1)</f>
        <v>0</v>
      </c>
      <c r="AS850" s="8" t="n">
        <f aca="false">IF(AK850="","",IF(MAX($AK$2:$AK$921)=MIN($AK$2:$AK$921),50,ROUND((AK850-MIN($AK$2:$AK$921))/(MAX($AK$2:$AK$921)-MIN($AK$2:$AK$921))*100,2)))</f>
        <v>14.27</v>
      </c>
      <c r="AT850" s="8" t="n">
        <f aca="false">IF(MAX($BC$2:$BC$921)=MIN($BC$2:$BC$921),50,ROUND((BC850-MIN($BC$2:$BC$921))/(MAX($BC$2:$BC$921)-MIN($BC$2:$BC$921))*100,2))</f>
        <v>50</v>
      </c>
      <c r="AU850" s="8" t="n">
        <f aca="false">IF(MAX($BE$2:$BE$921)=MIN($BE$2:$BE$921),50,ROUND((BE850-MIN($BE$2:$BE$921))/(MAX($BE$2:$BE$921)-MIN($BE$2:$BE$921))*100,2))</f>
        <v>100</v>
      </c>
      <c r="AV850" s="8" t="n">
        <f aca="false">IF(MAX($AD$2:$AD$921)=MIN($AD$2:$AD$921),50,ROUND((AD850-MIN($AD$2:$AD$921))/(MAX($AD$2:$AD$921)-MIN($AD$2:$AD$921))*100,2))</f>
        <v>7.04</v>
      </c>
      <c r="AW850" s="8" t="n">
        <f aca="false">IF(MAX($AN$2:$AN$921)=MIN($AN$2:$AN$921),50,ROUND((AN850-MIN($AN$2:$AN$921))/(MAX($AN$2:$AN$921)-MIN($AN$2:$AN$921))*100,2))</f>
        <v>37.5</v>
      </c>
      <c r="AX850" s="8" t="n">
        <f aca="false">AQ850*100</f>
        <v>0</v>
      </c>
      <c r="AY850" s="8" t="n">
        <f aca="false">AR850*100</f>
        <v>0</v>
      </c>
      <c r="AZ850" s="8" t="n">
        <f aca="false">IFERROR(ROUND(AS850*Assumptions!$I$6+AW850*Assumptions!$I$7+AT850*Assumptions!$I$8+AU850*Assumptions!$I$9+AV850*Assumptions!$I$10+AX850*Assumptions!$I$11+AY850*Assumptions!$I$12,2),"")</f>
        <v>34.99</v>
      </c>
      <c r="BA850" s="0" t="str">
        <f aca="false">IF(AZ850="","",IF(AZ850&lt;=Assumptions!$I$18,"Below Expectation",IF(AZ850&lt;=Assumptions!$I$19,"Developing",IF(AZ850&lt;=Assumptions!$I$20,"Meets Expectation",IF(AZ850&lt;=Assumptions!$I$21,"Exceeds","Star Performer")))))</f>
        <v>Below Expectation</v>
      </c>
      <c r="BB850" s="0" t="n">
        <f aca="false">IF(AZ850="",0,IF(AZ850&gt;=Assumptions!$I$26,1,0))</f>
        <v>0</v>
      </c>
      <c r="BC850" s="9" t="n">
        <f aca="false">IF(AL850="",2,AL850+2)</f>
        <v>2</v>
      </c>
      <c r="BD850" s="10" t="n">
        <f aca="false">IF(AM850="",ROUND(AVERAGE($AM$2:$AM$921),3),AM850)</f>
        <v>0</v>
      </c>
      <c r="BE850" s="9" t="n">
        <f aca="false">1-BD850</f>
        <v>1</v>
      </c>
    </row>
    <row r="851" customFormat="false" ht="14.25" hidden="true" customHeight="false" outlineLevel="0" collapsed="false">
      <c r="A851" s="4" t="n">
        <v>831</v>
      </c>
      <c r="B851" s="5" t="n">
        <v>55092827</v>
      </c>
      <c r="C851" s="5" t="s">
        <v>85</v>
      </c>
      <c r="D851" s="5" t="s">
        <v>2706</v>
      </c>
      <c r="E851" s="5" t="s">
        <v>315</v>
      </c>
      <c r="F851" s="5" t="s">
        <v>2604</v>
      </c>
      <c r="G851" s="5" t="s">
        <v>2605</v>
      </c>
      <c r="H851" s="5" t="s">
        <v>2604</v>
      </c>
      <c r="I851" s="5" t="s">
        <v>63</v>
      </c>
      <c r="J851" s="5" t="s">
        <v>76</v>
      </c>
      <c r="K851" s="5" t="s">
        <v>309</v>
      </c>
      <c r="L851" s="6" t="n">
        <v>45265</v>
      </c>
      <c r="M851" s="5" t="s">
        <v>282</v>
      </c>
      <c r="N851" s="6" t="n">
        <v>37410</v>
      </c>
      <c r="O851" s="5" t="s">
        <v>1264</v>
      </c>
      <c r="P851" s="5" t="s">
        <v>1559</v>
      </c>
      <c r="Q851" s="5" t="s">
        <v>412</v>
      </c>
      <c r="R851" s="5" t="s">
        <v>115</v>
      </c>
      <c r="S851" s="5" t="s">
        <v>412</v>
      </c>
      <c r="T851" s="6"/>
      <c r="U851" s="6"/>
      <c r="V851" s="5"/>
      <c r="W851" s="5"/>
      <c r="X851" s="5" t="s">
        <v>631</v>
      </c>
      <c r="Y851" s="5" t="s">
        <v>631</v>
      </c>
      <c r="Z851" s="5" t="s">
        <v>631</v>
      </c>
      <c r="AA851" s="5" t="s">
        <v>2707</v>
      </c>
      <c r="AB851" s="0" t="n">
        <f aca="false">IFERROR(VALUE(R851),0)</f>
        <v>0</v>
      </c>
      <c r="AC851" s="0" t="n">
        <f aca="false">IFERROR(VALUE(M851),"")</f>
        <v>24</v>
      </c>
      <c r="AD851" s="0" t="n">
        <f aca="false">IFERROR(VALUE(Q851),"")</f>
        <v>2.6</v>
      </c>
      <c r="AE851" s="0" t="n">
        <f aca="false">IFERROR(VALUE(S851),"")</f>
        <v>2.6</v>
      </c>
      <c r="AF851" s="0" t="str">
        <f aca="false">IF(V851="","",VLOOKUP(V851,Assumptions!$B$6:$C$9,2,FALSE()))</f>
        <v/>
      </c>
      <c r="AG851" s="0" t="str">
        <f aca="false">IF(W851="","",VLOOKUP(W851,Assumptions!$B$6:$C$9,2,FALSE()))</f>
        <v/>
      </c>
      <c r="AH851" s="0" t="n">
        <f aca="false">IF(X851="","",VLOOKUP(X851,Assumptions!$B$6:$C$9,2,FALSE()))</f>
        <v>2</v>
      </c>
      <c r="AI851" s="0" t="n">
        <f aca="false">IF(Y851="","",VLOOKUP(Y851,Assumptions!$B$6:$C$9,2,FALSE()))</f>
        <v>2</v>
      </c>
      <c r="AJ851" s="0" t="n">
        <f aca="false">IF(Z851="","",VLOOKUP(Z851,Assumptions!$B$6:$C$9,2,FALSE()))</f>
        <v>2</v>
      </c>
      <c r="AK851" s="7" t="n">
        <f aca="false">IFERROR(ROUND(AVERAGE(AF851:AJ851),3),"")</f>
        <v>2</v>
      </c>
      <c r="AL851" s="7" t="str">
        <f aca="false">IF(OR(AF851="",AJ851=""),"",AJ851-AF851)</f>
        <v/>
      </c>
      <c r="AM851" s="7" t="n">
        <f aca="false">IF(COUNT(AF851:AJ851)&gt;=2,ROUND(_xlfn.STDEV.S(AF851:AJ851),3),"")</f>
        <v>0</v>
      </c>
      <c r="AN851" s="7" t="n">
        <f aca="false">ROUND((IF(AF851="",0,AF851)*Assumptions!$F$15)+(IF(AG851="",0,AG851)*Assumptions!$F$16)+(IF(AH851="",0,AH851)*Assumptions!$F$17)+(IF(AI851="",0,AI851)*Assumptions!$F$18)+(IF(AJ851="",0,AJ851)*Assumptions!$F$19),3)</f>
        <v>1.5</v>
      </c>
      <c r="AO851" s="0" t="str">
        <f aca="false">IF(AC851&lt;=20,"",IF(AC851&lt;=Assumptions!$F$6,"20-30",IF(AC851&lt;=Assumptions!$F$7,"30-40",IF(AC851&lt;=Assumptions!$F$8,"40-50",IF(AC851&lt;=Assumptions!$F$9,"50-60",IF(AC851&lt;=Assumptions!$F$10,"60+",""))))))</f>
        <v>20-30</v>
      </c>
      <c r="AP851" s="0" t="str">
        <f aca="false">IFERROR(VLOOKUP(O851,Assumptions!$B$14:$C$26,2,FALSE()),"Other")</f>
        <v>Manager</v>
      </c>
      <c r="AQ851" s="0" t="n">
        <f aca="false">IF(T851="",0,1)</f>
        <v>0</v>
      </c>
      <c r="AR851" s="0" t="n">
        <f aca="false">IF(U851="",0,1)</f>
        <v>0</v>
      </c>
      <c r="AS851" s="8" t="n">
        <f aca="false">IF(AK851="","",IF(MAX($AK$2:$AK$921)=MIN($AK$2:$AK$921),50,ROUND((AK851-MIN($AK$2:$AK$921))/(MAX($AK$2:$AK$921)-MIN($AK$2:$AK$921))*100,2)))</f>
        <v>14.27</v>
      </c>
      <c r="AT851" s="8" t="n">
        <f aca="false">IF(MAX($BC$2:$BC$921)=MIN($BC$2:$BC$921),50,ROUND((BC851-MIN($BC$2:$BC$921))/(MAX($BC$2:$BC$921)-MIN($BC$2:$BC$921))*100,2))</f>
        <v>50</v>
      </c>
      <c r="AU851" s="8" t="n">
        <f aca="false">IF(MAX($BE$2:$BE$921)=MIN($BE$2:$BE$921),50,ROUND((BE851-MIN($BE$2:$BE$921))/(MAX($BE$2:$BE$921)-MIN($BE$2:$BE$921))*100,2))</f>
        <v>100</v>
      </c>
      <c r="AV851" s="8" t="n">
        <f aca="false">IF(MAX($AD$2:$AD$921)=MIN($AD$2:$AD$921),50,ROUND((AD851-MIN($AD$2:$AD$921))/(MAX($AD$2:$AD$921)-MIN($AD$2:$AD$921))*100,2))</f>
        <v>6.77</v>
      </c>
      <c r="AW851" s="8" t="n">
        <f aca="false">IF(MAX($AN$2:$AN$921)=MIN($AN$2:$AN$921),50,ROUND((AN851-MIN($AN$2:$AN$921))/(MAX($AN$2:$AN$921)-MIN($AN$2:$AN$921))*100,2))</f>
        <v>37.5</v>
      </c>
      <c r="AX851" s="8" t="n">
        <f aca="false">AQ851*100</f>
        <v>0</v>
      </c>
      <c r="AY851" s="8" t="n">
        <f aca="false">AR851*100</f>
        <v>0</v>
      </c>
      <c r="AZ851" s="8" t="n">
        <f aca="false">IFERROR(ROUND(AS851*Assumptions!$I$6+AW851*Assumptions!$I$7+AT851*Assumptions!$I$8+AU851*Assumptions!$I$9+AV851*Assumptions!$I$10+AX851*Assumptions!$I$11+AY851*Assumptions!$I$12,2),"")</f>
        <v>34.96</v>
      </c>
      <c r="BA851" s="0" t="str">
        <f aca="false">IF(AZ851="","",IF(AZ851&lt;=Assumptions!$I$18,"Below Expectation",IF(AZ851&lt;=Assumptions!$I$19,"Developing",IF(AZ851&lt;=Assumptions!$I$20,"Meets Expectation",IF(AZ851&lt;=Assumptions!$I$21,"Exceeds","Star Performer")))))</f>
        <v>Below Expectation</v>
      </c>
      <c r="BB851" s="0" t="n">
        <f aca="false">IF(AZ851="",0,IF(AZ851&gt;=Assumptions!$I$26,1,0))</f>
        <v>0</v>
      </c>
      <c r="BC851" s="9" t="n">
        <f aca="false">IF(AL851="",2,AL851+2)</f>
        <v>2</v>
      </c>
      <c r="BD851" s="10" t="n">
        <f aca="false">IF(AM851="",ROUND(AVERAGE($AM$2:$AM$921),3),AM851)</f>
        <v>0</v>
      </c>
      <c r="BE851" s="9" t="n">
        <f aca="false">1-BD851</f>
        <v>1</v>
      </c>
    </row>
    <row r="852" customFormat="false" ht="14.25" hidden="true" customHeight="false" outlineLevel="0" collapsed="false">
      <c r="A852" s="4" t="n">
        <v>832</v>
      </c>
      <c r="B852" s="5" t="n">
        <v>55092845</v>
      </c>
      <c r="C852" s="5" t="s">
        <v>149</v>
      </c>
      <c r="D852" s="5" t="s">
        <v>2708</v>
      </c>
      <c r="E852" s="5" t="s">
        <v>449</v>
      </c>
      <c r="F852" s="5" t="s">
        <v>1606</v>
      </c>
      <c r="G852" s="5" t="s">
        <v>1607</v>
      </c>
      <c r="H852" s="5" t="s">
        <v>1606</v>
      </c>
      <c r="I852" s="5" t="s">
        <v>63</v>
      </c>
      <c r="J852" s="5" t="s">
        <v>100</v>
      </c>
      <c r="K852" s="5" t="s">
        <v>309</v>
      </c>
      <c r="L852" s="6" t="n">
        <v>45265</v>
      </c>
      <c r="M852" s="5" t="s">
        <v>1739</v>
      </c>
      <c r="N852" s="6" t="n">
        <v>36441</v>
      </c>
      <c r="O852" s="5" t="s">
        <v>1264</v>
      </c>
      <c r="P852" s="5" t="s">
        <v>1559</v>
      </c>
      <c r="Q852" s="5" t="s">
        <v>412</v>
      </c>
      <c r="R852" s="5" t="s">
        <v>115</v>
      </c>
      <c r="S852" s="5" t="s">
        <v>412</v>
      </c>
      <c r="T852" s="6"/>
      <c r="U852" s="6"/>
      <c r="V852" s="5"/>
      <c r="W852" s="5"/>
      <c r="X852" s="5" t="s">
        <v>631</v>
      </c>
      <c r="Y852" s="5" t="s">
        <v>631</v>
      </c>
      <c r="Z852" s="5" t="s">
        <v>631</v>
      </c>
      <c r="AA852" s="5" t="s">
        <v>2236</v>
      </c>
      <c r="AB852" s="0" t="n">
        <f aca="false">IFERROR(VALUE(R852),0)</f>
        <v>0</v>
      </c>
      <c r="AC852" s="0" t="n">
        <f aca="false">IFERROR(VALUE(M852),"")</f>
        <v>26.8</v>
      </c>
      <c r="AD852" s="0" t="n">
        <f aca="false">IFERROR(VALUE(Q852),"")</f>
        <v>2.6</v>
      </c>
      <c r="AE852" s="0" t="n">
        <f aca="false">IFERROR(VALUE(S852),"")</f>
        <v>2.6</v>
      </c>
      <c r="AF852" s="0" t="str">
        <f aca="false">IF(V852="","",VLOOKUP(V852,Assumptions!$B$6:$C$9,2,FALSE()))</f>
        <v/>
      </c>
      <c r="AG852" s="0" t="str">
        <f aca="false">IF(W852="","",VLOOKUP(W852,Assumptions!$B$6:$C$9,2,FALSE()))</f>
        <v/>
      </c>
      <c r="AH852" s="0" t="n">
        <f aca="false">IF(X852="","",VLOOKUP(X852,Assumptions!$B$6:$C$9,2,FALSE()))</f>
        <v>2</v>
      </c>
      <c r="AI852" s="0" t="n">
        <f aca="false">IF(Y852="","",VLOOKUP(Y852,Assumptions!$B$6:$C$9,2,FALSE()))</f>
        <v>2</v>
      </c>
      <c r="AJ852" s="0" t="n">
        <f aca="false">IF(Z852="","",VLOOKUP(Z852,Assumptions!$B$6:$C$9,2,FALSE()))</f>
        <v>2</v>
      </c>
      <c r="AK852" s="7" t="n">
        <f aca="false">IFERROR(ROUND(AVERAGE(AF852:AJ852),3),"")</f>
        <v>2</v>
      </c>
      <c r="AL852" s="7" t="str">
        <f aca="false">IF(OR(AF852="",AJ852=""),"",AJ852-AF852)</f>
        <v/>
      </c>
      <c r="AM852" s="7" t="n">
        <f aca="false">IF(COUNT(AF852:AJ852)&gt;=2,ROUND(_xlfn.STDEV.S(AF852:AJ852),3),"")</f>
        <v>0</v>
      </c>
      <c r="AN852" s="7" t="n">
        <f aca="false">ROUND((IF(AF852="",0,AF852)*Assumptions!$F$15)+(IF(AG852="",0,AG852)*Assumptions!$F$16)+(IF(AH852="",0,AH852)*Assumptions!$F$17)+(IF(AI852="",0,AI852)*Assumptions!$F$18)+(IF(AJ852="",0,AJ852)*Assumptions!$F$19),3)</f>
        <v>1.5</v>
      </c>
      <c r="AO852" s="0" t="str">
        <f aca="false">IF(AC852&lt;=20,"",IF(AC852&lt;=Assumptions!$F$6,"20-30",IF(AC852&lt;=Assumptions!$F$7,"30-40",IF(AC852&lt;=Assumptions!$F$8,"40-50",IF(AC852&lt;=Assumptions!$F$9,"50-60",IF(AC852&lt;=Assumptions!$F$10,"60+",""))))))</f>
        <v>20-30</v>
      </c>
      <c r="AP852" s="0" t="str">
        <f aca="false">IFERROR(VLOOKUP(O852,Assumptions!$B$14:$C$26,2,FALSE()),"Other")</f>
        <v>Manager</v>
      </c>
      <c r="AQ852" s="0" t="n">
        <f aca="false">IF(T852="",0,1)</f>
        <v>0</v>
      </c>
      <c r="AR852" s="0" t="n">
        <f aca="false">IF(U852="",0,1)</f>
        <v>0</v>
      </c>
      <c r="AS852" s="8" t="n">
        <f aca="false">IF(AK852="","",IF(MAX($AK$2:$AK$921)=MIN($AK$2:$AK$921),50,ROUND((AK852-MIN($AK$2:$AK$921))/(MAX($AK$2:$AK$921)-MIN($AK$2:$AK$921))*100,2)))</f>
        <v>14.27</v>
      </c>
      <c r="AT852" s="8" t="n">
        <f aca="false">IF(MAX($BC$2:$BC$921)=MIN($BC$2:$BC$921),50,ROUND((BC852-MIN($BC$2:$BC$921))/(MAX($BC$2:$BC$921)-MIN($BC$2:$BC$921))*100,2))</f>
        <v>50</v>
      </c>
      <c r="AU852" s="8" t="n">
        <f aca="false">IF(MAX($BE$2:$BE$921)=MIN($BE$2:$BE$921),50,ROUND((BE852-MIN($BE$2:$BE$921))/(MAX($BE$2:$BE$921)-MIN($BE$2:$BE$921))*100,2))</f>
        <v>100</v>
      </c>
      <c r="AV852" s="8" t="n">
        <f aca="false">IF(MAX($AD$2:$AD$921)=MIN($AD$2:$AD$921),50,ROUND((AD852-MIN($AD$2:$AD$921))/(MAX($AD$2:$AD$921)-MIN($AD$2:$AD$921))*100,2))</f>
        <v>6.77</v>
      </c>
      <c r="AW852" s="8" t="n">
        <f aca="false">IF(MAX($AN$2:$AN$921)=MIN($AN$2:$AN$921),50,ROUND((AN852-MIN($AN$2:$AN$921))/(MAX($AN$2:$AN$921)-MIN($AN$2:$AN$921))*100,2))</f>
        <v>37.5</v>
      </c>
      <c r="AX852" s="8" t="n">
        <f aca="false">AQ852*100</f>
        <v>0</v>
      </c>
      <c r="AY852" s="8" t="n">
        <f aca="false">AR852*100</f>
        <v>0</v>
      </c>
      <c r="AZ852" s="8" t="n">
        <f aca="false">IFERROR(ROUND(AS852*Assumptions!$I$6+AW852*Assumptions!$I$7+AT852*Assumptions!$I$8+AU852*Assumptions!$I$9+AV852*Assumptions!$I$10+AX852*Assumptions!$I$11+AY852*Assumptions!$I$12,2),"")</f>
        <v>34.96</v>
      </c>
      <c r="BA852" s="0" t="str">
        <f aca="false">IF(AZ852="","",IF(AZ852&lt;=Assumptions!$I$18,"Below Expectation",IF(AZ852&lt;=Assumptions!$I$19,"Developing",IF(AZ852&lt;=Assumptions!$I$20,"Meets Expectation",IF(AZ852&lt;=Assumptions!$I$21,"Exceeds","Star Performer")))))</f>
        <v>Below Expectation</v>
      </c>
      <c r="BB852" s="0" t="n">
        <f aca="false">IF(AZ852="",0,IF(AZ852&gt;=Assumptions!$I$26,1,0))</f>
        <v>0</v>
      </c>
      <c r="BC852" s="9" t="n">
        <f aca="false">IF(AL852="",2,AL852+2)</f>
        <v>2</v>
      </c>
      <c r="BD852" s="10" t="n">
        <f aca="false">IF(AM852="",ROUND(AVERAGE($AM$2:$AM$921),3),AM852)</f>
        <v>0</v>
      </c>
      <c r="BE852" s="9" t="n">
        <f aca="false">1-BD852</f>
        <v>1</v>
      </c>
    </row>
    <row r="853" customFormat="false" ht="14.25" hidden="true" customHeight="false" outlineLevel="0" collapsed="false">
      <c r="A853" s="4" t="n">
        <v>833</v>
      </c>
      <c r="B853" s="5" t="n">
        <v>55092847</v>
      </c>
      <c r="C853" s="5" t="s">
        <v>149</v>
      </c>
      <c r="D853" s="5" t="s">
        <v>2709</v>
      </c>
      <c r="E853" s="5" t="s">
        <v>449</v>
      </c>
      <c r="F853" s="5" t="s">
        <v>1606</v>
      </c>
      <c r="G853" s="5" t="s">
        <v>1607</v>
      </c>
      <c r="H853" s="5" t="s">
        <v>1606</v>
      </c>
      <c r="I853" s="5" t="s">
        <v>63</v>
      </c>
      <c r="J853" s="5" t="s">
        <v>100</v>
      </c>
      <c r="K853" s="5" t="s">
        <v>309</v>
      </c>
      <c r="L853" s="6" t="n">
        <v>45265</v>
      </c>
      <c r="M853" s="5" t="s">
        <v>984</v>
      </c>
      <c r="N853" s="6" t="n">
        <v>37206</v>
      </c>
      <c r="O853" s="5" t="s">
        <v>1264</v>
      </c>
      <c r="P853" s="5" t="s">
        <v>1559</v>
      </c>
      <c r="Q853" s="5" t="s">
        <v>412</v>
      </c>
      <c r="R853" s="5" t="s">
        <v>115</v>
      </c>
      <c r="S853" s="5" t="s">
        <v>412</v>
      </c>
      <c r="T853" s="6"/>
      <c r="U853" s="6"/>
      <c r="V853" s="5"/>
      <c r="W853" s="5"/>
      <c r="X853" s="5" t="s">
        <v>631</v>
      </c>
      <c r="Y853" s="5" t="s">
        <v>631</v>
      </c>
      <c r="Z853" s="5" t="s">
        <v>631</v>
      </c>
      <c r="AA853" s="5" t="s">
        <v>2710</v>
      </c>
      <c r="AB853" s="0" t="n">
        <f aca="false">IFERROR(VALUE(R853),0)</f>
        <v>0</v>
      </c>
      <c r="AC853" s="0" t="n">
        <f aca="false">IFERROR(VALUE(M853),"")</f>
        <v>24.6</v>
      </c>
      <c r="AD853" s="0" t="n">
        <f aca="false">IFERROR(VALUE(Q853),"")</f>
        <v>2.6</v>
      </c>
      <c r="AE853" s="0" t="n">
        <f aca="false">IFERROR(VALUE(S853),"")</f>
        <v>2.6</v>
      </c>
      <c r="AF853" s="0" t="str">
        <f aca="false">IF(V853="","",VLOOKUP(V853,Assumptions!$B$6:$C$9,2,FALSE()))</f>
        <v/>
      </c>
      <c r="AG853" s="0" t="str">
        <f aca="false">IF(W853="","",VLOOKUP(W853,Assumptions!$B$6:$C$9,2,FALSE()))</f>
        <v/>
      </c>
      <c r="AH853" s="0" t="n">
        <f aca="false">IF(X853="","",VLOOKUP(X853,Assumptions!$B$6:$C$9,2,FALSE()))</f>
        <v>2</v>
      </c>
      <c r="AI853" s="0" t="n">
        <f aca="false">IF(Y853="","",VLOOKUP(Y853,Assumptions!$B$6:$C$9,2,FALSE()))</f>
        <v>2</v>
      </c>
      <c r="AJ853" s="0" t="n">
        <f aca="false">IF(Z853="","",VLOOKUP(Z853,Assumptions!$B$6:$C$9,2,FALSE()))</f>
        <v>2</v>
      </c>
      <c r="AK853" s="7" t="n">
        <f aca="false">IFERROR(ROUND(AVERAGE(AF853:AJ853),3),"")</f>
        <v>2</v>
      </c>
      <c r="AL853" s="7" t="str">
        <f aca="false">IF(OR(AF853="",AJ853=""),"",AJ853-AF853)</f>
        <v/>
      </c>
      <c r="AM853" s="7" t="n">
        <f aca="false">IF(COUNT(AF853:AJ853)&gt;=2,ROUND(_xlfn.STDEV.S(AF853:AJ853),3),"")</f>
        <v>0</v>
      </c>
      <c r="AN853" s="7" t="n">
        <f aca="false">ROUND((IF(AF853="",0,AF853)*Assumptions!$F$15)+(IF(AG853="",0,AG853)*Assumptions!$F$16)+(IF(AH853="",0,AH853)*Assumptions!$F$17)+(IF(AI853="",0,AI853)*Assumptions!$F$18)+(IF(AJ853="",0,AJ853)*Assumptions!$F$19),3)</f>
        <v>1.5</v>
      </c>
      <c r="AO853" s="0" t="str">
        <f aca="false">IF(AC853&lt;=20,"",IF(AC853&lt;=Assumptions!$F$6,"20-30",IF(AC853&lt;=Assumptions!$F$7,"30-40",IF(AC853&lt;=Assumptions!$F$8,"40-50",IF(AC853&lt;=Assumptions!$F$9,"50-60",IF(AC853&lt;=Assumptions!$F$10,"60+",""))))))</f>
        <v>20-30</v>
      </c>
      <c r="AP853" s="0" t="str">
        <f aca="false">IFERROR(VLOOKUP(O853,Assumptions!$B$14:$C$26,2,FALSE()),"Other")</f>
        <v>Manager</v>
      </c>
      <c r="AQ853" s="0" t="n">
        <f aca="false">IF(T853="",0,1)</f>
        <v>0</v>
      </c>
      <c r="AR853" s="0" t="n">
        <f aca="false">IF(U853="",0,1)</f>
        <v>0</v>
      </c>
      <c r="AS853" s="8" t="n">
        <f aca="false">IF(AK853="","",IF(MAX($AK$2:$AK$921)=MIN($AK$2:$AK$921),50,ROUND((AK853-MIN($AK$2:$AK$921))/(MAX($AK$2:$AK$921)-MIN($AK$2:$AK$921))*100,2)))</f>
        <v>14.27</v>
      </c>
      <c r="AT853" s="8" t="n">
        <f aca="false">IF(MAX($BC$2:$BC$921)=MIN($BC$2:$BC$921),50,ROUND((BC853-MIN($BC$2:$BC$921))/(MAX($BC$2:$BC$921)-MIN($BC$2:$BC$921))*100,2))</f>
        <v>50</v>
      </c>
      <c r="AU853" s="8" t="n">
        <f aca="false">IF(MAX($BE$2:$BE$921)=MIN($BE$2:$BE$921),50,ROUND((BE853-MIN($BE$2:$BE$921))/(MAX($BE$2:$BE$921)-MIN($BE$2:$BE$921))*100,2))</f>
        <v>100</v>
      </c>
      <c r="AV853" s="8" t="n">
        <f aca="false">IF(MAX($AD$2:$AD$921)=MIN($AD$2:$AD$921),50,ROUND((AD853-MIN($AD$2:$AD$921))/(MAX($AD$2:$AD$921)-MIN($AD$2:$AD$921))*100,2))</f>
        <v>6.77</v>
      </c>
      <c r="AW853" s="8" t="n">
        <f aca="false">IF(MAX($AN$2:$AN$921)=MIN($AN$2:$AN$921),50,ROUND((AN853-MIN($AN$2:$AN$921))/(MAX($AN$2:$AN$921)-MIN($AN$2:$AN$921))*100,2))</f>
        <v>37.5</v>
      </c>
      <c r="AX853" s="8" t="n">
        <f aca="false">AQ853*100</f>
        <v>0</v>
      </c>
      <c r="AY853" s="8" t="n">
        <f aca="false">AR853*100</f>
        <v>0</v>
      </c>
      <c r="AZ853" s="8" t="n">
        <f aca="false">IFERROR(ROUND(AS853*Assumptions!$I$6+AW853*Assumptions!$I$7+AT853*Assumptions!$I$8+AU853*Assumptions!$I$9+AV853*Assumptions!$I$10+AX853*Assumptions!$I$11+AY853*Assumptions!$I$12,2),"")</f>
        <v>34.96</v>
      </c>
      <c r="BA853" s="0" t="str">
        <f aca="false">IF(AZ853="","",IF(AZ853&lt;=Assumptions!$I$18,"Below Expectation",IF(AZ853&lt;=Assumptions!$I$19,"Developing",IF(AZ853&lt;=Assumptions!$I$20,"Meets Expectation",IF(AZ853&lt;=Assumptions!$I$21,"Exceeds","Star Performer")))))</f>
        <v>Below Expectation</v>
      </c>
      <c r="BB853" s="0" t="n">
        <f aca="false">IF(AZ853="",0,IF(AZ853&gt;=Assumptions!$I$26,1,0))</f>
        <v>0</v>
      </c>
      <c r="BC853" s="9" t="n">
        <f aca="false">IF(AL853="",2,AL853+2)</f>
        <v>2</v>
      </c>
      <c r="BD853" s="10" t="n">
        <f aca="false">IF(AM853="",ROUND(AVERAGE($AM$2:$AM$921),3),AM853)</f>
        <v>0</v>
      </c>
      <c r="BE853" s="9" t="n">
        <f aca="false">1-BD853</f>
        <v>1</v>
      </c>
    </row>
    <row r="854" customFormat="false" ht="14.25" hidden="true" customHeight="false" outlineLevel="0" collapsed="false">
      <c r="A854" s="4" t="n">
        <v>839</v>
      </c>
      <c r="B854" s="5" t="n">
        <v>55092898</v>
      </c>
      <c r="C854" s="5" t="s">
        <v>57</v>
      </c>
      <c r="D854" s="5" t="s">
        <v>2711</v>
      </c>
      <c r="E854" s="5" t="s">
        <v>607</v>
      </c>
      <c r="F854" s="5" t="s">
        <v>1770</v>
      </c>
      <c r="G854" s="5" t="s">
        <v>1771</v>
      </c>
      <c r="H854" s="5" t="s">
        <v>1770</v>
      </c>
      <c r="I854" s="5" t="s">
        <v>63</v>
      </c>
      <c r="J854" s="5" t="s">
        <v>100</v>
      </c>
      <c r="K854" s="5" t="s">
        <v>309</v>
      </c>
      <c r="L854" s="6" t="n">
        <v>45265</v>
      </c>
      <c r="M854" s="5" t="s">
        <v>1664</v>
      </c>
      <c r="N854" s="6" t="n">
        <v>37241</v>
      </c>
      <c r="O854" s="5" t="s">
        <v>1264</v>
      </c>
      <c r="P854" s="5" t="s">
        <v>1559</v>
      </c>
      <c r="Q854" s="5" t="s">
        <v>412</v>
      </c>
      <c r="R854" s="5" t="s">
        <v>115</v>
      </c>
      <c r="S854" s="5" t="s">
        <v>412</v>
      </c>
      <c r="T854" s="6"/>
      <c r="U854" s="6"/>
      <c r="V854" s="5"/>
      <c r="W854" s="5"/>
      <c r="X854" s="5" t="s">
        <v>631</v>
      </c>
      <c r="Y854" s="5" t="s">
        <v>631</v>
      </c>
      <c r="Z854" s="5" t="s">
        <v>631</v>
      </c>
      <c r="AA854" s="5" t="s">
        <v>2585</v>
      </c>
      <c r="AB854" s="0" t="n">
        <f aca="false">IFERROR(VALUE(R854),0)</f>
        <v>0</v>
      </c>
      <c r="AC854" s="0" t="n">
        <f aca="false">IFERROR(VALUE(M854),"")</f>
        <v>24.5</v>
      </c>
      <c r="AD854" s="0" t="n">
        <f aca="false">IFERROR(VALUE(Q854),"")</f>
        <v>2.6</v>
      </c>
      <c r="AE854" s="0" t="n">
        <f aca="false">IFERROR(VALUE(S854),"")</f>
        <v>2.6</v>
      </c>
      <c r="AF854" s="0" t="str">
        <f aca="false">IF(V854="","",VLOOKUP(V854,Assumptions!$B$6:$C$9,2,FALSE()))</f>
        <v/>
      </c>
      <c r="AG854" s="0" t="str">
        <f aca="false">IF(W854="","",VLOOKUP(W854,Assumptions!$B$6:$C$9,2,FALSE()))</f>
        <v/>
      </c>
      <c r="AH854" s="0" t="n">
        <f aca="false">IF(X854="","",VLOOKUP(X854,Assumptions!$B$6:$C$9,2,FALSE()))</f>
        <v>2</v>
      </c>
      <c r="AI854" s="0" t="n">
        <f aca="false">IF(Y854="","",VLOOKUP(Y854,Assumptions!$B$6:$C$9,2,FALSE()))</f>
        <v>2</v>
      </c>
      <c r="AJ854" s="0" t="n">
        <f aca="false">IF(Z854="","",VLOOKUP(Z854,Assumptions!$B$6:$C$9,2,FALSE()))</f>
        <v>2</v>
      </c>
      <c r="AK854" s="7" t="n">
        <f aca="false">IFERROR(ROUND(AVERAGE(AF854:AJ854),3),"")</f>
        <v>2</v>
      </c>
      <c r="AL854" s="7" t="str">
        <f aca="false">IF(OR(AF854="",AJ854=""),"",AJ854-AF854)</f>
        <v/>
      </c>
      <c r="AM854" s="7" t="n">
        <f aca="false">IF(COUNT(AF854:AJ854)&gt;=2,ROUND(_xlfn.STDEV.S(AF854:AJ854),3),"")</f>
        <v>0</v>
      </c>
      <c r="AN854" s="7" t="n">
        <f aca="false">ROUND((IF(AF854="",0,AF854)*Assumptions!$F$15)+(IF(AG854="",0,AG854)*Assumptions!$F$16)+(IF(AH854="",0,AH854)*Assumptions!$F$17)+(IF(AI854="",0,AI854)*Assumptions!$F$18)+(IF(AJ854="",0,AJ854)*Assumptions!$F$19),3)</f>
        <v>1.5</v>
      </c>
      <c r="AO854" s="0" t="str">
        <f aca="false">IF(AC854&lt;=20,"",IF(AC854&lt;=Assumptions!$F$6,"20-30",IF(AC854&lt;=Assumptions!$F$7,"30-40",IF(AC854&lt;=Assumptions!$F$8,"40-50",IF(AC854&lt;=Assumptions!$F$9,"50-60",IF(AC854&lt;=Assumptions!$F$10,"60+",""))))))</f>
        <v>20-30</v>
      </c>
      <c r="AP854" s="0" t="str">
        <f aca="false">IFERROR(VLOOKUP(O854,Assumptions!$B$14:$C$26,2,FALSE()),"Other")</f>
        <v>Manager</v>
      </c>
      <c r="AQ854" s="0" t="n">
        <f aca="false">IF(T854="",0,1)</f>
        <v>0</v>
      </c>
      <c r="AR854" s="0" t="n">
        <f aca="false">IF(U854="",0,1)</f>
        <v>0</v>
      </c>
      <c r="AS854" s="8" t="n">
        <f aca="false">IF(AK854="","",IF(MAX($AK$2:$AK$921)=MIN($AK$2:$AK$921),50,ROUND((AK854-MIN($AK$2:$AK$921))/(MAX($AK$2:$AK$921)-MIN($AK$2:$AK$921))*100,2)))</f>
        <v>14.27</v>
      </c>
      <c r="AT854" s="8" t="n">
        <f aca="false">IF(MAX($BC$2:$BC$921)=MIN($BC$2:$BC$921),50,ROUND((BC854-MIN($BC$2:$BC$921))/(MAX($BC$2:$BC$921)-MIN($BC$2:$BC$921))*100,2))</f>
        <v>50</v>
      </c>
      <c r="AU854" s="8" t="n">
        <f aca="false">IF(MAX($BE$2:$BE$921)=MIN($BE$2:$BE$921),50,ROUND((BE854-MIN($BE$2:$BE$921))/(MAX($BE$2:$BE$921)-MIN($BE$2:$BE$921))*100,2))</f>
        <v>100</v>
      </c>
      <c r="AV854" s="8" t="n">
        <f aca="false">IF(MAX($AD$2:$AD$921)=MIN($AD$2:$AD$921),50,ROUND((AD854-MIN($AD$2:$AD$921))/(MAX($AD$2:$AD$921)-MIN($AD$2:$AD$921))*100,2))</f>
        <v>6.77</v>
      </c>
      <c r="AW854" s="8" t="n">
        <f aca="false">IF(MAX($AN$2:$AN$921)=MIN($AN$2:$AN$921),50,ROUND((AN854-MIN($AN$2:$AN$921))/(MAX($AN$2:$AN$921)-MIN($AN$2:$AN$921))*100,2))</f>
        <v>37.5</v>
      </c>
      <c r="AX854" s="8" t="n">
        <f aca="false">AQ854*100</f>
        <v>0</v>
      </c>
      <c r="AY854" s="8" t="n">
        <f aca="false">AR854*100</f>
        <v>0</v>
      </c>
      <c r="AZ854" s="8" t="n">
        <f aca="false">IFERROR(ROUND(AS854*Assumptions!$I$6+AW854*Assumptions!$I$7+AT854*Assumptions!$I$8+AU854*Assumptions!$I$9+AV854*Assumptions!$I$10+AX854*Assumptions!$I$11+AY854*Assumptions!$I$12,2),"")</f>
        <v>34.96</v>
      </c>
      <c r="BA854" s="0" t="str">
        <f aca="false">IF(AZ854="","",IF(AZ854&lt;=Assumptions!$I$18,"Below Expectation",IF(AZ854&lt;=Assumptions!$I$19,"Developing",IF(AZ854&lt;=Assumptions!$I$20,"Meets Expectation",IF(AZ854&lt;=Assumptions!$I$21,"Exceeds","Star Performer")))))</f>
        <v>Below Expectation</v>
      </c>
      <c r="BB854" s="0" t="n">
        <f aca="false">IF(AZ854="",0,IF(AZ854&gt;=Assumptions!$I$26,1,0))</f>
        <v>0</v>
      </c>
      <c r="BC854" s="9" t="n">
        <f aca="false">IF(AL854="",2,AL854+2)</f>
        <v>2</v>
      </c>
      <c r="BD854" s="10" t="n">
        <f aca="false">IF(AM854="",ROUND(AVERAGE($AM$2:$AM$921),3),AM854)</f>
        <v>0</v>
      </c>
      <c r="BE854" s="9" t="n">
        <f aca="false">1-BD854</f>
        <v>1</v>
      </c>
    </row>
    <row r="855" customFormat="false" ht="14.25" hidden="true" customHeight="false" outlineLevel="0" collapsed="false">
      <c r="A855" s="4" t="n">
        <v>843</v>
      </c>
      <c r="B855" s="5" t="n">
        <v>55092923</v>
      </c>
      <c r="C855" s="5" t="s">
        <v>57</v>
      </c>
      <c r="D855" s="5" t="s">
        <v>2712</v>
      </c>
      <c r="E855" s="5" t="s">
        <v>607</v>
      </c>
      <c r="F855" s="5" t="s">
        <v>1770</v>
      </c>
      <c r="G855" s="5" t="s">
        <v>1771</v>
      </c>
      <c r="H855" s="5" t="s">
        <v>1770</v>
      </c>
      <c r="I855" s="5" t="s">
        <v>63</v>
      </c>
      <c r="J855" s="5" t="s">
        <v>100</v>
      </c>
      <c r="K855" s="5" t="s">
        <v>309</v>
      </c>
      <c r="L855" s="6" t="n">
        <v>45265</v>
      </c>
      <c r="M855" s="5" t="s">
        <v>134</v>
      </c>
      <c r="N855" s="6" t="n">
        <v>37178</v>
      </c>
      <c r="O855" s="5" t="s">
        <v>1264</v>
      </c>
      <c r="P855" s="5" t="s">
        <v>1559</v>
      </c>
      <c r="Q855" s="5" t="s">
        <v>412</v>
      </c>
      <c r="R855" s="5" t="s">
        <v>115</v>
      </c>
      <c r="S855" s="5" t="s">
        <v>412</v>
      </c>
      <c r="T855" s="6"/>
      <c r="U855" s="6"/>
      <c r="V855" s="5"/>
      <c r="W855" s="5"/>
      <c r="X855" s="5" t="s">
        <v>631</v>
      </c>
      <c r="Y855" s="5" t="s">
        <v>631</v>
      </c>
      <c r="Z855" s="5" t="s">
        <v>631</v>
      </c>
      <c r="AA855" s="5" t="s">
        <v>2713</v>
      </c>
      <c r="AB855" s="0" t="n">
        <f aca="false">IFERROR(VALUE(R855),0)</f>
        <v>0</v>
      </c>
      <c r="AC855" s="0" t="n">
        <f aca="false">IFERROR(VALUE(M855),"")</f>
        <v>24.7</v>
      </c>
      <c r="AD855" s="0" t="n">
        <f aca="false">IFERROR(VALUE(Q855),"")</f>
        <v>2.6</v>
      </c>
      <c r="AE855" s="0" t="n">
        <f aca="false">IFERROR(VALUE(S855),"")</f>
        <v>2.6</v>
      </c>
      <c r="AF855" s="0" t="str">
        <f aca="false">IF(V855="","",VLOOKUP(V855,Assumptions!$B$6:$C$9,2,FALSE()))</f>
        <v/>
      </c>
      <c r="AG855" s="0" t="str">
        <f aca="false">IF(W855="","",VLOOKUP(W855,Assumptions!$B$6:$C$9,2,FALSE()))</f>
        <v/>
      </c>
      <c r="AH855" s="0" t="n">
        <f aca="false">IF(X855="","",VLOOKUP(X855,Assumptions!$B$6:$C$9,2,FALSE()))</f>
        <v>2</v>
      </c>
      <c r="AI855" s="0" t="n">
        <f aca="false">IF(Y855="","",VLOOKUP(Y855,Assumptions!$B$6:$C$9,2,FALSE()))</f>
        <v>2</v>
      </c>
      <c r="AJ855" s="0" t="n">
        <f aca="false">IF(Z855="","",VLOOKUP(Z855,Assumptions!$B$6:$C$9,2,FALSE()))</f>
        <v>2</v>
      </c>
      <c r="AK855" s="7" t="n">
        <f aca="false">IFERROR(ROUND(AVERAGE(AF855:AJ855),3),"")</f>
        <v>2</v>
      </c>
      <c r="AL855" s="7" t="str">
        <f aca="false">IF(OR(AF855="",AJ855=""),"",AJ855-AF855)</f>
        <v/>
      </c>
      <c r="AM855" s="7" t="n">
        <f aca="false">IF(COUNT(AF855:AJ855)&gt;=2,ROUND(_xlfn.STDEV.S(AF855:AJ855),3),"")</f>
        <v>0</v>
      </c>
      <c r="AN855" s="7" t="n">
        <f aca="false">ROUND((IF(AF855="",0,AF855)*Assumptions!$F$15)+(IF(AG855="",0,AG855)*Assumptions!$F$16)+(IF(AH855="",0,AH855)*Assumptions!$F$17)+(IF(AI855="",0,AI855)*Assumptions!$F$18)+(IF(AJ855="",0,AJ855)*Assumptions!$F$19),3)</f>
        <v>1.5</v>
      </c>
      <c r="AO855" s="0" t="str">
        <f aca="false">IF(AC855&lt;=20,"",IF(AC855&lt;=Assumptions!$F$6,"20-30",IF(AC855&lt;=Assumptions!$F$7,"30-40",IF(AC855&lt;=Assumptions!$F$8,"40-50",IF(AC855&lt;=Assumptions!$F$9,"50-60",IF(AC855&lt;=Assumptions!$F$10,"60+",""))))))</f>
        <v>20-30</v>
      </c>
      <c r="AP855" s="0" t="str">
        <f aca="false">IFERROR(VLOOKUP(O855,Assumptions!$B$14:$C$26,2,FALSE()),"Other")</f>
        <v>Manager</v>
      </c>
      <c r="AQ855" s="0" t="n">
        <f aca="false">IF(T855="",0,1)</f>
        <v>0</v>
      </c>
      <c r="AR855" s="0" t="n">
        <f aca="false">IF(U855="",0,1)</f>
        <v>0</v>
      </c>
      <c r="AS855" s="8" t="n">
        <f aca="false">IF(AK855="","",IF(MAX($AK$2:$AK$921)=MIN($AK$2:$AK$921),50,ROUND((AK855-MIN($AK$2:$AK$921))/(MAX($AK$2:$AK$921)-MIN($AK$2:$AK$921))*100,2)))</f>
        <v>14.27</v>
      </c>
      <c r="AT855" s="8" t="n">
        <f aca="false">IF(MAX($BC$2:$BC$921)=MIN($BC$2:$BC$921),50,ROUND((BC855-MIN($BC$2:$BC$921))/(MAX($BC$2:$BC$921)-MIN($BC$2:$BC$921))*100,2))</f>
        <v>50</v>
      </c>
      <c r="AU855" s="8" t="n">
        <f aca="false">IF(MAX($BE$2:$BE$921)=MIN($BE$2:$BE$921),50,ROUND((BE855-MIN($BE$2:$BE$921))/(MAX($BE$2:$BE$921)-MIN($BE$2:$BE$921))*100,2))</f>
        <v>100</v>
      </c>
      <c r="AV855" s="8" t="n">
        <f aca="false">IF(MAX($AD$2:$AD$921)=MIN($AD$2:$AD$921),50,ROUND((AD855-MIN($AD$2:$AD$921))/(MAX($AD$2:$AD$921)-MIN($AD$2:$AD$921))*100,2))</f>
        <v>6.77</v>
      </c>
      <c r="AW855" s="8" t="n">
        <f aca="false">IF(MAX($AN$2:$AN$921)=MIN($AN$2:$AN$921),50,ROUND((AN855-MIN($AN$2:$AN$921))/(MAX($AN$2:$AN$921)-MIN($AN$2:$AN$921))*100,2))</f>
        <v>37.5</v>
      </c>
      <c r="AX855" s="8" t="n">
        <f aca="false">AQ855*100</f>
        <v>0</v>
      </c>
      <c r="AY855" s="8" t="n">
        <f aca="false">AR855*100</f>
        <v>0</v>
      </c>
      <c r="AZ855" s="8" t="n">
        <f aca="false">IFERROR(ROUND(AS855*Assumptions!$I$6+AW855*Assumptions!$I$7+AT855*Assumptions!$I$8+AU855*Assumptions!$I$9+AV855*Assumptions!$I$10+AX855*Assumptions!$I$11+AY855*Assumptions!$I$12,2),"")</f>
        <v>34.96</v>
      </c>
      <c r="BA855" s="0" t="str">
        <f aca="false">IF(AZ855="","",IF(AZ855&lt;=Assumptions!$I$18,"Below Expectation",IF(AZ855&lt;=Assumptions!$I$19,"Developing",IF(AZ855&lt;=Assumptions!$I$20,"Meets Expectation",IF(AZ855&lt;=Assumptions!$I$21,"Exceeds","Star Performer")))))</f>
        <v>Below Expectation</v>
      </c>
      <c r="BB855" s="0" t="n">
        <f aca="false">IF(AZ855="",0,IF(AZ855&gt;=Assumptions!$I$26,1,0))</f>
        <v>0</v>
      </c>
      <c r="BC855" s="9" t="n">
        <f aca="false">IF(AL855="",2,AL855+2)</f>
        <v>2</v>
      </c>
      <c r="BD855" s="10" t="n">
        <f aca="false">IF(AM855="",ROUND(AVERAGE($AM$2:$AM$921),3),AM855)</f>
        <v>0</v>
      </c>
      <c r="BE855" s="9" t="n">
        <f aca="false">1-BD855</f>
        <v>1</v>
      </c>
    </row>
    <row r="856" customFormat="false" ht="14.25" hidden="true" customHeight="false" outlineLevel="0" collapsed="false">
      <c r="A856" s="4" t="n">
        <v>844</v>
      </c>
      <c r="B856" s="5" t="n">
        <v>55092926</v>
      </c>
      <c r="C856" s="5" t="s">
        <v>526</v>
      </c>
      <c r="D856" s="5" t="s">
        <v>2714</v>
      </c>
      <c r="E856" s="5" t="s">
        <v>1008</v>
      </c>
      <c r="F856" s="5" t="s">
        <v>590</v>
      </c>
      <c r="G856" s="5" t="s">
        <v>589</v>
      </c>
      <c r="H856" s="5" t="s">
        <v>590</v>
      </c>
      <c r="I856" s="5" t="s">
        <v>63</v>
      </c>
      <c r="J856" s="5" t="s">
        <v>100</v>
      </c>
      <c r="K856" s="5" t="s">
        <v>309</v>
      </c>
      <c r="L856" s="6" t="n">
        <v>45265</v>
      </c>
      <c r="M856" s="5" t="s">
        <v>2337</v>
      </c>
      <c r="N856" s="6" t="n">
        <v>36880</v>
      </c>
      <c r="O856" s="5" t="s">
        <v>1264</v>
      </c>
      <c r="P856" s="5" t="s">
        <v>1559</v>
      </c>
      <c r="Q856" s="5" t="s">
        <v>412</v>
      </c>
      <c r="R856" s="5" t="s">
        <v>115</v>
      </c>
      <c r="S856" s="5" t="s">
        <v>412</v>
      </c>
      <c r="T856" s="6"/>
      <c r="U856" s="6"/>
      <c r="V856" s="5"/>
      <c r="W856" s="5"/>
      <c r="X856" s="5" t="s">
        <v>631</v>
      </c>
      <c r="Y856" s="5" t="s">
        <v>631</v>
      </c>
      <c r="Z856" s="5" t="s">
        <v>631</v>
      </c>
      <c r="AA856" s="5" t="s">
        <v>2585</v>
      </c>
      <c r="AB856" s="0" t="n">
        <f aca="false">IFERROR(VALUE(R856),0)</f>
        <v>0</v>
      </c>
      <c r="AC856" s="0" t="n">
        <f aca="false">IFERROR(VALUE(M856),"")</f>
        <v>25.5</v>
      </c>
      <c r="AD856" s="0" t="n">
        <f aca="false">IFERROR(VALUE(Q856),"")</f>
        <v>2.6</v>
      </c>
      <c r="AE856" s="0" t="n">
        <f aca="false">IFERROR(VALUE(S856),"")</f>
        <v>2.6</v>
      </c>
      <c r="AF856" s="0" t="str">
        <f aca="false">IF(V856="","",VLOOKUP(V856,Assumptions!$B$6:$C$9,2,FALSE()))</f>
        <v/>
      </c>
      <c r="AG856" s="0" t="str">
        <f aca="false">IF(W856="","",VLOOKUP(W856,Assumptions!$B$6:$C$9,2,FALSE()))</f>
        <v/>
      </c>
      <c r="AH856" s="0" t="n">
        <f aca="false">IF(X856="","",VLOOKUP(X856,Assumptions!$B$6:$C$9,2,FALSE()))</f>
        <v>2</v>
      </c>
      <c r="AI856" s="0" t="n">
        <f aca="false">IF(Y856="","",VLOOKUP(Y856,Assumptions!$B$6:$C$9,2,FALSE()))</f>
        <v>2</v>
      </c>
      <c r="AJ856" s="0" t="n">
        <f aca="false">IF(Z856="","",VLOOKUP(Z856,Assumptions!$B$6:$C$9,2,FALSE()))</f>
        <v>2</v>
      </c>
      <c r="AK856" s="7" t="n">
        <f aca="false">IFERROR(ROUND(AVERAGE(AF856:AJ856),3),"")</f>
        <v>2</v>
      </c>
      <c r="AL856" s="7" t="str">
        <f aca="false">IF(OR(AF856="",AJ856=""),"",AJ856-AF856)</f>
        <v/>
      </c>
      <c r="AM856" s="7" t="n">
        <f aca="false">IF(COUNT(AF856:AJ856)&gt;=2,ROUND(_xlfn.STDEV.S(AF856:AJ856),3),"")</f>
        <v>0</v>
      </c>
      <c r="AN856" s="7" t="n">
        <f aca="false">ROUND((IF(AF856="",0,AF856)*Assumptions!$F$15)+(IF(AG856="",0,AG856)*Assumptions!$F$16)+(IF(AH856="",0,AH856)*Assumptions!$F$17)+(IF(AI856="",0,AI856)*Assumptions!$F$18)+(IF(AJ856="",0,AJ856)*Assumptions!$F$19),3)</f>
        <v>1.5</v>
      </c>
      <c r="AO856" s="0" t="str">
        <f aca="false">IF(AC856&lt;=20,"",IF(AC856&lt;=Assumptions!$F$6,"20-30",IF(AC856&lt;=Assumptions!$F$7,"30-40",IF(AC856&lt;=Assumptions!$F$8,"40-50",IF(AC856&lt;=Assumptions!$F$9,"50-60",IF(AC856&lt;=Assumptions!$F$10,"60+",""))))))</f>
        <v>20-30</v>
      </c>
      <c r="AP856" s="0" t="str">
        <f aca="false">IFERROR(VLOOKUP(O856,Assumptions!$B$14:$C$26,2,FALSE()),"Other")</f>
        <v>Manager</v>
      </c>
      <c r="AQ856" s="0" t="n">
        <f aca="false">IF(T856="",0,1)</f>
        <v>0</v>
      </c>
      <c r="AR856" s="0" t="n">
        <f aca="false">IF(U856="",0,1)</f>
        <v>0</v>
      </c>
      <c r="AS856" s="8" t="n">
        <f aca="false">IF(AK856="","",IF(MAX($AK$2:$AK$921)=MIN($AK$2:$AK$921),50,ROUND((AK856-MIN($AK$2:$AK$921))/(MAX($AK$2:$AK$921)-MIN($AK$2:$AK$921))*100,2)))</f>
        <v>14.27</v>
      </c>
      <c r="AT856" s="8" t="n">
        <f aca="false">IF(MAX($BC$2:$BC$921)=MIN($BC$2:$BC$921),50,ROUND((BC856-MIN($BC$2:$BC$921))/(MAX($BC$2:$BC$921)-MIN($BC$2:$BC$921))*100,2))</f>
        <v>50</v>
      </c>
      <c r="AU856" s="8" t="n">
        <f aca="false">IF(MAX($BE$2:$BE$921)=MIN($BE$2:$BE$921),50,ROUND((BE856-MIN($BE$2:$BE$921))/(MAX($BE$2:$BE$921)-MIN($BE$2:$BE$921))*100,2))</f>
        <v>100</v>
      </c>
      <c r="AV856" s="8" t="n">
        <f aca="false">IF(MAX($AD$2:$AD$921)=MIN($AD$2:$AD$921),50,ROUND((AD856-MIN($AD$2:$AD$921))/(MAX($AD$2:$AD$921)-MIN($AD$2:$AD$921))*100,2))</f>
        <v>6.77</v>
      </c>
      <c r="AW856" s="8" t="n">
        <f aca="false">IF(MAX($AN$2:$AN$921)=MIN($AN$2:$AN$921),50,ROUND((AN856-MIN($AN$2:$AN$921))/(MAX($AN$2:$AN$921)-MIN($AN$2:$AN$921))*100,2))</f>
        <v>37.5</v>
      </c>
      <c r="AX856" s="8" t="n">
        <f aca="false">AQ856*100</f>
        <v>0</v>
      </c>
      <c r="AY856" s="8" t="n">
        <f aca="false">AR856*100</f>
        <v>0</v>
      </c>
      <c r="AZ856" s="8" t="n">
        <f aca="false">IFERROR(ROUND(AS856*Assumptions!$I$6+AW856*Assumptions!$I$7+AT856*Assumptions!$I$8+AU856*Assumptions!$I$9+AV856*Assumptions!$I$10+AX856*Assumptions!$I$11+AY856*Assumptions!$I$12,2),"")</f>
        <v>34.96</v>
      </c>
      <c r="BA856" s="0" t="str">
        <f aca="false">IF(AZ856="","",IF(AZ856&lt;=Assumptions!$I$18,"Below Expectation",IF(AZ856&lt;=Assumptions!$I$19,"Developing",IF(AZ856&lt;=Assumptions!$I$20,"Meets Expectation",IF(AZ856&lt;=Assumptions!$I$21,"Exceeds","Star Performer")))))</f>
        <v>Below Expectation</v>
      </c>
      <c r="BB856" s="0" t="n">
        <f aca="false">IF(AZ856="",0,IF(AZ856&gt;=Assumptions!$I$26,1,0))</f>
        <v>0</v>
      </c>
      <c r="BC856" s="9" t="n">
        <f aca="false">IF(AL856="",2,AL856+2)</f>
        <v>2</v>
      </c>
      <c r="BD856" s="10" t="n">
        <f aca="false">IF(AM856="",ROUND(AVERAGE($AM$2:$AM$921),3),AM856)</f>
        <v>0</v>
      </c>
      <c r="BE856" s="9" t="n">
        <f aca="false">1-BD856</f>
        <v>1</v>
      </c>
    </row>
    <row r="857" customFormat="false" ht="14.25" hidden="true" customHeight="false" outlineLevel="0" collapsed="false">
      <c r="A857" s="4" t="n">
        <v>845</v>
      </c>
      <c r="B857" s="5" t="n">
        <v>55092943</v>
      </c>
      <c r="C857" s="5" t="s">
        <v>57</v>
      </c>
      <c r="D857" s="5" t="s">
        <v>2715</v>
      </c>
      <c r="E857" s="5" t="s">
        <v>275</v>
      </c>
      <c r="F857" s="5" t="s">
        <v>1770</v>
      </c>
      <c r="G857" s="5" t="s">
        <v>1771</v>
      </c>
      <c r="H857" s="5" t="s">
        <v>1770</v>
      </c>
      <c r="I857" s="5" t="s">
        <v>63</v>
      </c>
      <c r="J857" s="5" t="s">
        <v>100</v>
      </c>
      <c r="K857" s="5" t="s">
        <v>309</v>
      </c>
      <c r="L857" s="6" t="n">
        <v>45265</v>
      </c>
      <c r="M857" s="5" t="s">
        <v>124</v>
      </c>
      <c r="N857" s="6" t="n">
        <v>36815</v>
      </c>
      <c r="O857" s="5" t="s">
        <v>1264</v>
      </c>
      <c r="P857" s="5" t="s">
        <v>1559</v>
      </c>
      <c r="Q857" s="5" t="s">
        <v>412</v>
      </c>
      <c r="R857" s="5" t="s">
        <v>115</v>
      </c>
      <c r="S857" s="5" t="s">
        <v>412</v>
      </c>
      <c r="T857" s="6"/>
      <c r="U857" s="6"/>
      <c r="V857" s="5"/>
      <c r="W857" s="5"/>
      <c r="X857" s="5" t="s">
        <v>631</v>
      </c>
      <c r="Y857" s="5" t="s">
        <v>631</v>
      </c>
      <c r="Z857" s="5" t="s">
        <v>631</v>
      </c>
      <c r="AA857" s="5" t="s">
        <v>2716</v>
      </c>
      <c r="AB857" s="0" t="n">
        <f aca="false">IFERROR(VALUE(R857),0)</f>
        <v>0</v>
      </c>
      <c r="AC857" s="0" t="n">
        <f aca="false">IFERROR(VALUE(M857),"")</f>
        <v>25.7</v>
      </c>
      <c r="AD857" s="0" t="n">
        <f aca="false">IFERROR(VALUE(Q857),"")</f>
        <v>2.6</v>
      </c>
      <c r="AE857" s="0" t="n">
        <f aca="false">IFERROR(VALUE(S857),"")</f>
        <v>2.6</v>
      </c>
      <c r="AF857" s="0" t="str">
        <f aca="false">IF(V857="","",VLOOKUP(V857,Assumptions!$B$6:$C$9,2,FALSE()))</f>
        <v/>
      </c>
      <c r="AG857" s="0" t="str">
        <f aca="false">IF(W857="","",VLOOKUP(W857,Assumptions!$B$6:$C$9,2,FALSE()))</f>
        <v/>
      </c>
      <c r="AH857" s="0" t="n">
        <f aca="false">IF(X857="","",VLOOKUP(X857,Assumptions!$B$6:$C$9,2,FALSE()))</f>
        <v>2</v>
      </c>
      <c r="AI857" s="0" t="n">
        <f aca="false">IF(Y857="","",VLOOKUP(Y857,Assumptions!$B$6:$C$9,2,FALSE()))</f>
        <v>2</v>
      </c>
      <c r="AJ857" s="0" t="n">
        <f aca="false">IF(Z857="","",VLOOKUP(Z857,Assumptions!$B$6:$C$9,2,FALSE()))</f>
        <v>2</v>
      </c>
      <c r="AK857" s="7" t="n">
        <f aca="false">IFERROR(ROUND(AVERAGE(AF857:AJ857),3),"")</f>
        <v>2</v>
      </c>
      <c r="AL857" s="7" t="str">
        <f aca="false">IF(OR(AF857="",AJ857=""),"",AJ857-AF857)</f>
        <v/>
      </c>
      <c r="AM857" s="7" t="n">
        <f aca="false">IF(COUNT(AF857:AJ857)&gt;=2,ROUND(_xlfn.STDEV.S(AF857:AJ857),3),"")</f>
        <v>0</v>
      </c>
      <c r="AN857" s="7" t="n">
        <f aca="false">ROUND((IF(AF857="",0,AF857)*Assumptions!$F$15)+(IF(AG857="",0,AG857)*Assumptions!$F$16)+(IF(AH857="",0,AH857)*Assumptions!$F$17)+(IF(AI857="",0,AI857)*Assumptions!$F$18)+(IF(AJ857="",0,AJ857)*Assumptions!$F$19),3)</f>
        <v>1.5</v>
      </c>
      <c r="AO857" s="0" t="str">
        <f aca="false">IF(AC857&lt;=20,"",IF(AC857&lt;=Assumptions!$F$6,"20-30",IF(AC857&lt;=Assumptions!$F$7,"30-40",IF(AC857&lt;=Assumptions!$F$8,"40-50",IF(AC857&lt;=Assumptions!$F$9,"50-60",IF(AC857&lt;=Assumptions!$F$10,"60+",""))))))</f>
        <v>20-30</v>
      </c>
      <c r="AP857" s="0" t="str">
        <f aca="false">IFERROR(VLOOKUP(O857,Assumptions!$B$14:$C$26,2,FALSE()),"Other")</f>
        <v>Manager</v>
      </c>
      <c r="AQ857" s="0" t="n">
        <f aca="false">IF(T857="",0,1)</f>
        <v>0</v>
      </c>
      <c r="AR857" s="0" t="n">
        <f aca="false">IF(U857="",0,1)</f>
        <v>0</v>
      </c>
      <c r="AS857" s="8" t="n">
        <f aca="false">IF(AK857="","",IF(MAX($AK$2:$AK$921)=MIN($AK$2:$AK$921),50,ROUND((AK857-MIN($AK$2:$AK$921))/(MAX($AK$2:$AK$921)-MIN($AK$2:$AK$921))*100,2)))</f>
        <v>14.27</v>
      </c>
      <c r="AT857" s="8" t="n">
        <f aca="false">IF(MAX($BC$2:$BC$921)=MIN($BC$2:$BC$921),50,ROUND((BC857-MIN($BC$2:$BC$921))/(MAX($BC$2:$BC$921)-MIN($BC$2:$BC$921))*100,2))</f>
        <v>50</v>
      </c>
      <c r="AU857" s="8" t="n">
        <f aca="false">IF(MAX($BE$2:$BE$921)=MIN($BE$2:$BE$921),50,ROUND((BE857-MIN($BE$2:$BE$921))/(MAX($BE$2:$BE$921)-MIN($BE$2:$BE$921))*100,2))</f>
        <v>100</v>
      </c>
      <c r="AV857" s="8" t="n">
        <f aca="false">IF(MAX($AD$2:$AD$921)=MIN($AD$2:$AD$921),50,ROUND((AD857-MIN($AD$2:$AD$921))/(MAX($AD$2:$AD$921)-MIN($AD$2:$AD$921))*100,2))</f>
        <v>6.77</v>
      </c>
      <c r="AW857" s="8" t="n">
        <f aca="false">IF(MAX($AN$2:$AN$921)=MIN($AN$2:$AN$921),50,ROUND((AN857-MIN($AN$2:$AN$921))/(MAX($AN$2:$AN$921)-MIN($AN$2:$AN$921))*100,2))</f>
        <v>37.5</v>
      </c>
      <c r="AX857" s="8" t="n">
        <f aca="false">AQ857*100</f>
        <v>0</v>
      </c>
      <c r="AY857" s="8" t="n">
        <f aca="false">AR857*100</f>
        <v>0</v>
      </c>
      <c r="AZ857" s="8" t="n">
        <f aca="false">IFERROR(ROUND(AS857*Assumptions!$I$6+AW857*Assumptions!$I$7+AT857*Assumptions!$I$8+AU857*Assumptions!$I$9+AV857*Assumptions!$I$10+AX857*Assumptions!$I$11+AY857*Assumptions!$I$12,2),"")</f>
        <v>34.96</v>
      </c>
      <c r="BA857" s="0" t="str">
        <f aca="false">IF(AZ857="","",IF(AZ857&lt;=Assumptions!$I$18,"Below Expectation",IF(AZ857&lt;=Assumptions!$I$19,"Developing",IF(AZ857&lt;=Assumptions!$I$20,"Meets Expectation",IF(AZ857&lt;=Assumptions!$I$21,"Exceeds","Star Performer")))))</f>
        <v>Below Expectation</v>
      </c>
      <c r="BB857" s="0" t="n">
        <f aca="false">IF(AZ857="",0,IF(AZ857&gt;=Assumptions!$I$26,1,0))</f>
        <v>0</v>
      </c>
      <c r="BC857" s="9" t="n">
        <f aca="false">IF(AL857="",2,AL857+2)</f>
        <v>2</v>
      </c>
      <c r="BD857" s="10" t="n">
        <f aca="false">IF(AM857="",ROUND(AVERAGE($AM$2:$AM$921),3),AM857)</f>
        <v>0</v>
      </c>
      <c r="BE857" s="9" t="n">
        <f aca="false">1-BD857</f>
        <v>1</v>
      </c>
    </row>
    <row r="858" customFormat="false" ht="14.25" hidden="true" customHeight="false" outlineLevel="0" collapsed="false">
      <c r="A858" s="4" t="n">
        <v>846</v>
      </c>
      <c r="B858" s="5" t="n">
        <v>55092978</v>
      </c>
      <c r="C858" s="5" t="s">
        <v>85</v>
      </c>
      <c r="D858" s="5" t="s">
        <v>2717</v>
      </c>
      <c r="E858" s="5" t="s">
        <v>751</v>
      </c>
      <c r="F858" s="5" t="s">
        <v>590</v>
      </c>
      <c r="G858" s="5" t="s">
        <v>589</v>
      </c>
      <c r="H858" s="5" t="s">
        <v>590</v>
      </c>
      <c r="I858" s="5" t="s">
        <v>63</v>
      </c>
      <c r="J858" s="5" t="s">
        <v>76</v>
      </c>
      <c r="K858" s="5" t="s">
        <v>309</v>
      </c>
      <c r="L858" s="6" t="n">
        <v>45265</v>
      </c>
      <c r="M858" s="5" t="s">
        <v>124</v>
      </c>
      <c r="N858" s="6" t="n">
        <v>36812</v>
      </c>
      <c r="O858" s="5" t="s">
        <v>1264</v>
      </c>
      <c r="P858" s="5" t="s">
        <v>1559</v>
      </c>
      <c r="Q858" s="5" t="s">
        <v>412</v>
      </c>
      <c r="R858" s="5" t="s">
        <v>115</v>
      </c>
      <c r="S858" s="5" t="s">
        <v>412</v>
      </c>
      <c r="T858" s="6"/>
      <c r="U858" s="6"/>
      <c r="V858" s="5"/>
      <c r="W858" s="5"/>
      <c r="X858" s="5" t="s">
        <v>631</v>
      </c>
      <c r="Y858" s="5" t="s">
        <v>631</v>
      </c>
      <c r="Z858" s="5" t="s">
        <v>631</v>
      </c>
      <c r="AA858" s="5" t="s">
        <v>2718</v>
      </c>
      <c r="AB858" s="0" t="n">
        <f aca="false">IFERROR(VALUE(R858),0)</f>
        <v>0</v>
      </c>
      <c r="AC858" s="0" t="n">
        <f aca="false">IFERROR(VALUE(M858),"")</f>
        <v>25.7</v>
      </c>
      <c r="AD858" s="0" t="n">
        <f aca="false">IFERROR(VALUE(Q858),"")</f>
        <v>2.6</v>
      </c>
      <c r="AE858" s="0" t="n">
        <f aca="false">IFERROR(VALUE(S858),"")</f>
        <v>2.6</v>
      </c>
      <c r="AF858" s="0" t="str">
        <f aca="false">IF(V858="","",VLOOKUP(V858,Assumptions!$B$6:$C$9,2,FALSE()))</f>
        <v/>
      </c>
      <c r="AG858" s="0" t="str">
        <f aca="false">IF(W858="","",VLOOKUP(W858,Assumptions!$B$6:$C$9,2,FALSE()))</f>
        <v/>
      </c>
      <c r="AH858" s="0" t="n">
        <f aca="false">IF(X858="","",VLOOKUP(X858,Assumptions!$B$6:$C$9,2,FALSE()))</f>
        <v>2</v>
      </c>
      <c r="AI858" s="0" t="n">
        <f aca="false">IF(Y858="","",VLOOKUP(Y858,Assumptions!$B$6:$C$9,2,FALSE()))</f>
        <v>2</v>
      </c>
      <c r="AJ858" s="0" t="n">
        <f aca="false">IF(Z858="","",VLOOKUP(Z858,Assumptions!$B$6:$C$9,2,FALSE()))</f>
        <v>2</v>
      </c>
      <c r="AK858" s="7" t="n">
        <f aca="false">IFERROR(ROUND(AVERAGE(AF858:AJ858),3),"")</f>
        <v>2</v>
      </c>
      <c r="AL858" s="7" t="str">
        <f aca="false">IF(OR(AF858="",AJ858=""),"",AJ858-AF858)</f>
        <v/>
      </c>
      <c r="AM858" s="7" t="n">
        <f aca="false">IF(COUNT(AF858:AJ858)&gt;=2,ROUND(_xlfn.STDEV.S(AF858:AJ858),3),"")</f>
        <v>0</v>
      </c>
      <c r="AN858" s="7" t="n">
        <f aca="false">ROUND((IF(AF858="",0,AF858)*Assumptions!$F$15)+(IF(AG858="",0,AG858)*Assumptions!$F$16)+(IF(AH858="",0,AH858)*Assumptions!$F$17)+(IF(AI858="",0,AI858)*Assumptions!$F$18)+(IF(AJ858="",0,AJ858)*Assumptions!$F$19),3)</f>
        <v>1.5</v>
      </c>
      <c r="AO858" s="0" t="str">
        <f aca="false">IF(AC858&lt;=20,"",IF(AC858&lt;=Assumptions!$F$6,"20-30",IF(AC858&lt;=Assumptions!$F$7,"30-40",IF(AC858&lt;=Assumptions!$F$8,"40-50",IF(AC858&lt;=Assumptions!$F$9,"50-60",IF(AC858&lt;=Assumptions!$F$10,"60+",""))))))</f>
        <v>20-30</v>
      </c>
      <c r="AP858" s="0" t="str">
        <f aca="false">IFERROR(VLOOKUP(O858,Assumptions!$B$14:$C$26,2,FALSE()),"Other")</f>
        <v>Manager</v>
      </c>
      <c r="AQ858" s="0" t="n">
        <f aca="false">IF(T858="",0,1)</f>
        <v>0</v>
      </c>
      <c r="AR858" s="0" t="n">
        <f aca="false">IF(U858="",0,1)</f>
        <v>0</v>
      </c>
      <c r="AS858" s="8" t="n">
        <f aca="false">IF(AK858="","",IF(MAX($AK$2:$AK$921)=MIN($AK$2:$AK$921),50,ROUND((AK858-MIN($AK$2:$AK$921))/(MAX($AK$2:$AK$921)-MIN($AK$2:$AK$921))*100,2)))</f>
        <v>14.27</v>
      </c>
      <c r="AT858" s="8" t="n">
        <f aca="false">IF(MAX($BC$2:$BC$921)=MIN($BC$2:$BC$921),50,ROUND((BC858-MIN($BC$2:$BC$921))/(MAX($BC$2:$BC$921)-MIN($BC$2:$BC$921))*100,2))</f>
        <v>50</v>
      </c>
      <c r="AU858" s="8" t="n">
        <f aca="false">IF(MAX($BE$2:$BE$921)=MIN($BE$2:$BE$921),50,ROUND((BE858-MIN($BE$2:$BE$921))/(MAX($BE$2:$BE$921)-MIN($BE$2:$BE$921))*100,2))</f>
        <v>100</v>
      </c>
      <c r="AV858" s="8" t="n">
        <f aca="false">IF(MAX($AD$2:$AD$921)=MIN($AD$2:$AD$921),50,ROUND((AD858-MIN($AD$2:$AD$921))/(MAX($AD$2:$AD$921)-MIN($AD$2:$AD$921))*100,2))</f>
        <v>6.77</v>
      </c>
      <c r="AW858" s="8" t="n">
        <f aca="false">IF(MAX($AN$2:$AN$921)=MIN($AN$2:$AN$921),50,ROUND((AN858-MIN($AN$2:$AN$921))/(MAX($AN$2:$AN$921)-MIN($AN$2:$AN$921))*100,2))</f>
        <v>37.5</v>
      </c>
      <c r="AX858" s="8" t="n">
        <f aca="false">AQ858*100</f>
        <v>0</v>
      </c>
      <c r="AY858" s="8" t="n">
        <f aca="false">AR858*100</f>
        <v>0</v>
      </c>
      <c r="AZ858" s="8" t="n">
        <f aca="false">IFERROR(ROUND(AS858*Assumptions!$I$6+AW858*Assumptions!$I$7+AT858*Assumptions!$I$8+AU858*Assumptions!$I$9+AV858*Assumptions!$I$10+AX858*Assumptions!$I$11+AY858*Assumptions!$I$12,2),"")</f>
        <v>34.96</v>
      </c>
      <c r="BA858" s="0" t="str">
        <f aca="false">IF(AZ858="","",IF(AZ858&lt;=Assumptions!$I$18,"Below Expectation",IF(AZ858&lt;=Assumptions!$I$19,"Developing",IF(AZ858&lt;=Assumptions!$I$20,"Meets Expectation",IF(AZ858&lt;=Assumptions!$I$21,"Exceeds","Star Performer")))))</f>
        <v>Below Expectation</v>
      </c>
      <c r="BB858" s="0" t="n">
        <f aca="false">IF(AZ858="",0,IF(AZ858&gt;=Assumptions!$I$26,1,0))</f>
        <v>0</v>
      </c>
      <c r="BC858" s="9" t="n">
        <f aca="false">IF(AL858="",2,AL858+2)</f>
        <v>2</v>
      </c>
      <c r="BD858" s="10" t="n">
        <f aca="false">IF(AM858="",ROUND(AVERAGE($AM$2:$AM$921),3),AM858)</f>
        <v>0</v>
      </c>
      <c r="BE858" s="9" t="n">
        <f aca="false">1-BD858</f>
        <v>1</v>
      </c>
    </row>
    <row r="859" customFormat="false" ht="14.25" hidden="true" customHeight="false" outlineLevel="0" collapsed="false">
      <c r="A859" s="4" t="n">
        <v>847</v>
      </c>
      <c r="B859" s="5" t="n">
        <v>55092979</v>
      </c>
      <c r="C859" s="5" t="s">
        <v>57</v>
      </c>
      <c r="D859" s="5" t="s">
        <v>2719</v>
      </c>
      <c r="E859" s="5" t="s">
        <v>514</v>
      </c>
      <c r="F859" s="5" t="s">
        <v>1770</v>
      </c>
      <c r="G859" s="5" t="s">
        <v>1771</v>
      </c>
      <c r="H859" s="5" t="s">
        <v>1770</v>
      </c>
      <c r="I859" s="5" t="s">
        <v>63</v>
      </c>
      <c r="J859" s="5" t="s">
        <v>100</v>
      </c>
      <c r="K859" s="5" t="s">
        <v>309</v>
      </c>
      <c r="L859" s="6" t="n">
        <v>45265</v>
      </c>
      <c r="M859" s="5" t="s">
        <v>1789</v>
      </c>
      <c r="N859" s="6" t="n">
        <v>37133</v>
      </c>
      <c r="O859" s="5" t="s">
        <v>1264</v>
      </c>
      <c r="P859" s="5" t="s">
        <v>1559</v>
      </c>
      <c r="Q859" s="5" t="s">
        <v>412</v>
      </c>
      <c r="R859" s="5" t="s">
        <v>115</v>
      </c>
      <c r="S859" s="5" t="s">
        <v>412</v>
      </c>
      <c r="T859" s="6"/>
      <c r="U859" s="6"/>
      <c r="V859" s="5"/>
      <c r="W859" s="5"/>
      <c r="X859" s="5" t="s">
        <v>631</v>
      </c>
      <c r="Y859" s="5" t="s">
        <v>631</v>
      </c>
      <c r="Z859" s="5" t="s">
        <v>631</v>
      </c>
      <c r="AA859" s="5" t="s">
        <v>2232</v>
      </c>
      <c r="AB859" s="0" t="n">
        <f aca="false">IFERROR(VALUE(R859),0)</f>
        <v>0</v>
      </c>
      <c r="AC859" s="0" t="n">
        <f aca="false">IFERROR(VALUE(M859),"")</f>
        <v>24.9</v>
      </c>
      <c r="AD859" s="0" t="n">
        <f aca="false">IFERROR(VALUE(Q859),"")</f>
        <v>2.6</v>
      </c>
      <c r="AE859" s="0" t="n">
        <f aca="false">IFERROR(VALUE(S859),"")</f>
        <v>2.6</v>
      </c>
      <c r="AF859" s="0" t="str">
        <f aca="false">IF(V859="","",VLOOKUP(V859,Assumptions!$B$6:$C$9,2,FALSE()))</f>
        <v/>
      </c>
      <c r="AG859" s="0" t="str">
        <f aca="false">IF(W859="","",VLOOKUP(W859,Assumptions!$B$6:$C$9,2,FALSE()))</f>
        <v/>
      </c>
      <c r="AH859" s="0" t="n">
        <f aca="false">IF(X859="","",VLOOKUP(X859,Assumptions!$B$6:$C$9,2,FALSE()))</f>
        <v>2</v>
      </c>
      <c r="AI859" s="0" t="n">
        <f aca="false">IF(Y859="","",VLOOKUP(Y859,Assumptions!$B$6:$C$9,2,FALSE()))</f>
        <v>2</v>
      </c>
      <c r="AJ859" s="0" t="n">
        <f aca="false">IF(Z859="","",VLOOKUP(Z859,Assumptions!$B$6:$C$9,2,FALSE()))</f>
        <v>2</v>
      </c>
      <c r="AK859" s="7" t="n">
        <f aca="false">IFERROR(ROUND(AVERAGE(AF859:AJ859),3),"")</f>
        <v>2</v>
      </c>
      <c r="AL859" s="7" t="str">
        <f aca="false">IF(OR(AF859="",AJ859=""),"",AJ859-AF859)</f>
        <v/>
      </c>
      <c r="AM859" s="7" t="n">
        <f aca="false">IF(COUNT(AF859:AJ859)&gt;=2,ROUND(_xlfn.STDEV.S(AF859:AJ859),3),"")</f>
        <v>0</v>
      </c>
      <c r="AN859" s="7" t="n">
        <f aca="false">ROUND((IF(AF859="",0,AF859)*Assumptions!$F$15)+(IF(AG859="",0,AG859)*Assumptions!$F$16)+(IF(AH859="",0,AH859)*Assumptions!$F$17)+(IF(AI859="",0,AI859)*Assumptions!$F$18)+(IF(AJ859="",0,AJ859)*Assumptions!$F$19),3)</f>
        <v>1.5</v>
      </c>
      <c r="AO859" s="0" t="str">
        <f aca="false">IF(AC859&lt;=20,"",IF(AC859&lt;=Assumptions!$F$6,"20-30",IF(AC859&lt;=Assumptions!$F$7,"30-40",IF(AC859&lt;=Assumptions!$F$8,"40-50",IF(AC859&lt;=Assumptions!$F$9,"50-60",IF(AC859&lt;=Assumptions!$F$10,"60+",""))))))</f>
        <v>20-30</v>
      </c>
      <c r="AP859" s="0" t="str">
        <f aca="false">IFERROR(VLOOKUP(O859,Assumptions!$B$14:$C$26,2,FALSE()),"Other")</f>
        <v>Manager</v>
      </c>
      <c r="AQ859" s="0" t="n">
        <f aca="false">IF(T859="",0,1)</f>
        <v>0</v>
      </c>
      <c r="AR859" s="0" t="n">
        <f aca="false">IF(U859="",0,1)</f>
        <v>0</v>
      </c>
      <c r="AS859" s="8" t="n">
        <f aca="false">IF(AK859="","",IF(MAX($AK$2:$AK$921)=MIN($AK$2:$AK$921),50,ROUND((AK859-MIN($AK$2:$AK$921))/(MAX($AK$2:$AK$921)-MIN($AK$2:$AK$921))*100,2)))</f>
        <v>14.27</v>
      </c>
      <c r="AT859" s="8" t="n">
        <f aca="false">IF(MAX($BC$2:$BC$921)=MIN($BC$2:$BC$921),50,ROUND((BC859-MIN($BC$2:$BC$921))/(MAX($BC$2:$BC$921)-MIN($BC$2:$BC$921))*100,2))</f>
        <v>50</v>
      </c>
      <c r="AU859" s="8" t="n">
        <f aca="false">IF(MAX($BE$2:$BE$921)=MIN($BE$2:$BE$921),50,ROUND((BE859-MIN($BE$2:$BE$921))/(MAX($BE$2:$BE$921)-MIN($BE$2:$BE$921))*100,2))</f>
        <v>100</v>
      </c>
      <c r="AV859" s="8" t="n">
        <f aca="false">IF(MAX($AD$2:$AD$921)=MIN($AD$2:$AD$921),50,ROUND((AD859-MIN($AD$2:$AD$921))/(MAX($AD$2:$AD$921)-MIN($AD$2:$AD$921))*100,2))</f>
        <v>6.77</v>
      </c>
      <c r="AW859" s="8" t="n">
        <f aca="false">IF(MAX($AN$2:$AN$921)=MIN($AN$2:$AN$921),50,ROUND((AN859-MIN($AN$2:$AN$921))/(MAX($AN$2:$AN$921)-MIN($AN$2:$AN$921))*100,2))</f>
        <v>37.5</v>
      </c>
      <c r="AX859" s="8" t="n">
        <f aca="false">AQ859*100</f>
        <v>0</v>
      </c>
      <c r="AY859" s="8" t="n">
        <f aca="false">AR859*100</f>
        <v>0</v>
      </c>
      <c r="AZ859" s="8" t="n">
        <f aca="false">IFERROR(ROUND(AS859*Assumptions!$I$6+AW859*Assumptions!$I$7+AT859*Assumptions!$I$8+AU859*Assumptions!$I$9+AV859*Assumptions!$I$10+AX859*Assumptions!$I$11+AY859*Assumptions!$I$12,2),"")</f>
        <v>34.96</v>
      </c>
      <c r="BA859" s="0" t="str">
        <f aca="false">IF(AZ859="","",IF(AZ859&lt;=Assumptions!$I$18,"Below Expectation",IF(AZ859&lt;=Assumptions!$I$19,"Developing",IF(AZ859&lt;=Assumptions!$I$20,"Meets Expectation",IF(AZ859&lt;=Assumptions!$I$21,"Exceeds","Star Performer")))))</f>
        <v>Below Expectation</v>
      </c>
      <c r="BB859" s="0" t="n">
        <f aca="false">IF(AZ859="",0,IF(AZ859&gt;=Assumptions!$I$26,1,0))</f>
        <v>0</v>
      </c>
      <c r="BC859" s="9" t="n">
        <f aca="false">IF(AL859="",2,AL859+2)</f>
        <v>2</v>
      </c>
      <c r="BD859" s="10" t="n">
        <f aca="false">IF(AM859="",ROUND(AVERAGE($AM$2:$AM$921),3),AM859)</f>
        <v>0</v>
      </c>
      <c r="BE859" s="9" t="n">
        <f aca="false">1-BD859</f>
        <v>1</v>
      </c>
    </row>
    <row r="860" customFormat="false" ht="14.25" hidden="true" customHeight="false" outlineLevel="0" collapsed="false">
      <c r="A860" s="4" t="n">
        <v>848</v>
      </c>
      <c r="B860" s="5" t="n">
        <v>55092985</v>
      </c>
      <c r="C860" s="5" t="s">
        <v>57</v>
      </c>
      <c r="D860" s="5" t="s">
        <v>2720</v>
      </c>
      <c r="E860" s="5" t="s">
        <v>514</v>
      </c>
      <c r="F860" s="5" t="s">
        <v>1770</v>
      </c>
      <c r="G860" s="5" t="s">
        <v>1771</v>
      </c>
      <c r="H860" s="5" t="s">
        <v>1770</v>
      </c>
      <c r="I860" s="5" t="s">
        <v>63</v>
      </c>
      <c r="J860" s="5" t="s">
        <v>100</v>
      </c>
      <c r="K860" s="5" t="s">
        <v>309</v>
      </c>
      <c r="L860" s="6" t="n">
        <v>45265</v>
      </c>
      <c r="M860" s="5" t="s">
        <v>578</v>
      </c>
      <c r="N860" s="6" t="n">
        <v>37333</v>
      </c>
      <c r="O860" s="5" t="s">
        <v>1264</v>
      </c>
      <c r="P860" s="5" t="s">
        <v>1559</v>
      </c>
      <c r="Q860" s="5" t="s">
        <v>412</v>
      </c>
      <c r="R860" s="5" t="s">
        <v>115</v>
      </c>
      <c r="S860" s="5" t="s">
        <v>412</v>
      </c>
      <c r="T860" s="6"/>
      <c r="U860" s="6"/>
      <c r="V860" s="5"/>
      <c r="W860" s="5"/>
      <c r="X860" s="5" t="s">
        <v>631</v>
      </c>
      <c r="Y860" s="5" t="s">
        <v>631</v>
      </c>
      <c r="Z860" s="5" t="s">
        <v>631</v>
      </c>
      <c r="AA860" s="5" t="s">
        <v>2577</v>
      </c>
      <c r="AB860" s="0" t="n">
        <f aca="false">IFERROR(VALUE(R860),0)</f>
        <v>0</v>
      </c>
      <c r="AC860" s="0" t="n">
        <f aca="false">IFERROR(VALUE(M860),"")</f>
        <v>24.2</v>
      </c>
      <c r="AD860" s="0" t="n">
        <f aca="false">IFERROR(VALUE(Q860),"")</f>
        <v>2.6</v>
      </c>
      <c r="AE860" s="0" t="n">
        <f aca="false">IFERROR(VALUE(S860),"")</f>
        <v>2.6</v>
      </c>
      <c r="AF860" s="0" t="str">
        <f aca="false">IF(V860="","",VLOOKUP(V860,Assumptions!$B$6:$C$9,2,FALSE()))</f>
        <v/>
      </c>
      <c r="AG860" s="0" t="str">
        <f aca="false">IF(W860="","",VLOOKUP(W860,Assumptions!$B$6:$C$9,2,FALSE()))</f>
        <v/>
      </c>
      <c r="AH860" s="0" t="n">
        <f aca="false">IF(X860="","",VLOOKUP(X860,Assumptions!$B$6:$C$9,2,FALSE()))</f>
        <v>2</v>
      </c>
      <c r="AI860" s="0" t="n">
        <f aca="false">IF(Y860="","",VLOOKUP(Y860,Assumptions!$B$6:$C$9,2,FALSE()))</f>
        <v>2</v>
      </c>
      <c r="AJ860" s="0" t="n">
        <f aca="false">IF(Z860="","",VLOOKUP(Z860,Assumptions!$B$6:$C$9,2,FALSE()))</f>
        <v>2</v>
      </c>
      <c r="AK860" s="7" t="n">
        <f aca="false">IFERROR(ROUND(AVERAGE(AF860:AJ860),3),"")</f>
        <v>2</v>
      </c>
      <c r="AL860" s="7" t="str">
        <f aca="false">IF(OR(AF860="",AJ860=""),"",AJ860-AF860)</f>
        <v/>
      </c>
      <c r="AM860" s="7" t="n">
        <f aca="false">IF(COUNT(AF860:AJ860)&gt;=2,ROUND(_xlfn.STDEV.S(AF860:AJ860),3),"")</f>
        <v>0</v>
      </c>
      <c r="AN860" s="7" t="n">
        <f aca="false">ROUND((IF(AF860="",0,AF860)*Assumptions!$F$15)+(IF(AG860="",0,AG860)*Assumptions!$F$16)+(IF(AH860="",0,AH860)*Assumptions!$F$17)+(IF(AI860="",0,AI860)*Assumptions!$F$18)+(IF(AJ860="",0,AJ860)*Assumptions!$F$19),3)</f>
        <v>1.5</v>
      </c>
      <c r="AO860" s="0" t="str">
        <f aca="false">IF(AC860&lt;=20,"",IF(AC860&lt;=Assumptions!$F$6,"20-30",IF(AC860&lt;=Assumptions!$F$7,"30-40",IF(AC860&lt;=Assumptions!$F$8,"40-50",IF(AC860&lt;=Assumptions!$F$9,"50-60",IF(AC860&lt;=Assumptions!$F$10,"60+",""))))))</f>
        <v>20-30</v>
      </c>
      <c r="AP860" s="0" t="str">
        <f aca="false">IFERROR(VLOOKUP(O860,Assumptions!$B$14:$C$26,2,FALSE()),"Other")</f>
        <v>Manager</v>
      </c>
      <c r="AQ860" s="0" t="n">
        <f aca="false">IF(T860="",0,1)</f>
        <v>0</v>
      </c>
      <c r="AR860" s="0" t="n">
        <f aca="false">IF(U860="",0,1)</f>
        <v>0</v>
      </c>
      <c r="AS860" s="8" t="n">
        <f aca="false">IF(AK860="","",IF(MAX($AK$2:$AK$921)=MIN($AK$2:$AK$921),50,ROUND((AK860-MIN($AK$2:$AK$921))/(MAX($AK$2:$AK$921)-MIN($AK$2:$AK$921))*100,2)))</f>
        <v>14.27</v>
      </c>
      <c r="AT860" s="8" t="n">
        <f aca="false">IF(MAX($BC$2:$BC$921)=MIN($BC$2:$BC$921),50,ROUND((BC860-MIN($BC$2:$BC$921))/(MAX($BC$2:$BC$921)-MIN($BC$2:$BC$921))*100,2))</f>
        <v>50</v>
      </c>
      <c r="AU860" s="8" t="n">
        <f aca="false">IF(MAX($BE$2:$BE$921)=MIN($BE$2:$BE$921),50,ROUND((BE860-MIN($BE$2:$BE$921))/(MAX($BE$2:$BE$921)-MIN($BE$2:$BE$921))*100,2))</f>
        <v>100</v>
      </c>
      <c r="AV860" s="8" t="n">
        <f aca="false">IF(MAX($AD$2:$AD$921)=MIN($AD$2:$AD$921),50,ROUND((AD860-MIN($AD$2:$AD$921))/(MAX($AD$2:$AD$921)-MIN($AD$2:$AD$921))*100,2))</f>
        <v>6.77</v>
      </c>
      <c r="AW860" s="8" t="n">
        <f aca="false">IF(MAX($AN$2:$AN$921)=MIN($AN$2:$AN$921),50,ROUND((AN860-MIN($AN$2:$AN$921))/(MAX($AN$2:$AN$921)-MIN($AN$2:$AN$921))*100,2))</f>
        <v>37.5</v>
      </c>
      <c r="AX860" s="8" t="n">
        <f aca="false">AQ860*100</f>
        <v>0</v>
      </c>
      <c r="AY860" s="8" t="n">
        <f aca="false">AR860*100</f>
        <v>0</v>
      </c>
      <c r="AZ860" s="8" t="n">
        <f aca="false">IFERROR(ROUND(AS860*Assumptions!$I$6+AW860*Assumptions!$I$7+AT860*Assumptions!$I$8+AU860*Assumptions!$I$9+AV860*Assumptions!$I$10+AX860*Assumptions!$I$11+AY860*Assumptions!$I$12,2),"")</f>
        <v>34.96</v>
      </c>
      <c r="BA860" s="0" t="str">
        <f aca="false">IF(AZ860="","",IF(AZ860&lt;=Assumptions!$I$18,"Below Expectation",IF(AZ860&lt;=Assumptions!$I$19,"Developing",IF(AZ860&lt;=Assumptions!$I$20,"Meets Expectation",IF(AZ860&lt;=Assumptions!$I$21,"Exceeds","Star Performer")))))</f>
        <v>Below Expectation</v>
      </c>
      <c r="BB860" s="0" t="n">
        <f aca="false">IF(AZ860="",0,IF(AZ860&gt;=Assumptions!$I$26,1,0))</f>
        <v>0</v>
      </c>
      <c r="BC860" s="9" t="n">
        <f aca="false">IF(AL860="",2,AL860+2)</f>
        <v>2</v>
      </c>
      <c r="BD860" s="10" t="n">
        <f aca="false">IF(AM860="",ROUND(AVERAGE($AM$2:$AM$921),3),AM860)</f>
        <v>0</v>
      </c>
      <c r="BE860" s="9" t="n">
        <f aca="false">1-BD860</f>
        <v>1</v>
      </c>
    </row>
    <row r="861" customFormat="false" ht="14.25" hidden="true" customHeight="false" outlineLevel="0" collapsed="false">
      <c r="A861" s="4" t="n">
        <v>850</v>
      </c>
      <c r="B861" s="5" t="n">
        <v>55093000</v>
      </c>
      <c r="C861" s="5" t="s">
        <v>57</v>
      </c>
      <c r="D861" s="5" t="s">
        <v>2721</v>
      </c>
      <c r="E861" s="5" t="s">
        <v>514</v>
      </c>
      <c r="F861" s="5" t="s">
        <v>1770</v>
      </c>
      <c r="G861" s="5" t="s">
        <v>1771</v>
      </c>
      <c r="H861" s="5" t="s">
        <v>1770</v>
      </c>
      <c r="I861" s="5" t="s">
        <v>63</v>
      </c>
      <c r="J861" s="5" t="s">
        <v>100</v>
      </c>
      <c r="K861" s="5" t="s">
        <v>309</v>
      </c>
      <c r="L861" s="6" t="n">
        <v>45265</v>
      </c>
      <c r="M861" s="5" t="s">
        <v>910</v>
      </c>
      <c r="N861" s="6" t="n">
        <v>37080</v>
      </c>
      <c r="O861" s="5" t="s">
        <v>1264</v>
      </c>
      <c r="P861" s="5" t="s">
        <v>1559</v>
      </c>
      <c r="Q861" s="5" t="s">
        <v>412</v>
      </c>
      <c r="R861" s="5" t="s">
        <v>115</v>
      </c>
      <c r="S861" s="5" t="s">
        <v>412</v>
      </c>
      <c r="T861" s="6"/>
      <c r="U861" s="6"/>
      <c r="V861" s="5"/>
      <c r="W861" s="5"/>
      <c r="X861" s="5" t="s">
        <v>631</v>
      </c>
      <c r="Y861" s="5" t="s">
        <v>631</v>
      </c>
      <c r="Z861" s="5" t="s">
        <v>631</v>
      </c>
      <c r="AA861" s="5" t="s">
        <v>2722</v>
      </c>
      <c r="AB861" s="0" t="n">
        <f aca="false">IFERROR(VALUE(R861),0)</f>
        <v>0</v>
      </c>
      <c r="AC861" s="0" t="n">
        <f aca="false">IFERROR(VALUE(M861),"")</f>
        <v>24.11</v>
      </c>
      <c r="AD861" s="0" t="n">
        <f aca="false">IFERROR(VALUE(Q861),"")</f>
        <v>2.6</v>
      </c>
      <c r="AE861" s="0" t="n">
        <f aca="false">IFERROR(VALUE(S861),"")</f>
        <v>2.6</v>
      </c>
      <c r="AF861" s="0" t="str">
        <f aca="false">IF(V861="","",VLOOKUP(V861,Assumptions!$B$6:$C$9,2,FALSE()))</f>
        <v/>
      </c>
      <c r="AG861" s="0" t="str">
        <f aca="false">IF(W861="","",VLOOKUP(W861,Assumptions!$B$6:$C$9,2,FALSE()))</f>
        <v/>
      </c>
      <c r="AH861" s="0" t="n">
        <f aca="false">IF(X861="","",VLOOKUP(X861,Assumptions!$B$6:$C$9,2,FALSE()))</f>
        <v>2</v>
      </c>
      <c r="AI861" s="0" t="n">
        <f aca="false">IF(Y861="","",VLOOKUP(Y861,Assumptions!$B$6:$C$9,2,FALSE()))</f>
        <v>2</v>
      </c>
      <c r="AJ861" s="0" t="n">
        <f aca="false">IF(Z861="","",VLOOKUP(Z861,Assumptions!$B$6:$C$9,2,FALSE()))</f>
        <v>2</v>
      </c>
      <c r="AK861" s="7" t="n">
        <f aca="false">IFERROR(ROUND(AVERAGE(AF861:AJ861),3),"")</f>
        <v>2</v>
      </c>
      <c r="AL861" s="7" t="str">
        <f aca="false">IF(OR(AF861="",AJ861=""),"",AJ861-AF861)</f>
        <v/>
      </c>
      <c r="AM861" s="7" t="n">
        <f aca="false">IF(COUNT(AF861:AJ861)&gt;=2,ROUND(_xlfn.STDEV.S(AF861:AJ861),3),"")</f>
        <v>0</v>
      </c>
      <c r="AN861" s="7" t="n">
        <f aca="false">ROUND((IF(AF861="",0,AF861)*Assumptions!$F$15)+(IF(AG861="",0,AG861)*Assumptions!$F$16)+(IF(AH861="",0,AH861)*Assumptions!$F$17)+(IF(AI861="",0,AI861)*Assumptions!$F$18)+(IF(AJ861="",0,AJ861)*Assumptions!$F$19),3)</f>
        <v>1.5</v>
      </c>
      <c r="AO861" s="0" t="str">
        <f aca="false">IF(AC861&lt;=20,"",IF(AC861&lt;=Assumptions!$F$6,"20-30",IF(AC861&lt;=Assumptions!$F$7,"30-40",IF(AC861&lt;=Assumptions!$F$8,"40-50",IF(AC861&lt;=Assumptions!$F$9,"50-60",IF(AC861&lt;=Assumptions!$F$10,"60+",""))))))</f>
        <v>20-30</v>
      </c>
      <c r="AP861" s="0" t="str">
        <f aca="false">IFERROR(VLOOKUP(O861,Assumptions!$B$14:$C$26,2,FALSE()),"Other")</f>
        <v>Manager</v>
      </c>
      <c r="AQ861" s="0" t="n">
        <f aca="false">IF(T861="",0,1)</f>
        <v>0</v>
      </c>
      <c r="AR861" s="0" t="n">
        <f aca="false">IF(U861="",0,1)</f>
        <v>0</v>
      </c>
      <c r="AS861" s="8" t="n">
        <f aca="false">IF(AK861="","",IF(MAX($AK$2:$AK$921)=MIN($AK$2:$AK$921),50,ROUND((AK861-MIN($AK$2:$AK$921))/(MAX($AK$2:$AK$921)-MIN($AK$2:$AK$921))*100,2)))</f>
        <v>14.27</v>
      </c>
      <c r="AT861" s="8" t="n">
        <f aca="false">IF(MAX($BC$2:$BC$921)=MIN($BC$2:$BC$921),50,ROUND((BC861-MIN($BC$2:$BC$921))/(MAX($BC$2:$BC$921)-MIN($BC$2:$BC$921))*100,2))</f>
        <v>50</v>
      </c>
      <c r="AU861" s="8" t="n">
        <f aca="false">IF(MAX($BE$2:$BE$921)=MIN($BE$2:$BE$921),50,ROUND((BE861-MIN($BE$2:$BE$921))/(MAX($BE$2:$BE$921)-MIN($BE$2:$BE$921))*100,2))</f>
        <v>100</v>
      </c>
      <c r="AV861" s="8" t="n">
        <f aca="false">IF(MAX($AD$2:$AD$921)=MIN($AD$2:$AD$921),50,ROUND((AD861-MIN($AD$2:$AD$921))/(MAX($AD$2:$AD$921)-MIN($AD$2:$AD$921))*100,2))</f>
        <v>6.77</v>
      </c>
      <c r="AW861" s="8" t="n">
        <f aca="false">IF(MAX($AN$2:$AN$921)=MIN($AN$2:$AN$921),50,ROUND((AN861-MIN($AN$2:$AN$921))/(MAX($AN$2:$AN$921)-MIN($AN$2:$AN$921))*100,2))</f>
        <v>37.5</v>
      </c>
      <c r="AX861" s="8" t="n">
        <f aca="false">AQ861*100</f>
        <v>0</v>
      </c>
      <c r="AY861" s="8" t="n">
        <f aca="false">AR861*100</f>
        <v>0</v>
      </c>
      <c r="AZ861" s="8" t="n">
        <f aca="false">IFERROR(ROUND(AS861*Assumptions!$I$6+AW861*Assumptions!$I$7+AT861*Assumptions!$I$8+AU861*Assumptions!$I$9+AV861*Assumptions!$I$10+AX861*Assumptions!$I$11+AY861*Assumptions!$I$12,2),"")</f>
        <v>34.96</v>
      </c>
      <c r="BA861" s="0" t="str">
        <f aca="false">IF(AZ861="","",IF(AZ861&lt;=Assumptions!$I$18,"Below Expectation",IF(AZ861&lt;=Assumptions!$I$19,"Developing",IF(AZ861&lt;=Assumptions!$I$20,"Meets Expectation",IF(AZ861&lt;=Assumptions!$I$21,"Exceeds","Star Performer")))))</f>
        <v>Below Expectation</v>
      </c>
      <c r="BB861" s="0" t="n">
        <f aca="false">IF(AZ861="",0,IF(AZ861&gt;=Assumptions!$I$26,1,0))</f>
        <v>0</v>
      </c>
      <c r="BC861" s="9" t="n">
        <f aca="false">IF(AL861="",2,AL861+2)</f>
        <v>2</v>
      </c>
      <c r="BD861" s="10" t="n">
        <f aca="false">IF(AM861="",ROUND(AVERAGE($AM$2:$AM$921),3),AM861)</f>
        <v>0</v>
      </c>
      <c r="BE861" s="9" t="n">
        <f aca="false">1-BD861</f>
        <v>1</v>
      </c>
    </row>
    <row r="862" customFormat="false" ht="14.25" hidden="true" customHeight="false" outlineLevel="0" collapsed="false">
      <c r="A862" s="4" t="n">
        <v>851</v>
      </c>
      <c r="B862" s="5" t="n">
        <v>55093004</v>
      </c>
      <c r="C862" s="5" t="s">
        <v>85</v>
      </c>
      <c r="D862" s="5" t="s">
        <v>2723</v>
      </c>
      <c r="E862" s="5" t="s">
        <v>315</v>
      </c>
      <c r="F862" s="5" t="s">
        <v>2604</v>
      </c>
      <c r="G862" s="5" t="s">
        <v>2605</v>
      </c>
      <c r="H862" s="5" t="s">
        <v>2604</v>
      </c>
      <c r="I862" s="5" t="s">
        <v>63</v>
      </c>
      <c r="J862" s="5" t="s">
        <v>76</v>
      </c>
      <c r="K862" s="5" t="s">
        <v>309</v>
      </c>
      <c r="L862" s="6" t="n">
        <v>45265</v>
      </c>
      <c r="M862" s="5" t="s">
        <v>1664</v>
      </c>
      <c r="N862" s="6" t="n">
        <v>37240</v>
      </c>
      <c r="O862" s="5" t="s">
        <v>1264</v>
      </c>
      <c r="P862" s="5" t="s">
        <v>1559</v>
      </c>
      <c r="Q862" s="5" t="s">
        <v>412</v>
      </c>
      <c r="R862" s="5" t="s">
        <v>115</v>
      </c>
      <c r="S862" s="5" t="s">
        <v>412</v>
      </c>
      <c r="T862" s="6"/>
      <c r="U862" s="6"/>
      <c r="V862" s="5"/>
      <c r="W862" s="5"/>
      <c r="X862" s="5" t="s">
        <v>631</v>
      </c>
      <c r="Y862" s="5" t="s">
        <v>631</v>
      </c>
      <c r="Z862" s="5" t="s">
        <v>631</v>
      </c>
      <c r="AA862" s="5" t="s">
        <v>2151</v>
      </c>
      <c r="AB862" s="0" t="n">
        <f aca="false">IFERROR(VALUE(R862),0)</f>
        <v>0</v>
      </c>
      <c r="AC862" s="0" t="n">
        <f aca="false">IFERROR(VALUE(M862),"")</f>
        <v>24.5</v>
      </c>
      <c r="AD862" s="0" t="n">
        <f aca="false">IFERROR(VALUE(Q862),"")</f>
        <v>2.6</v>
      </c>
      <c r="AE862" s="0" t="n">
        <f aca="false">IFERROR(VALUE(S862),"")</f>
        <v>2.6</v>
      </c>
      <c r="AF862" s="0" t="str">
        <f aca="false">IF(V862="","",VLOOKUP(V862,Assumptions!$B$6:$C$9,2,FALSE()))</f>
        <v/>
      </c>
      <c r="AG862" s="0" t="str">
        <f aca="false">IF(W862="","",VLOOKUP(W862,Assumptions!$B$6:$C$9,2,FALSE()))</f>
        <v/>
      </c>
      <c r="AH862" s="0" t="n">
        <f aca="false">IF(X862="","",VLOOKUP(X862,Assumptions!$B$6:$C$9,2,FALSE()))</f>
        <v>2</v>
      </c>
      <c r="AI862" s="0" t="n">
        <f aca="false">IF(Y862="","",VLOOKUP(Y862,Assumptions!$B$6:$C$9,2,FALSE()))</f>
        <v>2</v>
      </c>
      <c r="AJ862" s="0" t="n">
        <f aca="false">IF(Z862="","",VLOOKUP(Z862,Assumptions!$B$6:$C$9,2,FALSE()))</f>
        <v>2</v>
      </c>
      <c r="AK862" s="7" t="n">
        <f aca="false">IFERROR(ROUND(AVERAGE(AF862:AJ862),3),"")</f>
        <v>2</v>
      </c>
      <c r="AL862" s="7" t="str">
        <f aca="false">IF(OR(AF862="",AJ862=""),"",AJ862-AF862)</f>
        <v/>
      </c>
      <c r="AM862" s="7" t="n">
        <f aca="false">IF(COUNT(AF862:AJ862)&gt;=2,ROUND(_xlfn.STDEV.S(AF862:AJ862),3),"")</f>
        <v>0</v>
      </c>
      <c r="AN862" s="7" t="n">
        <f aca="false">ROUND((IF(AF862="",0,AF862)*Assumptions!$F$15)+(IF(AG862="",0,AG862)*Assumptions!$F$16)+(IF(AH862="",0,AH862)*Assumptions!$F$17)+(IF(AI862="",0,AI862)*Assumptions!$F$18)+(IF(AJ862="",0,AJ862)*Assumptions!$F$19),3)</f>
        <v>1.5</v>
      </c>
      <c r="AO862" s="0" t="str">
        <f aca="false">IF(AC862&lt;=20,"",IF(AC862&lt;=Assumptions!$F$6,"20-30",IF(AC862&lt;=Assumptions!$F$7,"30-40",IF(AC862&lt;=Assumptions!$F$8,"40-50",IF(AC862&lt;=Assumptions!$F$9,"50-60",IF(AC862&lt;=Assumptions!$F$10,"60+",""))))))</f>
        <v>20-30</v>
      </c>
      <c r="AP862" s="0" t="str">
        <f aca="false">IFERROR(VLOOKUP(O862,Assumptions!$B$14:$C$26,2,FALSE()),"Other")</f>
        <v>Manager</v>
      </c>
      <c r="AQ862" s="0" t="n">
        <f aca="false">IF(T862="",0,1)</f>
        <v>0</v>
      </c>
      <c r="AR862" s="0" t="n">
        <f aca="false">IF(U862="",0,1)</f>
        <v>0</v>
      </c>
      <c r="AS862" s="8" t="n">
        <f aca="false">IF(AK862="","",IF(MAX($AK$2:$AK$921)=MIN($AK$2:$AK$921),50,ROUND((AK862-MIN($AK$2:$AK$921))/(MAX($AK$2:$AK$921)-MIN($AK$2:$AK$921))*100,2)))</f>
        <v>14.27</v>
      </c>
      <c r="AT862" s="8" t="n">
        <f aca="false">IF(MAX($BC$2:$BC$921)=MIN($BC$2:$BC$921),50,ROUND((BC862-MIN($BC$2:$BC$921))/(MAX($BC$2:$BC$921)-MIN($BC$2:$BC$921))*100,2))</f>
        <v>50</v>
      </c>
      <c r="AU862" s="8" t="n">
        <f aca="false">IF(MAX($BE$2:$BE$921)=MIN($BE$2:$BE$921),50,ROUND((BE862-MIN($BE$2:$BE$921))/(MAX($BE$2:$BE$921)-MIN($BE$2:$BE$921))*100,2))</f>
        <v>100</v>
      </c>
      <c r="AV862" s="8" t="n">
        <f aca="false">IF(MAX($AD$2:$AD$921)=MIN($AD$2:$AD$921),50,ROUND((AD862-MIN($AD$2:$AD$921))/(MAX($AD$2:$AD$921)-MIN($AD$2:$AD$921))*100,2))</f>
        <v>6.77</v>
      </c>
      <c r="AW862" s="8" t="n">
        <f aca="false">IF(MAX($AN$2:$AN$921)=MIN($AN$2:$AN$921),50,ROUND((AN862-MIN($AN$2:$AN$921))/(MAX($AN$2:$AN$921)-MIN($AN$2:$AN$921))*100,2))</f>
        <v>37.5</v>
      </c>
      <c r="AX862" s="8" t="n">
        <f aca="false">AQ862*100</f>
        <v>0</v>
      </c>
      <c r="AY862" s="8" t="n">
        <f aca="false">AR862*100</f>
        <v>0</v>
      </c>
      <c r="AZ862" s="8" t="n">
        <f aca="false">IFERROR(ROUND(AS862*Assumptions!$I$6+AW862*Assumptions!$I$7+AT862*Assumptions!$I$8+AU862*Assumptions!$I$9+AV862*Assumptions!$I$10+AX862*Assumptions!$I$11+AY862*Assumptions!$I$12,2),"")</f>
        <v>34.96</v>
      </c>
      <c r="BA862" s="0" t="str">
        <f aca="false">IF(AZ862="","",IF(AZ862&lt;=Assumptions!$I$18,"Below Expectation",IF(AZ862&lt;=Assumptions!$I$19,"Developing",IF(AZ862&lt;=Assumptions!$I$20,"Meets Expectation",IF(AZ862&lt;=Assumptions!$I$21,"Exceeds","Star Performer")))))</f>
        <v>Below Expectation</v>
      </c>
      <c r="BB862" s="0" t="n">
        <f aca="false">IF(AZ862="",0,IF(AZ862&gt;=Assumptions!$I$26,1,0))</f>
        <v>0</v>
      </c>
      <c r="BC862" s="9" t="n">
        <f aca="false">IF(AL862="",2,AL862+2)</f>
        <v>2</v>
      </c>
      <c r="BD862" s="10" t="n">
        <f aca="false">IF(AM862="",ROUND(AVERAGE($AM$2:$AM$921),3),AM862)</f>
        <v>0</v>
      </c>
      <c r="BE862" s="9" t="n">
        <f aca="false">1-BD862</f>
        <v>1</v>
      </c>
    </row>
    <row r="863" customFormat="false" ht="14.25" hidden="true" customHeight="false" outlineLevel="0" collapsed="false">
      <c r="A863" s="4" t="n">
        <v>852</v>
      </c>
      <c r="B863" s="5" t="n">
        <v>55093090</v>
      </c>
      <c r="C863" s="5" t="s">
        <v>85</v>
      </c>
      <c r="D863" s="5" t="s">
        <v>2724</v>
      </c>
      <c r="E863" s="5" t="s">
        <v>315</v>
      </c>
      <c r="F863" s="5" t="s">
        <v>964</v>
      </c>
      <c r="G863" s="5" t="s">
        <v>963</v>
      </c>
      <c r="H863" s="5" t="s">
        <v>964</v>
      </c>
      <c r="I863" s="5" t="s">
        <v>63</v>
      </c>
      <c r="J863" s="5" t="s">
        <v>76</v>
      </c>
      <c r="K863" s="5" t="s">
        <v>309</v>
      </c>
      <c r="L863" s="6" t="n">
        <v>45265</v>
      </c>
      <c r="M863" s="5" t="s">
        <v>910</v>
      </c>
      <c r="N863" s="6" t="n">
        <v>37073</v>
      </c>
      <c r="O863" s="5" t="s">
        <v>1264</v>
      </c>
      <c r="P863" s="5" t="s">
        <v>1559</v>
      </c>
      <c r="Q863" s="5" t="s">
        <v>412</v>
      </c>
      <c r="R863" s="5" t="s">
        <v>115</v>
      </c>
      <c r="S863" s="5" t="s">
        <v>412</v>
      </c>
      <c r="T863" s="6"/>
      <c r="U863" s="6"/>
      <c r="V863" s="5"/>
      <c r="W863" s="5"/>
      <c r="X863" s="5" t="s">
        <v>631</v>
      </c>
      <c r="Y863" s="5" t="s">
        <v>631</v>
      </c>
      <c r="Z863" s="5" t="s">
        <v>631</v>
      </c>
      <c r="AA863" s="5" t="s">
        <v>2161</v>
      </c>
      <c r="AB863" s="0" t="n">
        <f aca="false">IFERROR(VALUE(R863),0)</f>
        <v>0</v>
      </c>
      <c r="AC863" s="0" t="n">
        <f aca="false">IFERROR(VALUE(M863),"")</f>
        <v>24.11</v>
      </c>
      <c r="AD863" s="0" t="n">
        <f aca="false">IFERROR(VALUE(Q863),"")</f>
        <v>2.6</v>
      </c>
      <c r="AE863" s="0" t="n">
        <f aca="false">IFERROR(VALUE(S863),"")</f>
        <v>2.6</v>
      </c>
      <c r="AF863" s="0" t="str">
        <f aca="false">IF(V863="","",VLOOKUP(V863,Assumptions!$B$6:$C$9,2,FALSE()))</f>
        <v/>
      </c>
      <c r="AG863" s="0" t="str">
        <f aca="false">IF(W863="","",VLOOKUP(W863,Assumptions!$B$6:$C$9,2,FALSE()))</f>
        <v/>
      </c>
      <c r="AH863" s="0" t="n">
        <f aca="false">IF(X863="","",VLOOKUP(X863,Assumptions!$B$6:$C$9,2,FALSE()))</f>
        <v>2</v>
      </c>
      <c r="AI863" s="0" t="n">
        <f aca="false">IF(Y863="","",VLOOKUP(Y863,Assumptions!$B$6:$C$9,2,FALSE()))</f>
        <v>2</v>
      </c>
      <c r="AJ863" s="0" t="n">
        <f aca="false">IF(Z863="","",VLOOKUP(Z863,Assumptions!$B$6:$C$9,2,FALSE()))</f>
        <v>2</v>
      </c>
      <c r="AK863" s="7" t="n">
        <f aca="false">IFERROR(ROUND(AVERAGE(AF863:AJ863),3),"")</f>
        <v>2</v>
      </c>
      <c r="AL863" s="7" t="str">
        <f aca="false">IF(OR(AF863="",AJ863=""),"",AJ863-AF863)</f>
        <v/>
      </c>
      <c r="AM863" s="7" t="n">
        <f aca="false">IF(COUNT(AF863:AJ863)&gt;=2,ROUND(_xlfn.STDEV.S(AF863:AJ863),3),"")</f>
        <v>0</v>
      </c>
      <c r="AN863" s="7" t="n">
        <f aca="false">ROUND((IF(AF863="",0,AF863)*Assumptions!$F$15)+(IF(AG863="",0,AG863)*Assumptions!$F$16)+(IF(AH863="",0,AH863)*Assumptions!$F$17)+(IF(AI863="",0,AI863)*Assumptions!$F$18)+(IF(AJ863="",0,AJ863)*Assumptions!$F$19),3)</f>
        <v>1.5</v>
      </c>
      <c r="AO863" s="0" t="str">
        <f aca="false">IF(AC863&lt;=20,"",IF(AC863&lt;=Assumptions!$F$6,"20-30",IF(AC863&lt;=Assumptions!$F$7,"30-40",IF(AC863&lt;=Assumptions!$F$8,"40-50",IF(AC863&lt;=Assumptions!$F$9,"50-60",IF(AC863&lt;=Assumptions!$F$10,"60+",""))))))</f>
        <v>20-30</v>
      </c>
      <c r="AP863" s="0" t="str">
        <f aca="false">IFERROR(VLOOKUP(O863,Assumptions!$B$14:$C$26,2,FALSE()),"Other")</f>
        <v>Manager</v>
      </c>
      <c r="AQ863" s="0" t="n">
        <f aca="false">IF(T863="",0,1)</f>
        <v>0</v>
      </c>
      <c r="AR863" s="0" t="n">
        <f aca="false">IF(U863="",0,1)</f>
        <v>0</v>
      </c>
      <c r="AS863" s="8" t="n">
        <f aca="false">IF(AK863="","",IF(MAX($AK$2:$AK$921)=MIN($AK$2:$AK$921),50,ROUND((AK863-MIN($AK$2:$AK$921))/(MAX($AK$2:$AK$921)-MIN($AK$2:$AK$921))*100,2)))</f>
        <v>14.27</v>
      </c>
      <c r="AT863" s="8" t="n">
        <f aca="false">IF(MAX($BC$2:$BC$921)=MIN($BC$2:$BC$921),50,ROUND((BC863-MIN($BC$2:$BC$921))/(MAX($BC$2:$BC$921)-MIN($BC$2:$BC$921))*100,2))</f>
        <v>50</v>
      </c>
      <c r="AU863" s="8" t="n">
        <f aca="false">IF(MAX($BE$2:$BE$921)=MIN($BE$2:$BE$921),50,ROUND((BE863-MIN($BE$2:$BE$921))/(MAX($BE$2:$BE$921)-MIN($BE$2:$BE$921))*100,2))</f>
        <v>100</v>
      </c>
      <c r="AV863" s="8" t="n">
        <f aca="false">IF(MAX($AD$2:$AD$921)=MIN($AD$2:$AD$921),50,ROUND((AD863-MIN($AD$2:$AD$921))/(MAX($AD$2:$AD$921)-MIN($AD$2:$AD$921))*100,2))</f>
        <v>6.77</v>
      </c>
      <c r="AW863" s="8" t="n">
        <f aca="false">IF(MAX($AN$2:$AN$921)=MIN($AN$2:$AN$921),50,ROUND((AN863-MIN($AN$2:$AN$921))/(MAX($AN$2:$AN$921)-MIN($AN$2:$AN$921))*100,2))</f>
        <v>37.5</v>
      </c>
      <c r="AX863" s="8" t="n">
        <f aca="false">AQ863*100</f>
        <v>0</v>
      </c>
      <c r="AY863" s="8" t="n">
        <f aca="false">AR863*100</f>
        <v>0</v>
      </c>
      <c r="AZ863" s="8" t="n">
        <f aca="false">IFERROR(ROUND(AS863*Assumptions!$I$6+AW863*Assumptions!$I$7+AT863*Assumptions!$I$8+AU863*Assumptions!$I$9+AV863*Assumptions!$I$10+AX863*Assumptions!$I$11+AY863*Assumptions!$I$12,2),"")</f>
        <v>34.96</v>
      </c>
      <c r="BA863" s="0" t="str">
        <f aca="false">IF(AZ863="","",IF(AZ863&lt;=Assumptions!$I$18,"Below Expectation",IF(AZ863&lt;=Assumptions!$I$19,"Developing",IF(AZ863&lt;=Assumptions!$I$20,"Meets Expectation",IF(AZ863&lt;=Assumptions!$I$21,"Exceeds","Star Performer")))))</f>
        <v>Below Expectation</v>
      </c>
      <c r="BB863" s="0" t="n">
        <f aca="false">IF(AZ863="",0,IF(AZ863&gt;=Assumptions!$I$26,1,0))</f>
        <v>0</v>
      </c>
      <c r="BC863" s="9" t="n">
        <f aca="false">IF(AL863="",2,AL863+2)</f>
        <v>2</v>
      </c>
      <c r="BD863" s="10" t="n">
        <f aca="false">IF(AM863="",ROUND(AVERAGE($AM$2:$AM$921),3),AM863)</f>
        <v>0</v>
      </c>
      <c r="BE863" s="9" t="n">
        <f aca="false">1-BD863</f>
        <v>1</v>
      </c>
    </row>
    <row r="864" customFormat="false" ht="14.25" hidden="true" customHeight="false" outlineLevel="0" collapsed="false">
      <c r="A864" s="4" t="n">
        <v>855</v>
      </c>
      <c r="B864" s="5" t="n">
        <v>55093294</v>
      </c>
      <c r="C864" s="5" t="s">
        <v>85</v>
      </c>
      <c r="D864" s="5" t="s">
        <v>2725</v>
      </c>
      <c r="E864" s="5" t="s">
        <v>137</v>
      </c>
      <c r="F864" s="5" t="s">
        <v>1731</v>
      </c>
      <c r="G864" s="5" t="s">
        <v>1732</v>
      </c>
      <c r="H864" s="5" t="s">
        <v>1731</v>
      </c>
      <c r="I864" s="5" t="s">
        <v>63</v>
      </c>
      <c r="J864" s="5" t="s">
        <v>76</v>
      </c>
      <c r="K864" s="5" t="s">
        <v>309</v>
      </c>
      <c r="L864" s="6" t="n">
        <v>45265</v>
      </c>
      <c r="M864" s="5" t="s">
        <v>1789</v>
      </c>
      <c r="N864" s="6" t="n">
        <v>37131</v>
      </c>
      <c r="O864" s="5" t="s">
        <v>1264</v>
      </c>
      <c r="P864" s="5" t="s">
        <v>1559</v>
      </c>
      <c r="Q864" s="5" t="s">
        <v>412</v>
      </c>
      <c r="R864" s="5" t="s">
        <v>115</v>
      </c>
      <c r="S864" s="5" t="s">
        <v>412</v>
      </c>
      <c r="T864" s="6"/>
      <c r="U864" s="6"/>
      <c r="V864" s="5"/>
      <c r="W864" s="5"/>
      <c r="X864" s="5" t="s">
        <v>631</v>
      </c>
      <c r="Y864" s="5" t="s">
        <v>631</v>
      </c>
      <c r="Z864" s="5" t="s">
        <v>631</v>
      </c>
      <c r="AA864" s="5" t="s">
        <v>2707</v>
      </c>
      <c r="AB864" s="0" t="n">
        <f aca="false">IFERROR(VALUE(R864),0)</f>
        <v>0</v>
      </c>
      <c r="AC864" s="0" t="n">
        <f aca="false">IFERROR(VALUE(M864),"")</f>
        <v>24.9</v>
      </c>
      <c r="AD864" s="0" t="n">
        <f aca="false">IFERROR(VALUE(Q864),"")</f>
        <v>2.6</v>
      </c>
      <c r="AE864" s="0" t="n">
        <f aca="false">IFERROR(VALUE(S864),"")</f>
        <v>2.6</v>
      </c>
      <c r="AF864" s="0" t="str">
        <f aca="false">IF(V864="","",VLOOKUP(V864,Assumptions!$B$6:$C$9,2,FALSE()))</f>
        <v/>
      </c>
      <c r="AG864" s="0" t="str">
        <f aca="false">IF(W864="","",VLOOKUP(W864,Assumptions!$B$6:$C$9,2,FALSE()))</f>
        <v/>
      </c>
      <c r="AH864" s="0" t="n">
        <f aca="false">IF(X864="","",VLOOKUP(X864,Assumptions!$B$6:$C$9,2,FALSE()))</f>
        <v>2</v>
      </c>
      <c r="AI864" s="0" t="n">
        <f aca="false">IF(Y864="","",VLOOKUP(Y864,Assumptions!$B$6:$C$9,2,FALSE()))</f>
        <v>2</v>
      </c>
      <c r="AJ864" s="0" t="n">
        <f aca="false">IF(Z864="","",VLOOKUP(Z864,Assumptions!$B$6:$C$9,2,FALSE()))</f>
        <v>2</v>
      </c>
      <c r="AK864" s="7" t="n">
        <f aca="false">IFERROR(ROUND(AVERAGE(AF864:AJ864),3),"")</f>
        <v>2</v>
      </c>
      <c r="AL864" s="7" t="str">
        <f aca="false">IF(OR(AF864="",AJ864=""),"",AJ864-AF864)</f>
        <v/>
      </c>
      <c r="AM864" s="7" t="n">
        <f aca="false">IF(COUNT(AF864:AJ864)&gt;=2,ROUND(_xlfn.STDEV.S(AF864:AJ864),3),"")</f>
        <v>0</v>
      </c>
      <c r="AN864" s="7" t="n">
        <f aca="false">ROUND((IF(AF864="",0,AF864)*Assumptions!$F$15)+(IF(AG864="",0,AG864)*Assumptions!$F$16)+(IF(AH864="",0,AH864)*Assumptions!$F$17)+(IF(AI864="",0,AI864)*Assumptions!$F$18)+(IF(AJ864="",0,AJ864)*Assumptions!$F$19),3)</f>
        <v>1.5</v>
      </c>
      <c r="AO864" s="0" t="str">
        <f aca="false">IF(AC864&lt;=20,"",IF(AC864&lt;=Assumptions!$F$6,"20-30",IF(AC864&lt;=Assumptions!$F$7,"30-40",IF(AC864&lt;=Assumptions!$F$8,"40-50",IF(AC864&lt;=Assumptions!$F$9,"50-60",IF(AC864&lt;=Assumptions!$F$10,"60+",""))))))</f>
        <v>20-30</v>
      </c>
      <c r="AP864" s="0" t="str">
        <f aca="false">IFERROR(VLOOKUP(O864,Assumptions!$B$14:$C$26,2,FALSE()),"Other")</f>
        <v>Manager</v>
      </c>
      <c r="AQ864" s="0" t="n">
        <f aca="false">IF(T864="",0,1)</f>
        <v>0</v>
      </c>
      <c r="AR864" s="0" t="n">
        <f aca="false">IF(U864="",0,1)</f>
        <v>0</v>
      </c>
      <c r="AS864" s="8" t="n">
        <f aca="false">IF(AK864="","",IF(MAX($AK$2:$AK$921)=MIN($AK$2:$AK$921),50,ROUND((AK864-MIN($AK$2:$AK$921))/(MAX($AK$2:$AK$921)-MIN($AK$2:$AK$921))*100,2)))</f>
        <v>14.27</v>
      </c>
      <c r="AT864" s="8" t="n">
        <f aca="false">IF(MAX($BC$2:$BC$921)=MIN($BC$2:$BC$921),50,ROUND((BC864-MIN($BC$2:$BC$921))/(MAX($BC$2:$BC$921)-MIN($BC$2:$BC$921))*100,2))</f>
        <v>50</v>
      </c>
      <c r="AU864" s="8" t="n">
        <f aca="false">IF(MAX($BE$2:$BE$921)=MIN($BE$2:$BE$921),50,ROUND((BE864-MIN($BE$2:$BE$921))/(MAX($BE$2:$BE$921)-MIN($BE$2:$BE$921))*100,2))</f>
        <v>100</v>
      </c>
      <c r="AV864" s="8" t="n">
        <f aca="false">IF(MAX($AD$2:$AD$921)=MIN($AD$2:$AD$921),50,ROUND((AD864-MIN($AD$2:$AD$921))/(MAX($AD$2:$AD$921)-MIN($AD$2:$AD$921))*100,2))</f>
        <v>6.77</v>
      </c>
      <c r="AW864" s="8" t="n">
        <f aca="false">IF(MAX($AN$2:$AN$921)=MIN($AN$2:$AN$921),50,ROUND((AN864-MIN($AN$2:$AN$921))/(MAX($AN$2:$AN$921)-MIN($AN$2:$AN$921))*100,2))</f>
        <v>37.5</v>
      </c>
      <c r="AX864" s="8" t="n">
        <f aca="false">AQ864*100</f>
        <v>0</v>
      </c>
      <c r="AY864" s="8" t="n">
        <f aca="false">AR864*100</f>
        <v>0</v>
      </c>
      <c r="AZ864" s="8" t="n">
        <f aca="false">IFERROR(ROUND(AS864*Assumptions!$I$6+AW864*Assumptions!$I$7+AT864*Assumptions!$I$8+AU864*Assumptions!$I$9+AV864*Assumptions!$I$10+AX864*Assumptions!$I$11+AY864*Assumptions!$I$12,2),"")</f>
        <v>34.96</v>
      </c>
      <c r="BA864" s="0" t="str">
        <f aca="false">IF(AZ864="","",IF(AZ864&lt;=Assumptions!$I$18,"Below Expectation",IF(AZ864&lt;=Assumptions!$I$19,"Developing",IF(AZ864&lt;=Assumptions!$I$20,"Meets Expectation",IF(AZ864&lt;=Assumptions!$I$21,"Exceeds","Star Performer")))))</f>
        <v>Below Expectation</v>
      </c>
      <c r="BB864" s="0" t="n">
        <f aca="false">IF(AZ864="",0,IF(AZ864&gt;=Assumptions!$I$26,1,0))</f>
        <v>0</v>
      </c>
      <c r="BC864" s="9" t="n">
        <f aca="false">IF(AL864="",2,AL864+2)</f>
        <v>2</v>
      </c>
      <c r="BD864" s="10" t="n">
        <f aca="false">IF(AM864="",ROUND(AVERAGE($AM$2:$AM$921),3),AM864)</f>
        <v>0</v>
      </c>
      <c r="BE864" s="9" t="n">
        <f aca="false">1-BD864</f>
        <v>1</v>
      </c>
    </row>
    <row r="865" customFormat="false" ht="14.25" hidden="true" customHeight="false" outlineLevel="0" collapsed="false">
      <c r="A865" s="4" t="n">
        <v>857</v>
      </c>
      <c r="B865" s="5" t="n">
        <v>55093444</v>
      </c>
      <c r="C865" s="5" t="s">
        <v>85</v>
      </c>
      <c r="D865" s="5" t="s">
        <v>2726</v>
      </c>
      <c r="E865" s="5" t="s">
        <v>291</v>
      </c>
      <c r="F865" s="5" t="s">
        <v>590</v>
      </c>
      <c r="G865" s="5" t="s">
        <v>589</v>
      </c>
      <c r="H865" s="5" t="s">
        <v>590</v>
      </c>
      <c r="I865" s="5" t="s">
        <v>63</v>
      </c>
      <c r="J865" s="5" t="s">
        <v>76</v>
      </c>
      <c r="K865" s="5" t="s">
        <v>309</v>
      </c>
      <c r="L865" s="6" t="n">
        <v>45265</v>
      </c>
      <c r="M865" s="5" t="s">
        <v>910</v>
      </c>
      <c r="N865" s="6" t="n">
        <v>37063</v>
      </c>
      <c r="O865" s="5" t="s">
        <v>1264</v>
      </c>
      <c r="P865" s="5" t="s">
        <v>1559</v>
      </c>
      <c r="Q865" s="5" t="s">
        <v>412</v>
      </c>
      <c r="R865" s="5" t="s">
        <v>115</v>
      </c>
      <c r="S865" s="5" t="s">
        <v>412</v>
      </c>
      <c r="T865" s="6"/>
      <c r="U865" s="6"/>
      <c r="V865" s="5"/>
      <c r="W865" s="5"/>
      <c r="X865" s="5" t="s">
        <v>631</v>
      </c>
      <c r="Y865" s="5" t="s">
        <v>631</v>
      </c>
      <c r="Z865" s="5" t="s">
        <v>631</v>
      </c>
      <c r="AA865" s="5" t="s">
        <v>2727</v>
      </c>
      <c r="AB865" s="0" t="n">
        <f aca="false">IFERROR(VALUE(R865),0)</f>
        <v>0</v>
      </c>
      <c r="AC865" s="0" t="n">
        <f aca="false">IFERROR(VALUE(M865),"")</f>
        <v>24.11</v>
      </c>
      <c r="AD865" s="0" t="n">
        <f aca="false">IFERROR(VALUE(Q865),"")</f>
        <v>2.6</v>
      </c>
      <c r="AE865" s="0" t="n">
        <f aca="false">IFERROR(VALUE(S865),"")</f>
        <v>2.6</v>
      </c>
      <c r="AF865" s="0" t="str">
        <f aca="false">IF(V865="","",VLOOKUP(V865,Assumptions!$B$6:$C$9,2,FALSE()))</f>
        <v/>
      </c>
      <c r="AG865" s="0" t="str">
        <f aca="false">IF(W865="","",VLOOKUP(W865,Assumptions!$B$6:$C$9,2,FALSE()))</f>
        <v/>
      </c>
      <c r="AH865" s="0" t="n">
        <f aca="false">IF(X865="","",VLOOKUP(X865,Assumptions!$B$6:$C$9,2,FALSE()))</f>
        <v>2</v>
      </c>
      <c r="AI865" s="0" t="n">
        <f aca="false">IF(Y865="","",VLOOKUP(Y865,Assumptions!$B$6:$C$9,2,FALSE()))</f>
        <v>2</v>
      </c>
      <c r="AJ865" s="0" t="n">
        <f aca="false">IF(Z865="","",VLOOKUP(Z865,Assumptions!$B$6:$C$9,2,FALSE()))</f>
        <v>2</v>
      </c>
      <c r="AK865" s="7" t="n">
        <f aca="false">IFERROR(ROUND(AVERAGE(AF865:AJ865),3),"")</f>
        <v>2</v>
      </c>
      <c r="AL865" s="7" t="str">
        <f aca="false">IF(OR(AF865="",AJ865=""),"",AJ865-AF865)</f>
        <v/>
      </c>
      <c r="AM865" s="7" t="n">
        <f aca="false">IF(COUNT(AF865:AJ865)&gt;=2,ROUND(_xlfn.STDEV.S(AF865:AJ865),3),"")</f>
        <v>0</v>
      </c>
      <c r="AN865" s="7" t="n">
        <f aca="false">ROUND((IF(AF865="",0,AF865)*Assumptions!$F$15)+(IF(AG865="",0,AG865)*Assumptions!$F$16)+(IF(AH865="",0,AH865)*Assumptions!$F$17)+(IF(AI865="",0,AI865)*Assumptions!$F$18)+(IF(AJ865="",0,AJ865)*Assumptions!$F$19),3)</f>
        <v>1.5</v>
      </c>
      <c r="AO865" s="0" t="str">
        <f aca="false">IF(AC865&lt;=20,"",IF(AC865&lt;=Assumptions!$F$6,"20-30",IF(AC865&lt;=Assumptions!$F$7,"30-40",IF(AC865&lt;=Assumptions!$F$8,"40-50",IF(AC865&lt;=Assumptions!$F$9,"50-60",IF(AC865&lt;=Assumptions!$F$10,"60+",""))))))</f>
        <v>20-30</v>
      </c>
      <c r="AP865" s="0" t="str">
        <f aca="false">IFERROR(VLOOKUP(O865,Assumptions!$B$14:$C$26,2,FALSE()),"Other")</f>
        <v>Manager</v>
      </c>
      <c r="AQ865" s="0" t="n">
        <f aca="false">IF(T865="",0,1)</f>
        <v>0</v>
      </c>
      <c r="AR865" s="0" t="n">
        <f aca="false">IF(U865="",0,1)</f>
        <v>0</v>
      </c>
      <c r="AS865" s="8" t="n">
        <f aca="false">IF(AK865="","",IF(MAX($AK$2:$AK$921)=MIN($AK$2:$AK$921),50,ROUND((AK865-MIN($AK$2:$AK$921))/(MAX($AK$2:$AK$921)-MIN($AK$2:$AK$921))*100,2)))</f>
        <v>14.27</v>
      </c>
      <c r="AT865" s="8" t="n">
        <f aca="false">IF(MAX($BC$2:$BC$921)=MIN($BC$2:$BC$921),50,ROUND((BC865-MIN($BC$2:$BC$921))/(MAX($BC$2:$BC$921)-MIN($BC$2:$BC$921))*100,2))</f>
        <v>50</v>
      </c>
      <c r="AU865" s="8" t="n">
        <f aca="false">IF(MAX($BE$2:$BE$921)=MIN($BE$2:$BE$921),50,ROUND((BE865-MIN($BE$2:$BE$921))/(MAX($BE$2:$BE$921)-MIN($BE$2:$BE$921))*100,2))</f>
        <v>100</v>
      </c>
      <c r="AV865" s="8" t="n">
        <f aca="false">IF(MAX($AD$2:$AD$921)=MIN($AD$2:$AD$921),50,ROUND((AD865-MIN($AD$2:$AD$921))/(MAX($AD$2:$AD$921)-MIN($AD$2:$AD$921))*100,2))</f>
        <v>6.77</v>
      </c>
      <c r="AW865" s="8" t="n">
        <f aca="false">IF(MAX($AN$2:$AN$921)=MIN($AN$2:$AN$921),50,ROUND((AN865-MIN($AN$2:$AN$921))/(MAX($AN$2:$AN$921)-MIN($AN$2:$AN$921))*100,2))</f>
        <v>37.5</v>
      </c>
      <c r="AX865" s="8" t="n">
        <f aca="false">AQ865*100</f>
        <v>0</v>
      </c>
      <c r="AY865" s="8" t="n">
        <f aca="false">AR865*100</f>
        <v>0</v>
      </c>
      <c r="AZ865" s="8" t="n">
        <f aca="false">IFERROR(ROUND(AS865*Assumptions!$I$6+AW865*Assumptions!$I$7+AT865*Assumptions!$I$8+AU865*Assumptions!$I$9+AV865*Assumptions!$I$10+AX865*Assumptions!$I$11+AY865*Assumptions!$I$12,2),"")</f>
        <v>34.96</v>
      </c>
      <c r="BA865" s="0" t="str">
        <f aca="false">IF(AZ865="","",IF(AZ865&lt;=Assumptions!$I$18,"Below Expectation",IF(AZ865&lt;=Assumptions!$I$19,"Developing",IF(AZ865&lt;=Assumptions!$I$20,"Meets Expectation",IF(AZ865&lt;=Assumptions!$I$21,"Exceeds","Star Performer")))))</f>
        <v>Below Expectation</v>
      </c>
      <c r="BB865" s="0" t="n">
        <f aca="false">IF(AZ865="",0,IF(AZ865&gt;=Assumptions!$I$26,1,0))</f>
        <v>0</v>
      </c>
      <c r="BC865" s="9" t="n">
        <f aca="false">IF(AL865="",2,AL865+2)</f>
        <v>2</v>
      </c>
      <c r="BD865" s="10" t="n">
        <f aca="false">IF(AM865="",ROUND(AVERAGE($AM$2:$AM$921),3),AM865)</f>
        <v>0</v>
      </c>
      <c r="BE865" s="9" t="n">
        <f aca="false">1-BD865</f>
        <v>1</v>
      </c>
    </row>
    <row r="866" customFormat="false" ht="14.25" hidden="true" customHeight="false" outlineLevel="0" collapsed="false">
      <c r="A866" s="4" t="n">
        <v>859</v>
      </c>
      <c r="B866" s="5" t="n">
        <v>55093540</v>
      </c>
      <c r="C866" s="5" t="s">
        <v>85</v>
      </c>
      <c r="D866" s="5" t="s">
        <v>2728</v>
      </c>
      <c r="E866" s="5" t="s">
        <v>315</v>
      </c>
      <c r="F866" s="5" t="s">
        <v>2604</v>
      </c>
      <c r="G866" s="5" t="s">
        <v>2605</v>
      </c>
      <c r="H866" s="5" t="s">
        <v>2604</v>
      </c>
      <c r="I866" s="5" t="s">
        <v>63</v>
      </c>
      <c r="J866" s="5" t="s">
        <v>76</v>
      </c>
      <c r="K866" s="5" t="s">
        <v>309</v>
      </c>
      <c r="L866" s="6" t="n">
        <v>45265</v>
      </c>
      <c r="M866" s="5" t="s">
        <v>1908</v>
      </c>
      <c r="N866" s="6" t="n">
        <v>37010</v>
      </c>
      <c r="O866" s="5" t="s">
        <v>1264</v>
      </c>
      <c r="P866" s="5" t="s">
        <v>1559</v>
      </c>
      <c r="Q866" s="5" t="s">
        <v>412</v>
      </c>
      <c r="R866" s="5" t="s">
        <v>115</v>
      </c>
      <c r="S866" s="5" t="s">
        <v>412</v>
      </c>
      <c r="T866" s="6"/>
      <c r="U866" s="6"/>
      <c r="V866" s="5"/>
      <c r="W866" s="5"/>
      <c r="X866" s="5" t="s">
        <v>631</v>
      </c>
      <c r="Y866" s="5" t="s">
        <v>631</v>
      </c>
      <c r="Z866" s="5" t="s">
        <v>631</v>
      </c>
      <c r="AA866" s="5" t="s">
        <v>1956</v>
      </c>
      <c r="AB866" s="0" t="n">
        <f aca="false">IFERROR(VALUE(R866),0)</f>
        <v>0</v>
      </c>
      <c r="AC866" s="0" t="n">
        <f aca="false">IFERROR(VALUE(M866),"")</f>
        <v>25.1</v>
      </c>
      <c r="AD866" s="0" t="n">
        <f aca="false">IFERROR(VALUE(Q866),"")</f>
        <v>2.6</v>
      </c>
      <c r="AE866" s="0" t="n">
        <f aca="false">IFERROR(VALUE(S866),"")</f>
        <v>2.6</v>
      </c>
      <c r="AF866" s="0" t="str">
        <f aca="false">IF(V866="","",VLOOKUP(V866,Assumptions!$B$6:$C$9,2,FALSE()))</f>
        <v/>
      </c>
      <c r="AG866" s="0" t="str">
        <f aca="false">IF(W866="","",VLOOKUP(W866,Assumptions!$B$6:$C$9,2,FALSE()))</f>
        <v/>
      </c>
      <c r="AH866" s="0" t="n">
        <f aca="false">IF(X866="","",VLOOKUP(X866,Assumptions!$B$6:$C$9,2,FALSE()))</f>
        <v>2</v>
      </c>
      <c r="AI866" s="0" t="n">
        <f aca="false">IF(Y866="","",VLOOKUP(Y866,Assumptions!$B$6:$C$9,2,FALSE()))</f>
        <v>2</v>
      </c>
      <c r="AJ866" s="0" t="n">
        <f aca="false">IF(Z866="","",VLOOKUP(Z866,Assumptions!$B$6:$C$9,2,FALSE()))</f>
        <v>2</v>
      </c>
      <c r="AK866" s="7" t="n">
        <f aca="false">IFERROR(ROUND(AVERAGE(AF866:AJ866),3),"")</f>
        <v>2</v>
      </c>
      <c r="AL866" s="7" t="str">
        <f aca="false">IF(OR(AF866="",AJ866=""),"",AJ866-AF866)</f>
        <v/>
      </c>
      <c r="AM866" s="7" t="n">
        <f aca="false">IF(COUNT(AF866:AJ866)&gt;=2,ROUND(_xlfn.STDEV.S(AF866:AJ866),3),"")</f>
        <v>0</v>
      </c>
      <c r="AN866" s="7" t="n">
        <f aca="false">ROUND((IF(AF866="",0,AF866)*Assumptions!$F$15)+(IF(AG866="",0,AG866)*Assumptions!$F$16)+(IF(AH866="",0,AH866)*Assumptions!$F$17)+(IF(AI866="",0,AI866)*Assumptions!$F$18)+(IF(AJ866="",0,AJ866)*Assumptions!$F$19),3)</f>
        <v>1.5</v>
      </c>
      <c r="AO866" s="0" t="str">
        <f aca="false">IF(AC866&lt;=20,"",IF(AC866&lt;=Assumptions!$F$6,"20-30",IF(AC866&lt;=Assumptions!$F$7,"30-40",IF(AC866&lt;=Assumptions!$F$8,"40-50",IF(AC866&lt;=Assumptions!$F$9,"50-60",IF(AC866&lt;=Assumptions!$F$10,"60+",""))))))</f>
        <v>20-30</v>
      </c>
      <c r="AP866" s="0" t="str">
        <f aca="false">IFERROR(VLOOKUP(O866,Assumptions!$B$14:$C$26,2,FALSE()),"Other")</f>
        <v>Manager</v>
      </c>
      <c r="AQ866" s="0" t="n">
        <f aca="false">IF(T866="",0,1)</f>
        <v>0</v>
      </c>
      <c r="AR866" s="0" t="n">
        <f aca="false">IF(U866="",0,1)</f>
        <v>0</v>
      </c>
      <c r="AS866" s="8" t="n">
        <f aca="false">IF(AK866="","",IF(MAX($AK$2:$AK$921)=MIN($AK$2:$AK$921),50,ROUND((AK866-MIN($AK$2:$AK$921))/(MAX($AK$2:$AK$921)-MIN($AK$2:$AK$921))*100,2)))</f>
        <v>14.27</v>
      </c>
      <c r="AT866" s="8" t="n">
        <f aca="false">IF(MAX($BC$2:$BC$921)=MIN($BC$2:$BC$921),50,ROUND((BC866-MIN($BC$2:$BC$921))/(MAX($BC$2:$BC$921)-MIN($BC$2:$BC$921))*100,2))</f>
        <v>50</v>
      </c>
      <c r="AU866" s="8" t="n">
        <f aca="false">IF(MAX($BE$2:$BE$921)=MIN($BE$2:$BE$921),50,ROUND((BE866-MIN($BE$2:$BE$921))/(MAX($BE$2:$BE$921)-MIN($BE$2:$BE$921))*100,2))</f>
        <v>100</v>
      </c>
      <c r="AV866" s="8" t="n">
        <f aca="false">IF(MAX($AD$2:$AD$921)=MIN($AD$2:$AD$921),50,ROUND((AD866-MIN($AD$2:$AD$921))/(MAX($AD$2:$AD$921)-MIN($AD$2:$AD$921))*100,2))</f>
        <v>6.77</v>
      </c>
      <c r="AW866" s="8" t="n">
        <f aca="false">IF(MAX($AN$2:$AN$921)=MIN($AN$2:$AN$921),50,ROUND((AN866-MIN($AN$2:$AN$921))/(MAX($AN$2:$AN$921)-MIN($AN$2:$AN$921))*100,2))</f>
        <v>37.5</v>
      </c>
      <c r="AX866" s="8" t="n">
        <f aca="false">AQ866*100</f>
        <v>0</v>
      </c>
      <c r="AY866" s="8" t="n">
        <f aca="false">AR866*100</f>
        <v>0</v>
      </c>
      <c r="AZ866" s="8" t="n">
        <f aca="false">IFERROR(ROUND(AS866*Assumptions!$I$6+AW866*Assumptions!$I$7+AT866*Assumptions!$I$8+AU866*Assumptions!$I$9+AV866*Assumptions!$I$10+AX866*Assumptions!$I$11+AY866*Assumptions!$I$12,2),"")</f>
        <v>34.96</v>
      </c>
      <c r="BA866" s="0" t="str">
        <f aca="false">IF(AZ866="","",IF(AZ866&lt;=Assumptions!$I$18,"Below Expectation",IF(AZ866&lt;=Assumptions!$I$19,"Developing",IF(AZ866&lt;=Assumptions!$I$20,"Meets Expectation",IF(AZ866&lt;=Assumptions!$I$21,"Exceeds","Star Performer")))))</f>
        <v>Below Expectation</v>
      </c>
      <c r="BB866" s="0" t="n">
        <f aca="false">IF(AZ866="",0,IF(AZ866&gt;=Assumptions!$I$26,1,0))</f>
        <v>0</v>
      </c>
      <c r="BC866" s="9" t="n">
        <f aca="false">IF(AL866="",2,AL866+2)</f>
        <v>2</v>
      </c>
      <c r="BD866" s="10" t="n">
        <f aca="false">IF(AM866="",ROUND(AVERAGE($AM$2:$AM$921),3),AM866)</f>
        <v>0</v>
      </c>
      <c r="BE866" s="9" t="n">
        <f aca="false">1-BD866</f>
        <v>1</v>
      </c>
    </row>
    <row r="867" customFormat="false" ht="14.25" hidden="true" customHeight="false" outlineLevel="0" collapsed="false">
      <c r="A867" s="4" t="n">
        <v>744</v>
      </c>
      <c r="B867" s="5" t="n">
        <v>55074182</v>
      </c>
      <c r="C867" s="5" t="s">
        <v>85</v>
      </c>
      <c r="D867" s="5" t="s">
        <v>2729</v>
      </c>
      <c r="E867" s="5" t="s">
        <v>185</v>
      </c>
      <c r="F867" s="5" t="s">
        <v>590</v>
      </c>
      <c r="G867" s="5" t="s">
        <v>589</v>
      </c>
      <c r="H867" s="5" t="s">
        <v>590</v>
      </c>
      <c r="I867" s="5" t="s">
        <v>63</v>
      </c>
      <c r="J867" s="5" t="s">
        <v>76</v>
      </c>
      <c r="K867" s="5" t="s">
        <v>309</v>
      </c>
      <c r="L867" s="6" t="n">
        <v>45132</v>
      </c>
      <c r="M867" s="5" t="s">
        <v>1783</v>
      </c>
      <c r="N867" s="6" t="n">
        <v>37291</v>
      </c>
      <c r="O867" s="5" t="s">
        <v>1264</v>
      </c>
      <c r="P867" s="5" t="s">
        <v>1559</v>
      </c>
      <c r="Q867" s="5" t="s">
        <v>271</v>
      </c>
      <c r="R867" s="5" t="s">
        <v>115</v>
      </c>
      <c r="S867" s="5" t="s">
        <v>271</v>
      </c>
      <c r="T867" s="6"/>
      <c r="U867" s="6"/>
      <c r="V867" s="5"/>
      <c r="W867" s="5"/>
      <c r="X867" s="5" t="s">
        <v>631</v>
      </c>
      <c r="Y867" s="5" t="s">
        <v>631</v>
      </c>
      <c r="Z867" s="5" t="s">
        <v>631</v>
      </c>
      <c r="AA867" s="5" t="s">
        <v>2730</v>
      </c>
      <c r="AB867" s="0" t="n">
        <f aca="false">IFERROR(VALUE(R867),0)</f>
        <v>0</v>
      </c>
      <c r="AC867" s="0" t="n">
        <f aca="false">IFERROR(VALUE(M867),"")</f>
        <v>24.4</v>
      </c>
      <c r="AD867" s="0" t="n">
        <f aca="false">IFERROR(VALUE(Q867),"")</f>
        <v>2.1</v>
      </c>
      <c r="AE867" s="0" t="n">
        <f aca="false">IFERROR(VALUE(S867),"")</f>
        <v>2.1</v>
      </c>
      <c r="AF867" s="0" t="str">
        <f aca="false">IF(V867="","",VLOOKUP(V867,Assumptions!$B$6:$C$9,2,FALSE()))</f>
        <v/>
      </c>
      <c r="AG867" s="0" t="str">
        <f aca="false">IF(W867="","",VLOOKUP(W867,Assumptions!$B$6:$C$9,2,FALSE()))</f>
        <v/>
      </c>
      <c r="AH867" s="0" t="n">
        <f aca="false">IF(X867="","",VLOOKUP(X867,Assumptions!$B$6:$C$9,2,FALSE()))</f>
        <v>2</v>
      </c>
      <c r="AI867" s="0" t="n">
        <f aca="false">IF(Y867="","",VLOOKUP(Y867,Assumptions!$B$6:$C$9,2,FALSE()))</f>
        <v>2</v>
      </c>
      <c r="AJ867" s="0" t="n">
        <f aca="false">IF(Z867="","",VLOOKUP(Z867,Assumptions!$B$6:$C$9,2,FALSE()))</f>
        <v>2</v>
      </c>
      <c r="AK867" s="7" t="n">
        <f aca="false">IFERROR(ROUND(AVERAGE(AF867:AJ867),3),"")</f>
        <v>2</v>
      </c>
      <c r="AL867" s="7" t="str">
        <f aca="false">IF(OR(AF867="",AJ867=""),"",AJ867-AF867)</f>
        <v/>
      </c>
      <c r="AM867" s="7" t="n">
        <f aca="false">IF(COUNT(AF867:AJ867)&gt;=2,ROUND(_xlfn.STDEV.S(AF867:AJ867),3),"")</f>
        <v>0</v>
      </c>
      <c r="AN867" s="7" t="n">
        <f aca="false">ROUND((IF(AF867="",0,AF867)*Assumptions!$F$15)+(IF(AG867="",0,AG867)*Assumptions!$F$16)+(IF(AH867="",0,AH867)*Assumptions!$F$17)+(IF(AI867="",0,AI867)*Assumptions!$F$18)+(IF(AJ867="",0,AJ867)*Assumptions!$F$19),3)</f>
        <v>1.5</v>
      </c>
      <c r="AO867" s="0" t="str">
        <f aca="false">IF(AC867&lt;=20,"",IF(AC867&lt;=Assumptions!$F$6,"20-30",IF(AC867&lt;=Assumptions!$F$7,"30-40",IF(AC867&lt;=Assumptions!$F$8,"40-50",IF(AC867&lt;=Assumptions!$F$9,"50-60",IF(AC867&lt;=Assumptions!$F$10,"60+",""))))))</f>
        <v>20-30</v>
      </c>
      <c r="AP867" s="0" t="str">
        <f aca="false">IFERROR(VLOOKUP(O867,Assumptions!$B$14:$C$26,2,FALSE()),"Other")</f>
        <v>Manager</v>
      </c>
      <c r="AQ867" s="0" t="n">
        <f aca="false">IF(T867="",0,1)</f>
        <v>0</v>
      </c>
      <c r="AR867" s="0" t="n">
        <f aca="false">IF(U867="",0,1)</f>
        <v>0</v>
      </c>
      <c r="AS867" s="8" t="n">
        <f aca="false">IF(AK867="","",IF(MAX($AK$2:$AK$921)=MIN($AK$2:$AK$921),50,ROUND((AK867-MIN($AK$2:$AK$921))/(MAX($AK$2:$AK$921)-MIN($AK$2:$AK$921))*100,2)))</f>
        <v>14.27</v>
      </c>
      <c r="AT867" s="8" t="n">
        <f aca="false">IF(MAX($BC$2:$BC$921)=MIN($BC$2:$BC$921),50,ROUND((BC867-MIN($BC$2:$BC$921))/(MAX($BC$2:$BC$921)-MIN($BC$2:$BC$921))*100,2))</f>
        <v>50</v>
      </c>
      <c r="AU867" s="8" t="n">
        <f aca="false">IF(MAX($BE$2:$BE$921)=MIN($BE$2:$BE$921),50,ROUND((BE867-MIN($BE$2:$BE$921))/(MAX($BE$2:$BE$921)-MIN($BE$2:$BE$921))*100,2))</f>
        <v>100</v>
      </c>
      <c r="AV867" s="8" t="n">
        <f aca="false">IF(MAX($AD$2:$AD$921)=MIN($AD$2:$AD$921),50,ROUND((AD867-MIN($AD$2:$AD$921))/(MAX($AD$2:$AD$921)-MIN($AD$2:$AD$921))*100,2))</f>
        <v>5.41</v>
      </c>
      <c r="AW867" s="8" t="n">
        <f aca="false">IF(MAX($AN$2:$AN$921)=MIN($AN$2:$AN$921),50,ROUND((AN867-MIN($AN$2:$AN$921))/(MAX($AN$2:$AN$921)-MIN($AN$2:$AN$921))*100,2))</f>
        <v>37.5</v>
      </c>
      <c r="AX867" s="8" t="n">
        <f aca="false">AQ867*100</f>
        <v>0</v>
      </c>
      <c r="AY867" s="8" t="n">
        <f aca="false">AR867*100</f>
        <v>0</v>
      </c>
      <c r="AZ867" s="8" t="n">
        <f aca="false">IFERROR(ROUND(AS867*Assumptions!$I$6+AW867*Assumptions!$I$7+AT867*Assumptions!$I$8+AU867*Assumptions!$I$9+AV867*Assumptions!$I$10+AX867*Assumptions!$I$11+AY867*Assumptions!$I$12,2),"")</f>
        <v>34.82</v>
      </c>
      <c r="BA867" s="0" t="str">
        <f aca="false">IF(AZ867="","",IF(AZ867&lt;=Assumptions!$I$18,"Below Expectation",IF(AZ867&lt;=Assumptions!$I$19,"Developing",IF(AZ867&lt;=Assumptions!$I$20,"Meets Expectation",IF(AZ867&lt;=Assumptions!$I$21,"Exceeds","Star Performer")))))</f>
        <v>Below Expectation</v>
      </c>
      <c r="BB867" s="0" t="n">
        <f aca="false">IF(AZ867="",0,IF(AZ867&gt;=Assumptions!$I$26,1,0))</f>
        <v>0</v>
      </c>
      <c r="BC867" s="9" t="n">
        <f aca="false">IF(AL867="",2,AL867+2)</f>
        <v>2</v>
      </c>
      <c r="BD867" s="10" t="n">
        <f aca="false">IF(AM867="",ROUND(AVERAGE($AM$2:$AM$921),3),AM867)</f>
        <v>0</v>
      </c>
      <c r="BE867" s="9" t="n">
        <f aca="false">1-BD867</f>
        <v>1</v>
      </c>
    </row>
    <row r="868" customFormat="false" ht="14.25" hidden="true" customHeight="false" outlineLevel="0" collapsed="false">
      <c r="A868" s="4" t="n">
        <v>745</v>
      </c>
      <c r="B868" s="5" t="n">
        <v>55074184</v>
      </c>
      <c r="C868" s="5"/>
      <c r="D868" s="5" t="s">
        <v>2731</v>
      </c>
      <c r="E868" s="5" t="s">
        <v>1092</v>
      </c>
      <c r="F868" s="5" t="s">
        <v>590</v>
      </c>
      <c r="G868" s="5" t="s">
        <v>589</v>
      </c>
      <c r="H868" s="5" t="s">
        <v>590</v>
      </c>
      <c r="I868" s="5" t="s">
        <v>63</v>
      </c>
      <c r="J868" s="5" t="s">
        <v>76</v>
      </c>
      <c r="K868" s="5" t="s">
        <v>309</v>
      </c>
      <c r="L868" s="6" t="n">
        <v>45132</v>
      </c>
      <c r="M868" s="5" t="s">
        <v>353</v>
      </c>
      <c r="N868" s="6" t="n">
        <v>37443</v>
      </c>
      <c r="O868" s="5" t="s">
        <v>1264</v>
      </c>
      <c r="P868" s="5" t="s">
        <v>1559</v>
      </c>
      <c r="Q868" s="5" t="s">
        <v>271</v>
      </c>
      <c r="R868" s="5" t="s">
        <v>115</v>
      </c>
      <c r="S868" s="5" t="s">
        <v>271</v>
      </c>
      <c r="T868" s="6"/>
      <c r="U868" s="6"/>
      <c r="V868" s="5"/>
      <c r="W868" s="5"/>
      <c r="X868" s="5" t="s">
        <v>631</v>
      </c>
      <c r="Y868" s="5" t="s">
        <v>631</v>
      </c>
      <c r="Z868" s="5" t="s">
        <v>631</v>
      </c>
      <c r="AA868" s="5" t="s">
        <v>2732</v>
      </c>
      <c r="AB868" s="0" t="n">
        <f aca="false">IFERROR(VALUE(R868),0)</f>
        <v>0</v>
      </c>
      <c r="AC868" s="0" t="n">
        <f aca="false">IFERROR(VALUE(M868),"")</f>
        <v>23.11</v>
      </c>
      <c r="AD868" s="0" t="n">
        <f aca="false">IFERROR(VALUE(Q868),"")</f>
        <v>2.1</v>
      </c>
      <c r="AE868" s="0" t="n">
        <f aca="false">IFERROR(VALUE(S868),"")</f>
        <v>2.1</v>
      </c>
      <c r="AF868" s="0" t="str">
        <f aca="false">IF(V868="","",VLOOKUP(V868,Assumptions!$B$6:$C$9,2,FALSE()))</f>
        <v/>
      </c>
      <c r="AG868" s="0" t="str">
        <f aca="false">IF(W868="","",VLOOKUP(W868,Assumptions!$B$6:$C$9,2,FALSE()))</f>
        <v/>
      </c>
      <c r="AH868" s="0" t="n">
        <f aca="false">IF(X868="","",VLOOKUP(X868,Assumptions!$B$6:$C$9,2,FALSE()))</f>
        <v>2</v>
      </c>
      <c r="AI868" s="0" t="n">
        <f aca="false">IF(Y868="","",VLOOKUP(Y868,Assumptions!$B$6:$C$9,2,FALSE()))</f>
        <v>2</v>
      </c>
      <c r="AJ868" s="0" t="n">
        <f aca="false">IF(Z868="","",VLOOKUP(Z868,Assumptions!$B$6:$C$9,2,FALSE()))</f>
        <v>2</v>
      </c>
      <c r="AK868" s="7" t="n">
        <f aca="false">IFERROR(ROUND(AVERAGE(AF868:AJ868),3),"")</f>
        <v>2</v>
      </c>
      <c r="AL868" s="7" t="str">
        <f aca="false">IF(OR(AF868="",AJ868=""),"",AJ868-AF868)</f>
        <v/>
      </c>
      <c r="AM868" s="7" t="n">
        <f aca="false">IF(COUNT(AF868:AJ868)&gt;=2,ROUND(_xlfn.STDEV.S(AF868:AJ868),3),"")</f>
        <v>0</v>
      </c>
      <c r="AN868" s="7" t="n">
        <f aca="false">ROUND((IF(AF868="",0,AF868)*Assumptions!$F$15)+(IF(AG868="",0,AG868)*Assumptions!$F$16)+(IF(AH868="",0,AH868)*Assumptions!$F$17)+(IF(AI868="",0,AI868)*Assumptions!$F$18)+(IF(AJ868="",0,AJ868)*Assumptions!$F$19),3)</f>
        <v>1.5</v>
      </c>
      <c r="AO868" s="0" t="str">
        <f aca="false">IF(AC868&lt;=20,"",IF(AC868&lt;=Assumptions!$F$6,"20-30",IF(AC868&lt;=Assumptions!$F$7,"30-40",IF(AC868&lt;=Assumptions!$F$8,"40-50",IF(AC868&lt;=Assumptions!$F$9,"50-60",IF(AC868&lt;=Assumptions!$F$10,"60+",""))))))</f>
        <v>20-30</v>
      </c>
      <c r="AP868" s="0" t="str">
        <f aca="false">IFERROR(VLOOKUP(O868,Assumptions!$B$14:$C$26,2,FALSE()),"Other")</f>
        <v>Manager</v>
      </c>
      <c r="AQ868" s="0" t="n">
        <f aca="false">IF(T868="",0,1)</f>
        <v>0</v>
      </c>
      <c r="AR868" s="0" t="n">
        <f aca="false">IF(U868="",0,1)</f>
        <v>0</v>
      </c>
      <c r="AS868" s="8" t="n">
        <f aca="false">IF(AK868="","",IF(MAX($AK$2:$AK$921)=MIN($AK$2:$AK$921),50,ROUND((AK868-MIN($AK$2:$AK$921))/(MAX($AK$2:$AK$921)-MIN($AK$2:$AK$921))*100,2)))</f>
        <v>14.27</v>
      </c>
      <c r="AT868" s="8" t="n">
        <f aca="false">IF(MAX($BC$2:$BC$921)=MIN($BC$2:$BC$921),50,ROUND((BC868-MIN($BC$2:$BC$921))/(MAX($BC$2:$BC$921)-MIN($BC$2:$BC$921))*100,2))</f>
        <v>50</v>
      </c>
      <c r="AU868" s="8" t="n">
        <f aca="false">IF(MAX($BE$2:$BE$921)=MIN($BE$2:$BE$921),50,ROUND((BE868-MIN($BE$2:$BE$921))/(MAX($BE$2:$BE$921)-MIN($BE$2:$BE$921))*100,2))</f>
        <v>100</v>
      </c>
      <c r="AV868" s="8" t="n">
        <f aca="false">IF(MAX($AD$2:$AD$921)=MIN($AD$2:$AD$921),50,ROUND((AD868-MIN($AD$2:$AD$921))/(MAX($AD$2:$AD$921)-MIN($AD$2:$AD$921))*100,2))</f>
        <v>5.41</v>
      </c>
      <c r="AW868" s="8" t="n">
        <f aca="false">IF(MAX($AN$2:$AN$921)=MIN($AN$2:$AN$921),50,ROUND((AN868-MIN($AN$2:$AN$921))/(MAX($AN$2:$AN$921)-MIN($AN$2:$AN$921))*100,2))</f>
        <v>37.5</v>
      </c>
      <c r="AX868" s="8" t="n">
        <f aca="false">AQ868*100</f>
        <v>0</v>
      </c>
      <c r="AY868" s="8" t="n">
        <f aca="false">AR868*100</f>
        <v>0</v>
      </c>
      <c r="AZ868" s="8" t="n">
        <f aca="false">IFERROR(ROUND(AS868*Assumptions!$I$6+AW868*Assumptions!$I$7+AT868*Assumptions!$I$8+AU868*Assumptions!$I$9+AV868*Assumptions!$I$10+AX868*Assumptions!$I$11+AY868*Assumptions!$I$12,2),"")</f>
        <v>34.82</v>
      </c>
      <c r="BA868" s="0" t="str">
        <f aca="false">IF(AZ868="","",IF(AZ868&lt;=Assumptions!$I$18,"Below Expectation",IF(AZ868&lt;=Assumptions!$I$19,"Developing",IF(AZ868&lt;=Assumptions!$I$20,"Meets Expectation",IF(AZ868&lt;=Assumptions!$I$21,"Exceeds","Star Performer")))))</f>
        <v>Below Expectation</v>
      </c>
      <c r="BB868" s="0" t="n">
        <f aca="false">IF(AZ868="",0,IF(AZ868&gt;=Assumptions!$I$26,1,0))</f>
        <v>0</v>
      </c>
      <c r="BC868" s="9" t="n">
        <f aca="false">IF(AL868="",2,AL868+2)</f>
        <v>2</v>
      </c>
      <c r="BD868" s="10" t="n">
        <f aca="false">IF(AM868="",ROUND(AVERAGE($AM$2:$AM$921),3),AM868)</f>
        <v>0</v>
      </c>
      <c r="BE868" s="9" t="n">
        <f aca="false">1-BD868</f>
        <v>1</v>
      </c>
    </row>
    <row r="869" customFormat="false" ht="14.25" hidden="true" customHeight="false" outlineLevel="0" collapsed="false">
      <c r="A869" s="4" t="n">
        <v>751</v>
      </c>
      <c r="B869" s="5" t="n">
        <v>55074199</v>
      </c>
      <c r="C869" s="5" t="s">
        <v>85</v>
      </c>
      <c r="D869" s="5" t="s">
        <v>2733</v>
      </c>
      <c r="E869" s="5" t="s">
        <v>137</v>
      </c>
      <c r="F869" s="5" t="s">
        <v>590</v>
      </c>
      <c r="G869" s="5" t="s">
        <v>589</v>
      </c>
      <c r="H869" s="5" t="s">
        <v>590</v>
      </c>
      <c r="I869" s="5" t="s">
        <v>63</v>
      </c>
      <c r="J869" s="5" t="s">
        <v>76</v>
      </c>
      <c r="K869" s="5" t="s">
        <v>309</v>
      </c>
      <c r="L869" s="6" t="n">
        <v>45132</v>
      </c>
      <c r="M869" s="5" t="s">
        <v>226</v>
      </c>
      <c r="N869" s="6" t="n">
        <v>36795</v>
      </c>
      <c r="O869" s="5" t="s">
        <v>1264</v>
      </c>
      <c r="P869" s="5" t="s">
        <v>1559</v>
      </c>
      <c r="Q869" s="5" t="s">
        <v>271</v>
      </c>
      <c r="R869" s="5" t="s">
        <v>115</v>
      </c>
      <c r="S869" s="5" t="s">
        <v>271</v>
      </c>
      <c r="T869" s="6"/>
      <c r="U869" s="6"/>
      <c r="V869" s="5"/>
      <c r="W869" s="5"/>
      <c r="X869" s="5" t="s">
        <v>631</v>
      </c>
      <c r="Y869" s="5" t="s">
        <v>631</v>
      </c>
      <c r="Z869" s="5" t="s">
        <v>631</v>
      </c>
      <c r="AA869" s="5" t="s">
        <v>2734</v>
      </c>
      <c r="AB869" s="0" t="n">
        <f aca="false">IFERROR(VALUE(R869),0)</f>
        <v>0</v>
      </c>
      <c r="AC869" s="0" t="n">
        <f aca="false">IFERROR(VALUE(M869),"")</f>
        <v>25.8</v>
      </c>
      <c r="AD869" s="0" t="n">
        <f aca="false">IFERROR(VALUE(Q869),"")</f>
        <v>2.1</v>
      </c>
      <c r="AE869" s="0" t="n">
        <f aca="false">IFERROR(VALUE(S869),"")</f>
        <v>2.1</v>
      </c>
      <c r="AF869" s="0" t="str">
        <f aca="false">IF(V869="","",VLOOKUP(V869,Assumptions!$B$6:$C$9,2,FALSE()))</f>
        <v/>
      </c>
      <c r="AG869" s="0" t="str">
        <f aca="false">IF(W869="","",VLOOKUP(W869,Assumptions!$B$6:$C$9,2,FALSE()))</f>
        <v/>
      </c>
      <c r="AH869" s="0" t="n">
        <f aca="false">IF(X869="","",VLOOKUP(X869,Assumptions!$B$6:$C$9,2,FALSE()))</f>
        <v>2</v>
      </c>
      <c r="AI869" s="0" t="n">
        <f aca="false">IF(Y869="","",VLOOKUP(Y869,Assumptions!$B$6:$C$9,2,FALSE()))</f>
        <v>2</v>
      </c>
      <c r="AJ869" s="0" t="n">
        <f aca="false">IF(Z869="","",VLOOKUP(Z869,Assumptions!$B$6:$C$9,2,FALSE()))</f>
        <v>2</v>
      </c>
      <c r="AK869" s="7" t="n">
        <f aca="false">IFERROR(ROUND(AVERAGE(AF869:AJ869),3),"")</f>
        <v>2</v>
      </c>
      <c r="AL869" s="7" t="str">
        <f aca="false">IF(OR(AF869="",AJ869=""),"",AJ869-AF869)</f>
        <v/>
      </c>
      <c r="AM869" s="7" t="n">
        <f aca="false">IF(COUNT(AF869:AJ869)&gt;=2,ROUND(_xlfn.STDEV.S(AF869:AJ869),3),"")</f>
        <v>0</v>
      </c>
      <c r="AN869" s="7" t="n">
        <f aca="false">ROUND((IF(AF869="",0,AF869)*Assumptions!$F$15)+(IF(AG869="",0,AG869)*Assumptions!$F$16)+(IF(AH869="",0,AH869)*Assumptions!$F$17)+(IF(AI869="",0,AI869)*Assumptions!$F$18)+(IF(AJ869="",0,AJ869)*Assumptions!$F$19),3)</f>
        <v>1.5</v>
      </c>
      <c r="AO869" s="0" t="str">
        <f aca="false">IF(AC869&lt;=20,"",IF(AC869&lt;=Assumptions!$F$6,"20-30",IF(AC869&lt;=Assumptions!$F$7,"30-40",IF(AC869&lt;=Assumptions!$F$8,"40-50",IF(AC869&lt;=Assumptions!$F$9,"50-60",IF(AC869&lt;=Assumptions!$F$10,"60+",""))))))</f>
        <v>20-30</v>
      </c>
      <c r="AP869" s="0" t="str">
        <f aca="false">IFERROR(VLOOKUP(O869,Assumptions!$B$14:$C$26,2,FALSE()),"Other")</f>
        <v>Manager</v>
      </c>
      <c r="AQ869" s="0" t="n">
        <f aca="false">IF(T869="",0,1)</f>
        <v>0</v>
      </c>
      <c r="AR869" s="0" t="n">
        <f aca="false">IF(U869="",0,1)</f>
        <v>0</v>
      </c>
      <c r="AS869" s="8" t="n">
        <f aca="false">IF(AK869="","",IF(MAX($AK$2:$AK$921)=MIN($AK$2:$AK$921),50,ROUND((AK869-MIN($AK$2:$AK$921))/(MAX($AK$2:$AK$921)-MIN($AK$2:$AK$921))*100,2)))</f>
        <v>14.27</v>
      </c>
      <c r="AT869" s="8" t="n">
        <f aca="false">IF(MAX($BC$2:$BC$921)=MIN($BC$2:$BC$921),50,ROUND((BC869-MIN($BC$2:$BC$921))/(MAX($BC$2:$BC$921)-MIN($BC$2:$BC$921))*100,2))</f>
        <v>50</v>
      </c>
      <c r="AU869" s="8" t="n">
        <f aca="false">IF(MAX($BE$2:$BE$921)=MIN($BE$2:$BE$921),50,ROUND((BE869-MIN($BE$2:$BE$921))/(MAX($BE$2:$BE$921)-MIN($BE$2:$BE$921))*100,2))</f>
        <v>100</v>
      </c>
      <c r="AV869" s="8" t="n">
        <f aca="false">IF(MAX($AD$2:$AD$921)=MIN($AD$2:$AD$921),50,ROUND((AD869-MIN($AD$2:$AD$921))/(MAX($AD$2:$AD$921)-MIN($AD$2:$AD$921))*100,2))</f>
        <v>5.41</v>
      </c>
      <c r="AW869" s="8" t="n">
        <f aca="false">IF(MAX($AN$2:$AN$921)=MIN($AN$2:$AN$921),50,ROUND((AN869-MIN($AN$2:$AN$921))/(MAX($AN$2:$AN$921)-MIN($AN$2:$AN$921))*100,2))</f>
        <v>37.5</v>
      </c>
      <c r="AX869" s="8" t="n">
        <f aca="false">AQ869*100</f>
        <v>0</v>
      </c>
      <c r="AY869" s="8" t="n">
        <f aca="false">AR869*100</f>
        <v>0</v>
      </c>
      <c r="AZ869" s="8" t="n">
        <f aca="false">IFERROR(ROUND(AS869*Assumptions!$I$6+AW869*Assumptions!$I$7+AT869*Assumptions!$I$8+AU869*Assumptions!$I$9+AV869*Assumptions!$I$10+AX869*Assumptions!$I$11+AY869*Assumptions!$I$12,2),"")</f>
        <v>34.82</v>
      </c>
      <c r="BA869" s="0" t="str">
        <f aca="false">IF(AZ869="","",IF(AZ869&lt;=Assumptions!$I$18,"Below Expectation",IF(AZ869&lt;=Assumptions!$I$19,"Developing",IF(AZ869&lt;=Assumptions!$I$20,"Meets Expectation",IF(AZ869&lt;=Assumptions!$I$21,"Exceeds","Star Performer")))))</f>
        <v>Below Expectation</v>
      </c>
      <c r="BB869" s="0" t="n">
        <f aca="false">IF(AZ869="",0,IF(AZ869&gt;=Assumptions!$I$26,1,0))</f>
        <v>0</v>
      </c>
      <c r="BC869" s="9" t="n">
        <f aca="false">IF(AL869="",2,AL869+2)</f>
        <v>2</v>
      </c>
      <c r="BD869" s="10" t="n">
        <f aca="false">IF(AM869="",ROUND(AVERAGE($AM$2:$AM$921),3),AM869)</f>
        <v>0</v>
      </c>
      <c r="BE869" s="9" t="n">
        <f aca="false">1-BD869</f>
        <v>1</v>
      </c>
    </row>
    <row r="870" customFormat="false" ht="14.25" hidden="true" customHeight="false" outlineLevel="0" collapsed="false">
      <c r="A870" s="4" t="n">
        <v>517</v>
      </c>
      <c r="B870" s="5" t="n">
        <v>55045345</v>
      </c>
      <c r="C870" s="5" t="s">
        <v>85</v>
      </c>
      <c r="D870" s="5" t="s">
        <v>2735</v>
      </c>
      <c r="E870" s="5" t="s">
        <v>315</v>
      </c>
      <c r="F870" s="5" t="s">
        <v>2251</v>
      </c>
      <c r="G870" s="5" t="s">
        <v>2250</v>
      </c>
      <c r="H870" s="5" t="s">
        <v>2251</v>
      </c>
      <c r="I870" s="5" t="s">
        <v>63</v>
      </c>
      <c r="J870" s="5" t="s">
        <v>76</v>
      </c>
      <c r="K870" s="5" t="s">
        <v>309</v>
      </c>
      <c r="L870" s="6" t="n">
        <v>44543</v>
      </c>
      <c r="M870" s="5" t="s">
        <v>2098</v>
      </c>
      <c r="N870" s="6" t="n">
        <v>36868</v>
      </c>
      <c r="O870" s="5" t="s">
        <v>1264</v>
      </c>
      <c r="P870" s="5" t="s">
        <v>1559</v>
      </c>
      <c r="Q870" s="5" t="s">
        <v>81</v>
      </c>
      <c r="R870" s="5" t="s">
        <v>115</v>
      </c>
      <c r="S870" s="5" t="s">
        <v>81</v>
      </c>
      <c r="T870" s="6"/>
      <c r="U870" s="6"/>
      <c r="V870" s="5" t="s">
        <v>2030</v>
      </c>
      <c r="W870" s="5" t="s">
        <v>631</v>
      </c>
      <c r="X870" s="5" t="s">
        <v>631</v>
      </c>
      <c r="Y870" s="5" t="s">
        <v>631</v>
      </c>
      <c r="Z870" s="5" t="s">
        <v>631</v>
      </c>
      <c r="AA870" s="5" t="s">
        <v>2736</v>
      </c>
      <c r="AB870" s="0" t="n">
        <f aca="false">IFERROR(VALUE(R870),0)</f>
        <v>0</v>
      </c>
      <c r="AC870" s="0" t="n">
        <f aca="false">IFERROR(VALUE(M870),"")</f>
        <v>25.6</v>
      </c>
      <c r="AD870" s="0" t="n">
        <f aca="false">IFERROR(VALUE(Q870),"")</f>
        <v>4.5</v>
      </c>
      <c r="AE870" s="0" t="n">
        <f aca="false">IFERROR(VALUE(S870),"")</f>
        <v>4.5</v>
      </c>
      <c r="AF870" s="0" t="n">
        <f aca="false">IF(V870="","",VLOOKUP(V870,Assumptions!$B$6:$C$9,2,FALSE()))</f>
        <v>1</v>
      </c>
      <c r="AG870" s="0" t="n">
        <f aca="false">IF(W870="","",VLOOKUP(W870,Assumptions!$B$6:$C$9,2,FALSE()))</f>
        <v>2</v>
      </c>
      <c r="AH870" s="0" t="n">
        <f aca="false">IF(X870="","",VLOOKUP(X870,Assumptions!$B$6:$C$9,2,FALSE()))</f>
        <v>2</v>
      </c>
      <c r="AI870" s="0" t="n">
        <f aca="false">IF(Y870="","",VLOOKUP(Y870,Assumptions!$B$6:$C$9,2,FALSE()))</f>
        <v>2</v>
      </c>
      <c r="AJ870" s="0" t="n">
        <f aca="false">IF(Z870="","",VLOOKUP(Z870,Assumptions!$B$6:$C$9,2,FALSE()))</f>
        <v>2</v>
      </c>
      <c r="AK870" s="7" t="n">
        <f aca="false">IFERROR(ROUND(AVERAGE(AF870:AJ870),3),"")</f>
        <v>1.8</v>
      </c>
      <c r="AL870" s="7" t="n">
        <f aca="false">IF(OR(AF870="",AJ870=""),"",AJ870-AF870)</f>
        <v>1</v>
      </c>
      <c r="AM870" s="7" t="n">
        <f aca="false">IF(COUNT(AF870:AJ870)&gt;=2,ROUND(_xlfn.STDEV.S(AF870:AJ870),3),"")</f>
        <v>0.447</v>
      </c>
      <c r="AN870" s="7" t="n">
        <f aca="false">ROUND((IF(AF870="",0,AF870)*Assumptions!$F$15)+(IF(AG870="",0,AG870)*Assumptions!$F$16)+(IF(AH870="",0,AH870)*Assumptions!$F$17)+(IF(AI870="",0,AI870)*Assumptions!$F$18)+(IF(AJ870="",0,AJ870)*Assumptions!$F$19),3)</f>
        <v>1.9</v>
      </c>
      <c r="AO870" s="0" t="str">
        <f aca="false">IF(AC870&lt;=20,"",IF(AC870&lt;=Assumptions!$F$6,"20-30",IF(AC870&lt;=Assumptions!$F$7,"30-40",IF(AC870&lt;=Assumptions!$F$8,"40-50",IF(AC870&lt;=Assumptions!$F$9,"50-60",IF(AC870&lt;=Assumptions!$F$10,"60+",""))))))</f>
        <v>20-30</v>
      </c>
      <c r="AP870" s="0" t="str">
        <f aca="false">IFERROR(VLOOKUP(O870,Assumptions!$B$14:$C$26,2,FALSE()),"Other")</f>
        <v>Manager</v>
      </c>
      <c r="AQ870" s="0" t="n">
        <f aca="false">IF(T870="",0,1)</f>
        <v>0</v>
      </c>
      <c r="AR870" s="0" t="n">
        <f aca="false">IF(U870="",0,1)</f>
        <v>0</v>
      </c>
      <c r="AS870" s="8" t="n">
        <f aca="false">IF(AK870="","",IF(MAX($AK$2:$AK$921)=MIN($AK$2:$AK$921),50,ROUND((AK870-MIN($AK$2:$AK$921))/(MAX($AK$2:$AK$921)-MIN($AK$2:$AK$921))*100,2)))</f>
        <v>5.7</v>
      </c>
      <c r="AT870" s="8" t="n">
        <f aca="false">IF(MAX($BC$2:$BC$921)=MIN($BC$2:$BC$921),50,ROUND((BC870-MIN($BC$2:$BC$921))/(MAX($BC$2:$BC$921)-MIN($BC$2:$BC$921))*100,2))</f>
        <v>75</v>
      </c>
      <c r="AU870" s="8" t="n">
        <f aca="false">IF(MAX($BE$2:$BE$921)=MIN($BE$2:$BE$921),50,ROUND((BE870-MIN($BE$2:$BE$921))/(MAX($BE$2:$BE$921)-MIN($BE$2:$BE$921))*100,2))</f>
        <v>74.19</v>
      </c>
      <c r="AV870" s="8" t="n">
        <f aca="false">IF(MAX($AD$2:$AD$921)=MIN($AD$2:$AD$921),50,ROUND((AD870-MIN($AD$2:$AD$921))/(MAX($AD$2:$AD$921)-MIN($AD$2:$AD$921))*100,2))</f>
        <v>11.93</v>
      </c>
      <c r="AW870" s="8" t="n">
        <f aca="false">IF(MAX($AN$2:$AN$921)=MIN($AN$2:$AN$921),50,ROUND((AN870-MIN($AN$2:$AN$921))/(MAX($AN$2:$AN$921)-MIN($AN$2:$AN$921))*100,2))</f>
        <v>47.5</v>
      </c>
      <c r="AX870" s="8" t="n">
        <f aca="false">AQ870*100</f>
        <v>0</v>
      </c>
      <c r="AY870" s="8" t="n">
        <f aca="false">AR870*100</f>
        <v>0</v>
      </c>
      <c r="AZ870" s="8" t="n">
        <f aca="false">IFERROR(ROUND(AS870*Assumptions!$I$6+AW870*Assumptions!$I$7+AT870*Assumptions!$I$8+AU870*Assumptions!$I$9+AV870*Assumptions!$I$10+AX870*Assumptions!$I$11+AY870*Assumptions!$I$12,2),"")</f>
        <v>34.78</v>
      </c>
      <c r="BA870" s="0" t="str">
        <f aca="false">IF(AZ870="","",IF(AZ870&lt;=Assumptions!$I$18,"Below Expectation",IF(AZ870&lt;=Assumptions!$I$19,"Developing",IF(AZ870&lt;=Assumptions!$I$20,"Meets Expectation",IF(AZ870&lt;=Assumptions!$I$21,"Exceeds","Star Performer")))))</f>
        <v>Below Expectation</v>
      </c>
      <c r="BB870" s="0" t="n">
        <f aca="false">IF(AZ870="",0,IF(AZ870&gt;=Assumptions!$I$26,1,0))</f>
        <v>0</v>
      </c>
      <c r="BC870" s="9" t="n">
        <f aca="false">IF(AL870="",2,AL870+2)</f>
        <v>3</v>
      </c>
      <c r="BD870" s="10" t="n">
        <f aca="false">IF(AM870="",ROUND(AVERAGE($AM$2:$AM$921),3),AM870)</f>
        <v>0.447</v>
      </c>
      <c r="BE870" s="9" t="n">
        <f aca="false">1-BD870</f>
        <v>0.553</v>
      </c>
    </row>
    <row r="871" customFormat="false" ht="14.25" hidden="false" customHeight="false" outlineLevel="0" collapsed="false">
      <c r="A871" s="4" t="n">
        <v>875</v>
      </c>
      <c r="B871" s="5" t="n">
        <v>55114169</v>
      </c>
      <c r="C871" s="5" t="s">
        <v>106</v>
      </c>
      <c r="D871" s="5" t="s">
        <v>2737</v>
      </c>
      <c r="E871" s="5" t="s">
        <v>108</v>
      </c>
      <c r="F871" s="5" t="s">
        <v>590</v>
      </c>
      <c r="G871" s="5" t="s">
        <v>589</v>
      </c>
      <c r="H871" s="5" t="s">
        <v>590</v>
      </c>
      <c r="I871" s="5" t="s">
        <v>63</v>
      </c>
      <c r="J871" s="5" t="s">
        <v>112</v>
      </c>
      <c r="K871" s="5" t="s">
        <v>309</v>
      </c>
      <c r="L871" s="6" t="n">
        <v>45414</v>
      </c>
      <c r="M871" s="5" t="s">
        <v>230</v>
      </c>
      <c r="N871" s="6" t="n">
        <v>36912</v>
      </c>
      <c r="O871" s="5" t="s">
        <v>1264</v>
      </c>
      <c r="P871" s="5" t="s">
        <v>1559</v>
      </c>
      <c r="Q871" s="5" t="s">
        <v>629</v>
      </c>
      <c r="R871" s="5" t="s">
        <v>115</v>
      </c>
      <c r="S871" s="5" t="s">
        <v>629</v>
      </c>
      <c r="T871" s="6"/>
      <c r="U871" s="6"/>
      <c r="V871" s="5"/>
      <c r="W871" s="5"/>
      <c r="X871" s="5"/>
      <c r="Y871" s="5" t="s">
        <v>631</v>
      </c>
      <c r="Z871" s="5" t="s">
        <v>141</v>
      </c>
      <c r="AA871" s="5" t="s">
        <v>2738</v>
      </c>
      <c r="AB871" s="0" t="n">
        <f aca="false">IFERROR(VALUE(R871),0)</f>
        <v>0</v>
      </c>
      <c r="AC871" s="0" t="n">
        <f aca="false">IFERROR(VALUE(M871),"")</f>
        <v>25.4</v>
      </c>
      <c r="AD871" s="0" t="n">
        <f aca="false">IFERROR(VALUE(Q871),"")</f>
        <v>2.1</v>
      </c>
      <c r="AE871" s="0" t="n">
        <f aca="false">IFERROR(VALUE(S871),"")</f>
        <v>2.1</v>
      </c>
      <c r="AF871" s="0" t="str">
        <f aca="false">IF(V871="","",VLOOKUP(V871,Assumptions!$B$6:$C$9,2,FALSE()))</f>
        <v/>
      </c>
      <c r="AG871" s="0" t="str">
        <f aca="false">IF(W871="","",VLOOKUP(W871,Assumptions!$B$6:$C$9,2,FALSE()))</f>
        <v/>
      </c>
      <c r="AH871" s="0" t="str">
        <f aca="false">IF(X871="","",VLOOKUP(X871,Assumptions!$B$6:$C$9,2,FALSE()))</f>
        <v/>
      </c>
      <c r="AI871" s="0" t="n">
        <f aca="false">IF(Y871="","",VLOOKUP(Y871,Assumptions!$B$6:$C$9,2,FALSE()))</f>
        <v>2</v>
      </c>
      <c r="AJ871" s="0" t="n">
        <f aca="false">IF(Z871="","",VLOOKUP(Z871,Assumptions!$B$6:$C$9,2,FALSE()))</f>
        <v>3</v>
      </c>
      <c r="AK871" s="7" t="n">
        <f aca="false">IFERROR(ROUND(AVERAGE(AF871:AJ871),3),"")</f>
        <v>2.5</v>
      </c>
      <c r="AL871" s="7" t="str">
        <f aca="false">IF(OR(AF871="",AJ871=""),"",AJ871-AF871)</f>
        <v/>
      </c>
      <c r="AM871" s="7" t="n">
        <f aca="false">IF(COUNT(AF871:AJ871)&gt;=2,ROUND(_xlfn.STDEV.S(AF871:AJ871),3),"")</f>
        <v>0.707</v>
      </c>
      <c r="AN871" s="7" t="n">
        <f aca="false">ROUND((IF(AF871="",0,AF871)*Assumptions!$F$15)+(IF(AG871="",0,AG871)*Assumptions!$F$16)+(IF(AH871="",0,AH871)*Assumptions!$F$17)+(IF(AI871="",0,AI871)*Assumptions!$F$18)+(IF(AJ871="",0,AJ871)*Assumptions!$F$19),3)</f>
        <v>1.4</v>
      </c>
      <c r="AO871" s="0" t="str">
        <f aca="false">IF(AC871&lt;=20,"",IF(AC871&lt;=Assumptions!$F$6,"20-30",IF(AC871&lt;=Assumptions!$F$7,"30-40",IF(AC871&lt;=Assumptions!$F$8,"40-50",IF(AC871&lt;=Assumptions!$F$9,"50-60",IF(AC871&lt;=Assumptions!$F$10,"60+",""))))))</f>
        <v>20-30</v>
      </c>
      <c r="AP871" s="0" t="str">
        <f aca="false">IFERROR(VLOOKUP(O871,Assumptions!$B$14:$C$26,2,FALSE()),"Other")</f>
        <v>Manager</v>
      </c>
      <c r="AQ871" s="0" t="n">
        <f aca="false">IF(T871="",0,1)</f>
        <v>0</v>
      </c>
      <c r="AR871" s="0" t="n">
        <f aca="false">IF(U871="",0,1)</f>
        <v>0</v>
      </c>
      <c r="AS871" s="8" t="n">
        <f aca="false">IF(AK871="","",IF(MAX($AK$2:$AK$921)=MIN($AK$2:$AK$921),50,ROUND((AK871-MIN($AK$2:$AK$921))/(MAX($AK$2:$AK$921)-MIN($AK$2:$AK$921))*100,2)))</f>
        <v>35.71</v>
      </c>
      <c r="AT871" s="8" t="n">
        <f aca="false">IF(MAX($BC$2:$BC$921)=MIN($BC$2:$BC$921),50,ROUND((BC871-MIN($BC$2:$BC$921))/(MAX($BC$2:$BC$921)-MIN($BC$2:$BC$921))*100,2))</f>
        <v>50</v>
      </c>
      <c r="AU871" s="8" t="n">
        <f aca="false">IF(MAX($BE$2:$BE$921)=MIN($BE$2:$BE$921),50,ROUND((BE871-MIN($BE$2:$BE$921))/(MAX($BE$2:$BE$921)-MIN($BE$2:$BE$921))*100,2))</f>
        <v>59.18</v>
      </c>
      <c r="AV871" s="8" t="n">
        <f aca="false">IF(MAX($AD$2:$AD$921)=MIN($AD$2:$AD$921),50,ROUND((AD871-MIN($AD$2:$AD$921))/(MAX($AD$2:$AD$921)-MIN($AD$2:$AD$921))*100,2))</f>
        <v>5.41</v>
      </c>
      <c r="AW871" s="8" t="n">
        <f aca="false">IF(MAX($AN$2:$AN$921)=MIN($AN$2:$AN$921),50,ROUND((AN871-MIN($AN$2:$AN$921))/(MAX($AN$2:$AN$921)-MIN($AN$2:$AN$921))*100,2))</f>
        <v>35</v>
      </c>
      <c r="AX871" s="8" t="n">
        <f aca="false">AQ871*100</f>
        <v>0</v>
      </c>
      <c r="AY871" s="8" t="n">
        <f aca="false">AR871*100</f>
        <v>0</v>
      </c>
      <c r="AZ871" s="8" t="n">
        <f aca="false">IFERROR(ROUND(AS871*Assumptions!$I$6+AW871*Assumptions!$I$7+AT871*Assumptions!$I$8+AU871*Assumptions!$I$9+AV871*Assumptions!$I$10+AX871*Assumptions!$I$11+AY871*Assumptions!$I$12,2),"")</f>
        <v>34.63</v>
      </c>
      <c r="BA871" s="0" t="str">
        <f aca="false">IF(AZ871="","",IF(AZ871&lt;=Assumptions!$I$18,"Below Expectation",IF(AZ871&lt;=Assumptions!$I$19,"Developing",IF(AZ871&lt;=Assumptions!$I$20,"Meets Expectation",IF(AZ871&lt;=Assumptions!$I$21,"Exceeds","Star Performer")))))</f>
        <v>Below Expectation</v>
      </c>
      <c r="BB871" s="0" t="n">
        <f aca="false">IF(AZ871="",0,IF(AZ871&gt;=Assumptions!$I$26,1,0))</f>
        <v>0</v>
      </c>
      <c r="BC871" s="9" t="n">
        <f aca="false">IF(AL871="",2,AL871+2)</f>
        <v>2</v>
      </c>
      <c r="BD871" s="10" t="n">
        <f aca="false">IF(AM871="",ROUND(AVERAGE($AM$2:$AM$921),3),AM871)</f>
        <v>0.707</v>
      </c>
      <c r="BE871" s="9" t="n">
        <f aca="false">1-BD871</f>
        <v>0.293</v>
      </c>
    </row>
    <row r="872" customFormat="false" ht="14.25" hidden="false" customHeight="false" outlineLevel="0" collapsed="false">
      <c r="A872" s="4" t="n">
        <v>876</v>
      </c>
      <c r="B872" s="5" t="n">
        <v>55114671</v>
      </c>
      <c r="C872" s="5" t="s">
        <v>106</v>
      </c>
      <c r="D872" s="5" t="s">
        <v>2739</v>
      </c>
      <c r="E872" s="5" t="s">
        <v>108</v>
      </c>
      <c r="F872" s="5" t="s">
        <v>590</v>
      </c>
      <c r="G872" s="5" t="s">
        <v>589</v>
      </c>
      <c r="H872" s="5" t="s">
        <v>590</v>
      </c>
      <c r="I872" s="5" t="s">
        <v>63</v>
      </c>
      <c r="J872" s="5" t="s">
        <v>112</v>
      </c>
      <c r="K872" s="5" t="s">
        <v>309</v>
      </c>
      <c r="L872" s="6" t="n">
        <v>45418</v>
      </c>
      <c r="M872" s="5" t="s">
        <v>1783</v>
      </c>
      <c r="N872" s="6" t="n">
        <v>37277</v>
      </c>
      <c r="O872" s="5" t="s">
        <v>1264</v>
      </c>
      <c r="P872" s="5" t="s">
        <v>1559</v>
      </c>
      <c r="Q872" s="5" t="s">
        <v>629</v>
      </c>
      <c r="R872" s="5" t="s">
        <v>115</v>
      </c>
      <c r="S872" s="5" t="s">
        <v>629</v>
      </c>
      <c r="T872" s="6"/>
      <c r="U872" s="6"/>
      <c r="V872" s="5"/>
      <c r="W872" s="5"/>
      <c r="X872" s="5"/>
      <c r="Y872" s="5" t="s">
        <v>631</v>
      </c>
      <c r="Z872" s="5" t="s">
        <v>141</v>
      </c>
      <c r="AA872" s="5" t="s">
        <v>2740</v>
      </c>
      <c r="AB872" s="0" t="n">
        <f aca="false">IFERROR(VALUE(R872),0)</f>
        <v>0</v>
      </c>
      <c r="AC872" s="0" t="n">
        <f aca="false">IFERROR(VALUE(M872),"")</f>
        <v>24.4</v>
      </c>
      <c r="AD872" s="0" t="n">
        <f aca="false">IFERROR(VALUE(Q872),"")</f>
        <v>2.1</v>
      </c>
      <c r="AE872" s="0" t="n">
        <f aca="false">IFERROR(VALUE(S872),"")</f>
        <v>2.1</v>
      </c>
      <c r="AF872" s="0" t="str">
        <f aca="false">IF(V872="","",VLOOKUP(V872,Assumptions!$B$6:$C$9,2,FALSE()))</f>
        <v/>
      </c>
      <c r="AG872" s="0" t="str">
        <f aca="false">IF(W872="","",VLOOKUP(W872,Assumptions!$B$6:$C$9,2,FALSE()))</f>
        <v/>
      </c>
      <c r="AH872" s="0" t="str">
        <f aca="false">IF(X872="","",VLOOKUP(X872,Assumptions!$B$6:$C$9,2,FALSE()))</f>
        <v/>
      </c>
      <c r="AI872" s="0" t="n">
        <f aca="false">IF(Y872="","",VLOOKUP(Y872,Assumptions!$B$6:$C$9,2,FALSE()))</f>
        <v>2</v>
      </c>
      <c r="AJ872" s="0" t="n">
        <f aca="false">IF(Z872="","",VLOOKUP(Z872,Assumptions!$B$6:$C$9,2,FALSE()))</f>
        <v>3</v>
      </c>
      <c r="AK872" s="7" t="n">
        <f aca="false">IFERROR(ROUND(AVERAGE(AF872:AJ872),3),"")</f>
        <v>2.5</v>
      </c>
      <c r="AL872" s="7" t="str">
        <f aca="false">IF(OR(AF872="",AJ872=""),"",AJ872-AF872)</f>
        <v/>
      </c>
      <c r="AM872" s="7" t="n">
        <f aca="false">IF(COUNT(AF872:AJ872)&gt;=2,ROUND(_xlfn.STDEV.S(AF872:AJ872),3),"")</f>
        <v>0.707</v>
      </c>
      <c r="AN872" s="7" t="n">
        <f aca="false">ROUND((IF(AF872="",0,AF872)*Assumptions!$F$15)+(IF(AG872="",0,AG872)*Assumptions!$F$16)+(IF(AH872="",0,AH872)*Assumptions!$F$17)+(IF(AI872="",0,AI872)*Assumptions!$F$18)+(IF(AJ872="",0,AJ872)*Assumptions!$F$19),3)</f>
        <v>1.4</v>
      </c>
      <c r="AO872" s="0" t="str">
        <f aca="false">IF(AC872&lt;=20,"",IF(AC872&lt;=Assumptions!$F$6,"20-30",IF(AC872&lt;=Assumptions!$F$7,"30-40",IF(AC872&lt;=Assumptions!$F$8,"40-50",IF(AC872&lt;=Assumptions!$F$9,"50-60",IF(AC872&lt;=Assumptions!$F$10,"60+",""))))))</f>
        <v>20-30</v>
      </c>
      <c r="AP872" s="0" t="str">
        <f aca="false">IFERROR(VLOOKUP(O872,Assumptions!$B$14:$C$26,2,FALSE()),"Other")</f>
        <v>Manager</v>
      </c>
      <c r="AQ872" s="0" t="n">
        <f aca="false">IF(T872="",0,1)</f>
        <v>0</v>
      </c>
      <c r="AR872" s="0" t="n">
        <f aca="false">IF(U872="",0,1)</f>
        <v>0</v>
      </c>
      <c r="AS872" s="8" t="n">
        <f aca="false">IF(AK872="","",IF(MAX($AK$2:$AK$921)=MIN($AK$2:$AK$921),50,ROUND((AK872-MIN($AK$2:$AK$921))/(MAX($AK$2:$AK$921)-MIN($AK$2:$AK$921))*100,2)))</f>
        <v>35.71</v>
      </c>
      <c r="AT872" s="8" t="n">
        <f aca="false">IF(MAX($BC$2:$BC$921)=MIN($BC$2:$BC$921),50,ROUND((BC872-MIN($BC$2:$BC$921))/(MAX($BC$2:$BC$921)-MIN($BC$2:$BC$921))*100,2))</f>
        <v>50</v>
      </c>
      <c r="AU872" s="8" t="n">
        <f aca="false">IF(MAX($BE$2:$BE$921)=MIN($BE$2:$BE$921),50,ROUND((BE872-MIN($BE$2:$BE$921))/(MAX($BE$2:$BE$921)-MIN($BE$2:$BE$921))*100,2))</f>
        <v>59.18</v>
      </c>
      <c r="AV872" s="8" t="n">
        <f aca="false">IF(MAX($AD$2:$AD$921)=MIN($AD$2:$AD$921),50,ROUND((AD872-MIN($AD$2:$AD$921))/(MAX($AD$2:$AD$921)-MIN($AD$2:$AD$921))*100,2))</f>
        <v>5.41</v>
      </c>
      <c r="AW872" s="8" t="n">
        <f aca="false">IF(MAX($AN$2:$AN$921)=MIN($AN$2:$AN$921),50,ROUND((AN872-MIN($AN$2:$AN$921))/(MAX($AN$2:$AN$921)-MIN($AN$2:$AN$921))*100,2))</f>
        <v>35</v>
      </c>
      <c r="AX872" s="8" t="n">
        <f aca="false">AQ872*100</f>
        <v>0</v>
      </c>
      <c r="AY872" s="8" t="n">
        <f aca="false">AR872*100</f>
        <v>0</v>
      </c>
      <c r="AZ872" s="8" t="n">
        <f aca="false">IFERROR(ROUND(AS872*Assumptions!$I$6+AW872*Assumptions!$I$7+AT872*Assumptions!$I$8+AU872*Assumptions!$I$9+AV872*Assumptions!$I$10+AX872*Assumptions!$I$11+AY872*Assumptions!$I$12,2),"")</f>
        <v>34.63</v>
      </c>
      <c r="BA872" s="0" t="str">
        <f aca="false">IF(AZ872="","",IF(AZ872&lt;=Assumptions!$I$18,"Below Expectation",IF(AZ872&lt;=Assumptions!$I$19,"Developing",IF(AZ872&lt;=Assumptions!$I$20,"Meets Expectation",IF(AZ872&lt;=Assumptions!$I$21,"Exceeds","Star Performer")))))</f>
        <v>Below Expectation</v>
      </c>
      <c r="BB872" s="0" t="n">
        <f aca="false">IF(AZ872="",0,IF(AZ872&gt;=Assumptions!$I$26,1,0))</f>
        <v>0</v>
      </c>
      <c r="BC872" s="9" t="n">
        <f aca="false">IF(AL872="",2,AL872+2)</f>
        <v>2</v>
      </c>
      <c r="BD872" s="10" t="n">
        <f aca="false">IF(AM872="",ROUND(AVERAGE($AM$2:$AM$921),3),AM872)</f>
        <v>0.707</v>
      </c>
      <c r="BE872" s="9" t="n">
        <f aca="false">1-BD872</f>
        <v>0.293</v>
      </c>
    </row>
    <row r="873" customFormat="false" ht="14.25" hidden="false" customHeight="false" outlineLevel="0" collapsed="false">
      <c r="A873" s="4" t="n">
        <v>877</v>
      </c>
      <c r="B873" s="5" t="n">
        <v>55115061</v>
      </c>
      <c r="C873" s="5" t="s">
        <v>106</v>
      </c>
      <c r="D873" s="5" t="s">
        <v>2741</v>
      </c>
      <c r="E873" s="5" t="s">
        <v>108</v>
      </c>
      <c r="F873" s="5" t="s">
        <v>590</v>
      </c>
      <c r="G873" s="5" t="s">
        <v>589</v>
      </c>
      <c r="H873" s="5" t="s">
        <v>590</v>
      </c>
      <c r="I873" s="5" t="s">
        <v>63</v>
      </c>
      <c r="J873" s="5" t="s">
        <v>112</v>
      </c>
      <c r="K873" s="5" t="s">
        <v>309</v>
      </c>
      <c r="L873" s="6" t="n">
        <v>45422</v>
      </c>
      <c r="M873" s="5" t="s">
        <v>916</v>
      </c>
      <c r="N873" s="6" t="n">
        <v>36942</v>
      </c>
      <c r="O873" s="5" t="s">
        <v>1264</v>
      </c>
      <c r="P873" s="5" t="s">
        <v>1559</v>
      </c>
      <c r="Q873" s="5" t="s">
        <v>1645</v>
      </c>
      <c r="R873" s="5" t="s">
        <v>115</v>
      </c>
      <c r="S873" s="5" t="s">
        <v>1884</v>
      </c>
      <c r="T873" s="6"/>
      <c r="U873" s="6"/>
      <c r="V873" s="5"/>
      <c r="W873" s="5"/>
      <c r="X873" s="5"/>
      <c r="Y873" s="5" t="s">
        <v>631</v>
      </c>
      <c r="Z873" s="5" t="s">
        <v>141</v>
      </c>
      <c r="AA873" s="5" t="s">
        <v>2742</v>
      </c>
      <c r="AB873" s="0" t="n">
        <f aca="false">IFERROR(VALUE(R873),0)</f>
        <v>0</v>
      </c>
      <c r="AC873" s="0" t="n">
        <f aca="false">IFERROR(VALUE(M873),"")</f>
        <v>25.3</v>
      </c>
      <c r="AD873" s="0" t="n">
        <f aca="false">IFERROR(VALUE(Q873),"")</f>
        <v>2</v>
      </c>
      <c r="AE873" s="0" t="n">
        <f aca="false">IFERROR(VALUE(S873),"")</f>
        <v>2</v>
      </c>
      <c r="AF873" s="0" t="str">
        <f aca="false">IF(V873="","",VLOOKUP(V873,Assumptions!$B$6:$C$9,2,FALSE()))</f>
        <v/>
      </c>
      <c r="AG873" s="0" t="str">
        <f aca="false">IF(W873="","",VLOOKUP(W873,Assumptions!$B$6:$C$9,2,FALSE()))</f>
        <v/>
      </c>
      <c r="AH873" s="0" t="str">
        <f aca="false">IF(X873="","",VLOOKUP(X873,Assumptions!$B$6:$C$9,2,FALSE()))</f>
        <v/>
      </c>
      <c r="AI873" s="0" t="n">
        <f aca="false">IF(Y873="","",VLOOKUP(Y873,Assumptions!$B$6:$C$9,2,FALSE()))</f>
        <v>2</v>
      </c>
      <c r="AJ873" s="0" t="n">
        <f aca="false">IF(Z873="","",VLOOKUP(Z873,Assumptions!$B$6:$C$9,2,FALSE()))</f>
        <v>3</v>
      </c>
      <c r="AK873" s="7" t="n">
        <f aca="false">IFERROR(ROUND(AVERAGE(AF873:AJ873),3),"")</f>
        <v>2.5</v>
      </c>
      <c r="AL873" s="7" t="str">
        <f aca="false">IF(OR(AF873="",AJ873=""),"",AJ873-AF873)</f>
        <v/>
      </c>
      <c r="AM873" s="7" t="n">
        <f aca="false">IF(COUNT(AF873:AJ873)&gt;=2,ROUND(_xlfn.STDEV.S(AF873:AJ873),3),"")</f>
        <v>0.707</v>
      </c>
      <c r="AN873" s="7" t="n">
        <f aca="false">ROUND((IF(AF873="",0,AF873)*Assumptions!$F$15)+(IF(AG873="",0,AG873)*Assumptions!$F$16)+(IF(AH873="",0,AH873)*Assumptions!$F$17)+(IF(AI873="",0,AI873)*Assumptions!$F$18)+(IF(AJ873="",0,AJ873)*Assumptions!$F$19),3)</f>
        <v>1.4</v>
      </c>
      <c r="AO873" s="0" t="str">
        <f aca="false">IF(AC873&lt;=20,"",IF(AC873&lt;=Assumptions!$F$6,"20-30",IF(AC873&lt;=Assumptions!$F$7,"30-40",IF(AC873&lt;=Assumptions!$F$8,"40-50",IF(AC873&lt;=Assumptions!$F$9,"50-60",IF(AC873&lt;=Assumptions!$F$10,"60+",""))))))</f>
        <v>20-30</v>
      </c>
      <c r="AP873" s="0" t="str">
        <f aca="false">IFERROR(VLOOKUP(O873,Assumptions!$B$14:$C$26,2,FALSE()),"Other")</f>
        <v>Manager</v>
      </c>
      <c r="AQ873" s="0" t="n">
        <f aca="false">IF(T873="",0,1)</f>
        <v>0</v>
      </c>
      <c r="AR873" s="0" t="n">
        <f aca="false">IF(U873="",0,1)</f>
        <v>0</v>
      </c>
      <c r="AS873" s="8" t="n">
        <f aca="false">IF(AK873="","",IF(MAX($AK$2:$AK$921)=MIN($AK$2:$AK$921),50,ROUND((AK873-MIN($AK$2:$AK$921))/(MAX($AK$2:$AK$921)-MIN($AK$2:$AK$921))*100,2)))</f>
        <v>35.71</v>
      </c>
      <c r="AT873" s="8" t="n">
        <f aca="false">IF(MAX($BC$2:$BC$921)=MIN($BC$2:$BC$921),50,ROUND((BC873-MIN($BC$2:$BC$921))/(MAX($BC$2:$BC$921)-MIN($BC$2:$BC$921))*100,2))</f>
        <v>50</v>
      </c>
      <c r="AU873" s="8" t="n">
        <f aca="false">IF(MAX($BE$2:$BE$921)=MIN($BE$2:$BE$921),50,ROUND((BE873-MIN($BE$2:$BE$921))/(MAX($BE$2:$BE$921)-MIN($BE$2:$BE$921))*100,2))</f>
        <v>59.18</v>
      </c>
      <c r="AV873" s="8" t="n">
        <f aca="false">IF(MAX($AD$2:$AD$921)=MIN($AD$2:$AD$921),50,ROUND((AD873-MIN($AD$2:$AD$921))/(MAX($AD$2:$AD$921)-MIN($AD$2:$AD$921))*100,2))</f>
        <v>5.14</v>
      </c>
      <c r="AW873" s="8" t="n">
        <f aca="false">IF(MAX($AN$2:$AN$921)=MIN($AN$2:$AN$921),50,ROUND((AN873-MIN($AN$2:$AN$921))/(MAX($AN$2:$AN$921)-MIN($AN$2:$AN$921))*100,2))</f>
        <v>35</v>
      </c>
      <c r="AX873" s="8" t="n">
        <f aca="false">AQ873*100</f>
        <v>0</v>
      </c>
      <c r="AY873" s="8" t="n">
        <f aca="false">AR873*100</f>
        <v>0</v>
      </c>
      <c r="AZ873" s="8" t="n">
        <f aca="false">IFERROR(ROUND(AS873*Assumptions!$I$6+AW873*Assumptions!$I$7+AT873*Assumptions!$I$8+AU873*Assumptions!$I$9+AV873*Assumptions!$I$10+AX873*Assumptions!$I$11+AY873*Assumptions!$I$12,2),"")</f>
        <v>34.6</v>
      </c>
      <c r="BA873" s="0" t="str">
        <f aca="false">IF(AZ873="","",IF(AZ873&lt;=Assumptions!$I$18,"Below Expectation",IF(AZ873&lt;=Assumptions!$I$19,"Developing",IF(AZ873&lt;=Assumptions!$I$20,"Meets Expectation",IF(AZ873&lt;=Assumptions!$I$21,"Exceeds","Star Performer")))))</f>
        <v>Below Expectation</v>
      </c>
      <c r="BB873" s="0" t="n">
        <f aca="false">IF(AZ873="",0,IF(AZ873&gt;=Assumptions!$I$26,1,0))</f>
        <v>0</v>
      </c>
      <c r="BC873" s="9" t="n">
        <f aca="false">IF(AL873="",2,AL873+2)</f>
        <v>2</v>
      </c>
      <c r="BD873" s="10" t="n">
        <f aca="false">IF(AM873="",ROUND(AVERAGE($AM$2:$AM$921),3),AM873)</f>
        <v>0.707</v>
      </c>
      <c r="BE873" s="9" t="n">
        <f aca="false">1-BD873</f>
        <v>0.293</v>
      </c>
    </row>
    <row r="874" customFormat="false" ht="14.25" hidden="true" customHeight="false" outlineLevel="0" collapsed="false">
      <c r="A874" s="4" t="n">
        <v>879</v>
      </c>
      <c r="B874" s="5" t="n">
        <v>55115317</v>
      </c>
      <c r="C874" s="5" t="s">
        <v>57</v>
      </c>
      <c r="D874" s="5" t="s">
        <v>2743</v>
      </c>
      <c r="E874" s="5" t="s">
        <v>208</v>
      </c>
      <c r="F874" s="5" t="s">
        <v>608</v>
      </c>
      <c r="G874" s="5" t="s">
        <v>609</v>
      </c>
      <c r="H874" s="5" t="s">
        <v>608</v>
      </c>
      <c r="I874" s="5" t="s">
        <v>63</v>
      </c>
      <c r="J874" s="5" t="s">
        <v>100</v>
      </c>
      <c r="K874" s="5" t="s">
        <v>309</v>
      </c>
      <c r="L874" s="6" t="n">
        <v>45425</v>
      </c>
      <c r="M874" s="5" t="s">
        <v>104</v>
      </c>
      <c r="N874" s="6" t="n">
        <v>34563</v>
      </c>
      <c r="O874" s="5" t="s">
        <v>365</v>
      </c>
      <c r="P874" s="5" t="s">
        <v>365</v>
      </c>
      <c r="Q874" s="5" t="s">
        <v>1645</v>
      </c>
      <c r="R874" s="5" t="s">
        <v>1100</v>
      </c>
      <c r="S874" s="5" t="s">
        <v>452</v>
      </c>
      <c r="T874" s="6"/>
      <c r="U874" s="6"/>
      <c r="V874" s="5"/>
      <c r="W874" s="5"/>
      <c r="X874" s="5"/>
      <c r="Y874" s="5" t="s">
        <v>631</v>
      </c>
      <c r="Z874" s="5" t="s">
        <v>141</v>
      </c>
      <c r="AA874" s="5" t="s">
        <v>2744</v>
      </c>
      <c r="AB874" s="0" t="n">
        <f aca="false">IFERROR(VALUE(R874),0)</f>
        <v>6.6</v>
      </c>
      <c r="AC874" s="0" t="n">
        <f aca="false">IFERROR(VALUE(M874),"")</f>
        <v>31.9</v>
      </c>
      <c r="AD874" s="0" t="n">
        <f aca="false">IFERROR(VALUE(Q874),"")</f>
        <v>2</v>
      </c>
      <c r="AE874" s="0" t="n">
        <f aca="false">IFERROR(VALUE(S874),"")</f>
        <v>8.6</v>
      </c>
      <c r="AF874" s="0" t="str">
        <f aca="false">IF(V874="","",VLOOKUP(V874,Assumptions!$B$6:$C$9,2,FALSE()))</f>
        <v/>
      </c>
      <c r="AG874" s="0" t="str">
        <f aca="false">IF(W874="","",VLOOKUP(W874,Assumptions!$B$6:$C$9,2,FALSE()))</f>
        <v/>
      </c>
      <c r="AH874" s="0" t="str">
        <f aca="false">IF(X874="","",VLOOKUP(X874,Assumptions!$B$6:$C$9,2,FALSE()))</f>
        <v/>
      </c>
      <c r="AI874" s="0" t="n">
        <f aca="false">IF(Y874="","",VLOOKUP(Y874,Assumptions!$B$6:$C$9,2,FALSE()))</f>
        <v>2</v>
      </c>
      <c r="AJ874" s="0" t="n">
        <f aca="false">IF(Z874="","",VLOOKUP(Z874,Assumptions!$B$6:$C$9,2,FALSE()))</f>
        <v>3</v>
      </c>
      <c r="AK874" s="7" t="n">
        <f aca="false">IFERROR(ROUND(AVERAGE(AF874:AJ874),3),"")</f>
        <v>2.5</v>
      </c>
      <c r="AL874" s="7" t="str">
        <f aca="false">IF(OR(AF874="",AJ874=""),"",AJ874-AF874)</f>
        <v/>
      </c>
      <c r="AM874" s="7" t="n">
        <f aca="false">IF(COUNT(AF874:AJ874)&gt;=2,ROUND(_xlfn.STDEV.S(AF874:AJ874),3),"")</f>
        <v>0.707</v>
      </c>
      <c r="AN874" s="7" t="n">
        <f aca="false">ROUND((IF(AF874="",0,AF874)*Assumptions!$F$15)+(IF(AG874="",0,AG874)*Assumptions!$F$16)+(IF(AH874="",0,AH874)*Assumptions!$F$17)+(IF(AI874="",0,AI874)*Assumptions!$F$18)+(IF(AJ874="",0,AJ874)*Assumptions!$F$19),3)</f>
        <v>1.4</v>
      </c>
      <c r="AO874" s="0" t="str">
        <f aca="false">IF(AC874&lt;=20,"",IF(AC874&lt;=Assumptions!$F$6,"20-30",IF(AC874&lt;=Assumptions!$F$7,"30-40",IF(AC874&lt;=Assumptions!$F$8,"40-50",IF(AC874&lt;=Assumptions!$F$9,"50-60",IF(AC874&lt;=Assumptions!$F$10,"60+",""))))))</f>
        <v>30-40</v>
      </c>
      <c r="AP874" s="0" t="str">
        <f aca="false">IFERROR(VLOOKUP(O874,Assumptions!$B$14:$C$26,2,FALSE()),"Other")</f>
        <v>Manager</v>
      </c>
      <c r="AQ874" s="0" t="n">
        <f aca="false">IF(T874="",0,1)</f>
        <v>0</v>
      </c>
      <c r="AR874" s="0" t="n">
        <f aca="false">IF(U874="",0,1)</f>
        <v>0</v>
      </c>
      <c r="AS874" s="8" t="n">
        <f aca="false">IF(AK874="","",IF(MAX($AK$2:$AK$921)=MIN($AK$2:$AK$921),50,ROUND((AK874-MIN($AK$2:$AK$921))/(MAX($AK$2:$AK$921)-MIN($AK$2:$AK$921))*100,2)))</f>
        <v>35.71</v>
      </c>
      <c r="AT874" s="8" t="n">
        <f aca="false">IF(MAX($BC$2:$BC$921)=MIN($BC$2:$BC$921),50,ROUND((BC874-MIN($BC$2:$BC$921))/(MAX($BC$2:$BC$921)-MIN($BC$2:$BC$921))*100,2))</f>
        <v>50</v>
      </c>
      <c r="AU874" s="8" t="n">
        <f aca="false">IF(MAX($BE$2:$BE$921)=MIN($BE$2:$BE$921),50,ROUND((BE874-MIN($BE$2:$BE$921))/(MAX($BE$2:$BE$921)-MIN($BE$2:$BE$921))*100,2))</f>
        <v>59.18</v>
      </c>
      <c r="AV874" s="8" t="n">
        <f aca="false">IF(MAX($AD$2:$AD$921)=MIN($AD$2:$AD$921),50,ROUND((AD874-MIN($AD$2:$AD$921))/(MAX($AD$2:$AD$921)-MIN($AD$2:$AD$921))*100,2))</f>
        <v>5.14</v>
      </c>
      <c r="AW874" s="8" t="n">
        <f aca="false">IF(MAX($AN$2:$AN$921)=MIN($AN$2:$AN$921),50,ROUND((AN874-MIN($AN$2:$AN$921))/(MAX($AN$2:$AN$921)-MIN($AN$2:$AN$921))*100,2))</f>
        <v>35</v>
      </c>
      <c r="AX874" s="8" t="n">
        <f aca="false">AQ874*100</f>
        <v>0</v>
      </c>
      <c r="AY874" s="8" t="n">
        <f aca="false">AR874*100</f>
        <v>0</v>
      </c>
      <c r="AZ874" s="8" t="n">
        <f aca="false">IFERROR(ROUND(AS874*Assumptions!$I$6+AW874*Assumptions!$I$7+AT874*Assumptions!$I$8+AU874*Assumptions!$I$9+AV874*Assumptions!$I$10+AX874*Assumptions!$I$11+AY874*Assumptions!$I$12,2),"")</f>
        <v>34.6</v>
      </c>
      <c r="BA874" s="0" t="str">
        <f aca="false">IF(AZ874="","",IF(AZ874&lt;=Assumptions!$I$18,"Below Expectation",IF(AZ874&lt;=Assumptions!$I$19,"Developing",IF(AZ874&lt;=Assumptions!$I$20,"Meets Expectation",IF(AZ874&lt;=Assumptions!$I$21,"Exceeds","Star Performer")))))</f>
        <v>Below Expectation</v>
      </c>
      <c r="BB874" s="0" t="n">
        <f aca="false">IF(AZ874="",0,IF(AZ874&gt;=Assumptions!$I$26,1,0))</f>
        <v>0</v>
      </c>
      <c r="BC874" s="9" t="n">
        <f aca="false">IF(AL874="",2,AL874+2)</f>
        <v>2</v>
      </c>
      <c r="BD874" s="10" t="n">
        <f aca="false">IF(AM874="",ROUND(AVERAGE($AM$2:$AM$921),3),AM874)</f>
        <v>0.707</v>
      </c>
      <c r="BE874" s="9" t="n">
        <f aca="false">1-BD874</f>
        <v>0.293</v>
      </c>
    </row>
    <row r="875" customFormat="false" ht="14.25" hidden="false" customHeight="false" outlineLevel="0" collapsed="false">
      <c r="A875" s="4" t="n">
        <v>880</v>
      </c>
      <c r="B875" s="5" t="n">
        <v>55115353</v>
      </c>
      <c r="C875" s="5" t="s">
        <v>106</v>
      </c>
      <c r="D875" s="5" t="s">
        <v>2745</v>
      </c>
      <c r="E875" s="5" t="s">
        <v>108</v>
      </c>
      <c r="F875" s="5" t="s">
        <v>590</v>
      </c>
      <c r="G875" s="5" t="s">
        <v>589</v>
      </c>
      <c r="H875" s="5" t="s">
        <v>590</v>
      </c>
      <c r="I875" s="5" t="s">
        <v>63</v>
      </c>
      <c r="J875" s="5" t="s">
        <v>112</v>
      </c>
      <c r="K875" s="5" t="s">
        <v>309</v>
      </c>
      <c r="L875" s="6" t="n">
        <v>45425</v>
      </c>
      <c r="M875" s="5" t="s">
        <v>2337</v>
      </c>
      <c r="N875" s="6" t="n">
        <v>36869</v>
      </c>
      <c r="O875" s="5" t="s">
        <v>1264</v>
      </c>
      <c r="P875" s="5" t="s">
        <v>1559</v>
      </c>
      <c r="Q875" s="5" t="s">
        <v>1645</v>
      </c>
      <c r="R875" s="5" t="s">
        <v>115</v>
      </c>
      <c r="S875" s="5" t="s">
        <v>1884</v>
      </c>
      <c r="T875" s="6"/>
      <c r="U875" s="6"/>
      <c r="V875" s="5"/>
      <c r="W875" s="5"/>
      <c r="X875" s="5"/>
      <c r="Y875" s="5" t="s">
        <v>631</v>
      </c>
      <c r="Z875" s="5" t="s">
        <v>141</v>
      </c>
      <c r="AA875" s="5" t="s">
        <v>2713</v>
      </c>
      <c r="AB875" s="0" t="n">
        <f aca="false">IFERROR(VALUE(R875),0)</f>
        <v>0</v>
      </c>
      <c r="AC875" s="0" t="n">
        <f aca="false">IFERROR(VALUE(M875),"")</f>
        <v>25.5</v>
      </c>
      <c r="AD875" s="0" t="n">
        <f aca="false">IFERROR(VALUE(Q875),"")</f>
        <v>2</v>
      </c>
      <c r="AE875" s="0" t="n">
        <f aca="false">IFERROR(VALUE(S875),"")</f>
        <v>2</v>
      </c>
      <c r="AF875" s="0" t="str">
        <f aca="false">IF(V875="","",VLOOKUP(V875,Assumptions!$B$6:$C$9,2,FALSE()))</f>
        <v/>
      </c>
      <c r="AG875" s="0" t="str">
        <f aca="false">IF(W875="","",VLOOKUP(W875,Assumptions!$B$6:$C$9,2,FALSE()))</f>
        <v/>
      </c>
      <c r="AH875" s="0" t="str">
        <f aca="false">IF(X875="","",VLOOKUP(X875,Assumptions!$B$6:$C$9,2,FALSE()))</f>
        <v/>
      </c>
      <c r="AI875" s="0" t="n">
        <f aca="false">IF(Y875="","",VLOOKUP(Y875,Assumptions!$B$6:$C$9,2,FALSE()))</f>
        <v>2</v>
      </c>
      <c r="AJ875" s="0" t="n">
        <f aca="false">IF(Z875="","",VLOOKUP(Z875,Assumptions!$B$6:$C$9,2,FALSE()))</f>
        <v>3</v>
      </c>
      <c r="AK875" s="7" t="n">
        <f aca="false">IFERROR(ROUND(AVERAGE(AF875:AJ875),3),"")</f>
        <v>2.5</v>
      </c>
      <c r="AL875" s="7" t="str">
        <f aca="false">IF(OR(AF875="",AJ875=""),"",AJ875-AF875)</f>
        <v/>
      </c>
      <c r="AM875" s="7" t="n">
        <f aca="false">IF(COUNT(AF875:AJ875)&gt;=2,ROUND(_xlfn.STDEV.S(AF875:AJ875),3),"")</f>
        <v>0.707</v>
      </c>
      <c r="AN875" s="7" t="n">
        <f aca="false">ROUND((IF(AF875="",0,AF875)*Assumptions!$F$15)+(IF(AG875="",0,AG875)*Assumptions!$F$16)+(IF(AH875="",0,AH875)*Assumptions!$F$17)+(IF(AI875="",0,AI875)*Assumptions!$F$18)+(IF(AJ875="",0,AJ875)*Assumptions!$F$19),3)</f>
        <v>1.4</v>
      </c>
      <c r="AO875" s="0" t="str">
        <f aca="false">IF(AC875&lt;=20,"",IF(AC875&lt;=Assumptions!$F$6,"20-30",IF(AC875&lt;=Assumptions!$F$7,"30-40",IF(AC875&lt;=Assumptions!$F$8,"40-50",IF(AC875&lt;=Assumptions!$F$9,"50-60",IF(AC875&lt;=Assumptions!$F$10,"60+",""))))))</f>
        <v>20-30</v>
      </c>
      <c r="AP875" s="0" t="str">
        <f aca="false">IFERROR(VLOOKUP(O875,Assumptions!$B$14:$C$26,2,FALSE()),"Other")</f>
        <v>Manager</v>
      </c>
      <c r="AQ875" s="0" t="n">
        <f aca="false">IF(T875="",0,1)</f>
        <v>0</v>
      </c>
      <c r="AR875" s="0" t="n">
        <f aca="false">IF(U875="",0,1)</f>
        <v>0</v>
      </c>
      <c r="AS875" s="8" t="n">
        <f aca="false">IF(AK875="","",IF(MAX($AK$2:$AK$921)=MIN($AK$2:$AK$921),50,ROUND((AK875-MIN($AK$2:$AK$921))/(MAX($AK$2:$AK$921)-MIN($AK$2:$AK$921))*100,2)))</f>
        <v>35.71</v>
      </c>
      <c r="AT875" s="8" t="n">
        <f aca="false">IF(MAX($BC$2:$BC$921)=MIN($BC$2:$BC$921),50,ROUND((BC875-MIN($BC$2:$BC$921))/(MAX($BC$2:$BC$921)-MIN($BC$2:$BC$921))*100,2))</f>
        <v>50</v>
      </c>
      <c r="AU875" s="8" t="n">
        <f aca="false">IF(MAX($BE$2:$BE$921)=MIN($BE$2:$BE$921),50,ROUND((BE875-MIN($BE$2:$BE$921))/(MAX($BE$2:$BE$921)-MIN($BE$2:$BE$921))*100,2))</f>
        <v>59.18</v>
      </c>
      <c r="AV875" s="8" t="n">
        <f aca="false">IF(MAX($AD$2:$AD$921)=MIN($AD$2:$AD$921),50,ROUND((AD875-MIN($AD$2:$AD$921))/(MAX($AD$2:$AD$921)-MIN($AD$2:$AD$921))*100,2))</f>
        <v>5.14</v>
      </c>
      <c r="AW875" s="8" t="n">
        <f aca="false">IF(MAX($AN$2:$AN$921)=MIN($AN$2:$AN$921),50,ROUND((AN875-MIN($AN$2:$AN$921))/(MAX($AN$2:$AN$921)-MIN($AN$2:$AN$921))*100,2))</f>
        <v>35</v>
      </c>
      <c r="AX875" s="8" t="n">
        <f aca="false">AQ875*100</f>
        <v>0</v>
      </c>
      <c r="AY875" s="8" t="n">
        <f aca="false">AR875*100</f>
        <v>0</v>
      </c>
      <c r="AZ875" s="8" t="n">
        <f aca="false">IFERROR(ROUND(AS875*Assumptions!$I$6+AW875*Assumptions!$I$7+AT875*Assumptions!$I$8+AU875*Assumptions!$I$9+AV875*Assumptions!$I$10+AX875*Assumptions!$I$11+AY875*Assumptions!$I$12,2),"")</f>
        <v>34.6</v>
      </c>
      <c r="BA875" s="0" t="str">
        <f aca="false">IF(AZ875="","",IF(AZ875&lt;=Assumptions!$I$18,"Below Expectation",IF(AZ875&lt;=Assumptions!$I$19,"Developing",IF(AZ875&lt;=Assumptions!$I$20,"Meets Expectation",IF(AZ875&lt;=Assumptions!$I$21,"Exceeds","Star Performer")))))</f>
        <v>Below Expectation</v>
      </c>
      <c r="BB875" s="0" t="n">
        <f aca="false">IF(AZ875="",0,IF(AZ875&gt;=Assumptions!$I$26,1,0))</f>
        <v>0</v>
      </c>
      <c r="BC875" s="9" t="n">
        <f aca="false">IF(AL875="",2,AL875+2)</f>
        <v>2</v>
      </c>
      <c r="BD875" s="10" t="n">
        <f aca="false">IF(AM875="",ROUND(AVERAGE($AM$2:$AM$921),3),AM875)</f>
        <v>0.707</v>
      </c>
      <c r="BE875" s="9" t="n">
        <f aca="false">1-BD875</f>
        <v>0.293</v>
      </c>
    </row>
    <row r="876" customFormat="false" ht="14.25" hidden="false" customHeight="false" outlineLevel="0" collapsed="false">
      <c r="A876" s="4" t="n">
        <v>882</v>
      </c>
      <c r="B876" s="5" t="n">
        <v>55115883</v>
      </c>
      <c r="C876" s="5" t="s">
        <v>106</v>
      </c>
      <c r="D876" s="5" t="s">
        <v>2746</v>
      </c>
      <c r="E876" s="5" t="s">
        <v>108</v>
      </c>
      <c r="F876" s="5" t="s">
        <v>590</v>
      </c>
      <c r="G876" s="5" t="s">
        <v>589</v>
      </c>
      <c r="H876" s="5" t="s">
        <v>590</v>
      </c>
      <c r="I876" s="5" t="s">
        <v>63</v>
      </c>
      <c r="J876" s="5" t="s">
        <v>112</v>
      </c>
      <c r="K876" s="5" t="s">
        <v>309</v>
      </c>
      <c r="L876" s="6" t="n">
        <v>45429</v>
      </c>
      <c r="M876" s="5" t="s">
        <v>1096</v>
      </c>
      <c r="N876" s="6" t="n">
        <v>36249</v>
      </c>
      <c r="O876" s="5" t="s">
        <v>1264</v>
      </c>
      <c r="P876" s="5" t="s">
        <v>1559</v>
      </c>
      <c r="Q876" s="5" t="s">
        <v>1645</v>
      </c>
      <c r="R876" s="5" t="s">
        <v>115</v>
      </c>
      <c r="S876" s="5" t="s">
        <v>1884</v>
      </c>
      <c r="T876" s="6"/>
      <c r="U876" s="6"/>
      <c r="V876" s="5"/>
      <c r="W876" s="5"/>
      <c r="X876" s="5"/>
      <c r="Y876" s="5" t="s">
        <v>631</v>
      </c>
      <c r="Z876" s="5" t="s">
        <v>141</v>
      </c>
      <c r="AA876" s="5" t="s">
        <v>2747</v>
      </c>
      <c r="AB876" s="0" t="n">
        <f aca="false">IFERROR(VALUE(R876),0)</f>
        <v>0</v>
      </c>
      <c r="AC876" s="0" t="n">
        <f aca="false">IFERROR(VALUE(M876),"")</f>
        <v>27.2</v>
      </c>
      <c r="AD876" s="0" t="n">
        <f aca="false">IFERROR(VALUE(Q876),"")</f>
        <v>2</v>
      </c>
      <c r="AE876" s="0" t="n">
        <f aca="false">IFERROR(VALUE(S876),"")</f>
        <v>2</v>
      </c>
      <c r="AF876" s="0" t="str">
        <f aca="false">IF(V876="","",VLOOKUP(V876,Assumptions!$B$6:$C$9,2,FALSE()))</f>
        <v/>
      </c>
      <c r="AG876" s="0" t="str">
        <f aca="false">IF(W876="","",VLOOKUP(W876,Assumptions!$B$6:$C$9,2,FALSE()))</f>
        <v/>
      </c>
      <c r="AH876" s="0" t="str">
        <f aca="false">IF(X876="","",VLOOKUP(X876,Assumptions!$B$6:$C$9,2,FALSE()))</f>
        <v/>
      </c>
      <c r="AI876" s="0" t="n">
        <f aca="false">IF(Y876="","",VLOOKUP(Y876,Assumptions!$B$6:$C$9,2,FALSE()))</f>
        <v>2</v>
      </c>
      <c r="AJ876" s="0" t="n">
        <f aca="false">IF(Z876="","",VLOOKUP(Z876,Assumptions!$B$6:$C$9,2,FALSE()))</f>
        <v>3</v>
      </c>
      <c r="AK876" s="7" t="n">
        <f aca="false">IFERROR(ROUND(AVERAGE(AF876:AJ876),3),"")</f>
        <v>2.5</v>
      </c>
      <c r="AL876" s="7" t="str">
        <f aca="false">IF(OR(AF876="",AJ876=""),"",AJ876-AF876)</f>
        <v/>
      </c>
      <c r="AM876" s="7" t="n">
        <f aca="false">IF(COUNT(AF876:AJ876)&gt;=2,ROUND(_xlfn.STDEV.S(AF876:AJ876),3),"")</f>
        <v>0.707</v>
      </c>
      <c r="AN876" s="7" t="n">
        <f aca="false">ROUND((IF(AF876="",0,AF876)*Assumptions!$F$15)+(IF(AG876="",0,AG876)*Assumptions!$F$16)+(IF(AH876="",0,AH876)*Assumptions!$F$17)+(IF(AI876="",0,AI876)*Assumptions!$F$18)+(IF(AJ876="",0,AJ876)*Assumptions!$F$19),3)</f>
        <v>1.4</v>
      </c>
      <c r="AO876" s="0" t="str">
        <f aca="false">IF(AC876&lt;=20,"",IF(AC876&lt;=Assumptions!$F$6,"20-30",IF(AC876&lt;=Assumptions!$F$7,"30-40",IF(AC876&lt;=Assumptions!$F$8,"40-50",IF(AC876&lt;=Assumptions!$F$9,"50-60",IF(AC876&lt;=Assumptions!$F$10,"60+",""))))))</f>
        <v>20-30</v>
      </c>
      <c r="AP876" s="0" t="str">
        <f aca="false">IFERROR(VLOOKUP(O876,Assumptions!$B$14:$C$26,2,FALSE()),"Other")</f>
        <v>Manager</v>
      </c>
      <c r="AQ876" s="0" t="n">
        <f aca="false">IF(T876="",0,1)</f>
        <v>0</v>
      </c>
      <c r="AR876" s="0" t="n">
        <f aca="false">IF(U876="",0,1)</f>
        <v>0</v>
      </c>
      <c r="AS876" s="8" t="n">
        <f aca="false">IF(AK876="","",IF(MAX($AK$2:$AK$921)=MIN($AK$2:$AK$921),50,ROUND((AK876-MIN($AK$2:$AK$921))/(MAX($AK$2:$AK$921)-MIN($AK$2:$AK$921))*100,2)))</f>
        <v>35.71</v>
      </c>
      <c r="AT876" s="8" t="n">
        <f aca="false">IF(MAX($BC$2:$BC$921)=MIN($BC$2:$BC$921),50,ROUND((BC876-MIN($BC$2:$BC$921))/(MAX($BC$2:$BC$921)-MIN($BC$2:$BC$921))*100,2))</f>
        <v>50</v>
      </c>
      <c r="AU876" s="8" t="n">
        <f aca="false">IF(MAX($BE$2:$BE$921)=MIN($BE$2:$BE$921),50,ROUND((BE876-MIN($BE$2:$BE$921))/(MAX($BE$2:$BE$921)-MIN($BE$2:$BE$921))*100,2))</f>
        <v>59.18</v>
      </c>
      <c r="AV876" s="8" t="n">
        <f aca="false">IF(MAX($AD$2:$AD$921)=MIN($AD$2:$AD$921),50,ROUND((AD876-MIN($AD$2:$AD$921))/(MAX($AD$2:$AD$921)-MIN($AD$2:$AD$921))*100,2))</f>
        <v>5.14</v>
      </c>
      <c r="AW876" s="8" t="n">
        <f aca="false">IF(MAX($AN$2:$AN$921)=MIN($AN$2:$AN$921),50,ROUND((AN876-MIN($AN$2:$AN$921))/(MAX($AN$2:$AN$921)-MIN($AN$2:$AN$921))*100,2))</f>
        <v>35</v>
      </c>
      <c r="AX876" s="8" t="n">
        <f aca="false">AQ876*100</f>
        <v>0</v>
      </c>
      <c r="AY876" s="8" t="n">
        <f aca="false">AR876*100</f>
        <v>0</v>
      </c>
      <c r="AZ876" s="8" t="n">
        <f aca="false">IFERROR(ROUND(AS876*Assumptions!$I$6+AW876*Assumptions!$I$7+AT876*Assumptions!$I$8+AU876*Assumptions!$I$9+AV876*Assumptions!$I$10+AX876*Assumptions!$I$11+AY876*Assumptions!$I$12,2),"")</f>
        <v>34.6</v>
      </c>
      <c r="BA876" s="0" t="str">
        <f aca="false">IF(AZ876="","",IF(AZ876&lt;=Assumptions!$I$18,"Below Expectation",IF(AZ876&lt;=Assumptions!$I$19,"Developing",IF(AZ876&lt;=Assumptions!$I$20,"Meets Expectation",IF(AZ876&lt;=Assumptions!$I$21,"Exceeds","Star Performer")))))</f>
        <v>Below Expectation</v>
      </c>
      <c r="BB876" s="0" t="n">
        <f aca="false">IF(AZ876="",0,IF(AZ876&gt;=Assumptions!$I$26,1,0))</f>
        <v>0</v>
      </c>
      <c r="BC876" s="9" t="n">
        <f aca="false">IF(AL876="",2,AL876+2)</f>
        <v>2</v>
      </c>
      <c r="BD876" s="10" t="n">
        <f aca="false">IF(AM876="",ROUND(AVERAGE($AM$2:$AM$921),3),AM876)</f>
        <v>0.707</v>
      </c>
      <c r="BE876" s="9" t="n">
        <f aca="false">1-BD876</f>
        <v>0.293</v>
      </c>
    </row>
    <row r="877" customFormat="false" ht="14.25" hidden="true" customHeight="false" outlineLevel="0" collapsed="false">
      <c r="A877" s="4" t="n">
        <v>885</v>
      </c>
      <c r="B877" s="5" t="n">
        <v>55117500</v>
      </c>
      <c r="C877" s="5" t="s">
        <v>57</v>
      </c>
      <c r="D877" s="5" t="s">
        <v>2748</v>
      </c>
      <c r="E877" s="5" t="s">
        <v>299</v>
      </c>
      <c r="F877" s="5" t="s">
        <v>387</v>
      </c>
      <c r="G877" s="5" t="s">
        <v>388</v>
      </c>
      <c r="H877" s="5" t="s">
        <v>387</v>
      </c>
      <c r="I877" s="5" t="s">
        <v>63</v>
      </c>
      <c r="J877" s="5" t="s">
        <v>100</v>
      </c>
      <c r="K877" s="5" t="s">
        <v>65</v>
      </c>
      <c r="L877" s="6" t="n">
        <v>45443</v>
      </c>
      <c r="M877" s="5" t="s">
        <v>2200</v>
      </c>
      <c r="N877" s="6" t="n">
        <v>31665</v>
      </c>
      <c r="O877" s="5" t="s">
        <v>332</v>
      </c>
      <c r="P877" s="5" t="s">
        <v>333</v>
      </c>
      <c r="Q877" s="5" t="s">
        <v>1645</v>
      </c>
      <c r="R877" s="5" t="s">
        <v>1489</v>
      </c>
      <c r="S877" s="5" t="s">
        <v>1500</v>
      </c>
      <c r="T877" s="6"/>
      <c r="U877" s="6"/>
      <c r="V877" s="5"/>
      <c r="W877" s="5"/>
      <c r="X877" s="5"/>
      <c r="Y877" s="5" t="s">
        <v>631</v>
      </c>
      <c r="Z877" s="5" t="s">
        <v>141</v>
      </c>
      <c r="AA877" s="5" t="s">
        <v>2749</v>
      </c>
      <c r="AB877" s="0" t="n">
        <f aca="false">IFERROR(VALUE(R877),0)</f>
        <v>12</v>
      </c>
      <c r="AC877" s="0" t="n">
        <f aca="false">IFERROR(VALUE(M877),"")</f>
        <v>39.8</v>
      </c>
      <c r="AD877" s="0" t="n">
        <f aca="false">IFERROR(VALUE(Q877),"")</f>
        <v>2</v>
      </c>
      <c r="AE877" s="0" t="n">
        <f aca="false">IFERROR(VALUE(S877),"")</f>
        <v>14</v>
      </c>
      <c r="AF877" s="0" t="str">
        <f aca="false">IF(V877="","",VLOOKUP(V877,Assumptions!$B$6:$C$9,2,FALSE()))</f>
        <v/>
      </c>
      <c r="AG877" s="0" t="str">
        <f aca="false">IF(W877="","",VLOOKUP(W877,Assumptions!$B$6:$C$9,2,FALSE()))</f>
        <v/>
      </c>
      <c r="AH877" s="0" t="str">
        <f aca="false">IF(X877="","",VLOOKUP(X877,Assumptions!$B$6:$C$9,2,FALSE()))</f>
        <v/>
      </c>
      <c r="AI877" s="0" t="n">
        <f aca="false">IF(Y877="","",VLOOKUP(Y877,Assumptions!$B$6:$C$9,2,FALSE()))</f>
        <v>2</v>
      </c>
      <c r="AJ877" s="0" t="n">
        <f aca="false">IF(Z877="","",VLOOKUP(Z877,Assumptions!$B$6:$C$9,2,FALSE()))</f>
        <v>3</v>
      </c>
      <c r="AK877" s="7" t="n">
        <f aca="false">IFERROR(ROUND(AVERAGE(AF877:AJ877),3),"")</f>
        <v>2.5</v>
      </c>
      <c r="AL877" s="7" t="str">
        <f aca="false">IF(OR(AF877="",AJ877=""),"",AJ877-AF877)</f>
        <v/>
      </c>
      <c r="AM877" s="7" t="n">
        <f aca="false">IF(COUNT(AF877:AJ877)&gt;=2,ROUND(_xlfn.STDEV.S(AF877:AJ877),3),"")</f>
        <v>0.707</v>
      </c>
      <c r="AN877" s="7" t="n">
        <f aca="false">ROUND((IF(AF877="",0,AF877)*Assumptions!$F$15)+(IF(AG877="",0,AG877)*Assumptions!$F$16)+(IF(AH877="",0,AH877)*Assumptions!$F$17)+(IF(AI877="",0,AI877)*Assumptions!$F$18)+(IF(AJ877="",0,AJ877)*Assumptions!$F$19),3)</f>
        <v>1.4</v>
      </c>
      <c r="AO877" s="0" t="str">
        <f aca="false">IF(AC877&lt;=20,"",IF(AC877&lt;=Assumptions!$F$6,"20-30",IF(AC877&lt;=Assumptions!$F$7,"30-40",IF(AC877&lt;=Assumptions!$F$8,"40-50",IF(AC877&lt;=Assumptions!$F$9,"50-60",IF(AC877&lt;=Assumptions!$F$10,"60+",""))))))</f>
        <v>30-40</v>
      </c>
      <c r="AP877" s="0" t="str">
        <f aca="false">IFERROR(VLOOKUP(O877,Assumptions!$B$14:$C$26,2,FALSE()),"Other")</f>
        <v>Manager</v>
      </c>
      <c r="AQ877" s="0" t="n">
        <f aca="false">IF(T877="",0,1)</f>
        <v>0</v>
      </c>
      <c r="AR877" s="0" t="n">
        <f aca="false">IF(U877="",0,1)</f>
        <v>0</v>
      </c>
      <c r="AS877" s="8" t="n">
        <f aca="false">IF(AK877="","",IF(MAX($AK$2:$AK$921)=MIN($AK$2:$AK$921),50,ROUND((AK877-MIN($AK$2:$AK$921))/(MAX($AK$2:$AK$921)-MIN($AK$2:$AK$921))*100,2)))</f>
        <v>35.71</v>
      </c>
      <c r="AT877" s="8" t="n">
        <f aca="false">IF(MAX($BC$2:$BC$921)=MIN($BC$2:$BC$921),50,ROUND((BC877-MIN($BC$2:$BC$921))/(MAX($BC$2:$BC$921)-MIN($BC$2:$BC$921))*100,2))</f>
        <v>50</v>
      </c>
      <c r="AU877" s="8" t="n">
        <f aca="false">IF(MAX($BE$2:$BE$921)=MIN($BE$2:$BE$921),50,ROUND((BE877-MIN($BE$2:$BE$921))/(MAX($BE$2:$BE$921)-MIN($BE$2:$BE$921))*100,2))</f>
        <v>59.18</v>
      </c>
      <c r="AV877" s="8" t="n">
        <f aca="false">IF(MAX($AD$2:$AD$921)=MIN($AD$2:$AD$921),50,ROUND((AD877-MIN($AD$2:$AD$921))/(MAX($AD$2:$AD$921)-MIN($AD$2:$AD$921))*100,2))</f>
        <v>5.14</v>
      </c>
      <c r="AW877" s="8" t="n">
        <f aca="false">IF(MAX($AN$2:$AN$921)=MIN($AN$2:$AN$921),50,ROUND((AN877-MIN($AN$2:$AN$921))/(MAX($AN$2:$AN$921)-MIN($AN$2:$AN$921))*100,2))</f>
        <v>35</v>
      </c>
      <c r="AX877" s="8" t="n">
        <f aca="false">AQ877*100</f>
        <v>0</v>
      </c>
      <c r="AY877" s="8" t="n">
        <f aca="false">AR877*100</f>
        <v>0</v>
      </c>
      <c r="AZ877" s="8" t="n">
        <f aca="false">IFERROR(ROUND(AS877*Assumptions!$I$6+AW877*Assumptions!$I$7+AT877*Assumptions!$I$8+AU877*Assumptions!$I$9+AV877*Assumptions!$I$10+AX877*Assumptions!$I$11+AY877*Assumptions!$I$12,2),"")</f>
        <v>34.6</v>
      </c>
      <c r="BA877" s="0" t="str">
        <f aca="false">IF(AZ877="","",IF(AZ877&lt;=Assumptions!$I$18,"Below Expectation",IF(AZ877&lt;=Assumptions!$I$19,"Developing",IF(AZ877&lt;=Assumptions!$I$20,"Meets Expectation",IF(AZ877&lt;=Assumptions!$I$21,"Exceeds","Star Performer")))))</f>
        <v>Below Expectation</v>
      </c>
      <c r="BB877" s="0" t="n">
        <f aca="false">IF(AZ877="",0,IF(AZ877&gt;=Assumptions!$I$26,1,0))</f>
        <v>0</v>
      </c>
      <c r="BC877" s="9" t="n">
        <f aca="false">IF(AL877="",2,AL877+2)</f>
        <v>2</v>
      </c>
      <c r="BD877" s="10" t="n">
        <f aca="false">IF(AM877="",ROUND(AVERAGE($AM$2:$AM$921),3),AM877)</f>
        <v>0.707</v>
      </c>
      <c r="BE877" s="9" t="n">
        <f aca="false">1-BD877</f>
        <v>0.293</v>
      </c>
    </row>
    <row r="878" customFormat="false" ht="14.25" hidden="true" customHeight="false" outlineLevel="0" collapsed="false">
      <c r="A878" s="4" t="n">
        <v>892</v>
      </c>
      <c r="B878" s="5" t="n">
        <v>55127495</v>
      </c>
      <c r="C878" s="5" t="s">
        <v>57</v>
      </c>
      <c r="D878" s="5" t="s">
        <v>2750</v>
      </c>
      <c r="E878" s="5" t="s">
        <v>96</v>
      </c>
      <c r="F878" s="5" t="s">
        <v>2751</v>
      </c>
      <c r="G878" s="5" t="s">
        <v>1405</v>
      </c>
      <c r="H878" s="5" t="s">
        <v>1406</v>
      </c>
      <c r="I878" s="5" t="s">
        <v>63</v>
      </c>
      <c r="J878" s="5" t="s">
        <v>100</v>
      </c>
      <c r="K878" s="5" t="s">
        <v>2752</v>
      </c>
      <c r="L878" s="6" t="n">
        <v>45527</v>
      </c>
      <c r="M878" s="5" t="s">
        <v>1089</v>
      </c>
      <c r="N878" s="6" t="n">
        <v>31143</v>
      </c>
      <c r="O878" s="5" t="s">
        <v>332</v>
      </c>
      <c r="P878" s="5" t="s">
        <v>333</v>
      </c>
      <c r="Q878" s="5" t="s">
        <v>1872</v>
      </c>
      <c r="R878" s="5" t="s">
        <v>1151</v>
      </c>
      <c r="S878" s="5" t="s">
        <v>2072</v>
      </c>
      <c r="T878" s="6"/>
      <c r="U878" s="6"/>
      <c r="V878" s="5"/>
      <c r="W878" s="5"/>
      <c r="X878" s="5"/>
      <c r="Y878" s="5" t="s">
        <v>631</v>
      </c>
      <c r="Z878" s="5" t="s">
        <v>141</v>
      </c>
      <c r="AA878" s="5" t="s">
        <v>2753</v>
      </c>
      <c r="AB878" s="0" t="n">
        <f aca="false">IFERROR(VALUE(R878),0)</f>
        <v>11.11</v>
      </c>
      <c r="AC878" s="0" t="n">
        <f aca="false">IFERROR(VALUE(M878),"")</f>
        <v>41.2</v>
      </c>
      <c r="AD878" s="0" t="n">
        <f aca="false">IFERROR(VALUE(Q878),"")</f>
        <v>1.9</v>
      </c>
      <c r="AE878" s="0" t="n">
        <f aca="false">IFERROR(VALUE(S878),"")</f>
        <v>13.8</v>
      </c>
      <c r="AF878" s="0" t="str">
        <f aca="false">IF(V878="","",VLOOKUP(V878,Assumptions!$B$6:$C$9,2,FALSE()))</f>
        <v/>
      </c>
      <c r="AG878" s="0" t="str">
        <f aca="false">IF(W878="","",VLOOKUP(W878,Assumptions!$B$6:$C$9,2,FALSE()))</f>
        <v/>
      </c>
      <c r="AH878" s="0" t="str">
        <f aca="false">IF(X878="","",VLOOKUP(X878,Assumptions!$B$6:$C$9,2,FALSE()))</f>
        <v/>
      </c>
      <c r="AI878" s="0" t="n">
        <f aca="false">IF(Y878="","",VLOOKUP(Y878,Assumptions!$B$6:$C$9,2,FALSE()))</f>
        <v>2</v>
      </c>
      <c r="AJ878" s="0" t="n">
        <f aca="false">IF(Z878="","",VLOOKUP(Z878,Assumptions!$B$6:$C$9,2,FALSE()))</f>
        <v>3</v>
      </c>
      <c r="AK878" s="7" t="n">
        <f aca="false">IFERROR(ROUND(AVERAGE(AF878:AJ878),3),"")</f>
        <v>2.5</v>
      </c>
      <c r="AL878" s="7" t="str">
        <f aca="false">IF(OR(AF878="",AJ878=""),"",AJ878-AF878)</f>
        <v/>
      </c>
      <c r="AM878" s="7" t="n">
        <f aca="false">IF(COUNT(AF878:AJ878)&gt;=2,ROUND(_xlfn.STDEV.S(AF878:AJ878),3),"")</f>
        <v>0.707</v>
      </c>
      <c r="AN878" s="7" t="n">
        <f aca="false">ROUND((IF(AF878="",0,AF878)*Assumptions!$F$15)+(IF(AG878="",0,AG878)*Assumptions!$F$16)+(IF(AH878="",0,AH878)*Assumptions!$F$17)+(IF(AI878="",0,AI878)*Assumptions!$F$18)+(IF(AJ878="",0,AJ878)*Assumptions!$F$19),3)</f>
        <v>1.4</v>
      </c>
      <c r="AO878" s="0" t="str">
        <f aca="false">IF(AC878&lt;=20,"",IF(AC878&lt;=Assumptions!$F$6,"20-30",IF(AC878&lt;=Assumptions!$F$7,"30-40",IF(AC878&lt;=Assumptions!$F$8,"40-50",IF(AC878&lt;=Assumptions!$F$9,"50-60",IF(AC878&lt;=Assumptions!$F$10,"60+",""))))))</f>
        <v>40-50</v>
      </c>
      <c r="AP878" s="0" t="str">
        <f aca="false">IFERROR(VLOOKUP(O878,Assumptions!$B$14:$C$26,2,FALSE()),"Other")</f>
        <v>Manager</v>
      </c>
      <c r="AQ878" s="0" t="n">
        <f aca="false">IF(T878="",0,1)</f>
        <v>0</v>
      </c>
      <c r="AR878" s="0" t="n">
        <f aca="false">IF(U878="",0,1)</f>
        <v>0</v>
      </c>
      <c r="AS878" s="8" t="n">
        <f aca="false">IF(AK878="","",IF(MAX($AK$2:$AK$921)=MIN($AK$2:$AK$921),50,ROUND((AK878-MIN($AK$2:$AK$921))/(MAX($AK$2:$AK$921)-MIN($AK$2:$AK$921))*100,2)))</f>
        <v>35.71</v>
      </c>
      <c r="AT878" s="8" t="n">
        <f aca="false">IF(MAX($BC$2:$BC$921)=MIN($BC$2:$BC$921),50,ROUND((BC878-MIN($BC$2:$BC$921))/(MAX($BC$2:$BC$921)-MIN($BC$2:$BC$921))*100,2))</f>
        <v>50</v>
      </c>
      <c r="AU878" s="8" t="n">
        <f aca="false">IF(MAX($BE$2:$BE$921)=MIN($BE$2:$BE$921),50,ROUND((BE878-MIN($BE$2:$BE$921))/(MAX($BE$2:$BE$921)-MIN($BE$2:$BE$921))*100,2))</f>
        <v>59.18</v>
      </c>
      <c r="AV878" s="8" t="n">
        <f aca="false">IF(MAX($AD$2:$AD$921)=MIN($AD$2:$AD$921),50,ROUND((AD878-MIN($AD$2:$AD$921))/(MAX($AD$2:$AD$921)-MIN($AD$2:$AD$921))*100,2))</f>
        <v>4.87</v>
      </c>
      <c r="AW878" s="8" t="n">
        <f aca="false">IF(MAX($AN$2:$AN$921)=MIN($AN$2:$AN$921),50,ROUND((AN878-MIN($AN$2:$AN$921))/(MAX($AN$2:$AN$921)-MIN($AN$2:$AN$921))*100,2))</f>
        <v>35</v>
      </c>
      <c r="AX878" s="8" t="n">
        <f aca="false">AQ878*100</f>
        <v>0</v>
      </c>
      <c r="AY878" s="8" t="n">
        <f aca="false">AR878*100</f>
        <v>0</v>
      </c>
      <c r="AZ878" s="8" t="n">
        <f aca="false">IFERROR(ROUND(AS878*Assumptions!$I$6+AW878*Assumptions!$I$7+AT878*Assumptions!$I$8+AU878*Assumptions!$I$9+AV878*Assumptions!$I$10+AX878*Assumptions!$I$11+AY878*Assumptions!$I$12,2),"")</f>
        <v>34.58</v>
      </c>
      <c r="BA878" s="0" t="str">
        <f aca="false">IF(AZ878="","",IF(AZ878&lt;=Assumptions!$I$18,"Below Expectation",IF(AZ878&lt;=Assumptions!$I$19,"Developing",IF(AZ878&lt;=Assumptions!$I$20,"Meets Expectation",IF(AZ878&lt;=Assumptions!$I$21,"Exceeds","Star Performer")))))</f>
        <v>Below Expectation</v>
      </c>
      <c r="BB878" s="0" t="n">
        <f aca="false">IF(AZ878="",0,IF(AZ878&gt;=Assumptions!$I$26,1,0))</f>
        <v>0</v>
      </c>
      <c r="BC878" s="9" t="n">
        <f aca="false">IF(AL878="",2,AL878+2)</f>
        <v>2</v>
      </c>
      <c r="BD878" s="10" t="n">
        <f aca="false">IF(AM878="",ROUND(AVERAGE($AM$2:$AM$921),3),AM878)</f>
        <v>0.707</v>
      </c>
      <c r="BE878" s="9" t="n">
        <f aca="false">1-BD878</f>
        <v>0.293</v>
      </c>
    </row>
    <row r="879" customFormat="false" ht="14.25" hidden="true" customHeight="false" outlineLevel="0" collapsed="false">
      <c r="A879" s="4" t="n">
        <v>893</v>
      </c>
      <c r="B879" s="5" t="n">
        <v>55128222</v>
      </c>
      <c r="C879" s="5" t="s">
        <v>57</v>
      </c>
      <c r="D879" s="5" t="s">
        <v>2754</v>
      </c>
      <c r="E879" s="5" t="s">
        <v>299</v>
      </c>
      <c r="F879" s="5" t="s">
        <v>1406</v>
      </c>
      <c r="G879" s="5" t="s">
        <v>2755</v>
      </c>
      <c r="H879" s="5" t="s">
        <v>2756</v>
      </c>
      <c r="I879" s="5" t="s">
        <v>63</v>
      </c>
      <c r="J879" s="5" t="s">
        <v>100</v>
      </c>
      <c r="K879" s="5" t="s">
        <v>65</v>
      </c>
      <c r="L879" s="6" t="n">
        <v>45533</v>
      </c>
      <c r="M879" s="5" t="s">
        <v>833</v>
      </c>
      <c r="N879" s="6" t="n">
        <v>35076</v>
      </c>
      <c r="O879" s="5" t="s">
        <v>332</v>
      </c>
      <c r="P879" s="5" t="s">
        <v>333</v>
      </c>
      <c r="Q879" s="5" t="s">
        <v>1872</v>
      </c>
      <c r="R879" s="5" t="s">
        <v>1318</v>
      </c>
      <c r="S879" s="5" t="s">
        <v>711</v>
      </c>
      <c r="T879" s="6"/>
      <c r="U879" s="6"/>
      <c r="V879" s="5"/>
      <c r="W879" s="5"/>
      <c r="X879" s="5"/>
      <c r="Y879" s="5" t="s">
        <v>631</v>
      </c>
      <c r="Z879" s="5" t="s">
        <v>141</v>
      </c>
      <c r="AA879" s="5" t="s">
        <v>2757</v>
      </c>
      <c r="AB879" s="0" t="n">
        <f aca="false">IFERROR(VALUE(R879),0)</f>
        <v>4.11</v>
      </c>
      <c r="AC879" s="0" t="n">
        <f aca="false">IFERROR(VALUE(M879),"")</f>
        <v>30.4</v>
      </c>
      <c r="AD879" s="0" t="n">
        <f aca="false">IFERROR(VALUE(Q879),"")</f>
        <v>1.9</v>
      </c>
      <c r="AE879" s="0" t="n">
        <f aca="false">IFERROR(VALUE(S879),"")</f>
        <v>6.8</v>
      </c>
      <c r="AF879" s="0" t="str">
        <f aca="false">IF(V879="","",VLOOKUP(V879,Assumptions!$B$6:$C$9,2,FALSE()))</f>
        <v/>
      </c>
      <c r="AG879" s="0" t="str">
        <f aca="false">IF(W879="","",VLOOKUP(W879,Assumptions!$B$6:$C$9,2,FALSE()))</f>
        <v/>
      </c>
      <c r="AH879" s="0" t="str">
        <f aca="false">IF(X879="","",VLOOKUP(X879,Assumptions!$B$6:$C$9,2,FALSE()))</f>
        <v/>
      </c>
      <c r="AI879" s="0" t="n">
        <f aca="false">IF(Y879="","",VLOOKUP(Y879,Assumptions!$B$6:$C$9,2,FALSE()))</f>
        <v>2</v>
      </c>
      <c r="AJ879" s="0" t="n">
        <f aca="false">IF(Z879="","",VLOOKUP(Z879,Assumptions!$B$6:$C$9,2,FALSE()))</f>
        <v>3</v>
      </c>
      <c r="AK879" s="7" t="n">
        <f aca="false">IFERROR(ROUND(AVERAGE(AF879:AJ879),3),"")</f>
        <v>2.5</v>
      </c>
      <c r="AL879" s="7" t="str">
        <f aca="false">IF(OR(AF879="",AJ879=""),"",AJ879-AF879)</f>
        <v/>
      </c>
      <c r="AM879" s="7" t="n">
        <f aca="false">IF(COUNT(AF879:AJ879)&gt;=2,ROUND(_xlfn.STDEV.S(AF879:AJ879),3),"")</f>
        <v>0.707</v>
      </c>
      <c r="AN879" s="7" t="n">
        <f aca="false">ROUND((IF(AF879="",0,AF879)*Assumptions!$F$15)+(IF(AG879="",0,AG879)*Assumptions!$F$16)+(IF(AH879="",0,AH879)*Assumptions!$F$17)+(IF(AI879="",0,AI879)*Assumptions!$F$18)+(IF(AJ879="",0,AJ879)*Assumptions!$F$19),3)</f>
        <v>1.4</v>
      </c>
      <c r="AO879" s="0" t="str">
        <f aca="false">IF(AC879&lt;=20,"",IF(AC879&lt;=Assumptions!$F$6,"20-30",IF(AC879&lt;=Assumptions!$F$7,"30-40",IF(AC879&lt;=Assumptions!$F$8,"40-50",IF(AC879&lt;=Assumptions!$F$9,"50-60",IF(AC879&lt;=Assumptions!$F$10,"60+",""))))))</f>
        <v>30-40</v>
      </c>
      <c r="AP879" s="0" t="str">
        <f aca="false">IFERROR(VLOOKUP(O879,Assumptions!$B$14:$C$26,2,FALSE()),"Other")</f>
        <v>Manager</v>
      </c>
      <c r="AQ879" s="0" t="n">
        <f aca="false">IF(T879="",0,1)</f>
        <v>0</v>
      </c>
      <c r="AR879" s="0" t="n">
        <f aca="false">IF(U879="",0,1)</f>
        <v>0</v>
      </c>
      <c r="AS879" s="8" t="n">
        <f aca="false">IF(AK879="","",IF(MAX($AK$2:$AK$921)=MIN($AK$2:$AK$921),50,ROUND((AK879-MIN($AK$2:$AK$921))/(MAX($AK$2:$AK$921)-MIN($AK$2:$AK$921))*100,2)))</f>
        <v>35.71</v>
      </c>
      <c r="AT879" s="8" t="n">
        <f aca="false">IF(MAX($BC$2:$BC$921)=MIN($BC$2:$BC$921),50,ROUND((BC879-MIN($BC$2:$BC$921))/(MAX($BC$2:$BC$921)-MIN($BC$2:$BC$921))*100,2))</f>
        <v>50</v>
      </c>
      <c r="AU879" s="8" t="n">
        <f aca="false">IF(MAX($BE$2:$BE$921)=MIN($BE$2:$BE$921),50,ROUND((BE879-MIN($BE$2:$BE$921))/(MAX($BE$2:$BE$921)-MIN($BE$2:$BE$921))*100,2))</f>
        <v>59.18</v>
      </c>
      <c r="AV879" s="8" t="n">
        <f aca="false">IF(MAX($AD$2:$AD$921)=MIN($AD$2:$AD$921),50,ROUND((AD879-MIN($AD$2:$AD$921))/(MAX($AD$2:$AD$921)-MIN($AD$2:$AD$921))*100,2))</f>
        <v>4.87</v>
      </c>
      <c r="AW879" s="8" t="n">
        <f aca="false">IF(MAX($AN$2:$AN$921)=MIN($AN$2:$AN$921),50,ROUND((AN879-MIN($AN$2:$AN$921))/(MAX($AN$2:$AN$921)-MIN($AN$2:$AN$921))*100,2))</f>
        <v>35</v>
      </c>
      <c r="AX879" s="8" t="n">
        <f aca="false">AQ879*100</f>
        <v>0</v>
      </c>
      <c r="AY879" s="8" t="n">
        <f aca="false">AR879*100</f>
        <v>0</v>
      </c>
      <c r="AZ879" s="8" t="n">
        <f aca="false">IFERROR(ROUND(AS879*Assumptions!$I$6+AW879*Assumptions!$I$7+AT879*Assumptions!$I$8+AU879*Assumptions!$I$9+AV879*Assumptions!$I$10+AX879*Assumptions!$I$11+AY879*Assumptions!$I$12,2),"")</f>
        <v>34.58</v>
      </c>
      <c r="BA879" s="0" t="str">
        <f aca="false">IF(AZ879="","",IF(AZ879&lt;=Assumptions!$I$18,"Below Expectation",IF(AZ879&lt;=Assumptions!$I$19,"Developing",IF(AZ879&lt;=Assumptions!$I$20,"Meets Expectation",IF(AZ879&lt;=Assumptions!$I$21,"Exceeds","Star Performer")))))</f>
        <v>Below Expectation</v>
      </c>
      <c r="BB879" s="0" t="n">
        <f aca="false">IF(AZ879="",0,IF(AZ879&gt;=Assumptions!$I$26,1,0))</f>
        <v>0</v>
      </c>
      <c r="BC879" s="9" t="n">
        <f aca="false">IF(AL879="",2,AL879+2)</f>
        <v>2</v>
      </c>
      <c r="BD879" s="10" t="n">
        <f aca="false">IF(AM879="",ROUND(AVERAGE($AM$2:$AM$921),3),AM879)</f>
        <v>0.707</v>
      </c>
      <c r="BE879" s="9" t="n">
        <f aca="false">1-BD879</f>
        <v>0.293</v>
      </c>
    </row>
    <row r="880" customFormat="false" ht="14.25" hidden="true" customHeight="false" outlineLevel="0" collapsed="false">
      <c r="A880" s="4" t="n">
        <v>897</v>
      </c>
      <c r="B880" s="5" t="n">
        <v>55132870</v>
      </c>
      <c r="C880" s="5" t="s">
        <v>149</v>
      </c>
      <c r="D880" s="5" t="s">
        <v>2758</v>
      </c>
      <c r="E880" s="5" t="s">
        <v>151</v>
      </c>
      <c r="F880" s="5" t="s">
        <v>2288</v>
      </c>
      <c r="G880" s="5" t="s">
        <v>2289</v>
      </c>
      <c r="H880" s="5" t="s">
        <v>2290</v>
      </c>
      <c r="I880" s="5" t="s">
        <v>63</v>
      </c>
      <c r="J880" s="5" t="s">
        <v>100</v>
      </c>
      <c r="K880" s="5" t="s">
        <v>65</v>
      </c>
      <c r="L880" s="6" t="n">
        <v>45573</v>
      </c>
      <c r="M880" s="5" t="s">
        <v>277</v>
      </c>
      <c r="N880" s="6" t="n">
        <v>34694</v>
      </c>
      <c r="O880" s="5" t="s">
        <v>365</v>
      </c>
      <c r="P880" s="5" t="s">
        <v>365</v>
      </c>
      <c r="Q880" s="5" t="s">
        <v>1463</v>
      </c>
      <c r="R880" s="5" t="s">
        <v>506</v>
      </c>
      <c r="S880" s="5" t="s">
        <v>1215</v>
      </c>
      <c r="T880" s="6"/>
      <c r="U880" s="6"/>
      <c r="V880" s="5"/>
      <c r="W880" s="5"/>
      <c r="X880" s="5"/>
      <c r="Y880" s="5" t="s">
        <v>631</v>
      </c>
      <c r="Z880" s="5" t="s">
        <v>141</v>
      </c>
      <c r="AA880" s="5" t="s">
        <v>2759</v>
      </c>
      <c r="AB880" s="0" t="n">
        <f aca="false">IFERROR(VALUE(R880),0)</f>
        <v>6.1</v>
      </c>
      <c r="AC880" s="0" t="n">
        <f aca="false">IFERROR(VALUE(M880),"")</f>
        <v>31.5</v>
      </c>
      <c r="AD880" s="0" t="n">
        <f aca="false">IFERROR(VALUE(Q880),"")</f>
        <v>1.8</v>
      </c>
      <c r="AE880" s="0" t="n">
        <f aca="false">IFERROR(VALUE(S880),"")</f>
        <v>7.9</v>
      </c>
      <c r="AF880" s="0" t="str">
        <f aca="false">IF(V880="","",VLOOKUP(V880,Assumptions!$B$6:$C$9,2,FALSE()))</f>
        <v/>
      </c>
      <c r="AG880" s="0" t="str">
        <f aca="false">IF(W880="","",VLOOKUP(W880,Assumptions!$B$6:$C$9,2,FALSE()))</f>
        <v/>
      </c>
      <c r="AH880" s="0" t="str">
        <f aca="false">IF(X880="","",VLOOKUP(X880,Assumptions!$B$6:$C$9,2,FALSE()))</f>
        <v/>
      </c>
      <c r="AI880" s="0" t="n">
        <f aca="false">IF(Y880="","",VLOOKUP(Y880,Assumptions!$B$6:$C$9,2,FALSE()))</f>
        <v>2</v>
      </c>
      <c r="AJ880" s="0" t="n">
        <f aca="false">IF(Z880="","",VLOOKUP(Z880,Assumptions!$B$6:$C$9,2,FALSE()))</f>
        <v>3</v>
      </c>
      <c r="AK880" s="7" t="n">
        <f aca="false">IFERROR(ROUND(AVERAGE(AF880:AJ880),3),"")</f>
        <v>2.5</v>
      </c>
      <c r="AL880" s="7" t="str">
        <f aca="false">IF(OR(AF880="",AJ880=""),"",AJ880-AF880)</f>
        <v/>
      </c>
      <c r="AM880" s="7" t="n">
        <f aca="false">IF(COUNT(AF880:AJ880)&gt;=2,ROUND(_xlfn.STDEV.S(AF880:AJ880),3),"")</f>
        <v>0.707</v>
      </c>
      <c r="AN880" s="7" t="n">
        <f aca="false">ROUND((IF(AF880="",0,AF880)*Assumptions!$F$15)+(IF(AG880="",0,AG880)*Assumptions!$F$16)+(IF(AH880="",0,AH880)*Assumptions!$F$17)+(IF(AI880="",0,AI880)*Assumptions!$F$18)+(IF(AJ880="",0,AJ880)*Assumptions!$F$19),3)</f>
        <v>1.4</v>
      </c>
      <c r="AO880" s="0" t="str">
        <f aca="false">IF(AC880&lt;=20,"",IF(AC880&lt;=Assumptions!$F$6,"20-30",IF(AC880&lt;=Assumptions!$F$7,"30-40",IF(AC880&lt;=Assumptions!$F$8,"40-50",IF(AC880&lt;=Assumptions!$F$9,"50-60",IF(AC880&lt;=Assumptions!$F$10,"60+",""))))))</f>
        <v>30-40</v>
      </c>
      <c r="AP880" s="0" t="str">
        <f aca="false">IFERROR(VLOOKUP(O880,Assumptions!$B$14:$C$26,2,FALSE()),"Other")</f>
        <v>Manager</v>
      </c>
      <c r="AQ880" s="0" t="n">
        <f aca="false">IF(T880="",0,1)</f>
        <v>0</v>
      </c>
      <c r="AR880" s="0" t="n">
        <f aca="false">IF(U880="",0,1)</f>
        <v>0</v>
      </c>
      <c r="AS880" s="8" t="n">
        <f aca="false">IF(AK880="","",IF(MAX($AK$2:$AK$921)=MIN($AK$2:$AK$921),50,ROUND((AK880-MIN($AK$2:$AK$921))/(MAX($AK$2:$AK$921)-MIN($AK$2:$AK$921))*100,2)))</f>
        <v>35.71</v>
      </c>
      <c r="AT880" s="8" t="n">
        <f aca="false">IF(MAX($BC$2:$BC$921)=MIN($BC$2:$BC$921),50,ROUND((BC880-MIN($BC$2:$BC$921))/(MAX($BC$2:$BC$921)-MIN($BC$2:$BC$921))*100,2))</f>
        <v>50</v>
      </c>
      <c r="AU880" s="8" t="n">
        <f aca="false">IF(MAX($BE$2:$BE$921)=MIN($BE$2:$BE$921),50,ROUND((BE880-MIN($BE$2:$BE$921))/(MAX($BE$2:$BE$921)-MIN($BE$2:$BE$921))*100,2))</f>
        <v>59.18</v>
      </c>
      <c r="AV880" s="8" t="n">
        <f aca="false">IF(MAX($AD$2:$AD$921)=MIN($AD$2:$AD$921),50,ROUND((AD880-MIN($AD$2:$AD$921))/(MAX($AD$2:$AD$921)-MIN($AD$2:$AD$921))*100,2))</f>
        <v>4.59</v>
      </c>
      <c r="AW880" s="8" t="n">
        <f aca="false">IF(MAX($AN$2:$AN$921)=MIN($AN$2:$AN$921),50,ROUND((AN880-MIN($AN$2:$AN$921))/(MAX($AN$2:$AN$921)-MIN($AN$2:$AN$921))*100,2))</f>
        <v>35</v>
      </c>
      <c r="AX880" s="8" t="n">
        <f aca="false">AQ880*100</f>
        <v>0</v>
      </c>
      <c r="AY880" s="8" t="n">
        <f aca="false">AR880*100</f>
        <v>0</v>
      </c>
      <c r="AZ880" s="8" t="n">
        <f aca="false">IFERROR(ROUND(AS880*Assumptions!$I$6+AW880*Assumptions!$I$7+AT880*Assumptions!$I$8+AU880*Assumptions!$I$9+AV880*Assumptions!$I$10+AX880*Assumptions!$I$11+AY880*Assumptions!$I$12,2),"")</f>
        <v>34.55</v>
      </c>
      <c r="BA880" s="0" t="str">
        <f aca="false">IF(AZ880="","",IF(AZ880&lt;=Assumptions!$I$18,"Below Expectation",IF(AZ880&lt;=Assumptions!$I$19,"Developing",IF(AZ880&lt;=Assumptions!$I$20,"Meets Expectation",IF(AZ880&lt;=Assumptions!$I$21,"Exceeds","Star Performer")))))</f>
        <v>Below Expectation</v>
      </c>
      <c r="BB880" s="0" t="n">
        <f aca="false">IF(AZ880="",0,IF(AZ880&gt;=Assumptions!$I$26,1,0))</f>
        <v>0</v>
      </c>
      <c r="BC880" s="9" t="n">
        <f aca="false">IF(AL880="",2,AL880+2)</f>
        <v>2</v>
      </c>
      <c r="BD880" s="10" t="n">
        <f aca="false">IF(AM880="",ROUND(AVERAGE($AM$2:$AM$921),3),AM880)</f>
        <v>0.707</v>
      </c>
      <c r="BE880" s="9" t="n">
        <f aca="false">1-BD880</f>
        <v>0.293</v>
      </c>
    </row>
    <row r="881" customFormat="false" ht="14.25" hidden="false" customHeight="false" outlineLevel="0" collapsed="false">
      <c r="A881" s="4" t="n">
        <v>898</v>
      </c>
      <c r="B881" s="5" t="n">
        <v>55135324</v>
      </c>
      <c r="C881" s="5" t="s">
        <v>106</v>
      </c>
      <c r="D881" s="5" t="s">
        <v>2760</v>
      </c>
      <c r="E881" s="5" t="s">
        <v>1494</v>
      </c>
      <c r="F881" s="5" t="s">
        <v>2761</v>
      </c>
      <c r="G881" s="5" t="s">
        <v>2762</v>
      </c>
      <c r="H881" s="5" t="s">
        <v>2761</v>
      </c>
      <c r="I881" s="5" t="s">
        <v>63</v>
      </c>
      <c r="J881" s="5" t="s">
        <v>112</v>
      </c>
      <c r="K881" s="5" t="s">
        <v>309</v>
      </c>
      <c r="L881" s="6" t="n">
        <v>45602</v>
      </c>
      <c r="M881" s="5" t="s">
        <v>182</v>
      </c>
      <c r="N881" s="6" t="n">
        <v>36361</v>
      </c>
      <c r="O881" s="5" t="s">
        <v>1264</v>
      </c>
      <c r="P881" s="5" t="s">
        <v>1559</v>
      </c>
      <c r="Q881" s="5" t="s">
        <v>1486</v>
      </c>
      <c r="R881" s="5" t="s">
        <v>1042</v>
      </c>
      <c r="S881" s="5" t="s">
        <v>523</v>
      </c>
      <c r="T881" s="6"/>
      <c r="U881" s="6"/>
      <c r="V881" s="5"/>
      <c r="W881" s="5"/>
      <c r="X881" s="5"/>
      <c r="Y881" s="5" t="s">
        <v>631</v>
      </c>
      <c r="Z881" s="5" t="s">
        <v>141</v>
      </c>
      <c r="AA881" s="5" t="s">
        <v>2763</v>
      </c>
      <c r="AB881" s="0" t="n">
        <f aca="false">IFERROR(VALUE(R881),0)</f>
        <v>3.3</v>
      </c>
      <c r="AC881" s="0" t="n">
        <f aca="false">IFERROR(VALUE(M881),"")</f>
        <v>26.1</v>
      </c>
      <c r="AD881" s="0" t="n">
        <f aca="false">IFERROR(VALUE(Q881),"")</f>
        <v>1.7</v>
      </c>
      <c r="AE881" s="0" t="n">
        <f aca="false">IFERROR(VALUE(S881),"")</f>
        <v>4.1</v>
      </c>
      <c r="AF881" s="0" t="str">
        <f aca="false">IF(V881="","",VLOOKUP(V881,Assumptions!$B$6:$C$9,2,FALSE()))</f>
        <v/>
      </c>
      <c r="AG881" s="0" t="str">
        <f aca="false">IF(W881="","",VLOOKUP(W881,Assumptions!$B$6:$C$9,2,FALSE()))</f>
        <v/>
      </c>
      <c r="AH881" s="0" t="str">
        <f aca="false">IF(X881="","",VLOOKUP(X881,Assumptions!$B$6:$C$9,2,FALSE()))</f>
        <v/>
      </c>
      <c r="AI881" s="0" t="n">
        <f aca="false">IF(Y881="","",VLOOKUP(Y881,Assumptions!$B$6:$C$9,2,FALSE()))</f>
        <v>2</v>
      </c>
      <c r="AJ881" s="0" t="n">
        <f aca="false">IF(Z881="","",VLOOKUP(Z881,Assumptions!$B$6:$C$9,2,FALSE()))</f>
        <v>3</v>
      </c>
      <c r="AK881" s="7" t="n">
        <f aca="false">IFERROR(ROUND(AVERAGE(AF881:AJ881),3),"")</f>
        <v>2.5</v>
      </c>
      <c r="AL881" s="7" t="str">
        <f aca="false">IF(OR(AF881="",AJ881=""),"",AJ881-AF881)</f>
        <v/>
      </c>
      <c r="AM881" s="7" t="n">
        <f aca="false">IF(COUNT(AF881:AJ881)&gt;=2,ROUND(_xlfn.STDEV.S(AF881:AJ881),3),"")</f>
        <v>0.707</v>
      </c>
      <c r="AN881" s="7" t="n">
        <f aca="false">ROUND((IF(AF881="",0,AF881)*Assumptions!$F$15)+(IF(AG881="",0,AG881)*Assumptions!$F$16)+(IF(AH881="",0,AH881)*Assumptions!$F$17)+(IF(AI881="",0,AI881)*Assumptions!$F$18)+(IF(AJ881="",0,AJ881)*Assumptions!$F$19),3)</f>
        <v>1.4</v>
      </c>
      <c r="AO881" s="0" t="str">
        <f aca="false">IF(AC881&lt;=20,"",IF(AC881&lt;=Assumptions!$F$6,"20-30",IF(AC881&lt;=Assumptions!$F$7,"30-40",IF(AC881&lt;=Assumptions!$F$8,"40-50",IF(AC881&lt;=Assumptions!$F$9,"50-60",IF(AC881&lt;=Assumptions!$F$10,"60+",""))))))</f>
        <v>20-30</v>
      </c>
      <c r="AP881" s="0" t="str">
        <f aca="false">IFERROR(VLOOKUP(O881,Assumptions!$B$14:$C$26,2,FALSE()),"Other")</f>
        <v>Manager</v>
      </c>
      <c r="AQ881" s="0" t="n">
        <f aca="false">IF(T881="",0,1)</f>
        <v>0</v>
      </c>
      <c r="AR881" s="0" t="n">
        <f aca="false">IF(U881="",0,1)</f>
        <v>0</v>
      </c>
      <c r="AS881" s="8" t="n">
        <f aca="false">IF(AK881="","",IF(MAX($AK$2:$AK$921)=MIN($AK$2:$AK$921),50,ROUND((AK881-MIN($AK$2:$AK$921))/(MAX($AK$2:$AK$921)-MIN($AK$2:$AK$921))*100,2)))</f>
        <v>35.71</v>
      </c>
      <c r="AT881" s="8" t="n">
        <f aca="false">IF(MAX($BC$2:$BC$921)=MIN($BC$2:$BC$921),50,ROUND((BC881-MIN($BC$2:$BC$921))/(MAX($BC$2:$BC$921)-MIN($BC$2:$BC$921))*100,2))</f>
        <v>50</v>
      </c>
      <c r="AU881" s="8" t="n">
        <f aca="false">IF(MAX($BE$2:$BE$921)=MIN($BE$2:$BE$921),50,ROUND((BE881-MIN($BE$2:$BE$921))/(MAX($BE$2:$BE$921)-MIN($BE$2:$BE$921))*100,2))</f>
        <v>59.18</v>
      </c>
      <c r="AV881" s="8" t="n">
        <f aca="false">IF(MAX($AD$2:$AD$921)=MIN($AD$2:$AD$921),50,ROUND((AD881-MIN($AD$2:$AD$921))/(MAX($AD$2:$AD$921)-MIN($AD$2:$AD$921))*100,2))</f>
        <v>4.32</v>
      </c>
      <c r="AW881" s="8" t="n">
        <f aca="false">IF(MAX($AN$2:$AN$921)=MIN($AN$2:$AN$921),50,ROUND((AN881-MIN($AN$2:$AN$921))/(MAX($AN$2:$AN$921)-MIN($AN$2:$AN$921))*100,2))</f>
        <v>35</v>
      </c>
      <c r="AX881" s="8" t="n">
        <f aca="false">AQ881*100</f>
        <v>0</v>
      </c>
      <c r="AY881" s="8" t="n">
        <f aca="false">AR881*100</f>
        <v>0</v>
      </c>
      <c r="AZ881" s="8" t="n">
        <f aca="false">IFERROR(ROUND(AS881*Assumptions!$I$6+AW881*Assumptions!$I$7+AT881*Assumptions!$I$8+AU881*Assumptions!$I$9+AV881*Assumptions!$I$10+AX881*Assumptions!$I$11+AY881*Assumptions!$I$12,2),"")</f>
        <v>34.52</v>
      </c>
      <c r="BA881" s="0" t="str">
        <f aca="false">IF(AZ881="","",IF(AZ881&lt;=Assumptions!$I$18,"Below Expectation",IF(AZ881&lt;=Assumptions!$I$19,"Developing",IF(AZ881&lt;=Assumptions!$I$20,"Meets Expectation",IF(AZ881&lt;=Assumptions!$I$21,"Exceeds","Star Performer")))))</f>
        <v>Below Expectation</v>
      </c>
      <c r="BB881" s="0" t="n">
        <f aca="false">IF(AZ881="",0,IF(AZ881&gt;=Assumptions!$I$26,1,0))</f>
        <v>0</v>
      </c>
      <c r="BC881" s="9" t="n">
        <f aca="false">IF(AL881="",2,AL881+2)</f>
        <v>2</v>
      </c>
      <c r="BD881" s="10" t="n">
        <f aca="false">IF(AM881="",ROUND(AVERAGE($AM$2:$AM$921),3),AM881)</f>
        <v>0.707</v>
      </c>
      <c r="BE881" s="9" t="n">
        <f aca="false">1-BD881</f>
        <v>0.293</v>
      </c>
    </row>
    <row r="882" customFormat="false" ht="14.25" hidden="true" customHeight="false" outlineLevel="0" collapsed="false">
      <c r="A882" s="4" t="n">
        <v>900</v>
      </c>
      <c r="B882" s="5" t="n">
        <v>55136807</v>
      </c>
      <c r="C882" s="5" t="s">
        <v>149</v>
      </c>
      <c r="D882" s="5" t="s">
        <v>2764</v>
      </c>
      <c r="E882" s="5" t="s">
        <v>449</v>
      </c>
      <c r="F882" s="5" t="s">
        <v>2288</v>
      </c>
      <c r="G882" s="5" t="s">
        <v>2289</v>
      </c>
      <c r="H882" s="5" t="s">
        <v>2290</v>
      </c>
      <c r="I882" s="5" t="s">
        <v>63</v>
      </c>
      <c r="J882" s="5" t="s">
        <v>100</v>
      </c>
      <c r="K882" s="5" t="s">
        <v>309</v>
      </c>
      <c r="L882" s="6" t="n">
        <v>45617</v>
      </c>
      <c r="M882" s="5" t="s">
        <v>1379</v>
      </c>
      <c r="N882" s="6" t="n">
        <v>34990</v>
      </c>
      <c r="O882" s="5" t="s">
        <v>332</v>
      </c>
      <c r="P882" s="5" t="s">
        <v>333</v>
      </c>
      <c r="Q882" s="5" t="s">
        <v>636</v>
      </c>
      <c r="R882" s="5" t="s">
        <v>711</v>
      </c>
      <c r="S882" s="5" t="s">
        <v>1158</v>
      </c>
      <c r="T882" s="6"/>
      <c r="U882" s="6"/>
      <c r="V882" s="5"/>
      <c r="W882" s="5"/>
      <c r="X882" s="5"/>
      <c r="Y882" s="5" t="s">
        <v>631</v>
      </c>
      <c r="Z882" s="5" t="s">
        <v>141</v>
      </c>
      <c r="AA882" s="5" t="s">
        <v>2765</v>
      </c>
      <c r="AB882" s="0" t="n">
        <f aca="false">IFERROR(VALUE(R882),0)</f>
        <v>6.8</v>
      </c>
      <c r="AC882" s="0" t="n">
        <f aca="false">IFERROR(VALUE(M882),"")</f>
        <v>30.7</v>
      </c>
      <c r="AD882" s="0" t="n">
        <f aca="false">IFERROR(VALUE(Q882),"")</f>
        <v>1.6</v>
      </c>
      <c r="AE882" s="0" t="n">
        <f aca="false">IFERROR(VALUE(S882),"")</f>
        <v>8.2</v>
      </c>
      <c r="AF882" s="0" t="str">
        <f aca="false">IF(V882="","",VLOOKUP(V882,Assumptions!$B$6:$C$9,2,FALSE()))</f>
        <v/>
      </c>
      <c r="AG882" s="0" t="str">
        <f aca="false">IF(W882="","",VLOOKUP(W882,Assumptions!$B$6:$C$9,2,FALSE()))</f>
        <v/>
      </c>
      <c r="AH882" s="0" t="str">
        <f aca="false">IF(X882="","",VLOOKUP(X882,Assumptions!$B$6:$C$9,2,FALSE()))</f>
        <v/>
      </c>
      <c r="AI882" s="0" t="n">
        <f aca="false">IF(Y882="","",VLOOKUP(Y882,Assumptions!$B$6:$C$9,2,FALSE()))</f>
        <v>2</v>
      </c>
      <c r="AJ882" s="0" t="n">
        <f aca="false">IF(Z882="","",VLOOKUP(Z882,Assumptions!$B$6:$C$9,2,FALSE()))</f>
        <v>3</v>
      </c>
      <c r="AK882" s="7" t="n">
        <f aca="false">IFERROR(ROUND(AVERAGE(AF882:AJ882),3),"")</f>
        <v>2.5</v>
      </c>
      <c r="AL882" s="7" t="str">
        <f aca="false">IF(OR(AF882="",AJ882=""),"",AJ882-AF882)</f>
        <v/>
      </c>
      <c r="AM882" s="7" t="n">
        <f aca="false">IF(COUNT(AF882:AJ882)&gt;=2,ROUND(_xlfn.STDEV.S(AF882:AJ882),3),"")</f>
        <v>0.707</v>
      </c>
      <c r="AN882" s="7" t="n">
        <f aca="false">ROUND((IF(AF882="",0,AF882)*Assumptions!$F$15)+(IF(AG882="",0,AG882)*Assumptions!$F$16)+(IF(AH882="",0,AH882)*Assumptions!$F$17)+(IF(AI882="",0,AI882)*Assumptions!$F$18)+(IF(AJ882="",0,AJ882)*Assumptions!$F$19),3)</f>
        <v>1.4</v>
      </c>
      <c r="AO882" s="0" t="str">
        <f aca="false">IF(AC882&lt;=20,"",IF(AC882&lt;=Assumptions!$F$6,"20-30",IF(AC882&lt;=Assumptions!$F$7,"30-40",IF(AC882&lt;=Assumptions!$F$8,"40-50",IF(AC882&lt;=Assumptions!$F$9,"50-60",IF(AC882&lt;=Assumptions!$F$10,"60+",""))))))</f>
        <v>30-40</v>
      </c>
      <c r="AP882" s="0" t="str">
        <f aca="false">IFERROR(VLOOKUP(O882,Assumptions!$B$14:$C$26,2,FALSE()),"Other")</f>
        <v>Manager</v>
      </c>
      <c r="AQ882" s="0" t="n">
        <f aca="false">IF(T882="",0,1)</f>
        <v>0</v>
      </c>
      <c r="AR882" s="0" t="n">
        <f aca="false">IF(U882="",0,1)</f>
        <v>0</v>
      </c>
      <c r="AS882" s="8" t="n">
        <f aca="false">IF(AK882="","",IF(MAX($AK$2:$AK$921)=MIN($AK$2:$AK$921),50,ROUND((AK882-MIN($AK$2:$AK$921))/(MAX($AK$2:$AK$921)-MIN($AK$2:$AK$921))*100,2)))</f>
        <v>35.71</v>
      </c>
      <c r="AT882" s="8" t="n">
        <f aca="false">IF(MAX($BC$2:$BC$921)=MIN($BC$2:$BC$921),50,ROUND((BC882-MIN($BC$2:$BC$921))/(MAX($BC$2:$BC$921)-MIN($BC$2:$BC$921))*100,2))</f>
        <v>50</v>
      </c>
      <c r="AU882" s="8" t="n">
        <f aca="false">IF(MAX($BE$2:$BE$921)=MIN($BE$2:$BE$921),50,ROUND((BE882-MIN($BE$2:$BE$921))/(MAX($BE$2:$BE$921)-MIN($BE$2:$BE$921))*100,2))</f>
        <v>59.18</v>
      </c>
      <c r="AV882" s="8" t="n">
        <f aca="false">IF(MAX($AD$2:$AD$921)=MIN($AD$2:$AD$921),50,ROUND((AD882-MIN($AD$2:$AD$921))/(MAX($AD$2:$AD$921)-MIN($AD$2:$AD$921))*100,2))</f>
        <v>4.05</v>
      </c>
      <c r="AW882" s="8" t="n">
        <f aca="false">IF(MAX($AN$2:$AN$921)=MIN($AN$2:$AN$921),50,ROUND((AN882-MIN($AN$2:$AN$921))/(MAX($AN$2:$AN$921)-MIN($AN$2:$AN$921))*100,2))</f>
        <v>35</v>
      </c>
      <c r="AX882" s="8" t="n">
        <f aca="false">AQ882*100</f>
        <v>0</v>
      </c>
      <c r="AY882" s="8" t="n">
        <f aca="false">AR882*100</f>
        <v>0</v>
      </c>
      <c r="AZ882" s="8" t="n">
        <f aca="false">IFERROR(ROUND(AS882*Assumptions!$I$6+AW882*Assumptions!$I$7+AT882*Assumptions!$I$8+AU882*Assumptions!$I$9+AV882*Assumptions!$I$10+AX882*Assumptions!$I$11+AY882*Assumptions!$I$12,2),"")</f>
        <v>34.5</v>
      </c>
      <c r="BA882" s="0" t="str">
        <f aca="false">IF(AZ882="","",IF(AZ882&lt;=Assumptions!$I$18,"Below Expectation",IF(AZ882&lt;=Assumptions!$I$19,"Developing",IF(AZ882&lt;=Assumptions!$I$20,"Meets Expectation",IF(AZ882&lt;=Assumptions!$I$21,"Exceeds","Star Performer")))))</f>
        <v>Below Expectation</v>
      </c>
      <c r="BB882" s="0" t="n">
        <f aca="false">IF(AZ882="",0,IF(AZ882&gt;=Assumptions!$I$26,1,0))</f>
        <v>0</v>
      </c>
      <c r="BC882" s="9" t="n">
        <f aca="false">IF(AL882="",2,AL882+2)</f>
        <v>2</v>
      </c>
      <c r="BD882" s="10" t="n">
        <f aca="false">IF(AM882="",ROUND(AVERAGE($AM$2:$AM$921),3),AM882)</f>
        <v>0.707</v>
      </c>
      <c r="BE882" s="9" t="n">
        <f aca="false">1-BD882</f>
        <v>0.293</v>
      </c>
    </row>
    <row r="883" customFormat="false" ht="14.25" hidden="true" customHeight="false" outlineLevel="0" collapsed="false">
      <c r="A883" s="4" t="n">
        <v>901</v>
      </c>
      <c r="B883" s="5" t="n">
        <v>55139821</v>
      </c>
      <c r="C883" s="5" t="s">
        <v>149</v>
      </c>
      <c r="D883" s="5" t="s">
        <v>2766</v>
      </c>
      <c r="E883" s="5" t="s">
        <v>2767</v>
      </c>
      <c r="F883" s="5" t="s">
        <v>1399</v>
      </c>
      <c r="G883" s="5" t="s">
        <v>1400</v>
      </c>
      <c r="H883" s="5" t="s">
        <v>1399</v>
      </c>
      <c r="I883" s="5" t="s">
        <v>63</v>
      </c>
      <c r="J883" s="5" t="s">
        <v>100</v>
      </c>
      <c r="K883" s="5" t="s">
        <v>309</v>
      </c>
      <c r="L883" s="6" t="n">
        <v>45644</v>
      </c>
      <c r="M883" s="5" t="s">
        <v>614</v>
      </c>
      <c r="N883" s="6" t="n">
        <v>36096</v>
      </c>
      <c r="O883" s="5" t="s">
        <v>365</v>
      </c>
      <c r="P883" s="5" t="s">
        <v>365</v>
      </c>
      <c r="Q883" s="5" t="s">
        <v>801</v>
      </c>
      <c r="R883" s="5" t="s">
        <v>801</v>
      </c>
      <c r="S883" s="5" t="s">
        <v>271</v>
      </c>
      <c r="T883" s="6"/>
      <c r="U883" s="6"/>
      <c r="V883" s="5"/>
      <c r="W883" s="5"/>
      <c r="X883" s="5"/>
      <c r="Y883" s="5" t="s">
        <v>631</v>
      </c>
      <c r="Z883" s="5" t="s">
        <v>141</v>
      </c>
      <c r="AA883" s="5" t="s">
        <v>2768</v>
      </c>
      <c r="AB883" s="0" t="n">
        <f aca="false">IFERROR(VALUE(R883),0)</f>
        <v>1.5</v>
      </c>
      <c r="AC883" s="0" t="n">
        <f aca="false">IFERROR(VALUE(M883),"")</f>
        <v>27.7</v>
      </c>
      <c r="AD883" s="0" t="n">
        <f aca="false">IFERROR(VALUE(Q883),"")</f>
        <v>1.5</v>
      </c>
      <c r="AE883" s="0" t="n">
        <f aca="false">IFERROR(VALUE(S883),"")</f>
        <v>2.1</v>
      </c>
      <c r="AF883" s="0" t="str">
        <f aca="false">IF(V883="","",VLOOKUP(V883,Assumptions!$B$6:$C$9,2,FALSE()))</f>
        <v/>
      </c>
      <c r="AG883" s="0" t="str">
        <f aca="false">IF(W883="","",VLOOKUP(W883,Assumptions!$B$6:$C$9,2,FALSE()))</f>
        <v/>
      </c>
      <c r="AH883" s="0" t="str">
        <f aca="false">IF(X883="","",VLOOKUP(X883,Assumptions!$B$6:$C$9,2,FALSE()))</f>
        <v/>
      </c>
      <c r="AI883" s="0" t="n">
        <f aca="false">IF(Y883="","",VLOOKUP(Y883,Assumptions!$B$6:$C$9,2,FALSE()))</f>
        <v>2</v>
      </c>
      <c r="AJ883" s="0" t="n">
        <f aca="false">IF(Z883="","",VLOOKUP(Z883,Assumptions!$B$6:$C$9,2,FALSE()))</f>
        <v>3</v>
      </c>
      <c r="AK883" s="7" t="n">
        <f aca="false">IFERROR(ROUND(AVERAGE(AF883:AJ883),3),"")</f>
        <v>2.5</v>
      </c>
      <c r="AL883" s="7" t="str">
        <f aca="false">IF(OR(AF883="",AJ883=""),"",AJ883-AF883)</f>
        <v/>
      </c>
      <c r="AM883" s="7" t="n">
        <f aca="false">IF(COUNT(AF883:AJ883)&gt;=2,ROUND(_xlfn.STDEV.S(AF883:AJ883),3),"")</f>
        <v>0.707</v>
      </c>
      <c r="AN883" s="7" t="n">
        <f aca="false">ROUND((IF(AF883="",0,AF883)*Assumptions!$F$15)+(IF(AG883="",0,AG883)*Assumptions!$F$16)+(IF(AH883="",0,AH883)*Assumptions!$F$17)+(IF(AI883="",0,AI883)*Assumptions!$F$18)+(IF(AJ883="",0,AJ883)*Assumptions!$F$19),3)</f>
        <v>1.4</v>
      </c>
      <c r="AO883" s="0" t="str">
        <f aca="false">IF(AC883&lt;=20,"",IF(AC883&lt;=Assumptions!$F$6,"20-30",IF(AC883&lt;=Assumptions!$F$7,"30-40",IF(AC883&lt;=Assumptions!$F$8,"40-50",IF(AC883&lt;=Assumptions!$F$9,"50-60",IF(AC883&lt;=Assumptions!$F$10,"60+",""))))))</f>
        <v>20-30</v>
      </c>
      <c r="AP883" s="0" t="str">
        <f aca="false">IFERROR(VLOOKUP(O883,Assumptions!$B$14:$C$26,2,FALSE()),"Other")</f>
        <v>Manager</v>
      </c>
      <c r="AQ883" s="0" t="n">
        <f aca="false">IF(T883="",0,1)</f>
        <v>0</v>
      </c>
      <c r="AR883" s="0" t="n">
        <f aca="false">IF(U883="",0,1)</f>
        <v>0</v>
      </c>
      <c r="AS883" s="8" t="n">
        <f aca="false">IF(AK883="","",IF(MAX($AK$2:$AK$921)=MIN($AK$2:$AK$921),50,ROUND((AK883-MIN($AK$2:$AK$921))/(MAX($AK$2:$AK$921)-MIN($AK$2:$AK$921))*100,2)))</f>
        <v>35.71</v>
      </c>
      <c r="AT883" s="8" t="n">
        <f aca="false">IF(MAX($BC$2:$BC$921)=MIN($BC$2:$BC$921),50,ROUND((BC883-MIN($BC$2:$BC$921))/(MAX($BC$2:$BC$921)-MIN($BC$2:$BC$921))*100,2))</f>
        <v>50</v>
      </c>
      <c r="AU883" s="8" t="n">
        <f aca="false">IF(MAX($BE$2:$BE$921)=MIN($BE$2:$BE$921),50,ROUND((BE883-MIN($BE$2:$BE$921))/(MAX($BE$2:$BE$921)-MIN($BE$2:$BE$921))*100,2))</f>
        <v>59.18</v>
      </c>
      <c r="AV883" s="8" t="n">
        <f aca="false">IF(MAX($AD$2:$AD$921)=MIN($AD$2:$AD$921),50,ROUND((AD883-MIN($AD$2:$AD$921))/(MAX($AD$2:$AD$921)-MIN($AD$2:$AD$921))*100,2))</f>
        <v>3.78</v>
      </c>
      <c r="AW883" s="8" t="n">
        <f aca="false">IF(MAX($AN$2:$AN$921)=MIN($AN$2:$AN$921),50,ROUND((AN883-MIN($AN$2:$AN$921))/(MAX($AN$2:$AN$921)-MIN($AN$2:$AN$921))*100,2))</f>
        <v>35</v>
      </c>
      <c r="AX883" s="8" t="n">
        <f aca="false">AQ883*100</f>
        <v>0</v>
      </c>
      <c r="AY883" s="8" t="n">
        <f aca="false">AR883*100</f>
        <v>0</v>
      </c>
      <c r="AZ883" s="8" t="n">
        <f aca="false">IFERROR(ROUND(AS883*Assumptions!$I$6+AW883*Assumptions!$I$7+AT883*Assumptions!$I$8+AU883*Assumptions!$I$9+AV883*Assumptions!$I$10+AX883*Assumptions!$I$11+AY883*Assumptions!$I$12,2),"")</f>
        <v>34.47</v>
      </c>
      <c r="BA883" s="0" t="str">
        <f aca="false">IF(AZ883="","",IF(AZ883&lt;=Assumptions!$I$18,"Below Expectation",IF(AZ883&lt;=Assumptions!$I$19,"Developing",IF(AZ883&lt;=Assumptions!$I$20,"Meets Expectation",IF(AZ883&lt;=Assumptions!$I$21,"Exceeds","Star Performer")))))</f>
        <v>Below Expectation</v>
      </c>
      <c r="BB883" s="0" t="n">
        <f aca="false">IF(AZ883="",0,IF(AZ883&gt;=Assumptions!$I$26,1,0))</f>
        <v>0</v>
      </c>
      <c r="BC883" s="9" t="n">
        <f aca="false">IF(AL883="",2,AL883+2)</f>
        <v>2</v>
      </c>
      <c r="BD883" s="10" t="n">
        <f aca="false">IF(AM883="",ROUND(AVERAGE($AM$2:$AM$921),3),AM883)</f>
        <v>0.707</v>
      </c>
      <c r="BE883" s="9" t="n">
        <f aca="false">1-BD883</f>
        <v>0.293</v>
      </c>
    </row>
    <row r="884" customFormat="false" ht="14.25" hidden="true" customHeight="false" outlineLevel="0" collapsed="false">
      <c r="A884" s="4" t="n">
        <v>868</v>
      </c>
      <c r="B884" s="5" t="n">
        <v>55104739</v>
      </c>
      <c r="C884" s="5" t="s">
        <v>526</v>
      </c>
      <c r="D884" s="5" t="s">
        <v>2769</v>
      </c>
      <c r="E884" s="5" t="s">
        <v>1008</v>
      </c>
      <c r="F884" s="5" t="s">
        <v>483</v>
      </c>
      <c r="G884" s="5" t="s">
        <v>484</v>
      </c>
      <c r="H884" s="5" t="s">
        <v>483</v>
      </c>
      <c r="I884" s="5" t="s">
        <v>63</v>
      </c>
      <c r="J884" s="5" t="s">
        <v>100</v>
      </c>
      <c r="K884" s="5" t="s">
        <v>65</v>
      </c>
      <c r="L884" s="6" t="n">
        <v>45338</v>
      </c>
      <c r="M884" s="5" t="s">
        <v>1325</v>
      </c>
      <c r="N884" s="6" t="n">
        <v>34037</v>
      </c>
      <c r="O884" s="5" t="s">
        <v>365</v>
      </c>
      <c r="P884" s="5" t="s">
        <v>365</v>
      </c>
      <c r="Q884" s="5" t="s">
        <v>2010</v>
      </c>
      <c r="R884" s="5" t="s">
        <v>847</v>
      </c>
      <c r="S884" s="5" t="s">
        <v>418</v>
      </c>
      <c r="T884" s="6"/>
      <c r="U884" s="6"/>
      <c r="V884" s="5"/>
      <c r="W884" s="5"/>
      <c r="X884" s="5"/>
      <c r="Y884" s="5" t="s">
        <v>141</v>
      </c>
      <c r="Z884" s="5" t="s">
        <v>631</v>
      </c>
      <c r="AA884" s="5" t="s">
        <v>2770</v>
      </c>
      <c r="AB884" s="0" t="n">
        <f aca="false">IFERROR(VALUE(R884),0)</f>
        <v>7.5</v>
      </c>
      <c r="AC884" s="0" t="n">
        <f aca="false">IFERROR(VALUE(M884),"")</f>
        <v>33.2</v>
      </c>
      <c r="AD884" s="0" t="n">
        <f aca="false">IFERROR(VALUE(Q884),"")</f>
        <v>2.3</v>
      </c>
      <c r="AE884" s="0" t="n">
        <f aca="false">IFERROR(VALUE(S884),"")</f>
        <v>9.8</v>
      </c>
      <c r="AF884" s="0" t="str">
        <f aca="false">IF(V884="","",VLOOKUP(V884,Assumptions!$B$6:$C$9,2,FALSE()))</f>
        <v/>
      </c>
      <c r="AG884" s="0" t="str">
        <f aca="false">IF(W884="","",VLOOKUP(W884,Assumptions!$B$6:$C$9,2,FALSE()))</f>
        <v/>
      </c>
      <c r="AH884" s="0" t="str">
        <f aca="false">IF(X884="","",VLOOKUP(X884,Assumptions!$B$6:$C$9,2,FALSE()))</f>
        <v/>
      </c>
      <c r="AI884" s="0" t="n">
        <f aca="false">IF(Y884="","",VLOOKUP(Y884,Assumptions!$B$6:$C$9,2,FALSE()))</f>
        <v>3</v>
      </c>
      <c r="AJ884" s="0" t="n">
        <f aca="false">IF(Z884="","",VLOOKUP(Z884,Assumptions!$B$6:$C$9,2,FALSE()))</f>
        <v>2</v>
      </c>
      <c r="AK884" s="7" t="n">
        <f aca="false">IFERROR(ROUND(AVERAGE(AF884:AJ884),3),"")</f>
        <v>2.5</v>
      </c>
      <c r="AL884" s="7" t="str">
        <f aca="false">IF(OR(AF884="",AJ884=""),"",AJ884-AF884)</f>
        <v/>
      </c>
      <c r="AM884" s="7" t="n">
        <f aca="false">IF(COUNT(AF884:AJ884)&gt;=2,ROUND(_xlfn.STDEV.S(AF884:AJ884),3),"")</f>
        <v>0.707</v>
      </c>
      <c r="AN884" s="7" t="n">
        <f aca="false">ROUND((IF(AF884="",0,AF884)*Assumptions!$F$15)+(IF(AG884="",0,AG884)*Assumptions!$F$16)+(IF(AH884="",0,AH884)*Assumptions!$F$17)+(IF(AI884="",0,AI884)*Assumptions!$F$18)+(IF(AJ884="",0,AJ884)*Assumptions!$F$19),3)</f>
        <v>1.35</v>
      </c>
      <c r="AO884" s="0" t="str">
        <f aca="false">IF(AC884&lt;=20,"",IF(AC884&lt;=Assumptions!$F$6,"20-30",IF(AC884&lt;=Assumptions!$F$7,"30-40",IF(AC884&lt;=Assumptions!$F$8,"40-50",IF(AC884&lt;=Assumptions!$F$9,"50-60",IF(AC884&lt;=Assumptions!$F$10,"60+",""))))))</f>
        <v>30-40</v>
      </c>
      <c r="AP884" s="0" t="str">
        <f aca="false">IFERROR(VLOOKUP(O884,Assumptions!$B$14:$C$26,2,FALSE()),"Other")</f>
        <v>Manager</v>
      </c>
      <c r="AQ884" s="0" t="n">
        <f aca="false">IF(T884="",0,1)</f>
        <v>0</v>
      </c>
      <c r="AR884" s="0" t="n">
        <f aca="false">IF(U884="",0,1)</f>
        <v>0</v>
      </c>
      <c r="AS884" s="8" t="n">
        <f aca="false">IF(AK884="","",IF(MAX($AK$2:$AK$921)=MIN($AK$2:$AK$921),50,ROUND((AK884-MIN($AK$2:$AK$921))/(MAX($AK$2:$AK$921)-MIN($AK$2:$AK$921))*100,2)))</f>
        <v>35.71</v>
      </c>
      <c r="AT884" s="8" t="n">
        <f aca="false">IF(MAX($BC$2:$BC$921)=MIN($BC$2:$BC$921),50,ROUND((BC884-MIN($BC$2:$BC$921))/(MAX($BC$2:$BC$921)-MIN($BC$2:$BC$921))*100,2))</f>
        <v>50</v>
      </c>
      <c r="AU884" s="8" t="n">
        <f aca="false">IF(MAX($BE$2:$BE$921)=MIN($BE$2:$BE$921),50,ROUND((BE884-MIN($BE$2:$BE$921))/(MAX($BE$2:$BE$921)-MIN($BE$2:$BE$921))*100,2))</f>
        <v>59.18</v>
      </c>
      <c r="AV884" s="8" t="n">
        <f aca="false">IF(MAX($AD$2:$AD$921)=MIN($AD$2:$AD$921),50,ROUND((AD884-MIN($AD$2:$AD$921))/(MAX($AD$2:$AD$921)-MIN($AD$2:$AD$921))*100,2))</f>
        <v>5.95</v>
      </c>
      <c r="AW884" s="8" t="n">
        <f aca="false">IF(MAX($AN$2:$AN$921)=MIN($AN$2:$AN$921),50,ROUND((AN884-MIN($AN$2:$AN$921))/(MAX($AN$2:$AN$921)-MIN($AN$2:$AN$921))*100,2))</f>
        <v>33.75</v>
      </c>
      <c r="AX884" s="8" t="n">
        <f aca="false">AQ884*100</f>
        <v>0</v>
      </c>
      <c r="AY884" s="8" t="n">
        <f aca="false">AR884*100</f>
        <v>0</v>
      </c>
      <c r="AZ884" s="8" t="n">
        <f aca="false">IFERROR(ROUND(AS884*Assumptions!$I$6+AW884*Assumptions!$I$7+AT884*Assumptions!$I$8+AU884*Assumptions!$I$9+AV884*Assumptions!$I$10+AX884*Assumptions!$I$11+AY884*Assumptions!$I$12,2),"")</f>
        <v>34.44</v>
      </c>
      <c r="BA884" s="0" t="str">
        <f aca="false">IF(AZ884="","",IF(AZ884&lt;=Assumptions!$I$18,"Below Expectation",IF(AZ884&lt;=Assumptions!$I$19,"Developing",IF(AZ884&lt;=Assumptions!$I$20,"Meets Expectation",IF(AZ884&lt;=Assumptions!$I$21,"Exceeds","Star Performer")))))</f>
        <v>Below Expectation</v>
      </c>
      <c r="BB884" s="0" t="n">
        <f aca="false">IF(AZ884="",0,IF(AZ884&gt;=Assumptions!$I$26,1,0))</f>
        <v>0</v>
      </c>
      <c r="BC884" s="9" t="n">
        <f aca="false">IF(AL884="",2,AL884+2)</f>
        <v>2</v>
      </c>
      <c r="BD884" s="10" t="n">
        <f aca="false">IF(AM884="",ROUND(AVERAGE($AM$2:$AM$921),3),AM884)</f>
        <v>0.707</v>
      </c>
      <c r="BE884" s="9" t="n">
        <f aca="false">1-BD884</f>
        <v>0.293</v>
      </c>
    </row>
    <row r="885" customFormat="false" ht="14.25" hidden="true" customHeight="false" outlineLevel="0" collapsed="false">
      <c r="A885" s="4" t="n">
        <v>243</v>
      </c>
      <c r="B885" s="5" t="n">
        <v>10062237</v>
      </c>
      <c r="C885" s="5" t="s">
        <v>85</v>
      </c>
      <c r="D885" s="5" t="s">
        <v>2771</v>
      </c>
      <c r="E885" s="5" t="s">
        <v>315</v>
      </c>
      <c r="F885" s="5" t="s">
        <v>1049</v>
      </c>
      <c r="G885" s="5" t="s">
        <v>1050</v>
      </c>
      <c r="H885" s="5" t="s">
        <v>1049</v>
      </c>
      <c r="I885" s="5" t="s">
        <v>63</v>
      </c>
      <c r="J885" s="5" t="s">
        <v>76</v>
      </c>
      <c r="K885" s="5" t="s">
        <v>65</v>
      </c>
      <c r="L885" s="6" t="n">
        <v>43178</v>
      </c>
      <c r="M885" s="5" t="s">
        <v>1336</v>
      </c>
      <c r="N885" s="6" t="n">
        <v>26793</v>
      </c>
      <c r="O885" s="5" t="s">
        <v>162</v>
      </c>
      <c r="P885" s="5" t="s">
        <v>162</v>
      </c>
      <c r="Q885" s="5" t="s">
        <v>1158</v>
      </c>
      <c r="R885" s="5" t="s">
        <v>577</v>
      </c>
      <c r="S885" s="5" t="s">
        <v>102</v>
      </c>
      <c r="T885" s="6"/>
      <c r="U885" s="6"/>
      <c r="V885" s="5" t="s">
        <v>141</v>
      </c>
      <c r="W885" s="5" t="s">
        <v>631</v>
      </c>
      <c r="X885" s="5" t="s">
        <v>631</v>
      </c>
      <c r="Y885" s="5" t="s">
        <v>631</v>
      </c>
      <c r="Z885" s="5" t="s">
        <v>631</v>
      </c>
      <c r="AA885" s="5" t="s">
        <v>2772</v>
      </c>
      <c r="AB885" s="0" t="n">
        <f aca="false">IFERROR(VALUE(R885),0)</f>
        <v>20.5</v>
      </c>
      <c r="AC885" s="0" t="n">
        <f aca="false">IFERROR(VALUE(M885),"")</f>
        <v>53</v>
      </c>
      <c r="AD885" s="0" t="n">
        <f aca="false">IFERROR(VALUE(Q885),"")</f>
        <v>8.2</v>
      </c>
      <c r="AE885" s="0" t="n">
        <f aca="false">IFERROR(VALUE(S885),"")</f>
        <v>28.7</v>
      </c>
      <c r="AF885" s="0" t="n">
        <f aca="false">IF(V885="","",VLOOKUP(V885,Assumptions!$B$6:$C$9,2,FALSE()))</f>
        <v>3</v>
      </c>
      <c r="AG885" s="0" t="n">
        <f aca="false">IF(W885="","",VLOOKUP(W885,Assumptions!$B$6:$C$9,2,FALSE()))</f>
        <v>2</v>
      </c>
      <c r="AH885" s="0" t="n">
        <f aca="false">IF(X885="","",VLOOKUP(X885,Assumptions!$B$6:$C$9,2,FALSE()))</f>
        <v>2</v>
      </c>
      <c r="AI885" s="0" t="n">
        <f aca="false">IF(Y885="","",VLOOKUP(Y885,Assumptions!$B$6:$C$9,2,FALSE()))</f>
        <v>2</v>
      </c>
      <c r="AJ885" s="0" t="n">
        <f aca="false">IF(Z885="","",VLOOKUP(Z885,Assumptions!$B$6:$C$9,2,FALSE()))</f>
        <v>2</v>
      </c>
      <c r="AK885" s="7" t="n">
        <f aca="false">IFERROR(ROUND(AVERAGE(AF885:AJ885),3),"")</f>
        <v>2.2</v>
      </c>
      <c r="AL885" s="7" t="n">
        <f aca="false">IF(OR(AF885="",AJ885=""),"",AJ885-AF885)</f>
        <v>-1</v>
      </c>
      <c r="AM885" s="7" t="n">
        <f aca="false">IF(COUNT(AF885:AJ885)&gt;=2,ROUND(_xlfn.STDEV.S(AF885:AJ885),3),"")</f>
        <v>0.447</v>
      </c>
      <c r="AN885" s="7" t="n">
        <f aca="false">ROUND((IF(AF885="",0,AF885)*Assumptions!$F$15)+(IF(AG885="",0,AG885)*Assumptions!$F$16)+(IF(AH885="",0,AH885)*Assumptions!$F$17)+(IF(AI885="",0,AI885)*Assumptions!$F$18)+(IF(AJ885="",0,AJ885)*Assumptions!$F$19),3)</f>
        <v>2.1</v>
      </c>
      <c r="AO885" s="0" t="str">
        <f aca="false">IF(AC885&lt;=20,"",IF(AC885&lt;=Assumptions!$F$6,"20-30",IF(AC885&lt;=Assumptions!$F$7,"30-40",IF(AC885&lt;=Assumptions!$F$8,"40-50",IF(AC885&lt;=Assumptions!$F$9,"50-60",IF(AC885&lt;=Assumptions!$F$10,"60+",""))))))</f>
        <v>50-60</v>
      </c>
      <c r="AP885" s="0" t="str">
        <f aca="false">IFERROR(VLOOKUP(O885,Assumptions!$B$14:$C$26,2,FALSE()),"Other")</f>
        <v>Manager</v>
      </c>
      <c r="AQ885" s="0" t="n">
        <f aca="false">IF(T885="",0,1)</f>
        <v>0</v>
      </c>
      <c r="AR885" s="0" t="n">
        <f aca="false">IF(U885="",0,1)</f>
        <v>0</v>
      </c>
      <c r="AS885" s="8" t="n">
        <f aca="false">IF(AK885="","",IF(MAX($AK$2:$AK$921)=MIN($AK$2:$AK$921),50,ROUND((AK885-MIN($AK$2:$AK$921))/(MAX($AK$2:$AK$921)-MIN($AK$2:$AK$921))*100,2)))</f>
        <v>22.85</v>
      </c>
      <c r="AT885" s="8" t="n">
        <f aca="false">IF(MAX($BC$2:$BC$921)=MIN($BC$2:$BC$921),50,ROUND((BC885-MIN($BC$2:$BC$921))/(MAX($BC$2:$BC$921)-MIN($BC$2:$BC$921))*100,2))</f>
        <v>25</v>
      </c>
      <c r="AU885" s="8" t="n">
        <f aca="false">IF(MAX($BE$2:$BE$921)=MIN($BE$2:$BE$921),50,ROUND((BE885-MIN($BE$2:$BE$921))/(MAX($BE$2:$BE$921)-MIN($BE$2:$BE$921))*100,2))</f>
        <v>74.19</v>
      </c>
      <c r="AV885" s="8" t="n">
        <f aca="false">IF(MAX($AD$2:$AD$921)=MIN($AD$2:$AD$921),50,ROUND((AD885-MIN($AD$2:$AD$921))/(MAX($AD$2:$AD$921)-MIN($AD$2:$AD$921))*100,2))</f>
        <v>21.99</v>
      </c>
      <c r="AW885" s="8" t="n">
        <f aca="false">IF(MAX($AN$2:$AN$921)=MIN($AN$2:$AN$921),50,ROUND((AN885-MIN($AN$2:$AN$921))/(MAX($AN$2:$AN$921)-MIN($AN$2:$AN$921))*100,2))</f>
        <v>52.5</v>
      </c>
      <c r="AX885" s="8" t="n">
        <f aca="false">AQ885*100</f>
        <v>0</v>
      </c>
      <c r="AY885" s="8" t="n">
        <f aca="false">AR885*100</f>
        <v>0</v>
      </c>
      <c r="AZ885" s="8" t="n">
        <f aca="false">IFERROR(ROUND(AS885*Assumptions!$I$6+AW885*Assumptions!$I$7+AT885*Assumptions!$I$8+AU885*Assumptions!$I$9+AV885*Assumptions!$I$10+AX885*Assumptions!$I$11+AY885*Assumptions!$I$12,2),"")</f>
        <v>34.43</v>
      </c>
      <c r="BA885" s="0" t="str">
        <f aca="false">IF(AZ885="","",IF(AZ885&lt;=Assumptions!$I$18,"Below Expectation",IF(AZ885&lt;=Assumptions!$I$19,"Developing",IF(AZ885&lt;=Assumptions!$I$20,"Meets Expectation",IF(AZ885&lt;=Assumptions!$I$21,"Exceeds","Star Performer")))))</f>
        <v>Below Expectation</v>
      </c>
      <c r="BB885" s="0" t="n">
        <f aca="false">IF(AZ885="",0,IF(AZ885&gt;=Assumptions!$I$26,1,0))</f>
        <v>0</v>
      </c>
      <c r="BC885" s="9" t="n">
        <f aca="false">IF(AL885="",2,AL885+2)</f>
        <v>1</v>
      </c>
      <c r="BD885" s="10" t="n">
        <f aca="false">IF(AM885="",ROUND(AVERAGE($AM$2:$AM$921),3),AM885)</f>
        <v>0.447</v>
      </c>
      <c r="BE885" s="9" t="n">
        <f aca="false">1-BD885</f>
        <v>0.553</v>
      </c>
    </row>
    <row r="886" customFormat="false" ht="14.25" hidden="true" customHeight="false" outlineLevel="0" collapsed="false">
      <c r="A886" s="4" t="n">
        <v>891</v>
      </c>
      <c r="B886" s="5" t="n">
        <v>55124993</v>
      </c>
      <c r="C886" s="5" t="s">
        <v>57</v>
      </c>
      <c r="D886" s="5" t="s">
        <v>2773</v>
      </c>
      <c r="E886" s="5" t="s">
        <v>299</v>
      </c>
      <c r="F886" s="5" t="s">
        <v>1406</v>
      </c>
      <c r="G886" s="5" t="s">
        <v>2755</v>
      </c>
      <c r="H886" s="5" t="s">
        <v>2756</v>
      </c>
      <c r="I886" s="5" t="s">
        <v>63</v>
      </c>
      <c r="J886" s="5" t="s">
        <v>100</v>
      </c>
      <c r="K886" s="5" t="s">
        <v>65</v>
      </c>
      <c r="L886" s="6" t="n">
        <v>45505</v>
      </c>
      <c r="M886" s="5" t="s">
        <v>1716</v>
      </c>
      <c r="N886" s="6" t="n">
        <v>30935</v>
      </c>
      <c r="O886" s="5" t="s">
        <v>332</v>
      </c>
      <c r="P886" s="5" t="s">
        <v>333</v>
      </c>
      <c r="Q886" s="5" t="s">
        <v>1860</v>
      </c>
      <c r="R886" s="5" t="s">
        <v>1189</v>
      </c>
      <c r="S886" s="5" t="s">
        <v>411</v>
      </c>
      <c r="T886" s="6"/>
      <c r="U886" s="6"/>
      <c r="V886" s="5"/>
      <c r="W886" s="5"/>
      <c r="X886" s="5"/>
      <c r="Y886" s="5" t="s">
        <v>631</v>
      </c>
      <c r="Z886" s="5" t="s">
        <v>141</v>
      </c>
      <c r="AA886" s="5" t="s">
        <v>2774</v>
      </c>
      <c r="AB886" s="0" t="n">
        <f aca="false">IFERROR(VALUE(R886),0)</f>
        <v>16.9</v>
      </c>
      <c r="AC886" s="0" t="n">
        <f aca="false">IFERROR(VALUE(M886),"")</f>
        <v>41.8</v>
      </c>
      <c r="AD886" s="0" t="n">
        <f aca="false">IFERROR(VALUE(Q886),"")</f>
        <v>1.1</v>
      </c>
      <c r="AE886" s="0" t="n">
        <f aca="false">IFERROR(VALUE(S886),"")</f>
        <v>18.7</v>
      </c>
      <c r="AF886" s="0" t="str">
        <f aca="false">IF(V886="","",VLOOKUP(V886,Assumptions!$B$6:$C$9,2,FALSE()))</f>
        <v/>
      </c>
      <c r="AG886" s="0" t="str">
        <f aca="false">IF(W886="","",VLOOKUP(W886,Assumptions!$B$6:$C$9,2,FALSE()))</f>
        <v/>
      </c>
      <c r="AH886" s="0" t="str">
        <f aca="false">IF(X886="","",VLOOKUP(X886,Assumptions!$B$6:$C$9,2,FALSE()))</f>
        <v/>
      </c>
      <c r="AI886" s="0" t="n">
        <f aca="false">IF(Y886="","",VLOOKUP(Y886,Assumptions!$B$6:$C$9,2,FALSE()))</f>
        <v>2</v>
      </c>
      <c r="AJ886" s="0" t="n">
        <f aca="false">IF(Z886="","",VLOOKUP(Z886,Assumptions!$B$6:$C$9,2,FALSE()))</f>
        <v>3</v>
      </c>
      <c r="AK886" s="7" t="n">
        <f aca="false">IFERROR(ROUND(AVERAGE(AF886:AJ886),3),"")</f>
        <v>2.5</v>
      </c>
      <c r="AL886" s="7" t="str">
        <f aca="false">IF(OR(AF886="",AJ886=""),"",AJ886-AF886)</f>
        <v/>
      </c>
      <c r="AM886" s="7" t="n">
        <f aca="false">IF(COUNT(AF886:AJ886)&gt;=2,ROUND(_xlfn.STDEV.S(AF886:AJ886),3),"")</f>
        <v>0.707</v>
      </c>
      <c r="AN886" s="7" t="n">
        <f aca="false">ROUND((IF(AF886="",0,AF886)*Assumptions!$F$15)+(IF(AG886="",0,AG886)*Assumptions!$F$16)+(IF(AH886="",0,AH886)*Assumptions!$F$17)+(IF(AI886="",0,AI886)*Assumptions!$F$18)+(IF(AJ886="",0,AJ886)*Assumptions!$F$19),3)</f>
        <v>1.4</v>
      </c>
      <c r="AO886" s="0" t="str">
        <f aca="false">IF(AC886&lt;=20,"",IF(AC886&lt;=Assumptions!$F$6,"20-30",IF(AC886&lt;=Assumptions!$F$7,"30-40",IF(AC886&lt;=Assumptions!$F$8,"40-50",IF(AC886&lt;=Assumptions!$F$9,"50-60",IF(AC886&lt;=Assumptions!$F$10,"60+",""))))))</f>
        <v>40-50</v>
      </c>
      <c r="AP886" s="0" t="str">
        <f aca="false">IFERROR(VLOOKUP(O886,Assumptions!$B$14:$C$26,2,FALSE()),"Other")</f>
        <v>Manager</v>
      </c>
      <c r="AQ886" s="0" t="n">
        <f aca="false">IF(T886="",0,1)</f>
        <v>0</v>
      </c>
      <c r="AR886" s="0" t="n">
        <f aca="false">IF(U886="",0,1)</f>
        <v>0</v>
      </c>
      <c r="AS886" s="8" t="n">
        <f aca="false">IF(AK886="","",IF(MAX($AK$2:$AK$921)=MIN($AK$2:$AK$921),50,ROUND((AK886-MIN($AK$2:$AK$921))/(MAX($AK$2:$AK$921)-MIN($AK$2:$AK$921))*100,2)))</f>
        <v>35.71</v>
      </c>
      <c r="AT886" s="8" t="n">
        <f aca="false">IF(MAX($BC$2:$BC$921)=MIN($BC$2:$BC$921),50,ROUND((BC886-MIN($BC$2:$BC$921))/(MAX($BC$2:$BC$921)-MIN($BC$2:$BC$921))*100,2))</f>
        <v>50</v>
      </c>
      <c r="AU886" s="8" t="n">
        <f aca="false">IF(MAX($BE$2:$BE$921)=MIN($BE$2:$BE$921),50,ROUND((BE886-MIN($BE$2:$BE$921))/(MAX($BE$2:$BE$921)-MIN($BE$2:$BE$921))*100,2))</f>
        <v>59.18</v>
      </c>
      <c r="AV886" s="8" t="n">
        <f aca="false">IF(MAX($AD$2:$AD$921)=MIN($AD$2:$AD$921),50,ROUND((AD886-MIN($AD$2:$AD$921))/(MAX($AD$2:$AD$921)-MIN($AD$2:$AD$921))*100,2))</f>
        <v>2.69</v>
      </c>
      <c r="AW886" s="8" t="n">
        <f aca="false">IF(MAX($AN$2:$AN$921)=MIN($AN$2:$AN$921),50,ROUND((AN886-MIN($AN$2:$AN$921))/(MAX($AN$2:$AN$921)-MIN($AN$2:$AN$921))*100,2))</f>
        <v>35</v>
      </c>
      <c r="AX886" s="8" t="n">
        <f aca="false">AQ886*100</f>
        <v>0</v>
      </c>
      <c r="AY886" s="8" t="n">
        <f aca="false">AR886*100</f>
        <v>0</v>
      </c>
      <c r="AZ886" s="8" t="n">
        <f aca="false">IFERROR(ROUND(AS886*Assumptions!$I$6+AW886*Assumptions!$I$7+AT886*Assumptions!$I$8+AU886*Assumptions!$I$9+AV886*Assumptions!$I$10+AX886*Assumptions!$I$11+AY886*Assumptions!$I$12,2),"")</f>
        <v>34.36</v>
      </c>
      <c r="BA886" s="0" t="str">
        <f aca="false">IF(AZ886="","",IF(AZ886&lt;=Assumptions!$I$18,"Below Expectation",IF(AZ886&lt;=Assumptions!$I$19,"Developing",IF(AZ886&lt;=Assumptions!$I$20,"Meets Expectation",IF(AZ886&lt;=Assumptions!$I$21,"Exceeds","Star Performer")))))</f>
        <v>Below Expectation</v>
      </c>
      <c r="BB886" s="0" t="n">
        <f aca="false">IF(AZ886="",0,IF(AZ886&gt;=Assumptions!$I$26,1,0))</f>
        <v>0</v>
      </c>
      <c r="BC886" s="9" t="n">
        <f aca="false">IF(AL886="",2,AL886+2)</f>
        <v>2</v>
      </c>
      <c r="BD886" s="10" t="n">
        <f aca="false">IF(AM886="",ROUND(AVERAGE($AM$2:$AM$921),3),AM886)</f>
        <v>0.707</v>
      </c>
      <c r="BE886" s="9" t="n">
        <f aca="false">1-BD886</f>
        <v>0.293</v>
      </c>
    </row>
    <row r="887" customFormat="false" ht="14.25" hidden="true" customHeight="false" outlineLevel="0" collapsed="false">
      <c r="A887" s="4" t="n">
        <v>886</v>
      </c>
      <c r="B887" s="5" t="n">
        <v>55118186</v>
      </c>
      <c r="C887" s="5" t="s">
        <v>149</v>
      </c>
      <c r="D887" s="5" t="s">
        <v>2775</v>
      </c>
      <c r="E887" s="5" t="s">
        <v>718</v>
      </c>
      <c r="F887" s="5" t="s">
        <v>2019</v>
      </c>
      <c r="G887" s="5" t="s">
        <v>1162</v>
      </c>
      <c r="H887" s="5" t="s">
        <v>1161</v>
      </c>
      <c r="I887" s="5" t="s">
        <v>63</v>
      </c>
      <c r="J887" s="5" t="s">
        <v>100</v>
      </c>
      <c r="K887" s="5" t="s">
        <v>65</v>
      </c>
      <c r="L887" s="6" t="n">
        <v>45447</v>
      </c>
      <c r="M887" s="5" t="s">
        <v>2163</v>
      </c>
      <c r="N887" s="6" t="n">
        <v>32700</v>
      </c>
      <c r="O887" s="5" t="s">
        <v>162</v>
      </c>
      <c r="P887" s="5" t="s">
        <v>162</v>
      </c>
      <c r="Q887" s="5" t="s">
        <v>1645</v>
      </c>
      <c r="R887" s="5" t="s">
        <v>2776</v>
      </c>
      <c r="S887" s="5" t="s">
        <v>1137</v>
      </c>
      <c r="T887" s="6"/>
      <c r="U887" s="6"/>
      <c r="V887" s="5"/>
      <c r="W887" s="5"/>
      <c r="X887" s="5"/>
      <c r="Y887" s="5" t="s">
        <v>141</v>
      </c>
      <c r="Z887" s="5" t="s">
        <v>631</v>
      </c>
      <c r="AA887" s="5" t="s">
        <v>2777</v>
      </c>
      <c r="AB887" s="0" t="n">
        <f aca="false">IFERROR(VALUE(R887),0)</f>
        <v>12.5</v>
      </c>
      <c r="AC887" s="0" t="n">
        <f aca="false">IFERROR(VALUE(M887),"")</f>
        <v>36.1</v>
      </c>
      <c r="AD887" s="0" t="n">
        <f aca="false">IFERROR(VALUE(Q887),"")</f>
        <v>2</v>
      </c>
      <c r="AE887" s="0" t="n">
        <f aca="false">IFERROR(VALUE(S887),"")</f>
        <v>14.5</v>
      </c>
      <c r="AF887" s="0" t="str">
        <f aca="false">IF(V887="","",VLOOKUP(V887,Assumptions!$B$6:$C$9,2,FALSE()))</f>
        <v/>
      </c>
      <c r="AG887" s="0" t="str">
        <f aca="false">IF(W887="","",VLOOKUP(W887,Assumptions!$B$6:$C$9,2,FALSE()))</f>
        <v/>
      </c>
      <c r="AH887" s="0" t="str">
        <f aca="false">IF(X887="","",VLOOKUP(X887,Assumptions!$B$6:$C$9,2,FALSE()))</f>
        <v/>
      </c>
      <c r="AI887" s="0" t="n">
        <f aca="false">IF(Y887="","",VLOOKUP(Y887,Assumptions!$B$6:$C$9,2,FALSE()))</f>
        <v>3</v>
      </c>
      <c r="AJ887" s="0" t="n">
        <f aca="false">IF(Z887="","",VLOOKUP(Z887,Assumptions!$B$6:$C$9,2,FALSE()))</f>
        <v>2</v>
      </c>
      <c r="AK887" s="7" t="n">
        <f aca="false">IFERROR(ROUND(AVERAGE(AF887:AJ887),3),"")</f>
        <v>2.5</v>
      </c>
      <c r="AL887" s="7" t="str">
        <f aca="false">IF(OR(AF887="",AJ887=""),"",AJ887-AF887)</f>
        <v/>
      </c>
      <c r="AM887" s="7" t="n">
        <f aca="false">IF(COUNT(AF887:AJ887)&gt;=2,ROUND(_xlfn.STDEV.S(AF887:AJ887),3),"")</f>
        <v>0.707</v>
      </c>
      <c r="AN887" s="7" t="n">
        <f aca="false">ROUND((IF(AF887="",0,AF887)*Assumptions!$F$15)+(IF(AG887="",0,AG887)*Assumptions!$F$16)+(IF(AH887="",0,AH887)*Assumptions!$F$17)+(IF(AI887="",0,AI887)*Assumptions!$F$18)+(IF(AJ887="",0,AJ887)*Assumptions!$F$19),3)</f>
        <v>1.35</v>
      </c>
      <c r="AO887" s="0" t="str">
        <f aca="false">IF(AC887&lt;=20,"",IF(AC887&lt;=Assumptions!$F$6,"20-30",IF(AC887&lt;=Assumptions!$F$7,"30-40",IF(AC887&lt;=Assumptions!$F$8,"40-50",IF(AC887&lt;=Assumptions!$F$9,"50-60",IF(AC887&lt;=Assumptions!$F$10,"60+",""))))))</f>
        <v>30-40</v>
      </c>
      <c r="AP887" s="0" t="str">
        <f aca="false">IFERROR(VLOOKUP(O887,Assumptions!$B$14:$C$26,2,FALSE()),"Other")</f>
        <v>Manager</v>
      </c>
      <c r="AQ887" s="0" t="n">
        <f aca="false">IF(T887="",0,1)</f>
        <v>0</v>
      </c>
      <c r="AR887" s="0" t="n">
        <f aca="false">IF(U887="",0,1)</f>
        <v>0</v>
      </c>
      <c r="AS887" s="8" t="n">
        <f aca="false">IF(AK887="","",IF(MAX($AK$2:$AK$921)=MIN($AK$2:$AK$921),50,ROUND((AK887-MIN($AK$2:$AK$921))/(MAX($AK$2:$AK$921)-MIN($AK$2:$AK$921))*100,2)))</f>
        <v>35.71</v>
      </c>
      <c r="AT887" s="8" t="n">
        <f aca="false">IF(MAX($BC$2:$BC$921)=MIN($BC$2:$BC$921),50,ROUND((BC887-MIN($BC$2:$BC$921))/(MAX($BC$2:$BC$921)-MIN($BC$2:$BC$921))*100,2))</f>
        <v>50</v>
      </c>
      <c r="AU887" s="8" t="n">
        <f aca="false">IF(MAX($BE$2:$BE$921)=MIN($BE$2:$BE$921),50,ROUND((BE887-MIN($BE$2:$BE$921))/(MAX($BE$2:$BE$921)-MIN($BE$2:$BE$921))*100,2))</f>
        <v>59.18</v>
      </c>
      <c r="AV887" s="8" t="n">
        <f aca="false">IF(MAX($AD$2:$AD$921)=MIN($AD$2:$AD$921),50,ROUND((AD887-MIN($AD$2:$AD$921))/(MAX($AD$2:$AD$921)-MIN($AD$2:$AD$921))*100,2))</f>
        <v>5.14</v>
      </c>
      <c r="AW887" s="8" t="n">
        <f aca="false">IF(MAX($AN$2:$AN$921)=MIN($AN$2:$AN$921),50,ROUND((AN887-MIN($AN$2:$AN$921))/(MAX($AN$2:$AN$921)-MIN($AN$2:$AN$921))*100,2))</f>
        <v>33.75</v>
      </c>
      <c r="AX887" s="8" t="n">
        <f aca="false">AQ887*100</f>
        <v>0</v>
      </c>
      <c r="AY887" s="8" t="n">
        <f aca="false">AR887*100</f>
        <v>0</v>
      </c>
      <c r="AZ887" s="8" t="n">
        <f aca="false">IFERROR(ROUND(AS887*Assumptions!$I$6+AW887*Assumptions!$I$7+AT887*Assumptions!$I$8+AU887*Assumptions!$I$9+AV887*Assumptions!$I$10+AX887*Assumptions!$I$11+AY887*Assumptions!$I$12,2),"")</f>
        <v>34.35</v>
      </c>
      <c r="BA887" s="0" t="str">
        <f aca="false">IF(AZ887="","",IF(AZ887&lt;=Assumptions!$I$18,"Below Expectation",IF(AZ887&lt;=Assumptions!$I$19,"Developing",IF(AZ887&lt;=Assumptions!$I$20,"Meets Expectation",IF(AZ887&lt;=Assumptions!$I$21,"Exceeds","Star Performer")))))</f>
        <v>Below Expectation</v>
      </c>
      <c r="BB887" s="0" t="n">
        <f aca="false">IF(AZ887="",0,IF(AZ887&gt;=Assumptions!$I$26,1,0))</f>
        <v>0</v>
      </c>
      <c r="BC887" s="9" t="n">
        <f aca="false">IF(AL887="",2,AL887+2)</f>
        <v>2</v>
      </c>
      <c r="BD887" s="10" t="n">
        <f aca="false">IF(AM887="",ROUND(AVERAGE($AM$2:$AM$921),3),AM887)</f>
        <v>0.707</v>
      </c>
      <c r="BE887" s="9" t="n">
        <f aca="false">1-BD887</f>
        <v>0.293</v>
      </c>
    </row>
    <row r="888" customFormat="false" ht="14.25" hidden="false" customHeight="false" outlineLevel="0" collapsed="false">
      <c r="A888" s="4" t="n">
        <v>899</v>
      </c>
      <c r="B888" s="5" t="n">
        <v>55135905</v>
      </c>
      <c r="C888" s="5" t="s">
        <v>106</v>
      </c>
      <c r="D888" s="5" t="s">
        <v>2778</v>
      </c>
      <c r="E888" s="5" t="s">
        <v>1494</v>
      </c>
      <c r="F888" s="5" t="s">
        <v>2761</v>
      </c>
      <c r="G888" s="5" t="s">
        <v>2762</v>
      </c>
      <c r="H888" s="5" t="s">
        <v>2761</v>
      </c>
      <c r="I888" s="5" t="s">
        <v>63</v>
      </c>
      <c r="J888" s="5" t="s">
        <v>112</v>
      </c>
      <c r="K888" s="5" t="s">
        <v>309</v>
      </c>
      <c r="L888" s="6" t="n">
        <v>45607</v>
      </c>
      <c r="M888" s="5" t="s">
        <v>1878</v>
      </c>
      <c r="N888" s="6" t="n">
        <v>34870</v>
      </c>
      <c r="O888" s="5" t="s">
        <v>365</v>
      </c>
      <c r="P888" s="5" t="s">
        <v>365</v>
      </c>
      <c r="Q888" s="5" t="s">
        <v>636</v>
      </c>
      <c r="R888" s="5" t="s">
        <v>439</v>
      </c>
      <c r="S888" s="5" t="s">
        <v>843</v>
      </c>
      <c r="T888" s="6"/>
      <c r="U888" s="6"/>
      <c r="V888" s="5"/>
      <c r="W888" s="5"/>
      <c r="X888" s="5"/>
      <c r="Y888" s="5" t="s">
        <v>141</v>
      </c>
      <c r="Z888" s="5" t="s">
        <v>631</v>
      </c>
      <c r="AA888" s="5" t="s">
        <v>2779</v>
      </c>
      <c r="AB888" s="0" t="n">
        <f aca="false">IFERROR(VALUE(R888),0)</f>
        <v>7.1</v>
      </c>
      <c r="AC888" s="0" t="n">
        <f aca="false">IFERROR(VALUE(M888),"")</f>
        <v>30.11</v>
      </c>
      <c r="AD888" s="0" t="n">
        <f aca="false">IFERROR(VALUE(Q888),"")</f>
        <v>1.6</v>
      </c>
      <c r="AE888" s="0" t="n">
        <f aca="false">IFERROR(VALUE(S888),"")</f>
        <v>8.7</v>
      </c>
      <c r="AF888" s="0" t="str">
        <f aca="false">IF(V888="","",VLOOKUP(V888,Assumptions!$B$6:$C$9,2,FALSE()))</f>
        <v/>
      </c>
      <c r="AG888" s="0" t="str">
        <f aca="false">IF(W888="","",VLOOKUP(W888,Assumptions!$B$6:$C$9,2,FALSE()))</f>
        <v/>
      </c>
      <c r="AH888" s="0" t="str">
        <f aca="false">IF(X888="","",VLOOKUP(X888,Assumptions!$B$6:$C$9,2,FALSE()))</f>
        <v/>
      </c>
      <c r="AI888" s="0" t="n">
        <f aca="false">IF(Y888="","",VLOOKUP(Y888,Assumptions!$B$6:$C$9,2,FALSE()))</f>
        <v>3</v>
      </c>
      <c r="AJ888" s="0" t="n">
        <f aca="false">IF(Z888="","",VLOOKUP(Z888,Assumptions!$B$6:$C$9,2,FALSE()))</f>
        <v>2</v>
      </c>
      <c r="AK888" s="7" t="n">
        <f aca="false">IFERROR(ROUND(AVERAGE(AF888:AJ888),3),"")</f>
        <v>2.5</v>
      </c>
      <c r="AL888" s="7" t="str">
        <f aca="false">IF(OR(AF888="",AJ888=""),"",AJ888-AF888)</f>
        <v/>
      </c>
      <c r="AM888" s="7" t="n">
        <f aca="false">IF(COUNT(AF888:AJ888)&gt;=2,ROUND(_xlfn.STDEV.S(AF888:AJ888),3),"")</f>
        <v>0.707</v>
      </c>
      <c r="AN888" s="7" t="n">
        <f aca="false">ROUND((IF(AF888="",0,AF888)*Assumptions!$F$15)+(IF(AG888="",0,AG888)*Assumptions!$F$16)+(IF(AH888="",0,AH888)*Assumptions!$F$17)+(IF(AI888="",0,AI888)*Assumptions!$F$18)+(IF(AJ888="",0,AJ888)*Assumptions!$F$19),3)</f>
        <v>1.35</v>
      </c>
      <c r="AO888" s="0" t="str">
        <f aca="false">IF(AC888&lt;=20,"",IF(AC888&lt;=Assumptions!$F$6,"20-30",IF(AC888&lt;=Assumptions!$F$7,"30-40",IF(AC888&lt;=Assumptions!$F$8,"40-50",IF(AC888&lt;=Assumptions!$F$9,"50-60",IF(AC888&lt;=Assumptions!$F$10,"60+",""))))))</f>
        <v>30-40</v>
      </c>
      <c r="AP888" s="0" t="str">
        <f aca="false">IFERROR(VLOOKUP(O888,Assumptions!$B$14:$C$26,2,FALSE()),"Other")</f>
        <v>Manager</v>
      </c>
      <c r="AQ888" s="0" t="n">
        <f aca="false">IF(T888="",0,1)</f>
        <v>0</v>
      </c>
      <c r="AR888" s="0" t="n">
        <f aca="false">IF(U888="",0,1)</f>
        <v>0</v>
      </c>
      <c r="AS888" s="8" t="n">
        <f aca="false">IF(AK888="","",IF(MAX($AK$2:$AK$921)=MIN($AK$2:$AK$921),50,ROUND((AK888-MIN($AK$2:$AK$921))/(MAX($AK$2:$AK$921)-MIN($AK$2:$AK$921))*100,2)))</f>
        <v>35.71</v>
      </c>
      <c r="AT888" s="8" t="n">
        <f aca="false">IF(MAX($BC$2:$BC$921)=MIN($BC$2:$BC$921),50,ROUND((BC888-MIN($BC$2:$BC$921))/(MAX($BC$2:$BC$921)-MIN($BC$2:$BC$921))*100,2))</f>
        <v>50</v>
      </c>
      <c r="AU888" s="8" t="n">
        <f aca="false">IF(MAX($BE$2:$BE$921)=MIN($BE$2:$BE$921),50,ROUND((BE888-MIN($BE$2:$BE$921))/(MAX($BE$2:$BE$921)-MIN($BE$2:$BE$921))*100,2))</f>
        <v>59.18</v>
      </c>
      <c r="AV888" s="8" t="n">
        <f aca="false">IF(MAX($AD$2:$AD$921)=MIN($AD$2:$AD$921),50,ROUND((AD888-MIN($AD$2:$AD$921))/(MAX($AD$2:$AD$921)-MIN($AD$2:$AD$921))*100,2))</f>
        <v>4.05</v>
      </c>
      <c r="AW888" s="8" t="n">
        <f aca="false">IF(MAX($AN$2:$AN$921)=MIN($AN$2:$AN$921),50,ROUND((AN888-MIN($AN$2:$AN$921))/(MAX($AN$2:$AN$921)-MIN($AN$2:$AN$921))*100,2))</f>
        <v>33.75</v>
      </c>
      <c r="AX888" s="8" t="n">
        <f aca="false">AQ888*100</f>
        <v>0</v>
      </c>
      <c r="AY888" s="8" t="n">
        <f aca="false">AR888*100</f>
        <v>0</v>
      </c>
      <c r="AZ888" s="8" t="n">
        <f aca="false">IFERROR(ROUND(AS888*Assumptions!$I$6+AW888*Assumptions!$I$7+AT888*Assumptions!$I$8+AU888*Assumptions!$I$9+AV888*Assumptions!$I$10+AX888*Assumptions!$I$11+AY888*Assumptions!$I$12,2),"")</f>
        <v>34.25</v>
      </c>
      <c r="BA888" s="0" t="str">
        <f aca="false">IF(AZ888="","",IF(AZ888&lt;=Assumptions!$I$18,"Below Expectation",IF(AZ888&lt;=Assumptions!$I$19,"Developing",IF(AZ888&lt;=Assumptions!$I$20,"Meets Expectation",IF(AZ888&lt;=Assumptions!$I$21,"Exceeds","Star Performer")))))</f>
        <v>Below Expectation</v>
      </c>
      <c r="BB888" s="0" t="n">
        <f aca="false">IF(AZ888="",0,IF(AZ888&gt;=Assumptions!$I$26,1,0))</f>
        <v>0</v>
      </c>
      <c r="BC888" s="9" t="n">
        <f aca="false">IF(AL888="",2,AL888+2)</f>
        <v>2</v>
      </c>
      <c r="BD888" s="10" t="n">
        <f aca="false">IF(AM888="",ROUND(AVERAGE($AM$2:$AM$921),3),AM888)</f>
        <v>0.707</v>
      </c>
      <c r="BE888" s="9" t="n">
        <f aca="false">1-BD888</f>
        <v>0.293</v>
      </c>
    </row>
    <row r="889" customFormat="false" ht="14.25" hidden="true" customHeight="false" outlineLevel="0" collapsed="false">
      <c r="A889" s="4" t="n">
        <v>301</v>
      </c>
      <c r="B889" s="5" t="n">
        <v>10071753</v>
      </c>
      <c r="C889" s="5" t="s">
        <v>57</v>
      </c>
      <c r="D889" s="5" t="s">
        <v>2780</v>
      </c>
      <c r="E889" s="5" t="s">
        <v>456</v>
      </c>
      <c r="F889" s="5" t="s">
        <v>608</v>
      </c>
      <c r="G889" s="5" t="s">
        <v>609</v>
      </c>
      <c r="H889" s="5" t="s">
        <v>608</v>
      </c>
      <c r="I889" s="5" t="s">
        <v>63</v>
      </c>
      <c r="J889" s="5" t="s">
        <v>100</v>
      </c>
      <c r="K889" s="5" t="s">
        <v>65</v>
      </c>
      <c r="L889" s="6" t="n">
        <v>43857</v>
      </c>
      <c r="M889" s="5" t="s">
        <v>1709</v>
      </c>
      <c r="N889" s="6" t="n">
        <v>33975</v>
      </c>
      <c r="O889" s="5" t="s">
        <v>365</v>
      </c>
      <c r="P889" s="5" t="s">
        <v>365</v>
      </c>
      <c r="Q889" s="5" t="s">
        <v>487</v>
      </c>
      <c r="R889" s="5" t="s">
        <v>81</v>
      </c>
      <c r="S889" s="5" t="s">
        <v>790</v>
      </c>
      <c r="T889" s="6"/>
      <c r="U889" s="6"/>
      <c r="V889" s="5" t="s">
        <v>141</v>
      </c>
      <c r="W889" s="5" t="s">
        <v>631</v>
      </c>
      <c r="X889" s="5" t="s">
        <v>631</v>
      </c>
      <c r="Y889" s="5" t="s">
        <v>631</v>
      </c>
      <c r="Z889" s="5" t="s">
        <v>631</v>
      </c>
      <c r="AA889" s="5" t="s">
        <v>2781</v>
      </c>
      <c r="AB889" s="0" t="n">
        <f aca="false">IFERROR(VALUE(R889),0)</f>
        <v>4.5</v>
      </c>
      <c r="AC889" s="0" t="n">
        <f aca="false">IFERROR(VALUE(M889),"")</f>
        <v>33.5</v>
      </c>
      <c r="AD889" s="0" t="n">
        <f aca="false">IFERROR(VALUE(Q889),"")</f>
        <v>6.4</v>
      </c>
      <c r="AE889" s="0" t="n">
        <f aca="false">IFERROR(VALUE(S889),"")</f>
        <v>10.9</v>
      </c>
      <c r="AF889" s="0" t="n">
        <f aca="false">IF(V889="","",VLOOKUP(V889,Assumptions!$B$6:$C$9,2,FALSE()))</f>
        <v>3</v>
      </c>
      <c r="AG889" s="0" t="n">
        <f aca="false">IF(W889="","",VLOOKUP(W889,Assumptions!$B$6:$C$9,2,FALSE()))</f>
        <v>2</v>
      </c>
      <c r="AH889" s="0" t="n">
        <f aca="false">IF(X889="","",VLOOKUP(X889,Assumptions!$B$6:$C$9,2,FALSE()))</f>
        <v>2</v>
      </c>
      <c r="AI889" s="0" t="n">
        <f aca="false">IF(Y889="","",VLOOKUP(Y889,Assumptions!$B$6:$C$9,2,FALSE()))</f>
        <v>2</v>
      </c>
      <c r="AJ889" s="0" t="n">
        <f aca="false">IF(Z889="","",VLOOKUP(Z889,Assumptions!$B$6:$C$9,2,FALSE()))</f>
        <v>2</v>
      </c>
      <c r="AK889" s="7" t="n">
        <f aca="false">IFERROR(ROUND(AVERAGE(AF889:AJ889),3),"")</f>
        <v>2.2</v>
      </c>
      <c r="AL889" s="7" t="n">
        <f aca="false">IF(OR(AF889="",AJ889=""),"",AJ889-AF889)</f>
        <v>-1</v>
      </c>
      <c r="AM889" s="7" t="n">
        <f aca="false">IF(COUNT(AF889:AJ889)&gt;=2,ROUND(_xlfn.STDEV.S(AF889:AJ889),3),"")</f>
        <v>0.447</v>
      </c>
      <c r="AN889" s="7" t="n">
        <f aca="false">ROUND((IF(AF889="",0,AF889)*Assumptions!$F$15)+(IF(AG889="",0,AG889)*Assumptions!$F$16)+(IF(AH889="",0,AH889)*Assumptions!$F$17)+(IF(AI889="",0,AI889)*Assumptions!$F$18)+(IF(AJ889="",0,AJ889)*Assumptions!$F$19),3)</f>
        <v>2.1</v>
      </c>
      <c r="AO889" s="0" t="str">
        <f aca="false">IF(AC889&lt;=20,"",IF(AC889&lt;=Assumptions!$F$6,"20-30",IF(AC889&lt;=Assumptions!$F$7,"30-40",IF(AC889&lt;=Assumptions!$F$8,"40-50",IF(AC889&lt;=Assumptions!$F$9,"50-60",IF(AC889&lt;=Assumptions!$F$10,"60+",""))))))</f>
        <v>30-40</v>
      </c>
      <c r="AP889" s="0" t="str">
        <f aca="false">IFERROR(VLOOKUP(O889,Assumptions!$B$14:$C$26,2,FALSE()),"Other")</f>
        <v>Manager</v>
      </c>
      <c r="AQ889" s="0" t="n">
        <f aca="false">IF(T889="",0,1)</f>
        <v>0</v>
      </c>
      <c r="AR889" s="0" t="n">
        <f aca="false">IF(U889="",0,1)</f>
        <v>0</v>
      </c>
      <c r="AS889" s="8" t="n">
        <f aca="false">IF(AK889="","",IF(MAX($AK$2:$AK$921)=MIN($AK$2:$AK$921),50,ROUND((AK889-MIN($AK$2:$AK$921))/(MAX($AK$2:$AK$921)-MIN($AK$2:$AK$921))*100,2)))</f>
        <v>22.85</v>
      </c>
      <c r="AT889" s="8" t="n">
        <f aca="false">IF(MAX($BC$2:$BC$921)=MIN($BC$2:$BC$921),50,ROUND((BC889-MIN($BC$2:$BC$921))/(MAX($BC$2:$BC$921)-MIN($BC$2:$BC$921))*100,2))</f>
        <v>25</v>
      </c>
      <c r="AU889" s="8" t="n">
        <f aca="false">IF(MAX($BE$2:$BE$921)=MIN($BE$2:$BE$921),50,ROUND((BE889-MIN($BE$2:$BE$921))/(MAX($BE$2:$BE$921)-MIN($BE$2:$BE$921))*100,2))</f>
        <v>74.19</v>
      </c>
      <c r="AV889" s="8" t="n">
        <f aca="false">IF(MAX($AD$2:$AD$921)=MIN($AD$2:$AD$921),50,ROUND((AD889-MIN($AD$2:$AD$921))/(MAX($AD$2:$AD$921)-MIN($AD$2:$AD$921))*100,2))</f>
        <v>17.1</v>
      </c>
      <c r="AW889" s="8" t="n">
        <f aca="false">IF(MAX($AN$2:$AN$921)=MIN($AN$2:$AN$921),50,ROUND((AN889-MIN($AN$2:$AN$921))/(MAX($AN$2:$AN$921)-MIN($AN$2:$AN$921))*100,2))</f>
        <v>52.5</v>
      </c>
      <c r="AX889" s="8" t="n">
        <f aca="false">AQ889*100</f>
        <v>0</v>
      </c>
      <c r="AY889" s="8" t="n">
        <f aca="false">AR889*100</f>
        <v>0</v>
      </c>
      <c r="AZ889" s="8" t="n">
        <f aca="false">IFERROR(ROUND(AS889*Assumptions!$I$6+AW889*Assumptions!$I$7+AT889*Assumptions!$I$8+AU889*Assumptions!$I$9+AV889*Assumptions!$I$10+AX889*Assumptions!$I$11+AY889*Assumptions!$I$12,2),"")</f>
        <v>33.94</v>
      </c>
      <c r="BA889" s="0" t="str">
        <f aca="false">IF(AZ889="","",IF(AZ889&lt;=Assumptions!$I$18,"Below Expectation",IF(AZ889&lt;=Assumptions!$I$19,"Developing",IF(AZ889&lt;=Assumptions!$I$20,"Meets Expectation",IF(AZ889&lt;=Assumptions!$I$21,"Exceeds","Star Performer")))))</f>
        <v>Below Expectation</v>
      </c>
      <c r="BB889" s="0" t="n">
        <f aca="false">IF(AZ889="",0,IF(AZ889&gt;=Assumptions!$I$26,1,0))</f>
        <v>0</v>
      </c>
      <c r="BC889" s="9" t="n">
        <f aca="false">IF(AL889="",2,AL889+2)</f>
        <v>1</v>
      </c>
      <c r="BD889" s="10" t="n">
        <f aca="false">IF(AM889="",ROUND(AVERAGE($AM$2:$AM$921),3),AM889)</f>
        <v>0.447</v>
      </c>
      <c r="BE889" s="9" t="n">
        <f aca="false">1-BD889</f>
        <v>0.553</v>
      </c>
    </row>
    <row r="890" customFormat="false" ht="14.25" hidden="true" customHeight="false" outlineLevel="0" collapsed="false">
      <c r="A890" s="4" t="n">
        <v>288</v>
      </c>
      <c r="B890" s="5" t="n">
        <v>10069428</v>
      </c>
      <c r="C890" s="5" t="s">
        <v>858</v>
      </c>
      <c r="D890" s="5" t="s">
        <v>2782</v>
      </c>
      <c r="E890" s="5" t="s">
        <v>2369</v>
      </c>
      <c r="F890" s="5" t="s">
        <v>861</v>
      </c>
      <c r="G890" s="5" t="s">
        <v>862</v>
      </c>
      <c r="H890" s="5" t="s">
        <v>861</v>
      </c>
      <c r="I890" s="5" t="s">
        <v>63</v>
      </c>
      <c r="J890" s="5" t="s">
        <v>100</v>
      </c>
      <c r="K890" s="5" t="s">
        <v>65</v>
      </c>
      <c r="L890" s="6" t="n">
        <v>43677</v>
      </c>
      <c r="M890" s="5" t="s">
        <v>1864</v>
      </c>
      <c r="N890" s="6" t="n">
        <v>35040</v>
      </c>
      <c r="O890" s="5" t="s">
        <v>365</v>
      </c>
      <c r="P890" s="5" t="s">
        <v>365</v>
      </c>
      <c r="Q890" s="5" t="s">
        <v>604</v>
      </c>
      <c r="R890" s="5" t="s">
        <v>115</v>
      </c>
      <c r="S890" s="5" t="s">
        <v>604</v>
      </c>
      <c r="T890" s="6"/>
      <c r="U890" s="6"/>
      <c r="V890" s="5" t="s">
        <v>141</v>
      </c>
      <c r="W890" s="5" t="s">
        <v>631</v>
      </c>
      <c r="X890" s="5" t="s">
        <v>631</v>
      </c>
      <c r="Y890" s="5" t="s">
        <v>631</v>
      </c>
      <c r="Z890" s="5" t="s">
        <v>631</v>
      </c>
      <c r="AA890" s="5" t="s">
        <v>2783</v>
      </c>
      <c r="AB890" s="0" t="n">
        <f aca="false">IFERROR(VALUE(R890),0)</f>
        <v>0</v>
      </c>
      <c r="AC890" s="0" t="n">
        <f aca="false">IFERROR(VALUE(M890),"")</f>
        <v>30.6</v>
      </c>
      <c r="AD890" s="0" t="n">
        <f aca="false">IFERROR(VALUE(Q890),"")</f>
        <v>6.1</v>
      </c>
      <c r="AE890" s="0" t="n">
        <f aca="false">IFERROR(VALUE(S890),"")</f>
        <v>6.1</v>
      </c>
      <c r="AF890" s="0" t="n">
        <f aca="false">IF(V890="","",VLOOKUP(V890,Assumptions!$B$6:$C$9,2,FALSE()))</f>
        <v>3</v>
      </c>
      <c r="AG890" s="0" t="n">
        <f aca="false">IF(W890="","",VLOOKUP(W890,Assumptions!$B$6:$C$9,2,FALSE()))</f>
        <v>2</v>
      </c>
      <c r="AH890" s="0" t="n">
        <f aca="false">IF(X890="","",VLOOKUP(X890,Assumptions!$B$6:$C$9,2,FALSE()))</f>
        <v>2</v>
      </c>
      <c r="AI890" s="0" t="n">
        <f aca="false">IF(Y890="","",VLOOKUP(Y890,Assumptions!$B$6:$C$9,2,FALSE()))</f>
        <v>2</v>
      </c>
      <c r="AJ890" s="0" t="n">
        <f aca="false">IF(Z890="","",VLOOKUP(Z890,Assumptions!$B$6:$C$9,2,FALSE()))</f>
        <v>2</v>
      </c>
      <c r="AK890" s="7" t="n">
        <f aca="false">IFERROR(ROUND(AVERAGE(AF890:AJ890),3),"")</f>
        <v>2.2</v>
      </c>
      <c r="AL890" s="7" t="n">
        <f aca="false">IF(OR(AF890="",AJ890=""),"",AJ890-AF890)</f>
        <v>-1</v>
      </c>
      <c r="AM890" s="7" t="n">
        <f aca="false">IF(COUNT(AF890:AJ890)&gt;=2,ROUND(_xlfn.STDEV.S(AF890:AJ890),3),"")</f>
        <v>0.447</v>
      </c>
      <c r="AN890" s="7" t="n">
        <f aca="false">ROUND((IF(AF890="",0,AF890)*Assumptions!$F$15)+(IF(AG890="",0,AG890)*Assumptions!$F$16)+(IF(AH890="",0,AH890)*Assumptions!$F$17)+(IF(AI890="",0,AI890)*Assumptions!$F$18)+(IF(AJ890="",0,AJ890)*Assumptions!$F$19),3)</f>
        <v>2.1</v>
      </c>
      <c r="AO890" s="0" t="str">
        <f aca="false">IF(AC890&lt;=20,"",IF(AC890&lt;=Assumptions!$F$6,"20-30",IF(AC890&lt;=Assumptions!$F$7,"30-40",IF(AC890&lt;=Assumptions!$F$8,"40-50",IF(AC890&lt;=Assumptions!$F$9,"50-60",IF(AC890&lt;=Assumptions!$F$10,"60+",""))))))</f>
        <v>30-40</v>
      </c>
      <c r="AP890" s="0" t="str">
        <f aca="false">IFERROR(VLOOKUP(O890,Assumptions!$B$14:$C$26,2,FALSE()),"Other")</f>
        <v>Manager</v>
      </c>
      <c r="AQ890" s="0" t="n">
        <f aca="false">IF(T890="",0,1)</f>
        <v>0</v>
      </c>
      <c r="AR890" s="0" t="n">
        <f aca="false">IF(U890="",0,1)</f>
        <v>0</v>
      </c>
      <c r="AS890" s="8" t="n">
        <f aca="false">IF(AK890="","",IF(MAX($AK$2:$AK$921)=MIN($AK$2:$AK$921),50,ROUND((AK890-MIN($AK$2:$AK$921))/(MAX($AK$2:$AK$921)-MIN($AK$2:$AK$921))*100,2)))</f>
        <v>22.85</v>
      </c>
      <c r="AT890" s="8" t="n">
        <f aca="false">IF(MAX($BC$2:$BC$921)=MIN($BC$2:$BC$921),50,ROUND((BC890-MIN($BC$2:$BC$921))/(MAX($BC$2:$BC$921)-MIN($BC$2:$BC$921))*100,2))</f>
        <v>25</v>
      </c>
      <c r="AU890" s="8" t="n">
        <f aca="false">IF(MAX($BE$2:$BE$921)=MIN($BE$2:$BE$921),50,ROUND((BE890-MIN($BE$2:$BE$921))/(MAX($BE$2:$BE$921)-MIN($BE$2:$BE$921))*100,2))</f>
        <v>74.19</v>
      </c>
      <c r="AV890" s="8" t="n">
        <f aca="false">IF(MAX($AD$2:$AD$921)=MIN($AD$2:$AD$921),50,ROUND((AD890-MIN($AD$2:$AD$921))/(MAX($AD$2:$AD$921)-MIN($AD$2:$AD$921))*100,2))</f>
        <v>16.28</v>
      </c>
      <c r="AW890" s="8" t="n">
        <f aca="false">IF(MAX($AN$2:$AN$921)=MIN($AN$2:$AN$921),50,ROUND((AN890-MIN($AN$2:$AN$921))/(MAX($AN$2:$AN$921)-MIN($AN$2:$AN$921))*100,2))</f>
        <v>52.5</v>
      </c>
      <c r="AX890" s="8" t="n">
        <f aca="false">AQ890*100</f>
        <v>0</v>
      </c>
      <c r="AY890" s="8" t="n">
        <f aca="false">AR890*100</f>
        <v>0</v>
      </c>
      <c r="AZ890" s="8" t="n">
        <f aca="false">IFERROR(ROUND(AS890*Assumptions!$I$6+AW890*Assumptions!$I$7+AT890*Assumptions!$I$8+AU890*Assumptions!$I$9+AV890*Assumptions!$I$10+AX890*Assumptions!$I$11+AY890*Assumptions!$I$12,2),"")</f>
        <v>33.86</v>
      </c>
      <c r="BA890" s="0" t="str">
        <f aca="false">IF(AZ890="","",IF(AZ890&lt;=Assumptions!$I$18,"Below Expectation",IF(AZ890&lt;=Assumptions!$I$19,"Developing",IF(AZ890&lt;=Assumptions!$I$20,"Meets Expectation",IF(AZ890&lt;=Assumptions!$I$21,"Exceeds","Star Performer")))))</f>
        <v>Below Expectation</v>
      </c>
      <c r="BB890" s="0" t="n">
        <f aca="false">IF(AZ890="",0,IF(AZ890&gt;=Assumptions!$I$26,1,0))</f>
        <v>0</v>
      </c>
      <c r="BC890" s="9" t="n">
        <f aca="false">IF(AL890="",2,AL890+2)</f>
        <v>1</v>
      </c>
      <c r="BD890" s="10" t="n">
        <f aca="false">IF(AM890="",ROUND(AVERAGE($AM$2:$AM$921),3),AM890)</f>
        <v>0.447</v>
      </c>
      <c r="BE890" s="9" t="n">
        <f aca="false">1-BD890</f>
        <v>0.553</v>
      </c>
    </row>
    <row r="891" customFormat="false" ht="14.25" hidden="true" customHeight="false" outlineLevel="0" collapsed="false">
      <c r="A891" s="4" t="n">
        <v>315</v>
      </c>
      <c r="B891" s="5" t="n">
        <v>10072427</v>
      </c>
      <c r="C891" s="5" t="s">
        <v>85</v>
      </c>
      <c r="D891" s="5" t="s">
        <v>2784</v>
      </c>
      <c r="E891" s="5" t="s">
        <v>315</v>
      </c>
      <c r="F891" s="5" t="s">
        <v>602</v>
      </c>
      <c r="G891" s="5" t="s">
        <v>603</v>
      </c>
      <c r="H891" s="5" t="s">
        <v>602</v>
      </c>
      <c r="I891" s="5" t="s">
        <v>63</v>
      </c>
      <c r="J891" s="5" t="s">
        <v>76</v>
      </c>
      <c r="K891" s="5" t="s">
        <v>65</v>
      </c>
      <c r="L891" s="6" t="n">
        <v>43935</v>
      </c>
      <c r="M891" s="5" t="s">
        <v>769</v>
      </c>
      <c r="N891" s="6" t="n">
        <v>33370</v>
      </c>
      <c r="O891" s="5" t="s">
        <v>365</v>
      </c>
      <c r="P891" s="5" t="s">
        <v>365</v>
      </c>
      <c r="Q891" s="5" t="s">
        <v>506</v>
      </c>
      <c r="R891" s="5" t="s">
        <v>820</v>
      </c>
      <c r="S891" s="5" t="s">
        <v>791</v>
      </c>
      <c r="T891" s="6"/>
      <c r="U891" s="6"/>
      <c r="V891" s="5" t="s">
        <v>141</v>
      </c>
      <c r="W891" s="5" t="s">
        <v>631</v>
      </c>
      <c r="X891" s="5" t="s">
        <v>631</v>
      </c>
      <c r="Y891" s="5" t="s">
        <v>631</v>
      </c>
      <c r="Z891" s="5" t="s">
        <v>631</v>
      </c>
      <c r="AA891" s="5" t="s">
        <v>2785</v>
      </c>
      <c r="AB891" s="0" t="n">
        <f aca="false">IFERROR(VALUE(R891),0)</f>
        <v>2.4</v>
      </c>
      <c r="AC891" s="0" t="n">
        <f aca="false">IFERROR(VALUE(M891),"")</f>
        <v>35</v>
      </c>
      <c r="AD891" s="0" t="n">
        <f aca="false">IFERROR(VALUE(Q891),"")</f>
        <v>6.1</v>
      </c>
      <c r="AE891" s="0" t="n">
        <f aca="false">IFERROR(VALUE(S891),"")</f>
        <v>8.5</v>
      </c>
      <c r="AF891" s="0" t="n">
        <f aca="false">IF(V891="","",VLOOKUP(V891,Assumptions!$B$6:$C$9,2,FALSE()))</f>
        <v>3</v>
      </c>
      <c r="AG891" s="0" t="n">
        <f aca="false">IF(W891="","",VLOOKUP(W891,Assumptions!$B$6:$C$9,2,FALSE()))</f>
        <v>2</v>
      </c>
      <c r="AH891" s="0" t="n">
        <f aca="false">IF(X891="","",VLOOKUP(X891,Assumptions!$B$6:$C$9,2,FALSE()))</f>
        <v>2</v>
      </c>
      <c r="AI891" s="0" t="n">
        <f aca="false">IF(Y891="","",VLOOKUP(Y891,Assumptions!$B$6:$C$9,2,FALSE()))</f>
        <v>2</v>
      </c>
      <c r="AJ891" s="0" t="n">
        <f aca="false">IF(Z891="","",VLOOKUP(Z891,Assumptions!$B$6:$C$9,2,FALSE()))</f>
        <v>2</v>
      </c>
      <c r="AK891" s="7" t="n">
        <f aca="false">IFERROR(ROUND(AVERAGE(AF891:AJ891),3),"")</f>
        <v>2.2</v>
      </c>
      <c r="AL891" s="7" t="n">
        <f aca="false">IF(OR(AF891="",AJ891=""),"",AJ891-AF891)</f>
        <v>-1</v>
      </c>
      <c r="AM891" s="7" t="n">
        <f aca="false">IF(COUNT(AF891:AJ891)&gt;=2,ROUND(_xlfn.STDEV.S(AF891:AJ891),3),"")</f>
        <v>0.447</v>
      </c>
      <c r="AN891" s="7" t="n">
        <f aca="false">ROUND((IF(AF891="",0,AF891)*Assumptions!$F$15)+(IF(AG891="",0,AG891)*Assumptions!$F$16)+(IF(AH891="",0,AH891)*Assumptions!$F$17)+(IF(AI891="",0,AI891)*Assumptions!$F$18)+(IF(AJ891="",0,AJ891)*Assumptions!$F$19),3)</f>
        <v>2.1</v>
      </c>
      <c r="AO891" s="0" t="str">
        <f aca="false">IF(AC891&lt;=20,"",IF(AC891&lt;=Assumptions!$F$6,"20-30",IF(AC891&lt;=Assumptions!$F$7,"30-40",IF(AC891&lt;=Assumptions!$F$8,"40-50",IF(AC891&lt;=Assumptions!$F$9,"50-60",IF(AC891&lt;=Assumptions!$F$10,"60+",""))))))</f>
        <v>30-40</v>
      </c>
      <c r="AP891" s="0" t="str">
        <f aca="false">IFERROR(VLOOKUP(O891,Assumptions!$B$14:$C$26,2,FALSE()),"Other")</f>
        <v>Manager</v>
      </c>
      <c r="AQ891" s="0" t="n">
        <f aca="false">IF(T891="",0,1)</f>
        <v>0</v>
      </c>
      <c r="AR891" s="0" t="n">
        <f aca="false">IF(U891="",0,1)</f>
        <v>0</v>
      </c>
      <c r="AS891" s="8" t="n">
        <f aca="false">IF(AK891="","",IF(MAX($AK$2:$AK$921)=MIN($AK$2:$AK$921),50,ROUND((AK891-MIN($AK$2:$AK$921))/(MAX($AK$2:$AK$921)-MIN($AK$2:$AK$921))*100,2)))</f>
        <v>22.85</v>
      </c>
      <c r="AT891" s="8" t="n">
        <f aca="false">IF(MAX($BC$2:$BC$921)=MIN($BC$2:$BC$921),50,ROUND((BC891-MIN($BC$2:$BC$921))/(MAX($BC$2:$BC$921)-MIN($BC$2:$BC$921))*100,2))</f>
        <v>25</v>
      </c>
      <c r="AU891" s="8" t="n">
        <f aca="false">IF(MAX($BE$2:$BE$921)=MIN($BE$2:$BE$921),50,ROUND((BE891-MIN($BE$2:$BE$921))/(MAX($BE$2:$BE$921)-MIN($BE$2:$BE$921))*100,2))</f>
        <v>74.19</v>
      </c>
      <c r="AV891" s="8" t="n">
        <f aca="false">IF(MAX($AD$2:$AD$921)=MIN($AD$2:$AD$921),50,ROUND((AD891-MIN($AD$2:$AD$921))/(MAX($AD$2:$AD$921)-MIN($AD$2:$AD$921))*100,2))</f>
        <v>16.28</v>
      </c>
      <c r="AW891" s="8" t="n">
        <f aca="false">IF(MAX($AN$2:$AN$921)=MIN($AN$2:$AN$921),50,ROUND((AN891-MIN($AN$2:$AN$921))/(MAX($AN$2:$AN$921)-MIN($AN$2:$AN$921))*100,2))</f>
        <v>52.5</v>
      </c>
      <c r="AX891" s="8" t="n">
        <f aca="false">AQ891*100</f>
        <v>0</v>
      </c>
      <c r="AY891" s="8" t="n">
        <f aca="false">AR891*100</f>
        <v>0</v>
      </c>
      <c r="AZ891" s="8" t="n">
        <f aca="false">IFERROR(ROUND(AS891*Assumptions!$I$6+AW891*Assumptions!$I$7+AT891*Assumptions!$I$8+AU891*Assumptions!$I$9+AV891*Assumptions!$I$10+AX891*Assumptions!$I$11+AY891*Assumptions!$I$12,2),"")</f>
        <v>33.86</v>
      </c>
      <c r="BA891" s="0" t="str">
        <f aca="false">IF(AZ891="","",IF(AZ891&lt;=Assumptions!$I$18,"Below Expectation",IF(AZ891&lt;=Assumptions!$I$19,"Developing",IF(AZ891&lt;=Assumptions!$I$20,"Meets Expectation",IF(AZ891&lt;=Assumptions!$I$21,"Exceeds","Star Performer")))))</f>
        <v>Below Expectation</v>
      </c>
      <c r="BB891" s="0" t="n">
        <f aca="false">IF(AZ891="",0,IF(AZ891&gt;=Assumptions!$I$26,1,0))</f>
        <v>0</v>
      </c>
      <c r="BC891" s="9" t="n">
        <f aca="false">IF(AL891="",2,AL891+2)</f>
        <v>1</v>
      </c>
      <c r="BD891" s="10" t="n">
        <f aca="false">IF(AM891="",ROUND(AVERAGE($AM$2:$AM$921),3),AM891)</f>
        <v>0.447</v>
      </c>
      <c r="BE891" s="9" t="n">
        <f aca="false">1-BD891</f>
        <v>0.553</v>
      </c>
    </row>
    <row r="892" customFormat="false" ht="14.25" hidden="false" customHeight="false" outlineLevel="0" collapsed="false">
      <c r="A892" s="4" t="n">
        <v>920</v>
      </c>
      <c r="B892" s="5" t="n">
        <v>67670577</v>
      </c>
      <c r="C892" s="5" t="s">
        <v>106</v>
      </c>
      <c r="D892" s="5" t="s">
        <v>2786</v>
      </c>
      <c r="E892" s="5" t="s">
        <v>1494</v>
      </c>
      <c r="F892" s="5" t="s">
        <v>563</v>
      </c>
      <c r="G892" s="5" t="s">
        <v>924</v>
      </c>
      <c r="H892" s="5" t="s">
        <v>925</v>
      </c>
      <c r="I892" s="5" t="s">
        <v>63</v>
      </c>
      <c r="J892" s="5" t="s">
        <v>112</v>
      </c>
      <c r="K892" s="5" t="s">
        <v>65</v>
      </c>
      <c r="L892" s="6" t="n">
        <v>44748</v>
      </c>
      <c r="M892" s="5" t="s">
        <v>475</v>
      </c>
      <c r="N892" s="6" t="n">
        <v>32261</v>
      </c>
      <c r="O892" s="5" t="s">
        <v>2069</v>
      </c>
      <c r="P892" s="5" t="s">
        <v>2069</v>
      </c>
      <c r="Q892" s="5" t="s">
        <v>345</v>
      </c>
      <c r="R892" s="5" t="s">
        <v>1619</v>
      </c>
      <c r="S892" s="5" t="s">
        <v>762</v>
      </c>
      <c r="T892" s="6"/>
      <c r="U892" s="6"/>
      <c r="V892" s="5"/>
      <c r="W892" s="5" t="s">
        <v>2030</v>
      </c>
      <c r="X892" s="5" t="s">
        <v>631</v>
      </c>
      <c r="Y892" s="5" t="s">
        <v>141</v>
      </c>
      <c r="Z892" s="5" t="s">
        <v>141</v>
      </c>
      <c r="AA892" s="5" t="s">
        <v>2787</v>
      </c>
      <c r="AB892" s="0" t="n">
        <f aca="false">IFERROR(VALUE(R892),0)</f>
        <v>9.2</v>
      </c>
      <c r="AC892" s="0" t="n">
        <f aca="false">IFERROR(VALUE(M892),"")</f>
        <v>38.1</v>
      </c>
      <c r="AD892" s="0" t="n">
        <f aca="false">IFERROR(VALUE(Q892),"")</f>
        <v>3.11</v>
      </c>
      <c r="AE892" s="0" t="n">
        <f aca="false">IFERROR(VALUE(S892),"")</f>
        <v>13.1</v>
      </c>
      <c r="AF892" s="0" t="str">
        <f aca="false">IF(V892="","",VLOOKUP(V892,Assumptions!$B$6:$C$9,2,FALSE()))</f>
        <v/>
      </c>
      <c r="AG892" s="0" t="n">
        <f aca="false">IF(W892="","",VLOOKUP(W892,Assumptions!$B$6:$C$9,2,FALSE()))</f>
        <v>1</v>
      </c>
      <c r="AH892" s="0" t="n">
        <f aca="false">IF(X892="","",VLOOKUP(X892,Assumptions!$B$6:$C$9,2,FALSE()))</f>
        <v>2</v>
      </c>
      <c r="AI892" s="0" t="n">
        <f aca="false">IF(Y892="","",VLOOKUP(Y892,Assumptions!$B$6:$C$9,2,FALSE()))</f>
        <v>3</v>
      </c>
      <c r="AJ892" s="0" t="n">
        <f aca="false">IF(Z892="","",VLOOKUP(Z892,Assumptions!$B$6:$C$9,2,FALSE()))</f>
        <v>3</v>
      </c>
      <c r="AK892" s="7" t="n">
        <f aca="false">IFERROR(ROUND(AVERAGE(AF892:AJ892),3),"")</f>
        <v>2.25</v>
      </c>
      <c r="AL892" s="7" t="str">
        <f aca="false">IF(OR(AF892="",AJ892=""),"",AJ892-AF892)</f>
        <v/>
      </c>
      <c r="AM892" s="7" t="n">
        <f aca="false">IF(COUNT(AF892:AJ892)&gt;=2,ROUND(_xlfn.STDEV.S(AF892:AJ892),3),"")</f>
        <v>0.957</v>
      </c>
      <c r="AN892" s="7" t="n">
        <f aca="false">ROUND((IF(AF892="",0,AF892)*Assumptions!$F$15)+(IF(AG892="",0,AG892)*Assumptions!$F$16)+(IF(AH892="",0,AH892)*Assumptions!$F$17)+(IF(AI892="",0,AI892)*Assumptions!$F$18)+(IF(AJ892="",0,AJ892)*Assumptions!$F$19),3)</f>
        <v>2.2</v>
      </c>
      <c r="AO892" s="0" t="str">
        <f aca="false">IF(AC892&lt;=20,"",IF(AC892&lt;=Assumptions!$F$6,"20-30",IF(AC892&lt;=Assumptions!$F$7,"30-40",IF(AC892&lt;=Assumptions!$F$8,"40-50",IF(AC892&lt;=Assumptions!$F$9,"50-60",IF(AC892&lt;=Assumptions!$F$10,"60+",""))))))</f>
        <v>30-40</v>
      </c>
      <c r="AP892" s="0" t="str">
        <f aca="false">IFERROR(VLOOKUP(O892,Assumptions!$B$14:$C$26,2,FALSE()),"Other")</f>
        <v>Executive</v>
      </c>
      <c r="AQ892" s="0" t="n">
        <f aca="false">IF(T892="",0,1)</f>
        <v>0</v>
      </c>
      <c r="AR892" s="0" t="n">
        <f aca="false">IF(U892="",0,1)</f>
        <v>0</v>
      </c>
      <c r="AS892" s="8" t="n">
        <f aca="false">IF(AK892="","",IF(MAX($AK$2:$AK$921)=MIN($AK$2:$AK$921),50,ROUND((AK892-MIN($AK$2:$AK$921))/(MAX($AK$2:$AK$921)-MIN($AK$2:$AK$921))*100,2)))</f>
        <v>24.99</v>
      </c>
      <c r="AT892" s="8" t="n">
        <f aca="false">IF(MAX($BC$2:$BC$921)=MIN($BC$2:$BC$921),50,ROUND((BC892-MIN($BC$2:$BC$921))/(MAX($BC$2:$BC$921)-MIN($BC$2:$BC$921))*100,2))</f>
        <v>50</v>
      </c>
      <c r="AU892" s="8" t="n">
        <f aca="false">IF(MAX($BE$2:$BE$921)=MIN($BE$2:$BE$921),50,ROUND((BE892-MIN($BE$2:$BE$921))/(MAX($BE$2:$BE$921)-MIN($BE$2:$BE$921))*100,2))</f>
        <v>44.75</v>
      </c>
      <c r="AV892" s="8" t="n">
        <f aca="false">IF(MAX($AD$2:$AD$921)=MIN($AD$2:$AD$921),50,ROUND((AD892-MIN($AD$2:$AD$921))/(MAX($AD$2:$AD$921)-MIN($AD$2:$AD$921))*100,2))</f>
        <v>8.15</v>
      </c>
      <c r="AW892" s="8" t="n">
        <f aca="false">IF(MAX($AN$2:$AN$921)=MIN($AN$2:$AN$921),50,ROUND((AN892-MIN($AN$2:$AN$921))/(MAX($AN$2:$AN$921)-MIN($AN$2:$AN$921))*100,2))</f>
        <v>55</v>
      </c>
      <c r="AX892" s="8" t="n">
        <f aca="false">AQ892*100</f>
        <v>0</v>
      </c>
      <c r="AY892" s="8" t="n">
        <f aca="false">AR892*100</f>
        <v>0</v>
      </c>
      <c r="AZ892" s="8" t="n">
        <f aca="false">IFERROR(ROUND(AS892*Assumptions!$I$6+AW892*Assumptions!$I$7+AT892*Assumptions!$I$8+AU892*Assumptions!$I$9+AV892*Assumptions!$I$10+AX892*Assumptions!$I$11+AY892*Assumptions!$I$12,2),"")</f>
        <v>33.52</v>
      </c>
      <c r="BA892" s="0" t="str">
        <f aca="false">IF(AZ892="","",IF(AZ892&lt;=Assumptions!$I$18,"Below Expectation",IF(AZ892&lt;=Assumptions!$I$19,"Developing",IF(AZ892&lt;=Assumptions!$I$20,"Meets Expectation",IF(AZ892&lt;=Assumptions!$I$21,"Exceeds","Star Performer")))))</f>
        <v>Below Expectation</v>
      </c>
      <c r="BB892" s="0" t="n">
        <f aca="false">IF(AZ892="",0,IF(AZ892&gt;=Assumptions!$I$26,1,0))</f>
        <v>0</v>
      </c>
      <c r="BC892" s="9" t="n">
        <f aca="false">IF(AL892="",2,AL892+2)</f>
        <v>2</v>
      </c>
      <c r="BD892" s="10" t="n">
        <f aca="false">IF(AM892="",ROUND(AVERAGE($AM$2:$AM$921),3),AM892)</f>
        <v>0.957</v>
      </c>
      <c r="BE892" s="9" t="n">
        <f aca="false">1-BD892</f>
        <v>0.043</v>
      </c>
    </row>
    <row r="893" customFormat="false" ht="14.25" hidden="true" customHeight="false" outlineLevel="0" collapsed="false">
      <c r="A893" s="4" t="n">
        <v>861</v>
      </c>
      <c r="B893" s="5" t="n">
        <v>55099244</v>
      </c>
      <c r="C893" s="5" t="s">
        <v>85</v>
      </c>
      <c r="D893" s="5" t="s">
        <v>2788</v>
      </c>
      <c r="E893" s="5" t="s">
        <v>137</v>
      </c>
      <c r="F893" s="5" t="s">
        <v>1731</v>
      </c>
      <c r="G893" s="5" t="s">
        <v>1732</v>
      </c>
      <c r="H893" s="5" t="s">
        <v>1731</v>
      </c>
      <c r="I893" s="5" t="s">
        <v>63</v>
      </c>
      <c r="J893" s="5" t="s">
        <v>76</v>
      </c>
      <c r="K893" s="5" t="s">
        <v>309</v>
      </c>
      <c r="L893" s="6" t="n">
        <v>45300</v>
      </c>
      <c r="M893" s="5" t="s">
        <v>578</v>
      </c>
      <c r="N893" s="6" t="n">
        <v>37327</v>
      </c>
      <c r="O893" s="5" t="s">
        <v>1264</v>
      </c>
      <c r="P893" s="5" t="s">
        <v>1559</v>
      </c>
      <c r="Q893" s="5" t="s">
        <v>1714</v>
      </c>
      <c r="R893" s="5" t="s">
        <v>115</v>
      </c>
      <c r="S893" s="5" t="s">
        <v>1714</v>
      </c>
      <c r="T893" s="6"/>
      <c r="U893" s="6"/>
      <c r="V893" s="5"/>
      <c r="W893" s="5"/>
      <c r="X893" s="5"/>
      <c r="Y893" s="5" t="s">
        <v>631</v>
      </c>
      <c r="Z893" s="5" t="s">
        <v>631</v>
      </c>
      <c r="AA893" s="5" t="s">
        <v>2789</v>
      </c>
      <c r="AB893" s="0" t="n">
        <f aca="false">IFERROR(VALUE(R893),0)</f>
        <v>0</v>
      </c>
      <c r="AC893" s="0" t="n">
        <f aca="false">IFERROR(VALUE(M893),"")</f>
        <v>24.2</v>
      </c>
      <c r="AD893" s="0" t="n">
        <f aca="false">IFERROR(VALUE(Q893),"")</f>
        <v>2.5</v>
      </c>
      <c r="AE893" s="0" t="n">
        <f aca="false">IFERROR(VALUE(S893),"")</f>
        <v>2.5</v>
      </c>
      <c r="AF893" s="0" t="str">
        <f aca="false">IF(V893="","",VLOOKUP(V893,Assumptions!$B$6:$C$9,2,FALSE()))</f>
        <v/>
      </c>
      <c r="AG893" s="0" t="str">
        <f aca="false">IF(W893="","",VLOOKUP(W893,Assumptions!$B$6:$C$9,2,FALSE()))</f>
        <v/>
      </c>
      <c r="AH893" s="0" t="str">
        <f aca="false">IF(X893="","",VLOOKUP(X893,Assumptions!$B$6:$C$9,2,FALSE()))</f>
        <v/>
      </c>
      <c r="AI893" s="0" t="n">
        <f aca="false">IF(Y893="","",VLOOKUP(Y893,Assumptions!$B$6:$C$9,2,FALSE()))</f>
        <v>2</v>
      </c>
      <c r="AJ893" s="0" t="n">
        <f aca="false">IF(Z893="","",VLOOKUP(Z893,Assumptions!$B$6:$C$9,2,FALSE()))</f>
        <v>2</v>
      </c>
      <c r="AK893" s="7" t="n">
        <f aca="false">IFERROR(ROUND(AVERAGE(AF893:AJ893),3),"")</f>
        <v>2</v>
      </c>
      <c r="AL893" s="7" t="str">
        <f aca="false">IF(OR(AF893="",AJ893=""),"",AJ893-AF893)</f>
        <v/>
      </c>
      <c r="AM893" s="7" t="n">
        <f aca="false">IF(COUNT(AF893:AJ893)&gt;=2,ROUND(_xlfn.STDEV.S(AF893:AJ893),3),"")</f>
        <v>0</v>
      </c>
      <c r="AN893" s="7" t="n">
        <f aca="false">ROUND((IF(AF893="",0,AF893)*Assumptions!$F$15)+(IF(AG893="",0,AG893)*Assumptions!$F$16)+(IF(AH893="",0,AH893)*Assumptions!$F$17)+(IF(AI893="",0,AI893)*Assumptions!$F$18)+(IF(AJ893="",0,AJ893)*Assumptions!$F$19),3)</f>
        <v>1.1</v>
      </c>
      <c r="AO893" s="0" t="str">
        <f aca="false">IF(AC893&lt;=20,"",IF(AC893&lt;=Assumptions!$F$6,"20-30",IF(AC893&lt;=Assumptions!$F$7,"30-40",IF(AC893&lt;=Assumptions!$F$8,"40-50",IF(AC893&lt;=Assumptions!$F$9,"50-60",IF(AC893&lt;=Assumptions!$F$10,"60+",""))))))</f>
        <v>20-30</v>
      </c>
      <c r="AP893" s="0" t="str">
        <f aca="false">IFERROR(VLOOKUP(O893,Assumptions!$B$14:$C$26,2,FALSE()),"Other")</f>
        <v>Manager</v>
      </c>
      <c r="AQ893" s="0" t="n">
        <f aca="false">IF(T893="",0,1)</f>
        <v>0</v>
      </c>
      <c r="AR893" s="0" t="n">
        <f aca="false">IF(U893="",0,1)</f>
        <v>0</v>
      </c>
      <c r="AS893" s="8" t="n">
        <f aca="false">IF(AK893="","",IF(MAX($AK$2:$AK$921)=MIN($AK$2:$AK$921),50,ROUND((AK893-MIN($AK$2:$AK$921))/(MAX($AK$2:$AK$921)-MIN($AK$2:$AK$921))*100,2)))</f>
        <v>14.27</v>
      </c>
      <c r="AT893" s="8" t="n">
        <f aca="false">IF(MAX($BC$2:$BC$921)=MIN($BC$2:$BC$921),50,ROUND((BC893-MIN($BC$2:$BC$921))/(MAX($BC$2:$BC$921)-MIN($BC$2:$BC$921))*100,2))</f>
        <v>50</v>
      </c>
      <c r="AU893" s="8" t="n">
        <f aca="false">IF(MAX($BE$2:$BE$921)=MIN($BE$2:$BE$921),50,ROUND((BE893-MIN($BE$2:$BE$921))/(MAX($BE$2:$BE$921)-MIN($BE$2:$BE$921))*100,2))</f>
        <v>100</v>
      </c>
      <c r="AV893" s="8" t="n">
        <f aca="false">IF(MAX($AD$2:$AD$921)=MIN($AD$2:$AD$921),50,ROUND((AD893-MIN($AD$2:$AD$921))/(MAX($AD$2:$AD$921)-MIN($AD$2:$AD$921))*100,2))</f>
        <v>6.5</v>
      </c>
      <c r="AW893" s="8" t="n">
        <f aca="false">IF(MAX($AN$2:$AN$921)=MIN($AN$2:$AN$921),50,ROUND((AN893-MIN($AN$2:$AN$921))/(MAX($AN$2:$AN$921)-MIN($AN$2:$AN$921))*100,2))</f>
        <v>27.5</v>
      </c>
      <c r="AX893" s="8" t="n">
        <f aca="false">AQ893*100</f>
        <v>0</v>
      </c>
      <c r="AY893" s="8" t="n">
        <f aca="false">AR893*100</f>
        <v>0</v>
      </c>
      <c r="AZ893" s="8" t="n">
        <f aca="false">IFERROR(ROUND(AS893*Assumptions!$I$6+AW893*Assumptions!$I$7+AT893*Assumptions!$I$8+AU893*Assumptions!$I$9+AV893*Assumptions!$I$10+AX893*Assumptions!$I$11+AY893*Assumptions!$I$12,2),"")</f>
        <v>32.93</v>
      </c>
      <c r="BA893" s="0" t="str">
        <f aca="false">IF(AZ893="","",IF(AZ893&lt;=Assumptions!$I$18,"Below Expectation",IF(AZ893&lt;=Assumptions!$I$19,"Developing",IF(AZ893&lt;=Assumptions!$I$20,"Meets Expectation",IF(AZ893&lt;=Assumptions!$I$21,"Exceeds","Star Performer")))))</f>
        <v>Below Expectation</v>
      </c>
      <c r="BB893" s="0" t="n">
        <f aca="false">IF(AZ893="",0,IF(AZ893&gt;=Assumptions!$I$26,1,0))</f>
        <v>0</v>
      </c>
      <c r="BC893" s="9" t="n">
        <f aca="false">IF(AL893="",2,AL893+2)</f>
        <v>2</v>
      </c>
      <c r="BD893" s="10" t="n">
        <f aca="false">IF(AM893="",ROUND(AVERAGE($AM$2:$AM$921),3),AM893)</f>
        <v>0</v>
      </c>
      <c r="BE893" s="9" t="n">
        <f aca="false">1-BD893</f>
        <v>1</v>
      </c>
    </row>
    <row r="894" customFormat="false" ht="14.25" hidden="true" customHeight="false" outlineLevel="0" collapsed="false">
      <c r="A894" s="4" t="n">
        <v>860</v>
      </c>
      <c r="B894" s="5" t="n">
        <v>55099114</v>
      </c>
      <c r="C894" s="5" t="s">
        <v>85</v>
      </c>
      <c r="D894" s="5" t="s">
        <v>2790</v>
      </c>
      <c r="E894" s="5" t="s">
        <v>291</v>
      </c>
      <c r="F894" s="5" t="s">
        <v>1731</v>
      </c>
      <c r="G894" s="5" t="s">
        <v>1732</v>
      </c>
      <c r="H894" s="5" t="s">
        <v>1731</v>
      </c>
      <c r="I894" s="5" t="s">
        <v>63</v>
      </c>
      <c r="J894" s="5" t="s">
        <v>76</v>
      </c>
      <c r="K894" s="5" t="s">
        <v>309</v>
      </c>
      <c r="L894" s="6" t="n">
        <v>45300</v>
      </c>
      <c r="M894" s="5" t="s">
        <v>165</v>
      </c>
      <c r="N894" s="6" t="n">
        <v>37027</v>
      </c>
      <c r="O894" s="5" t="s">
        <v>1264</v>
      </c>
      <c r="P894" s="5" t="s">
        <v>1559</v>
      </c>
      <c r="Q894" s="5" t="s">
        <v>820</v>
      </c>
      <c r="R894" s="5" t="s">
        <v>115</v>
      </c>
      <c r="S894" s="5" t="s">
        <v>820</v>
      </c>
      <c r="T894" s="6"/>
      <c r="U894" s="6"/>
      <c r="V894" s="5"/>
      <c r="W894" s="5"/>
      <c r="X894" s="5"/>
      <c r="Y894" s="5" t="s">
        <v>631</v>
      </c>
      <c r="Z894" s="5" t="s">
        <v>631</v>
      </c>
      <c r="AA894" s="5" t="s">
        <v>2232</v>
      </c>
      <c r="AB894" s="0" t="n">
        <f aca="false">IFERROR(VALUE(R894),0)</f>
        <v>0</v>
      </c>
      <c r="AC894" s="0" t="n">
        <f aca="false">IFERROR(VALUE(M894),"")</f>
        <v>25</v>
      </c>
      <c r="AD894" s="0" t="n">
        <f aca="false">IFERROR(VALUE(Q894),"")</f>
        <v>2.4</v>
      </c>
      <c r="AE894" s="0" t="n">
        <f aca="false">IFERROR(VALUE(S894),"")</f>
        <v>2.4</v>
      </c>
      <c r="AF894" s="0" t="str">
        <f aca="false">IF(V894="","",VLOOKUP(V894,Assumptions!$B$6:$C$9,2,FALSE()))</f>
        <v/>
      </c>
      <c r="AG894" s="0" t="str">
        <f aca="false">IF(W894="","",VLOOKUP(W894,Assumptions!$B$6:$C$9,2,FALSE()))</f>
        <v/>
      </c>
      <c r="AH894" s="0" t="str">
        <f aca="false">IF(X894="","",VLOOKUP(X894,Assumptions!$B$6:$C$9,2,FALSE()))</f>
        <v/>
      </c>
      <c r="AI894" s="0" t="n">
        <f aca="false">IF(Y894="","",VLOOKUP(Y894,Assumptions!$B$6:$C$9,2,FALSE()))</f>
        <v>2</v>
      </c>
      <c r="AJ894" s="0" t="n">
        <f aca="false">IF(Z894="","",VLOOKUP(Z894,Assumptions!$B$6:$C$9,2,FALSE()))</f>
        <v>2</v>
      </c>
      <c r="AK894" s="7" t="n">
        <f aca="false">IFERROR(ROUND(AVERAGE(AF894:AJ894),3),"")</f>
        <v>2</v>
      </c>
      <c r="AL894" s="7" t="str">
        <f aca="false">IF(OR(AF894="",AJ894=""),"",AJ894-AF894)</f>
        <v/>
      </c>
      <c r="AM894" s="7" t="n">
        <f aca="false">IF(COUNT(AF894:AJ894)&gt;=2,ROUND(_xlfn.STDEV.S(AF894:AJ894),3),"")</f>
        <v>0</v>
      </c>
      <c r="AN894" s="7" t="n">
        <f aca="false">ROUND((IF(AF894="",0,AF894)*Assumptions!$F$15)+(IF(AG894="",0,AG894)*Assumptions!$F$16)+(IF(AH894="",0,AH894)*Assumptions!$F$17)+(IF(AI894="",0,AI894)*Assumptions!$F$18)+(IF(AJ894="",0,AJ894)*Assumptions!$F$19),3)</f>
        <v>1.1</v>
      </c>
      <c r="AO894" s="0" t="str">
        <f aca="false">IF(AC894&lt;=20,"",IF(AC894&lt;=Assumptions!$F$6,"20-30",IF(AC894&lt;=Assumptions!$F$7,"30-40",IF(AC894&lt;=Assumptions!$F$8,"40-50",IF(AC894&lt;=Assumptions!$F$9,"50-60",IF(AC894&lt;=Assumptions!$F$10,"60+",""))))))</f>
        <v>20-30</v>
      </c>
      <c r="AP894" s="0" t="str">
        <f aca="false">IFERROR(VLOOKUP(O894,Assumptions!$B$14:$C$26,2,FALSE()),"Other")</f>
        <v>Manager</v>
      </c>
      <c r="AQ894" s="0" t="n">
        <f aca="false">IF(T894="",0,1)</f>
        <v>0</v>
      </c>
      <c r="AR894" s="0" t="n">
        <f aca="false">IF(U894="",0,1)</f>
        <v>0</v>
      </c>
      <c r="AS894" s="8" t="n">
        <f aca="false">IF(AK894="","",IF(MAX($AK$2:$AK$921)=MIN($AK$2:$AK$921),50,ROUND((AK894-MIN($AK$2:$AK$921))/(MAX($AK$2:$AK$921)-MIN($AK$2:$AK$921))*100,2)))</f>
        <v>14.27</v>
      </c>
      <c r="AT894" s="8" t="n">
        <f aca="false">IF(MAX($BC$2:$BC$921)=MIN($BC$2:$BC$921),50,ROUND((BC894-MIN($BC$2:$BC$921))/(MAX($BC$2:$BC$921)-MIN($BC$2:$BC$921))*100,2))</f>
        <v>50</v>
      </c>
      <c r="AU894" s="8" t="n">
        <f aca="false">IF(MAX($BE$2:$BE$921)=MIN($BE$2:$BE$921),50,ROUND((BE894-MIN($BE$2:$BE$921))/(MAX($BE$2:$BE$921)-MIN($BE$2:$BE$921))*100,2))</f>
        <v>100</v>
      </c>
      <c r="AV894" s="8" t="n">
        <f aca="false">IF(MAX($AD$2:$AD$921)=MIN($AD$2:$AD$921),50,ROUND((AD894-MIN($AD$2:$AD$921))/(MAX($AD$2:$AD$921)-MIN($AD$2:$AD$921))*100,2))</f>
        <v>6.22</v>
      </c>
      <c r="AW894" s="8" t="n">
        <f aca="false">IF(MAX($AN$2:$AN$921)=MIN($AN$2:$AN$921),50,ROUND((AN894-MIN($AN$2:$AN$921))/(MAX($AN$2:$AN$921)-MIN($AN$2:$AN$921))*100,2))</f>
        <v>27.5</v>
      </c>
      <c r="AX894" s="8" t="n">
        <f aca="false">AQ894*100</f>
        <v>0</v>
      </c>
      <c r="AY894" s="8" t="n">
        <f aca="false">AR894*100</f>
        <v>0</v>
      </c>
      <c r="AZ894" s="8" t="n">
        <f aca="false">IFERROR(ROUND(AS894*Assumptions!$I$6+AW894*Assumptions!$I$7+AT894*Assumptions!$I$8+AU894*Assumptions!$I$9+AV894*Assumptions!$I$10+AX894*Assumptions!$I$11+AY894*Assumptions!$I$12,2),"")</f>
        <v>32.9</v>
      </c>
      <c r="BA894" s="0" t="str">
        <f aca="false">IF(AZ894="","",IF(AZ894&lt;=Assumptions!$I$18,"Below Expectation",IF(AZ894&lt;=Assumptions!$I$19,"Developing",IF(AZ894&lt;=Assumptions!$I$20,"Meets Expectation",IF(AZ894&lt;=Assumptions!$I$21,"Exceeds","Star Performer")))))</f>
        <v>Below Expectation</v>
      </c>
      <c r="BB894" s="0" t="n">
        <f aca="false">IF(AZ894="",0,IF(AZ894&gt;=Assumptions!$I$26,1,0))</f>
        <v>0</v>
      </c>
      <c r="BC894" s="9" t="n">
        <f aca="false">IF(AL894="",2,AL894+2)</f>
        <v>2</v>
      </c>
      <c r="BD894" s="10" t="n">
        <f aca="false">IF(AM894="",ROUND(AVERAGE($AM$2:$AM$921),3),AM894)</f>
        <v>0</v>
      </c>
      <c r="BE894" s="9" t="n">
        <f aca="false">1-BD894</f>
        <v>1</v>
      </c>
    </row>
    <row r="895" customFormat="false" ht="14.25" hidden="true" customHeight="false" outlineLevel="0" collapsed="false">
      <c r="A895" s="4" t="n">
        <v>862</v>
      </c>
      <c r="B895" s="5" t="n">
        <v>55100353</v>
      </c>
      <c r="C895" s="5" t="s">
        <v>149</v>
      </c>
      <c r="D895" s="5" t="s">
        <v>2791</v>
      </c>
      <c r="E895" s="5" t="s">
        <v>1127</v>
      </c>
      <c r="F895" s="5" t="s">
        <v>2246</v>
      </c>
      <c r="G895" s="5" t="s">
        <v>2588</v>
      </c>
      <c r="H895" s="5" t="s">
        <v>2589</v>
      </c>
      <c r="I895" s="5" t="s">
        <v>63</v>
      </c>
      <c r="J895" s="5" t="s">
        <v>100</v>
      </c>
      <c r="K895" s="5" t="s">
        <v>309</v>
      </c>
      <c r="L895" s="6" t="n">
        <v>45307</v>
      </c>
      <c r="M895" s="5" t="s">
        <v>910</v>
      </c>
      <c r="N895" s="6" t="n">
        <v>37066</v>
      </c>
      <c r="O895" s="5" t="s">
        <v>585</v>
      </c>
      <c r="P895" s="5" t="s">
        <v>586</v>
      </c>
      <c r="Q895" s="5" t="s">
        <v>820</v>
      </c>
      <c r="R895" s="5" t="s">
        <v>115</v>
      </c>
      <c r="S895" s="5" t="s">
        <v>820</v>
      </c>
      <c r="T895" s="6"/>
      <c r="U895" s="6"/>
      <c r="V895" s="5"/>
      <c r="W895" s="5"/>
      <c r="X895" s="5"/>
      <c r="Y895" s="5" t="s">
        <v>631</v>
      </c>
      <c r="Z895" s="5" t="s">
        <v>631</v>
      </c>
      <c r="AA895" s="5" t="s">
        <v>2585</v>
      </c>
      <c r="AB895" s="0" t="n">
        <f aca="false">IFERROR(VALUE(R895),0)</f>
        <v>0</v>
      </c>
      <c r="AC895" s="0" t="n">
        <f aca="false">IFERROR(VALUE(M895),"")</f>
        <v>24.11</v>
      </c>
      <c r="AD895" s="0" t="n">
        <f aca="false">IFERROR(VALUE(Q895),"")</f>
        <v>2.4</v>
      </c>
      <c r="AE895" s="0" t="n">
        <f aca="false">IFERROR(VALUE(S895),"")</f>
        <v>2.4</v>
      </c>
      <c r="AF895" s="0" t="str">
        <f aca="false">IF(V895="","",VLOOKUP(V895,Assumptions!$B$6:$C$9,2,FALSE()))</f>
        <v/>
      </c>
      <c r="AG895" s="0" t="str">
        <f aca="false">IF(W895="","",VLOOKUP(W895,Assumptions!$B$6:$C$9,2,FALSE()))</f>
        <v/>
      </c>
      <c r="AH895" s="0" t="str">
        <f aca="false">IF(X895="","",VLOOKUP(X895,Assumptions!$B$6:$C$9,2,FALSE()))</f>
        <v/>
      </c>
      <c r="AI895" s="0" t="n">
        <f aca="false">IF(Y895="","",VLOOKUP(Y895,Assumptions!$B$6:$C$9,2,FALSE()))</f>
        <v>2</v>
      </c>
      <c r="AJ895" s="0" t="n">
        <f aca="false">IF(Z895="","",VLOOKUP(Z895,Assumptions!$B$6:$C$9,2,FALSE()))</f>
        <v>2</v>
      </c>
      <c r="AK895" s="7" t="n">
        <f aca="false">IFERROR(ROUND(AVERAGE(AF895:AJ895),3),"")</f>
        <v>2</v>
      </c>
      <c r="AL895" s="7" t="str">
        <f aca="false">IF(OR(AF895="",AJ895=""),"",AJ895-AF895)</f>
        <v/>
      </c>
      <c r="AM895" s="7" t="n">
        <f aca="false">IF(COUNT(AF895:AJ895)&gt;=2,ROUND(_xlfn.STDEV.S(AF895:AJ895),3),"")</f>
        <v>0</v>
      </c>
      <c r="AN895" s="7" t="n">
        <f aca="false">ROUND((IF(AF895="",0,AF895)*Assumptions!$F$15)+(IF(AG895="",0,AG895)*Assumptions!$F$16)+(IF(AH895="",0,AH895)*Assumptions!$F$17)+(IF(AI895="",0,AI895)*Assumptions!$F$18)+(IF(AJ895="",0,AJ895)*Assumptions!$F$19),3)</f>
        <v>1.1</v>
      </c>
      <c r="AO895" s="0" t="str">
        <f aca="false">IF(AC895&lt;=20,"",IF(AC895&lt;=Assumptions!$F$6,"20-30",IF(AC895&lt;=Assumptions!$F$7,"30-40",IF(AC895&lt;=Assumptions!$F$8,"40-50",IF(AC895&lt;=Assumptions!$F$9,"50-60",IF(AC895&lt;=Assumptions!$F$10,"60+",""))))))</f>
        <v>20-30</v>
      </c>
      <c r="AP895" s="0" t="str">
        <f aca="false">IFERROR(VLOOKUP(O895,Assumptions!$B$14:$C$26,2,FALSE()),"Other")</f>
        <v>Manager</v>
      </c>
      <c r="AQ895" s="0" t="n">
        <f aca="false">IF(T895="",0,1)</f>
        <v>0</v>
      </c>
      <c r="AR895" s="0" t="n">
        <f aca="false">IF(U895="",0,1)</f>
        <v>0</v>
      </c>
      <c r="AS895" s="8" t="n">
        <f aca="false">IF(AK895="","",IF(MAX($AK$2:$AK$921)=MIN($AK$2:$AK$921),50,ROUND((AK895-MIN($AK$2:$AK$921))/(MAX($AK$2:$AK$921)-MIN($AK$2:$AK$921))*100,2)))</f>
        <v>14.27</v>
      </c>
      <c r="AT895" s="8" t="n">
        <f aca="false">IF(MAX($BC$2:$BC$921)=MIN($BC$2:$BC$921),50,ROUND((BC895-MIN($BC$2:$BC$921))/(MAX($BC$2:$BC$921)-MIN($BC$2:$BC$921))*100,2))</f>
        <v>50</v>
      </c>
      <c r="AU895" s="8" t="n">
        <f aca="false">IF(MAX($BE$2:$BE$921)=MIN($BE$2:$BE$921),50,ROUND((BE895-MIN($BE$2:$BE$921))/(MAX($BE$2:$BE$921)-MIN($BE$2:$BE$921))*100,2))</f>
        <v>100</v>
      </c>
      <c r="AV895" s="8" t="n">
        <f aca="false">IF(MAX($AD$2:$AD$921)=MIN($AD$2:$AD$921),50,ROUND((AD895-MIN($AD$2:$AD$921))/(MAX($AD$2:$AD$921)-MIN($AD$2:$AD$921))*100,2))</f>
        <v>6.22</v>
      </c>
      <c r="AW895" s="8" t="n">
        <f aca="false">IF(MAX($AN$2:$AN$921)=MIN($AN$2:$AN$921),50,ROUND((AN895-MIN($AN$2:$AN$921))/(MAX($AN$2:$AN$921)-MIN($AN$2:$AN$921))*100,2))</f>
        <v>27.5</v>
      </c>
      <c r="AX895" s="8" t="n">
        <f aca="false">AQ895*100</f>
        <v>0</v>
      </c>
      <c r="AY895" s="8" t="n">
        <f aca="false">AR895*100</f>
        <v>0</v>
      </c>
      <c r="AZ895" s="8" t="n">
        <f aca="false">IFERROR(ROUND(AS895*Assumptions!$I$6+AW895*Assumptions!$I$7+AT895*Assumptions!$I$8+AU895*Assumptions!$I$9+AV895*Assumptions!$I$10+AX895*Assumptions!$I$11+AY895*Assumptions!$I$12,2),"")</f>
        <v>32.9</v>
      </c>
      <c r="BA895" s="0" t="str">
        <f aca="false">IF(AZ895="","",IF(AZ895&lt;=Assumptions!$I$18,"Below Expectation",IF(AZ895&lt;=Assumptions!$I$19,"Developing",IF(AZ895&lt;=Assumptions!$I$20,"Meets Expectation",IF(AZ895&lt;=Assumptions!$I$21,"Exceeds","Star Performer")))))</f>
        <v>Below Expectation</v>
      </c>
      <c r="BB895" s="0" t="n">
        <f aca="false">IF(AZ895="",0,IF(AZ895&gt;=Assumptions!$I$26,1,0))</f>
        <v>0</v>
      </c>
      <c r="BC895" s="9" t="n">
        <f aca="false">IF(AL895="",2,AL895+2)</f>
        <v>2</v>
      </c>
      <c r="BD895" s="10" t="n">
        <f aca="false">IF(AM895="",ROUND(AVERAGE($AM$2:$AM$921),3),AM895)</f>
        <v>0</v>
      </c>
      <c r="BE895" s="9" t="n">
        <f aca="false">1-BD895</f>
        <v>1</v>
      </c>
    </row>
    <row r="896" customFormat="false" ht="14.25" hidden="true" customHeight="false" outlineLevel="0" collapsed="false">
      <c r="A896" s="4" t="n">
        <v>863</v>
      </c>
      <c r="B896" s="5" t="n">
        <v>55102427</v>
      </c>
      <c r="C896" s="5" t="s">
        <v>57</v>
      </c>
      <c r="D896" s="5" t="s">
        <v>2792</v>
      </c>
      <c r="E896" s="5" t="s">
        <v>208</v>
      </c>
      <c r="F896" s="5" t="s">
        <v>387</v>
      </c>
      <c r="G896" s="5" t="s">
        <v>388</v>
      </c>
      <c r="H896" s="5" t="s">
        <v>387</v>
      </c>
      <c r="I896" s="5" t="s">
        <v>63</v>
      </c>
      <c r="J896" s="5" t="s">
        <v>100</v>
      </c>
      <c r="K896" s="5" t="s">
        <v>65</v>
      </c>
      <c r="L896" s="6" t="n">
        <v>45320</v>
      </c>
      <c r="M896" s="5" t="s">
        <v>2793</v>
      </c>
      <c r="N896" s="6" t="n">
        <v>32597</v>
      </c>
      <c r="O896" s="5" t="s">
        <v>332</v>
      </c>
      <c r="P896" s="5" t="s">
        <v>333</v>
      </c>
      <c r="Q896" s="5" t="s">
        <v>820</v>
      </c>
      <c r="R896" s="5" t="s">
        <v>1245</v>
      </c>
      <c r="S896" s="5" t="s">
        <v>336</v>
      </c>
      <c r="T896" s="6"/>
      <c r="U896" s="6"/>
      <c r="V896" s="5"/>
      <c r="W896" s="5"/>
      <c r="X896" s="5"/>
      <c r="Y896" s="5" t="s">
        <v>631</v>
      </c>
      <c r="Z896" s="5" t="s">
        <v>631</v>
      </c>
      <c r="AA896" s="5" t="s">
        <v>2794</v>
      </c>
      <c r="AB896" s="0" t="n">
        <f aca="false">IFERROR(VALUE(R896),0)</f>
        <v>12.6</v>
      </c>
      <c r="AC896" s="0" t="n">
        <f aca="false">IFERROR(VALUE(M896),"")</f>
        <v>37.2</v>
      </c>
      <c r="AD896" s="0" t="n">
        <f aca="false">IFERROR(VALUE(Q896),"")</f>
        <v>2.4</v>
      </c>
      <c r="AE896" s="0" t="n">
        <f aca="false">IFERROR(VALUE(S896),"")</f>
        <v>14.1</v>
      </c>
      <c r="AF896" s="0" t="str">
        <f aca="false">IF(V896="","",VLOOKUP(V896,Assumptions!$B$6:$C$9,2,FALSE()))</f>
        <v/>
      </c>
      <c r="AG896" s="0" t="str">
        <f aca="false">IF(W896="","",VLOOKUP(W896,Assumptions!$B$6:$C$9,2,FALSE()))</f>
        <v/>
      </c>
      <c r="AH896" s="0" t="str">
        <f aca="false">IF(X896="","",VLOOKUP(X896,Assumptions!$B$6:$C$9,2,FALSE()))</f>
        <v/>
      </c>
      <c r="AI896" s="0" t="n">
        <f aca="false">IF(Y896="","",VLOOKUP(Y896,Assumptions!$B$6:$C$9,2,FALSE()))</f>
        <v>2</v>
      </c>
      <c r="AJ896" s="0" t="n">
        <f aca="false">IF(Z896="","",VLOOKUP(Z896,Assumptions!$B$6:$C$9,2,FALSE()))</f>
        <v>2</v>
      </c>
      <c r="AK896" s="7" t="n">
        <f aca="false">IFERROR(ROUND(AVERAGE(AF896:AJ896),3),"")</f>
        <v>2</v>
      </c>
      <c r="AL896" s="7" t="str">
        <f aca="false">IF(OR(AF896="",AJ896=""),"",AJ896-AF896)</f>
        <v/>
      </c>
      <c r="AM896" s="7" t="n">
        <f aca="false">IF(COUNT(AF896:AJ896)&gt;=2,ROUND(_xlfn.STDEV.S(AF896:AJ896),3),"")</f>
        <v>0</v>
      </c>
      <c r="AN896" s="7" t="n">
        <f aca="false">ROUND((IF(AF896="",0,AF896)*Assumptions!$F$15)+(IF(AG896="",0,AG896)*Assumptions!$F$16)+(IF(AH896="",0,AH896)*Assumptions!$F$17)+(IF(AI896="",0,AI896)*Assumptions!$F$18)+(IF(AJ896="",0,AJ896)*Assumptions!$F$19),3)</f>
        <v>1.1</v>
      </c>
      <c r="AO896" s="0" t="str">
        <f aca="false">IF(AC896&lt;=20,"",IF(AC896&lt;=Assumptions!$F$6,"20-30",IF(AC896&lt;=Assumptions!$F$7,"30-40",IF(AC896&lt;=Assumptions!$F$8,"40-50",IF(AC896&lt;=Assumptions!$F$9,"50-60",IF(AC896&lt;=Assumptions!$F$10,"60+",""))))))</f>
        <v>30-40</v>
      </c>
      <c r="AP896" s="0" t="str">
        <f aca="false">IFERROR(VLOOKUP(O896,Assumptions!$B$14:$C$26,2,FALSE()),"Other")</f>
        <v>Manager</v>
      </c>
      <c r="AQ896" s="0" t="n">
        <f aca="false">IF(T896="",0,1)</f>
        <v>0</v>
      </c>
      <c r="AR896" s="0" t="n">
        <f aca="false">IF(U896="",0,1)</f>
        <v>0</v>
      </c>
      <c r="AS896" s="8" t="n">
        <f aca="false">IF(AK896="","",IF(MAX($AK$2:$AK$921)=MIN($AK$2:$AK$921),50,ROUND((AK896-MIN($AK$2:$AK$921))/(MAX($AK$2:$AK$921)-MIN($AK$2:$AK$921))*100,2)))</f>
        <v>14.27</v>
      </c>
      <c r="AT896" s="8" t="n">
        <f aca="false">IF(MAX($BC$2:$BC$921)=MIN($BC$2:$BC$921),50,ROUND((BC896-MIN($BC$2:$BC$921))/(MAX($BC$2:$BC$921)-MIN($BC$2:$BC$921))*100,2))</f>
        <v>50</v>
      </c>
      <c r="AU896" s="8" t="n">
        <f aca="false">IF(MAX($BE$2:$BE$921)=MIN($BE$2:$BE$921),50,ROUND((BE896-MIN($BE$2:$BE$921))/(MAX($BE$2:$BE$921)-MIN($BE$2:$BE$921))*100,2))</f>
        <v>100</v>
      </c>
      <c r="AV896" s="8" t="n">
        <f aca="false">IF(MAX($AD$2:$AD$921)=MIN($AD$2:$AD$921),50,ROUND((AD896-MIN($AD$2:$AD$921))/(MAX($AD$2:$AD$921)-MIN($AD$2:$AD$921))*100,2))</f>
        <v>6.22</v>
      </c>
      <c r="AW896" s="8" t="n">
        <f aca="false">IF(MAX($AN$2:$AN$921)=MIN($AN$2:$AN$921),50,ROUND((AN896-MIN($AN$2:$AN$921))/(MAX($AN$2:$AN$921)-MIN($AN$2:$AN$921))*100,2))</f>
        <v>27.5</v>
      </c>
      <c r="AX896" s="8" t="n">
        <f aca="false">AQ896*100</f>
        <v>0</v>
      </c>
      <c r="AY896" s="8" t="n">
        <f aca="false">AR896*100</f>
        <v>0</v>
      </c>
      <c r="AZ896" s="8" t="n">
        <f aca="false">IFERROR(ROUND(AS896*Assumptions!$I$6+AW896*Assumptions!$I$7+AT896*Assumptions!$I$8+AU896*Assumptions!$I$9+AV896*Assumptions!$I$10+AX896*Assumptions!$I$11+AY896*Assumptions!$I$12,2),"")</f>
        <v>32.9</v>
      </c>
      <c r="BA896" s="0" t="str">
        <f aca="false">IF(AZ896="","",IF(AZ896&lt;=Assumptions!$I$18,"Below Expectation",IF(AZ896&lt;=Assumptions!$I$19,"Developing",IF(AZ896&lt;=Assumptions!$I$20,"Meets Expectation",IF(AZ896&lt;=Assumptions!$I$21,"Exceeds","Star Performer")))))</f>
        <v>Below Expectation</v>
      </c>
      <c r="BB896" s="0" t="n">
        <f aca="false">IF(AZ896="",0,IF(AZ896&gt;=Assumptions!$I$26,1,0))</f>
        <v>0</v>
      </c>
      <c r="BC896" s="9" t="n">
        <f aca="false">IF(AL896="",2,AL896+2)</f>
        <v>2</v>
      </c>
      <c r="BD896" s="10" t="n">
        <f aca="false">IF(AM896="",ROUND(AVERAGE($AM$2:$AM$921),3),AM896)</f>
        <v>0</v>
      </c>
      <c r="BE896" s="9" t="n">
        <f aca="false">1-BD896</f>
        <v>1</v>
      </c>
    </row>
    <row r="897" customFormat="false" ht="14.25" hidden="true" customHeight="false" outlineLevel="0" collapsed="false">
      <c r="A897" s="4" t="n">
        <v>864</v>
      </c>
      <c r="B897" s="5" t="n">
        <v>55103012</v>
      </c>
      <c r="C897" s="5" t="s">
        <v>85</v>
      </c>
      <c r="D897" s="5" t="s">
        <v>2795</v>
      </c>
      <c r="E897" s="5" t="s">
        <v>87</v>
      </c>
      <c r="F897" s="5" t="s">
        <v>2796</v>
      </c>
      <c r="G897" s="5" t="s">
        <v>2797</v>
      </c>
      <c r="H897" s="5" t="s">
        <v>2798</v>
      </c>
      <c r="I897" s="5" t="s">
        <v>63</v>
      </c>
      <c r="J897" s="5" t="s">
        <v>76</v>
      </c>
      <c r="K897" s="5" t="s">
        <v>65</v>
      </c>
      <c r="L897" s="6" t="n">
        <v>45323</v>
      </c>
      <c r="M897" s="5" t="s">
        <v>535</v>
      </c>
      <c r="N897" s="6" t="n">
        <v>25901</v>
      </c>
      <c r="O897" s="5" t="s">
        <v>585</v>
      </c>
      <c r="P897" s="5" t="s">
        <v>586</v>
      </c>
      <c r="Q897" s="5" t="s">
        <v>820</v>
      </c>
      <c r="R897" s="5" t="s">
        <v>1513</v>
      </c>
      <c r="S897" s="5" t="s">
        <v>1370</v>
      </c>
      <c r="T897" s="6"/>
      <c r="U897" s="6"/>
      <c r="V897" s="5"/>
      <c r="W897" s="5"/>
      <c r="X897" s="5"/>
      <c r="Y897" s="5" t="s">
        <v>631</v>
      </c>
      <c r="Z897" s="5" t="s">
        <v>631</v>
      </c>
      <c r="AA897" s="5" t="s">
        <v>2799</v>
      </c>
      <c r="AB897" s="0" t="n">
        <f aca="false">IFERROR(VALUE(R897),0)</f>
        <v>26.1</v>
      </c>
      <c r="AC897" s="0" t="n">
        <f aca="false">IFERROR(VALUE(M897),"")</f>
        <v>55.6</v>
      </c>
      <c r="AD897" s="0" t="n">
        <f aca="false">IFERROR(VALUE(Q897),"")</f>
        <v>2.4</v>
      </c>
      <c r="AE897" s="0" t="n">
        <f aca="false">IFERROR(VALUE(S897),"")</f>
        <v>28.5</v>
      </c>
      <c r="AF897" s="0" t="str">
        <f aca="false">IF(V897="","",VLOOKUP(V897,Assumptions!$B$6:$C$9,2,FALSE()))</f>
        <v/>
      </c>
      <c r="AG897" s="0" t="str">
        <f aca="false">IF(W897="","",VLOOKUP(W897,Assumptions!$B$6:$C$9,2,FALSE()))</f>
        <v/>
      </c>
      <c r="AH897" s="0" t="str">
        <f aca="false">IF(X897="","",VLOOKUP(X897,Assumptions!$B$6:$C$9,2,FALSE()))</f>
        <v/>
      </c>
      <c r="AI897" s="0" t="n">
        <f aca="false">IF(Y897="","",VLOOKUP(Y897,Assumptions!$B$6:$C$9,2,FALSE()))</f>
        <v>2</v>
      </c>
      <c r="AJ897" s="0" t="n">
        <f aca="false">IF(Z897="","",VLOOKUP(Z897,Assumptions!$B$6:$C$9,2,FALSE()))</f>
        <v>2</v>
      </c>
      <c r="AK897" s="7" t="n">
        <f aca="false">IFERROR(ROUND(AVERAGE(AF897:AJ897),3),"")</f>
        <v>2</v>
      </c>
      <c r="AL897" s="7" t="str">
        <f aca="false">IF(OR(AF897="",AJ897=""),"",AJ897-AF897)</f>
        <v/>
      </c>
      <c r="AM897" s="7" t="n">
        <f aca="false">IF(COUNT(AF897:AJ897)&gt;=2,ROUND(_xlfn.STDEV.S(AF897:AJ897),3),"")</f>
        <v>0</v>
      </c>
      <c r="AN897" s="7" t="n">
        <f aca="false">ROUND((IF(AF897="",0,AF897)*Assumptions!$F$15)+(IF(AG897="",0,AG897)*Assumptions!$F$16)+(IF(AH897="",0,AH897)*Assumptions!$F$17)+(IF(AI897="",0,AI897)*Assumptions!$F$18)+(IF(AJ897="",0,AJ897)*Assumptions!$F$19),3)</f>
        <v>1.1</v>
      </c>
      <c r="AO897" s="0" t="str">
        <f aca="false">IF(AC897&lt;=20,"",IF(AC897&lt;=Assumptions!$F$6,"20-30",IF(AC897&lt;=Assumptions!$F$7,"30-40",IF(AC897&lt;=Assumptions!$F$8,"40-50",IF(AC897&lt;=Assumptions!$F$9,"50-60",IF(AC897&lt;=Assumptions!$F$10,"60+",""))))))</f>
        <v>50-60</v>
      </c>
      <c r="AP897" s="0" t="str">
        <f aca="false">IFERROR(VLOOKUP(O897,Assumptions!$B$14:$C$26,2,FALSE()),"Other")</f>
        <v>Manager</v>
      </c>
      <c r="AQ897" s="0" t="n">
        <f aca="false">IF(T897="",0,1)</f>
        <v>0</v>
      </c>
      <c r="AR897" s="0" t="n">
        <f aca="false">IF(U897="",0,1)</f>
        <v>0</v>
      </c>
      <c r="AS897" s="8" t="n">
        <f aca="false">IF(AK897="","",IF(MAX($AK$2:$AK$921)=MIN($AK$2:$AK$921),50,ROUND((AK897-MIN($AK$2:$AK$921))/(MAX($AK$2:$AK$921)-MIN($AK$2:$AK$921))*100,2)))</f>
        <v>14.27</v>
      </c>
      <c r="AT897" s="8" t="n">
        <f aca="false">IF(MAX($BC$2:$BC$921)=MIN($BC$2:$BC$921),50,ROUND((BC897-MIN($BC$2:$BC$921))/(MAX($BC$2:$BC$921)-MIN($BC$2:$BC$921))*100,2))</f>
        <v>50</v>
      </c>
      <c r="AU897" s="8" t="n">
        <f aca="false">IF(MAX($BE$2:$BE$921)=MIN($BE$2:$BE$921),50,ROUND((BE897-MIN($BE$2:$BE$921))/(MAX($BE$2:$BE$921)-MIN($BE$2:$BE$921))*100,2))</f>
        <v>100</v>
      </c>
      <c r="AV897" s="8" t="n">
        <f aca="false">IF(MAX($AD$2:$AD$921)=MIN($AD$2:$AD$921),50,ROUND((AD897-MIN($AD$2:$AD$921))/(MAX($AD$2:$AD$921)-MIN($AD$2:$AD$921))*100,2))</f>
        <v>6.22</v>
      </c>
      <c r="AW897" s="8" t="n">
        <f aca="false">IF(MAX($AN$2:$AN$921)=MIN($AN$2:$AN$921),50,ROUND((AN897-MIN($AN$2:$AN$921))/(MAX($AN$2:$AN$921)-MIN($AN$2:$AN$921))*100,2))</f>
        <v>27.5</v>
      </c>
      <c r="AX897" s="8" t="n">
        <f aca="false">AQ897*100</f>
        <v>0</v>
      </c>
      <c r="AY897" s="8" t="n">
        <f aca="false">AR897*100</f>
        <v>0</v>
      </c>
      <c r="AZ897" s="8" t="n">
        <f aca="false">IFERROR(ROUND(AS897*Assumptions!$I$6+AW897*Assumptions!$I$7+AT897*Assumptions!$I$8+AU897*Assumptions!$I$9+AV897*Assumptions!$I$10+AX897*Assumptions!$I$11+AY897*Assumptions!$I$12,2),"")</f>
        <v>32.9</v>
      </c>
      <c r="BA897" s="0" t="str">
        <f aca="false">IF(AZ897="","",IF(AZ897&lt;=Assumptions!$I$18,"Below Expectation",IF(AZ897&lt;=Assumptions!$I$19,"Developing",IF(AZ897&lt;=Assumptions!$I$20,"Meets Expectation",IF(AZ897&lt;=Assumptions!$I$21,"Exceeds","Star Performer")))))</f>
        <v>Below Expectation</v>
      </c>
      <c r="BB897" s="0" t="n">
        <f aca="false">IF(AZ897="",0,IF(AZ897&gt;=Assumptions!$I$26,1,0))</f>
        <v>0</v>
      </c>
      <c r="BC897" s="9" t="n">
        <f aca="false">IF(AL897="",2,AL897+2)</f>
        <v>2</v>
      </c>
      <c r="BD897" s="10" t="n">
        <f aca="false">IF(AM897="",ROUND(AVERAGE($AM$2:$AM$921),3),AM897)</f>
        <v>0</v>
      </c>
      <c r="BE897" s="9" t="n">
        <f aca="false">1-BD897</f>
        <v>1</v>
      </c>
    </row>
    <row r="898" customFormat="false" ht="14.25" hidden="true" customHeight="false" outlineLevel="0" collapsed="false">
      <c r="A898" s="4" t="n">
        <v>866</v>
      </c>
      <c r="B898" s="5" t="n">
        <v>55103727</v>
      </c>
      <c r="C898" s="5" t="s">
        <v>85</v>
      </c>
      <c r="D898" s="5" t="s">
        <v>2800</v>
      </c>
      <c r="E898" s="5" t="s">
        <v>137</v>
      </c>
      <c r="F898" s="5" t="s">
        <v>380</v>
      </c>
      <c r="G898" s="5" t="s">
        <v>379</v>
      </c>
      <c r="H898" s="5" t="s">
        <v>380</v>
      </c>
      <c r="I898" s="5" t="s">
        <v>63</v>
      </c>
      <c r="J898" s="5" t="s">
        <v>76</v>
      </c>
      <c r="K898" s="5" t="s">
        <v>65</v>
      </c>
      <c r="L898" s="6" t="n">
        <v>45328</v>
      </c>
      <c r="M898" s="5" t="s">
        <v>1057</v>
      </c>
      <c r="N898" s="6" t="n">
        <v>32512</v>
      </c>
      <c r="O898" s="5" t="s">
        <v>332</v>
      </c>
      <c r="P898" s="5" t="s">
        <v>333</v>
      </c>
      <c r="Q898" s="5" t="s">
        <v>820</v>
      </c>
      <c r="R898" s="5" t="s">
        <v>686</v>
      </c>
      <c r="S898" s="5" t="s">
        <v>1137</v>
      </c>
      <c r="T898" s="6"/>
      <c r="U898" s="6"/>
      <c r="V898" s="5"/>
      <c r="W898" s="5"/>
      <c r="X898" s="5"/>
      <c r="Y898" s="5" t="s">
        <v>631</v>
      </c>
      <c r="Z898" s="5" t="s">
        <v>631</v>
      </c>
      <c r="AA898" s="5" t="s">
        <v>2801</v>
      </c>
      <c r="AB898" s="0" t="n">
        <f aca="false">IFERROR(VALUE(R898),0)</f>
        <v>12.1</v>
      </c>
      <c r="AC898" s="0" t="n">
        <f aca="false">IFERROR(VALUE(M898),"")</f>
        <v>37.5</v>
      </c>
      <c r="AD898" s="0" t="n">
        <f aca="false">IFERROR(VALUE(Q898),"")</f>
        <v>2.4</v>
      </c>
      <c r="AE898" s="0" t="n">
        <f aca="false">IFERROR(VALUE(S898),"")</f>
        <v>14.5</v>
      </c>
      <c r="AF898" s="0" t="str">
        <f aca="false">IF(V898="","",VLOOKUP(V898,Assumptions!$B$6:$C$9,2,FALSE()))</f>
        <v/>
      </c>
      <c r="AG898" s="0" t="str">
        <f aca="false">IF(W898="","",VLOOKUP(W898,Assumptions!$B$6:$C$9,2,FALSE()))</f>
        <v/>
      </c>
      <c r="AH898" s="0" t="str">
        <f aca="false">IF(X898="","",VLOOKUP(X898,Assumptions!$B$6:$C$9,2,FALSE()))</f>
        <v/>
      </c>
      <c r="AI898" s="0" t="n">
        <f aca="false">IF(Y898="","",VLOOKUP(Y898,Assumptions!$B$6:$C$9,2,FALSE()))</f>
        <v>2</v>
      </c>
      <c r="AJ898" s="0" t="n">
        <f aca="false">IF(Z898="","",VLOOKUP(Z898,Assumptions!$B$6:$C$9,2,FALSE()))</f>
        <v>2</v>
      </c>
      <c r="AK898" s="7" t="n">
        <f aca="false">IFERROR(ROUND(AVERAGE(AF898:AJ898),3),"")</f>
        <v>2</v>
      </c>
      <c r="AL898" s="7" t="str">
        <f aca="false">IF(OR(AF898="",AJ898=""),"",AJ898-AF898)</f>
        <v/>
      </c>
      <c r="AM898" s="7" t="n">
        <f aca="false">IF(COUNT(AF898:AJ898)&gt;=2,ROUND(_xlfn.STDEV.S(AF898:AJ898),3),"")</f>
        <v>0</v>
      </c>
      <c r="AN898" s="7" t="n">
        <f aca="false">ROUND((IF(AF898="",0,AF898)*Assumptions!$F$15)+(IF(AG898="",0,AG898)*Assumptions!$F$16)+(IF(AH898="",0,AH898)*Assumptions!$F$17)+(IF(AI898="",0,AI898)*Assumptions!$F$18)+(IF(AJ898="",0,AJ898)*Assumptions!$F$19),3)</f>
        <v>1.1</v>
      </c>
      <c r="AO898" s="0" t="str">
        <f aca="false">IF(AC898&lt;=20,"",IF(AC898&lt;=Assumptions!$F$6,"20-30",IF(AC898&lt;=Assumptions!$F$7,"30-40",IF(AC898&lt;=Assumptions!$F$8,"40-50",IF(AC898&lt;=Assumptions!$F$9,"50-60",IF(AC898&lt;=Assumptions!$F$10,"60+",""))))))</f>
        <v>30-40</v>
      </c>
      <c r="AP898" s="0" t="str">
        <f aca="false">IFERROR(VLOOKUP(O898,Assumptions!$B$14:$C$26,2,FALSE()),"Other")</f>
        <v>Manager</v>
      </c>
      <c r="AQ898" s="0" t="n">
        <f aca="false">IF(T898="",0,1)</f>
        <v>0</v>
      </c>
      <c r="AR898" s="0" t="n">
        <f aca="false">IF(U898="",0,1)</f>
        <v>0</v>
      </c>
      <c r="AS898" s="8" t="n">
        <f aca="false">IF(AK898="","",IF(MAX($AK$2:$AK$921)=MIN($AK$2:$AK$921),50,ROUND((AK898-MIN($AK$2:$AK$921))/(MAX($AK$2:$AK$921)-MIN($AK$2:$AK$921))*100,2)))</f>
        <v>14.27</v>
      </c>
      <c r="AT898" s="8" t="n">
        <f aca="false">IF(MAX($BC$2:$BC$921)=MIN($BC$2:$BC$921),50,ROUND((BC898-MIN($BC$2:$BC$921))/(MAX($BC$2:$BC$921)-MIN($BC$2:$BC$921))*100,2))</f>
        <v>50</v>
      </c>
      <c r="AU898" s="8" t="n">
        <f aca="false">IF(MAX($BE$2:$BE$921)=MIN($BE$2:$BE$921),50,ROUND((BE898-MIN($BE$2:$BE$921))/(MAX($BE$2:$BE$921)-MIN($BE$2:$BE$921))*100,2))</f>
        <v>100</v>
      </c>
      <c r="AV898" s="8" t="n">
        <f aca="false">IF(MAX($AD$2:$AD$921)=MIN($AD$2:$AD$921),50,ROUND((AD898-MIN($AD$2:$AD$921))/(MAX($AD$2:$AD$921)-MIN($AD$2:$AD$921))*100,2))</f>
        <v>6.22</v>
      </c>
      <c r="AW898" s="8" t="n">
        <f aca="false">IF(MAX($AN$2:$AN$921)=MIN($AN$2:$AN$921),50,ROUND((AN898-MIN($AN$2:$AN$921))/(MAX($AN$2:$AN$921)-MIN($AN$2:$AN$921))*100,2))</f>
        <v>27.5</v>
      </c>
      <c r="AX898" s="8" t="n">
        <f aca="false">AQ898*100</f>
        <v>0</v>
      </c>
      <c r="AY898" s="8" t="n">
        <f aca="false">AR898*100</f>
        <v>0</v>
      </c>
      <c r="AZ898" s="8" t="n">
        <f aca="false">IFERROR(ROUND(AS898*Assumptions!$I$6+AW898*Assumptions!$I$7+AT898*Assumptions!$I$8+AU898*Assumptions!$I$9+AV898*Assumptions!$I$10+AX898*Assumptions!$I$11+AY898*Assumptions!$I$12,2),"")</f>
        <v>32.9</v>
      </c>
      <c r="BA898" s="0" t="str">
        <f aca="false">IF(AZ898="","",IF(AZ898&lt;=Assumptions!$I$18,"Below Expectation",IF(AZ898&lt;=Assumptions!$I$19,"Developing",IF(AZ898&lt;=Assumptions!$I$20,"Meets Expectation",IF(AZ898&lt;=Assumptions!$I$21,"Exceeds","Star Performer")))))</f>
        <v>Below Expectation</v>
      </c>
      <c r="BB898" s="0" t="n">
        <f aca="false">IF(AZ898="",0,IF(AZ898&gt;=Assumptions!$I$26,1,0))</f>
        <v>0</v>
      </c>
      <c r="BC898" s="9" t="n">
        <f aca="false">IF(AL898="",2,AL898+2)</f>
        <v>2</v>
      </c>
      <c r="BD898" s="10" t="n">
        <f aca="false">IF(AM898="",ROUND(AVERAGE($AM$2:$AM$921),3),AM898)</f>
        <v>0</v>
      </c>
      <c r="BE898" s="9" t="n">
        <f aca="false">1-BD898</f>
        <v>1</v>
      </c>
    </row>
    <row r="899" customFormat="false" ht="14.25" hidden="true" customHeight="false" outlineLevel="0" collapsed="false">
      <c r="A899" s="4" t="n">
        <v>867</v>
      </c>
      <c r="B899" s="5" t="n">
        <v>55104019</v>
      </c>
      <c r="C899" s="5" t="s">
        <v>85</v>
      </c>
      <c r="D899" s="5" t="s">
        <v>2802</v>
      </c>
      <c r="E899" s="5" t="s">
        <v>137</v>
      </c>
      <c r="F899" s="5" t="s">
        <v>380</v>
      </c>
      <c r="G899" s="5" t="s">
        <v>379</v>
      </c>
      <c r="H899" s="5" t="s">
        <v>380</v>
      </c>
      <c r="I899" s="5" t="s">
        <v>63</v>
      </c>
      <c r="J899" s="5" t="s">
        <v>76</v>
      </c>
      <c r="K899" s="5" t="s">
        <v>1262</v>
      </c>
      <c r="L899" s="6" t="n">
        <v>45330</v>
      </c>
      <c r="M899" s="5" t="s">
        <v>935</v>
      </c>
      <c r="N899" s="6" t="n">
        <v>30922</v>
      </c>
      <c r="O899" s="5" t="s">
        <v>332</v>
      </c>
      <c r="P899" s="5" t="s">
        <v>333</v>
      </c>
      <c r="Q899" s="5" t="s">
        <v>820</v>
      </c>
      <c r="R899" s="5" t="s">
        <v>218</v>
      </c>
      <c r="S899" s="5" t="s">
        <v>1113</v>
      </c>
      <c r="T899" s="6"/>
      <c r="U899" s="6"/>
      <c r="V899" s="5"/>
      <c r="W899" s="5"/>
      <c r="X899" s="5"/>
      <c r="Y899" s="5" t="s">
        <v>631</v>
      </c>
      <c r="Z899" s="5" t="s">
        <v>631</v>
      </c>
      <c r="AA899" s="5" t="s">
        <v>2803</v>
      </c>
      <c r="AB899" s="0" t="n">
        <f aca="false">IFERROR(VALUE(R899),0)</f>
        <v>14.6</v>
      </c>
      <c r="AC899" s="0" t="n">
        <f aca="false">IFERROR(VALUE(M899),"")</f>
        <v>41.9</v>
      </c>
      <c r="AD899" s="0" t="n">
        <f aca="false">IFERROR(VALUE(Q899),"")</f>
        <v>2.4</v>
      </c>
      <c r="AE899" s="0" t="n">
        <f aca="false">IFERROR(VALUE(S899),"")</f>
        <v>16.1</v>
      </c>
      <c r="AF899" s="0" t="str">
        <f aca="false">IF(V899="","",VLOOKUP(V899,Assumptions!$B$6:$C$9,2,FALSE()))</f>
        <v/>
      </c>
      <c r="AG899" s="0" t="str">
        <f aca="false">IF(W899="","",VLOOKUP(W899,Assumptions!$B$6:$C$9,2,FALSE()))</f>
        <v/>
      </c>
      <c r="AH899" s="0" t="str">
        <f aca="false">IF(X899="","",VLOOKUP(X899,Assumptions!$B$6:$C$9,2,FALSE()))</f>
        <v/>
      </c>
      <c r="AI899" s="0" t="n">
        <f aca="false">IF(Y899="","",VLOOKUP(Y899,Assumptions!$B$6:$C$9,2,FALSE()))</f>
        <v>2</v>
      </c>
      <c r="AJ899" s="0" t="n">
        <f aca="false">IF(Z899="","",VLOOKUP(Z899,Assumptions!$B$6:$C$9,2,FALSE()))</f>
        <v>2</v>
      </c>
      <c r="AK899" s="7" t="n">
        <f aca="false">IFERROR(ROUND(AVERAGE(AF899:AJ899),3),"")</f>
        <v>2</v>
      </c>
      <c r="AL899" s="7" t="str">
        <f aca="false">IF(OR(AF899="",AJ899=""),"",AJ899-AF899)</f>
        <v/>
      </c>
      <c r="AM899" s="7" t="n">
        <f aca="false">IF(COUNT(AF899:AJ899)&gt;=2,ROUND(_xlfn.STDEV.S(AF899:AJ899),3),"")</f>
        <v>0</v>
      </c>
      <c r="AN899" s="7" t="n">
        <f aca="false">ROUND((IF(AF899="",0,AF899)*Assumptions!$F$15)+(IF(AG899="",0,AG899)*Assumptions!$F$16)+(IF(AH899="",0,AH899)*Assumptions!$F$17)+(IF(AI899="",0,AI899)*Assumptions!$F$18)+(IF(AJ899="",0,AJ899)*Assumptions!$F$19),3)</f>
        <v>1.1</v>
      </c>
      <c r="AO899" s="0" t="str">
        <f aca="false">IF(AC899&lt;=20,"",IF(AC899&lt;=Assumptions!$F$6,"20-30",IF(AC899&lt;=Assumptions!$F$7,"30-40",IF(AC899&lt;=Assumptions!$F$8,"40-50",IF(AC899&lt;=Assumptions!$F$9,"50-60",IF(AC899&lt;=Assumptions!$F$10,"60+",""))))))</f>
        <v>40-50</v>
      </c>
      <c r="AP899" s="0" t="str">
        <f aca="false">IFERROR(VLOOKUP(O899,Assumptions!$B$14:$C$26,2,FALSE()),"Other")</f>
        <v>Manager</v>
      </c>
      <c r="AQ899" s="0" t="n">
        <f aca="false">IF(T899="",0,1)</f>
        <v>0</v>
      </c>
      <c r="AR899" s="0" t="n">
        <f aca="false">IF(U899="",0,1)</f>
        <v>0</v>
      </c>
      <c r="AS899" s="8" t="n">
        <f aca="false">IF(AK899="","",IF(MAX($AK$2:$AK$921)=MIN($AK$2:$AK$921),50,ROUND((AK899-MIN($AK$2:$AK$921))/(MAX($AK$2:$AK$921)-MIN($AK$2:$AK$921))*100,2)))</f>
        <v>14.27</v>
      </c>
      <c r="AT899" s="8" t="n">
        <f aca="false">IF(MAX($BC$2:$BC$921)=MIN($BC$2:$BC$921),50,ROUND((BC899-MIN($BC$2:$BC$921))/(MAX($BC$2:$BC$921)-MIN($BC$2:$BC$921))*100,2))</f>
        <v>50</v>
      </c>
      <c r="AU899" s="8" t="n">
        <f aca="false">IF(MAX($BE$2:$BE$921)=MIN($BE$2:$BE$921),50,ROUND((BE899-MIN($BE$2:$BE$921))/(MAX($BE$2:$BE$921)-MIN($BE$2:$BE$921))*100,2))</f>
        <v>100</v>
      </c>
      <c r="AV899" s="8" t="n">
        <f aca="false">IF(MAX($AD$2:$AD$921)=MIN($AD$2:$AD$921),50,ROUND((AD899-MIN($AD$2:$AD$921))/(MAX($AD$2:$AD$921)-MIN($AD$2:$AD$921))*100,2))</f>
        <v>6.22</v>
      </c>
      <c r="AW899" s="8" t="n">
        <f aca="false">IF(MAX($AN$2:$AN$921)=MIN($AN$2:$AN$921),50,ROUND((AN899-MIN($AN$2:$AN$921))/(MAX($AN$2:$AN$921)-MIN($AN$2:$AN$921))*100,2))</f>
        <v>27.5</v>
      </c>
      <c r="AX899" s="8" t="n">
        <f aca="false">AQ899*100</f>
        <v>0</v>
      </c>
      <c r="AY899" s="8" t="n">
        <f aca="false">AR899*100</f>
        <v>0</v>
      </c>
      <c r="AZ899" s="8" t="n">
        <f aca="false">IFERROR(ROUND(AS899*Assumptions!$I$6+AW899*Assumptions!$I$7+AT899*Assumptions!$I$8+AU899*Assumptions!$I$9+AV899*Assumptions!$I$10+AX899*Assumptions!$I$11+AY899*Assumptions!$I$12,2),"")</f>
        <v>32.9</v>
      </c>
      <c r="BA899" s="0" t="str">
        <f aca="false">IF(AZ899="","",IF(AZ899&lt;=Assumptions!$I$18,"Below Expectation",IF(AZ899&lt;=Assumptions!$I$19,"Developing",IF(AZ899&lt;=Assumptions!$I$20,"Meets Expectation",IF(AZ899&lt;=Assumptions!$I$21,"Exceeds","Star Performer")))))</f>
        <v>Below Expectation</v>
      </c>
      <c r="BB899" s="0" t="n">
        <f aca="false">IF(AZ899="",0,IF(AZ899&gt;=Assumptions!$I$26,1,0))</f>
        <v>0</v>
      </c>
      <c r="BC899" s="9" t="n">
        <f aca="false">IF(AL899="",2,AL899+2)</f>
        <v>2</v>
      </c>
      <c r="BD899" s="10" t="n">
        <f aca="false">IF(AM899="",ROUND(AVERAGE($AM$2:$AM$921),3),AM899)</f>
        <v>0</v>
      </c>
      <c r="BE899" s="9" t="n">
        <f aca="false">1-BD899</f>
        <v>1</v>
      </c>
    </row>
    <row r="900" customFormat="false" ht="14.25" hidden="true" customHeight="false" outlineLevel="0" collapsed="false">
      <c r="A900" s="4" t="n">
        <v>869</v>
      </c>
      <c r="B900" s="5" t="n">
        <v>55105628</v>
      </c>
      <c r="C900" s="5" t="s">
        <v>85</v>
      </c>
      <c r="D900" s="5" t="s">
        <v>251</v>
      </c>
      <c r="E900" s="5" t="s">
        <v>137</v>
      </c>
      <c r="F900" s="5" t="s">
        <v>380</v>
      </c>
      <c r="G900" s="5" t="s">
        <v>379</v>
      </c>
      <c r="H900" s="5" t="s">
        <v>380</v>
      </c>
      <c r="I900" s="5" t="s">
        <v>63</v>
      </c>
      <c r="J900" s="5" t="s">
        <v>76</v>
      </c>
      <c r="K900" s="5" t="s">
        <v>65</v>
      </c>
      <c r="L900" s="6" t="n">
        <v>45350</v>
      </c>
      <c r="M900" s="5" t="s">
        <v>1032</v>
      </c>
      <c r="N900" s="6" t="n">
        <v>32656</v>
      </c>
      <c r="O900" s="5" t="s">
        <v>332</v>
      </c>
      <c r="P900" s="5" t="s">
        <v>333</v>
      </c>
      <c r="Q900" s="5" t="s">
        <v>2010</v>
      </c>
      <c r="R900" s="5" t="s">
        <v>660</v>
      </c>
      <c r="S900" s="5" t="s">
        <v>446</v>
      </c>
      <c r="T900" s="6"/>
      <c r="U900" s="6"/>
      <c r="V900" s="5"/>
      <c r="W900" s="5"/>
      <c r="X900" s="5"/>
      <c r="Y900" s="5" t="s">
        <v>631</v>
      </c>
      <c r="Z900" s="5" t="s">
        <v>631</v>
      </c>
      <c r="AA900" s="5" t="s">
        <v>2804</v>
      </c>
      <c r="AB900" s="0" t="n">
        <f aca="false">IFERROR(VALUE(R900),0)</f>
        <v>10.6</v>
      </c>
      <c r="AC900" s="0" t="n">
        <f aca="false">IFERROR(VALUE(M900),"")</f>
        <v>37</v>
      </c>
      <c r="AD900" s="0" t="n">
        <f aca="false">IFERROR(VALUE(Q900),"")</f>
        <v>2.3</v>
      </c>
      <c r="AE900" s="0" t="n">
        <f aca="false">IFERROR(VALUE(S900),"")</f>
        <v>12.9</v>
      </c>
      <c r="AF900" s="0" t="str">
        <f aca="false">IF(V900="","",VLOOKUP(V900,Assumptions!$B$6:$C$9,2,FALSE()))</f>
        <v/>
      </c>
      <c r="AG900" s="0" t="str">
        <f aca="false">IF(W900="","",VLOOKUP(W900,Assumptions!$B$6:$C$9,2,FALSE()))</f>
        <v/>
      </c>
      <c r="AH900" s="0" t="str">
        <f aca="false">IF(X900="","",VLOOKUP(X900,Assumptions!$B$6:$C$9,2,FALSE()))</f>
        <v/>
      </c>
      <c r="AI900" s="0" t="n">
        <f aca="false">IF(Y900="","",VLOOKUP(Y900,Assumptions!$B$6:$C$9,2,FALSE()))</f>
        <v>2</v>
      </c>
      <c r="AJ900" s="0" t="n">
        <f aca="false">IF(Z900="","",VLOOKUP(Z900,Assumptions!$B$6:$C$9,2,FALSE()))</f>
        <v>2</v>
      </c>
      <c r="AK900" s="7" t="n">
        <f aca="false">IFERROR(ROUND(AVERAGE(AF900:AJ900),3),"")</f>
        <v>2</v>
      </c>
      <c r="AL900" s="7" t="str">
        <f aca="false">IF(OR(AF900="",AJ900=""),"",AJ900-AF900)</f>
        <v/>
      </c>
      <c r="AM900" s="7" t="n">
        <f aca="false">IF(COUNT(AF900:AJ900)&gt;=2,ROUND(_xlfn.STDEV.S(AF900:AJ900),3),"")</f>
        <v>0</v>
      </c>
      <c r="AN900" s="7" t="n">
        <f aca="false">ROUND((IF(AF900="",0,AF900)*Assumptions!$F$15)+(IF(AG900="",0,AG900)*Assumptions!$F$16)+(IF(AH900="",0,AH900)*Assumptions!$F$17)+(IF(AI900="",0,AI900)*Assumptions!$F$18)+(IF(AJ900="",0,AJ900)*Assumptions!$F$19),3)</f>
        <v>1.1</v>
      </c>
      <c r="AO900" s="0" t="str">
        <f aca="false">IF(AC900&lt;=20,"",IF(AC900&lt;=Assumptions!$F$6,"20-30",IF(AC900&lt;=Assumptions!$F$7,"30-40",IF(AC900&lt;=Assumptions!$F$8,"40-50",IF(AC900&lt;=Assumptions!$F$9,"50-60",IF(AC900&lt;=Assumptions!$F$10,"60+",""))))))</f>
        <v>30-40</v>
      </c>
      <c r="AP900" s="0" t="str">
        <f aca="false">IFERROR(VLOOKUP(O900,Assumptions!$B$14:$C$26,2,FALSE()),"Other")</f>
        <v>Manager</v>
      </c>
      <c r="AQ900" s="0" t="n">
        <f aca="false">IF(T900="",0,1)</f>
        <v>0</v>
      </c>
      <c r="AR900" s="0" t="n">
        <f aca="false">IF(U900="",0,1)</f>
        <v>0</v>
      </c>
      <c r="AS900" s="8" t="n">
        <f aca="false">IF(AK900="","",IF(MAX($AK$2:$AK$921)=MIN($AK$2:$AK$921),50,ROUND((AK900-MIN($AK$2:$AK$921))/(MAX($AK$2:$AK$921)-MIN($AK$2:$AK$921))*100,2)))</f>
        <v>14.27</v>
      </c>
      <c r="AT900" s="8" t="n">
        <f aca="false">IF(MAX($BC$2:$BC$921)=MIN($BC$2:$BC$921),50,ROUND((BC900-MIN($BC$2:$BC$921))/(MAX($BC$2:$BC$921)-MIN($BC$2:$BC$921))*100,2))</f>
        <v>50</v>
      </c>
      <c r="AU900" s="8" t="n">
        <f aca="false">IF(MAX($BE$2:$BE$921)=MIN($BE$2:$BE$921),50,ROUND((BE900-MIN($BE$2:$BE$921))/(MAX($BE$2:$BE$921)-MIN($BE$2:$BE$921))*100,2))</f>
        <v>100</v>
      </c>
      <c r="AV900" s="8" t="n">
        <f aca="false">IF(MAX($AD$2:$AD$921)=MIN($AD$2:$AD$921),50,ROUND((AD900-MIN($AD$2:$AD$921))/(MAX($AD$2:$AD$921)-MIN($AD$2:$AD$921))*100,2))</f>
        <v>5.95</v>
      </c>
      <c r="AW900" s="8" t="n">
        <f aca="false">IF(MAX($AN$2:$AN$921)=MIN($AN$2:$AN$921),50,ROUND((AN900-MIN($AN$2:$AN$921))/(MAX($AN$2:$AN$921)-MIN($AN$2:$AN$921))*100,2))</f>
        <v>27.5</v>
      </c>
      <c r="AX900" s="8" t="n">
        <f aca="false">AQ900*100</f>
        <v>0</v>
      </c>
      <c r="AY900" s="8" t="n">
        <f aca="false">AR900*100</f>
        <v>0</v>
      </c>
      <c r="AZ900" s="8" t="n">
        <f aca="false">IFERROR(ROUND(AS900*Assumptions!$I$6+AW900*Assumptions!$I$7+AT900*Assumptions!$I$8+AU900*Assumptions!$I$9+AV900*Assumptions!$I$10+AX900*Assumptions!$I$11+AY900*Assumptions!$I$12,2),"")</f>
        <v>32.88</v>
      </c>
      <c r="BA900" s="0" t="str">
        <f aca="false">IF(AZ900="","",IF(AZ900&lt;=Assumptions!$I$18,"Below Expectation",IF(AZ900&lt;=Assumptions!$I$19,"Developing",IF(AZ900&lt;=Assumptions!$I$20,"Meets Expectation",IF(AZ900&lt;=Assumptions!$I$21,"Exceeds","Star Performer")))))</f>
        <v>Below Expectation</v>
      </c>
      <c r="BB900" s="0" t="n">
        <f aca="false">IF(AZ900="",0,IF(AZ900&gt;=Assumptions!$I$26,1,0))</f>
        <v>0</v>
      </c>
      <c r="BC900" s="9" t="n">
        <f aca="false">IF(AL900="",2,AL900+2)</f>
        <v>2</v>
      </c>
      <c r="BD900" s="10" t="n">
        <f aca="false">IF(AM900="",ROUND(AVERAGE($AM$2:$AM$921),3),AM900)</f>
        <v>0</v>
      </c>
      <c r="BE900" s="9" t="n">
        <f aca="false">1-BD900</f>
        <v>1</v>
      </c>
    </row>
    <row r="901" customFormat="false" ht="14.25" hidden="true" customHeight="false" outlineLevel="0" collapsed="false">
      <c r="A901" s="4" t="n">
        <v>870</v>
      </c>
      <c r="B901" s="5" t="n">
        <v>55105835</v>
      </c>
      <c r="C901" s="5" t="s">
        <v>526</v>
      </c>
      <c r="D901" s="5" t="s">
        <v>2805</v>
      </c>
      <c r="E901" s="5" t="s">
        <v>881</v>
      </c>
      <c r="F901" s="5" t="s">
        <v>111</v>
      </c>
      <c r="G901" s="5" t="s">
        <v>110</v>
      </c>
      <c r="H901" s="5" t="s">
        <v>111</v>
      </c>
      <c r="I901" s="5" t="s">
        <v>63</v>
      </c>
      <c r="J901" s="5" t="s">
        <v>100</v>
      </c>
      <c r="K901" s="5" t="s">
        <v>65</v>
      </c>
      <c r="L901" s="6" t="n">
        <v>45351</v>
      </c>
      <c r="M901" s="5" t="s">
        <v>2806</v>
      </c>
      <c r="N901" s="6" t="n">
        <v>22154</v>
      </c>
      <c r="O901" s="5" t="s">
        <v>89</v>
      </c>
      <c r="P901" s="5" t="s">
        <v>90</v>
      </c>
      <c r="Q901" s="5" t="s">
        <v>2010</v>
      </c>
      <c r="R901" s="5" t="s">
        <v>475</v>
      </c>
      <c r="S901" s="5" t="s">
        <v>1123</v>
      </c>
      <c r="T901" s="6"/>
      <c r="U901" s="6"/>
      <c r="V901" s="5"/>
      <c r="W901" s="5"/>
      <c r="X901" s="5"/>
      <c r="Y901" s="5" t="s">
        <v>631</v>
      </c>
      <c r="Z901" s="5" t="s">
        <v>631</v>
      </c>
      <c r="AA901" s="5" t="s">
        <v>2807</v>
      </c>
      <c r="AB901" s="0" t="n">
        <f aca="false">IFERROR(VALUE(R901),0)</f>
        <v>38.1</v>
      </c>
      <c r="AC901" s="0" t="n">
        <f aca="false">IFERROR(VALUE(M901),"")</f>
        <v>65.9</v>
      </c>
      <c r="AD901" s="0" t="n">
        <f aca="false">IFERROR(VALUE(Q901),"")</f>
        <v>2.3</v>
      </c>
      <c r="AE901" s="0" t="n">
        <f aca="false">IFERROR(VALUE(S901),"")</f>
        <v>40.4</v>
      </c>
      <c r="AF901" s="0" t="str">
        <f aca="false">IF(V901="","",VLOOKUP(V901,Assumptions!$B$6:$C$9,2,FALSE()))</f>
        <v/>
      </c>
      <c r="AG901" s="0" t="str">
        <f aca="false">IF(W901="","",VLOOKUP(W901,Assumptions!$B$6:$C$9,2,FALSE()))</f>
        <v/>
      </c>
      <c r="AH901" s="0" t="str">
        <f aca="false">IF(X901="","",VLOOKUP(X901,Assumptions!$B$6:$C$9,2,FALSE()))</f>
        <v/>
      </c>
      <c r="AI901" s="0" t="n">
        <f aca="false">IF(Y901="","",VLOOKUP(Y901,Assumptions!$B$6:$C$9,2,FALSE()))</f>
        <v>2</v>
      </c>
      <c r="AJ901" s="0" t="n">
        <f aca="false">IF(Z901="","",VLOOKUP(Z901,Assumptions!$B$6:$C$9,2,FALSE()))</f>
        <v>2</v>
      </c>
      <c r="AK901" s="7" t="n">
        <f aca="false">IFERROR(ROUND(AVERAGE(AF901:AJ901),3),"")</f>
        <v>2</v>
      </c>
      <c r="AL901" s="7" t="str">
        <f aca="false">IF(OR(AF901="",AJ901=""),"",AJ901-AF901)</f>
        <v/>
      </c>
      <c r="AM901" s="7" t="n">
        <f aca="false">IF(COUNT(AF901:AJ901)&gt;=2,ROUND(_xlfn.STDEV.S(AF901:AJ901),3),"")</f>
        <v>0</v>
      </c>
      <c r="AN901" s="7" t="n">
        <f aca="false">ROUND((IF(AF901="",0,AF901)*Assumptions!$F$15)+(IF(AG901="",0,AG901)*Assumptions!$F$16)+(IF(AH901="",0,AH901)*Assumptions!$F$17)+(IF(AI901="",0,AI901)*Assumptions!$F$18)+(IF(AJ901="",0,AJ901)*Assumptions!$F$19),3)</f>
        <v>1.1</v>
      </c>
      <c r="AO901" s="0" t="str">
        <f aca="false">IF(AC901&lt;=20,"",IF(AC901&lt;=Assumptions!$F$6,"20-30",IF(AC901&lt;=Assumptions!$F$7,"30-40",IF(AC901&lt;=Assumptions!$F$8,"40-50",IF(AC901&lt;=Assumptions!$F$9,"50-60",IF(AC901&lt;=Assumptions!$F$10,"60+",""))))))</f>
        <v>60+</v>
      </c>
      <c r="AP901" s="0" t="str">
        <f aca="false">IFERROR(VLOOKUP(O901,Assumptions!$B$14:$C$26,2,FALSE()),"Other")</f>
        <v>Leadership</v>
      </c>
      <c r="AQ901" s="0" t="n">
        <f aca="false">IF(T901="",0,1)</f>
        <v>0</v>
      </c>
      <c r="AR901" s="0" t="n">
        <f aca="false">IF(U901="",0,1)</f>
        <v>0</v>
      </c>
      <c r="AS901" s="8" t="n">
        <f aca="false">IF(AK901="","",IF(MAX($AK$2:$AK$921)=MIN($AK$2:$AK$921),50,ROUND((AK901-MIN($AK$2:$AK$921))/(MAX($AK$2:$AK$921)-MIN($AK$2:$AK$921))*100,2)))</f>
        <v>14.27</v>
      </c>
      <c r="AT901" s="8" t="n">
        <f aca="false">IF(MAX($BC$2:$BC$921)=MIN($BC$2:$BC$921),50,ROUND((BC901-MIN($BC$2:$BC$921))/(MAX($BC$2:$BC$921)-MIN($BC$2:$BC$921))*100,2))</f>
        <v>50</v>
      </c>
      <c r="AU901" s="8" t="n">
        <f aca="false">IF(MAX($BE$2:$BE$921)=MIN($BE$2:$BE$921),50,ROUND((BE901-MIN($BE$2:$BE$921))/(MAX($BE$2:$BE$921)-MIN($BE$2:$BE$921))*100,2))</f>
        <v>100</v>
      </c>
      <c r="AV901" s="8" t="n">
        <f aca="false">IF(MAX($AD$2:$AD$921)=MIN($AD$2:$AD$921),50,ROUND((AD901-MIN($AD$2:$AD$921))/(MAX($AD$2:$AD$921)-MIN($AD$2:$AD$921))*100,2))</f>
        <v>5.95</v>
      </c>
      <c r="AW901" s="8" t="n">
        <f aca="false">IF(MAX($AN$2:$AN$921)=MIN($AN$2:$AN$921),50,ROUND((AN901-MIN($AN$2:$AN$921))/(MAX($AN$2:$AN$921)-MIN($AN$2:$AN$921))*100,2))</f>
        <v>27.5</v>
      </c>
      <c r="AX901" s="8" t="n">
        <f aca="false">AQ901*100</f>
        <v>0</v>
      </c>
      <c r="AY901" s="8" t="n">
        <f aca="false">AR901*100</f>
        <v>0</v>
      </c>
      <c r="AZ901" s="8" t="n">
        <f aca="false">IFERROR(ROUND(AS901*Assumptions!$I$6+AW901*Assumptions!$I$7+AT901*Assumptions!$I$8+AU901*Assumptions!$I$9+AV901*Assumptions!$I$10+AX901*Assumptions!$I$11+AY901*Assumptions!$I$12,2),"")</f>
        <v>32.88</v>
      </c>
      <c r="BA901" s="0" t="str">
        <f aca="false">IF(AZ901="","",IF(AZ901&lt;=Assumptions!$I$18,"Below Expectation",IF(AZ901&lt;=Assumptions!$I$19,"Developing",IF(AZ901&lt;=Assumptions!$I$20,"Meets Expectation",IF(AZ901&lt;=Assumptions!$I$21,"Exceeds","Star Performer")))))</f>
        <v>Below Expectation</v>
      </c>
      <c r="BB901" s="0" t="n">
        <f aca="false">IF(AZ901="",0,IF(AZ901&gt;=Assumptions!$I$26,1,0))</f>
        <v>0</v>
      </c>
      <c r="BC901" s="9" t="n">
        <f aca="false">IF(AL901="",2,AL901+2)</f>
        <v>2</v>
      </c>
      <c r="BD901" s="10" t="n">
        <f aca="false">IF(AM901="",ROUND(AVERAGE($AM$2:$AM$921),3),AM901)</f>
        <v>0</v>
      </c>
      <c r="BE901" s="9" t="n">
        <f aca="false">1-BD901</f>
        <v>1</v>
      </c>
    </row>
    <row r="902" customFormat="false" ht="14.25" hidden="true" customHeight="false" outlineLevel="0" collapsed="false">
      <c r="A902" s="4" t="n">
        <v>872</v>
      </c>
      <c r="B902" s="5" t="n">
        <v>55112780</v>
      </c>
      <c r="C902" s="5" t="s">
        <v>57</v>
      </c>
      <c r="D902" s="5" t="s">
        <v>2808</v>
      </c>
      <c r="E902" s="5" t="s">
        <v>208</v>
      </c>
      <c r="F902" s="5" t="s">
        <v>608</v>
      </c>
      <c r="G902" s="5" t="s">
        <v>609</v>
      </c>
      <c r="H902" s="5" t="s">
        <v>608</v>
      </c>
      <c r="I902" s="5" t="s">
        <v>63</v>
      </c>
      <c r="J902" s="5" t="s">
        <v>100</v>
      </c>
      <c r="K902" s="5" t="s">
        <v>65</v>
      </c>
      <c r="L902" s="6" t="n">
        <v>45404</v>
      </c>
      <c r="M902" s="5" t="s">
        <v>1313</v>
      </c>
      <c r="N902" s="6" t="n">
        <v>34206</v>
      </c>
      <c r="O902" s="5" t="s">
        <v>365</v>
      </c>
      <c r="P902" s="5" t="s">
        <v>365</v>
      </c>
      <c r="Q902" s="5" t="s">
        <v>629</v>
      </c>
      <c r="R902" s="5" t="s">
        <v>248</v>
      </c>
      <c r="S902" s="5" t="s">
        <v>439</v>
      </c>
      <c r="T902" s="6"/>
      <c r="U902" s="6"/>
      <c r="V902" s="5"/>
      <c r="W902" s="5"/>
      <c r="X902" s="5"/>
      <c r="Y902" s="5" t="s">
        <v>631</v>
      </c>
      <c r="Z902" s="5" t="s">
        <v>631</v>
      </c>
      <c r="AA902" s="5" t="s">
        <v>2809</v>
      </c>
      <c r="AB902" s="0" t="n">
        <f aca="false">IFERROR(VALUE(R902),0)</f>
        <v>5</v>
      </c>
      <c r="AC902" s="0" t="n">
        <f aca="false">IFERROR(VALUE(M902),"")</f>
        <v>32.9</v>
      </c>
      <c r="AD902" s="0" t="n">
        <f aca="false">IFERROR(VALUE(Q902),"")</f>
        <v>2.1</v>
      </c>
      <c r="AE902" s="0" t="n">
        <f aca="false">IFERROR(VALUE(S902),"")</f>
        <v>7.1</v>
      </c>
      <c r="AF902" s="0" t="str">
        <f aca="false">IF(V902="","",VLOOKUP(V902,Assumptions!$B$6:$C$9,2,FALSE()))</f>
        <v/>
      </c>
      <c r="AG902" s="0" t="str">
        <f aca="false">IF(W902="","",VLOOKUP(W902,Assumptions!$B$6:$C$9,2,FALSE()))</f>
        <v/>
      </c>
      <c r="AH902" s="0" t="str">
        <f aca="false">IF(X902="","",VLOOKUP(X902,Assumptions!$B$6:$C$9,2,FALSE()))</f>
        <v/>
      </c>
      <c r="AI902" s="0" t="n">
        <f aca="false">IF(Y902="","",VLOOKUP(Y902,Assumptions!$B$6:$C$9,2,FALSE()))</f>
        <v>2</v>
      </c>
      <c r="AJ902" s="0" t="n">
        <f aca="false">IF(Z902="","",VLOOKUP(Z902,Assumptions!$B$6:$C$9,2,FALSE()))</f>
        <v>2</v>
      </c>
      <c r="AK902" s="7" t="n">
        <f aca="false">IFERROR(ROUND(AVERAGE(AF902:AJ902),3),"")</f>
        <v>2</v>
      </c>
      <c r="AL902" s="7" t="str">
        <f aca="false">IF(OR(AF902="",AJ902=""),"",AJ902-AF902)</f>
        <v/>
      </c>
      <c r="AM902" s="7" t="n">
        <f aca="false">IF(COUNT(AF902:AJ902)&gt;=2,ROUND(_xlfn.STDEV.S(AF902:AJ902),3),"")</f>
        <v>0</v>
      </c>
      <c r="AN902" s="7" t="n">
        <f aca="false">ROUND((IF(AF902="",0,AF902)*Assumptions!$F$15)+(IF(AG902="",0,AG902)*Assumptions!$F$16)+(IF(AH902="",0,AH902)*Assumptions!$F$17)+(IF(AI902="",0,AI902)*Assumptions!$F$18)+(IF(AJ902="",0,AJ902)*Assumptions!$F$19),3)</f>
        <v>1.1</v>
      </c>
      <c r="AO902" s="0" t="str">
        <f aca="false">IF(AC902&lt;=20,"",IF(AC902&lt;=Assumptions!$F$6,"20-30",IF(AC902&lt;=Assumptions!$F$7,"30-40",IF(AC902&lt;=Assumptions!$F$8,"40-50",IF(AC902&lt;=Assumptions!$F$9,"50-60",IF(AC902&lt;=Assumptions!$F$10,"60+",""))))))</f>
        <v>30-40</v>
      </c>
      <c r="AP902" s="0" t="str">
        <f aca="false">IFERROR(VLOOKUP(O902,Assumptions!$B$14:$C$26,2,FALSE()),"Other")</f>
        <v>Manager</v>
      </c>
      <c r="AQ902" s="0" t="n">
        <f aca="false">IF(T902="",0,1)</f>
        <v>0</v>
      </c>
      <c r="AR902" s="0" t="n">
        <f aca="false">IF(U902="",0,1)</f>
        <v>0</v>
      </c>
      <c r="AS902" s="8" t="n">
        <f aca="false">IF(AK902="","",IF(MAX($AK$2:$AK$921)=MIN($AK$2:$AK$921),50,ROUND((AK902-MIN($AK$2:$AK$921))/(MAX($AK$2:$AK$921)-MIN($AK$2:$AK$921))*100,2)))</f>
        <v>14.27</v>
      </c>
      <c r="AT902" s="8" t="n">
        <f aca="false">IF(MAX($BC$2:$BC$921)=MIN($BC$2:$BC$921),50,ROUND((BC902-MIN($BC$2:$BC$921))/(MAX($BC$2:$BC$921)-MIN($BC$2:$BC$921))*100,2))</f>
        <v>50</v>
      </c>
      <c r="AU902" s="8" t="n">
        <f aca="false">IF(MAX($BE$2:$BE$921)=MIN($BE$2:$BE$921),50,ROUND((BE902-MIN($BE$2:$BE$921))/(MAX($BE$2:$BE$921)-MIN($BE$2:$BE$921))*100,2))</f>
        <v>100</v>
      </c>
      <c r="AV902" s="8" t="n">
        <f aca="false">IF(MAX($AD$2:$AD$921)=MIN($AD$2:$AD$921),50,ROUND((AD902-MIN($AD$2:$AD$921))/(MAX($AD$2:$AD$921)-MIN($AD$2:$AD$921))*100,2))</f>
        <v>5.41</v>
      </c>
      <c r="AW902" s="8" t="n">
        <f aca="false">IF(MAX($AN$2:$AN$921)=MIN($AN$2:$AN$921),50,ROUND((AN902-MIN($AN$2:$AN$921))/(MAX($AN$2:$AN$921)-MIN($AN$2:$AN$921))*100,2))</f>
        <v>27.5</v>
      </c>
      <c r="AX902" s="8" t="n">
        <f aca="false">AQ902*100</f>
        <v>0</v>
      </c>
      <c r="AY902" s="8" t="n">
        <f aca="false">AR902*100</f>
        <v>0</v>
      </c>
      <c r="AZ902" s="8" t="n">
        <f aca="false">IFERROR(ROUND(AS902*Assumptions!$I$6+AW902*Assumptions!$I$7+AT902*Assumptions!$I$8+AU902*Assumptions!$I$9+AV902*Assumptions!$I$10+AX902*Assumptions!$I$11+AY902*Assumptions!$I$12,2),"")</f>
        <v>32.82</v>
      </c>
      <c r="BA902" s="0" t="str">
        <f aca="false">IF(AZ902="","",IF(AZ902&lt;=Assumptions!$I$18,"Below Expectation",IF(AZ902&lt;=Assumptions!$I$19,"Developing",IF(AZ902&lt;=Assumptions!$I$20,"Meets Expectation",IF(AZ902&lt;=Assumptions!$I$21,"Exceeds","Star Performer")))))</f>
        <v>Below Expectation</v>
      </c>
      <c r="BB902" s="0" t="n">
        <f aca="false">IF(AZ902="",0,IF(AZ902&gt;=Assumptions!$I$26,1,0))</f>
        <v>0</v>
      </c>
      <c r="BC902" s="9" t="n">
        <f aca="false">IF(AL902="",2,AL902+2)</f>
        <v>2</v>
      </c>
      <c r="BD902" s="10" t="n">
        <f aca="false">IF(AM902="",ROUND(AVERAGE($AM$2:$AM$921),3),AM902)</f>
        <v>0</v>
      </c>
      <c r="BE902" s="9" t="n">
        <f aca="false">1-BD902</f>
        <v>1</v>
      </c>
    </row>
    <row r="903" customFormat="false" ht="14.25" hidden="true" customHeight="false" outlineLevel="0" collapsed="false">
      <c r="A903" s="4" t="n">
        <v>873</v>
      </c>
      <c r="B903" s="5" t="n">
        <v>55113870</v>
      </c>
      <c r="C903" s="5" t="s">
        <v>57</v>
      </c>
      <c r="D903" s="5" t="s">
        <v>2810</v>
      </c>
      <c r="E903" s="5" t="s">
        <v>299</v>
      </c>
      <c r="F903" s="5" t="s">
        <v>387</v>
      </c>
      <c r="G903" s="5" t="s">
        <v>388</v>
      </c>
      <c r="H903" s="5" t="s">
        <v>387</v>
      </c>
      <c r="I903" s="5" t="s">
        <v>63</v>
      </c>
      <c r="J903" s="5" t="s">
        <v>100</v>
      </c>
      <c r="K903" s="5" t="s">
        <v>65</v>
      </c>
      <c r="L903" s="6" t="n">
        <v>45412</v>
      </c>
      <c r="M903" s="5" t="s">
        <v>2811</v>
      </c>
      <c r="N903" s="6" t="n">
        <v>31473</v>
      </c>
      <c r="O903" s="5" t="s">
        <v>332</v>
      </c>
      <c r="P903" s="5" t="s">
        <v>333</v>
      </c>
      <c r="Q903" s="5" t="s">
        <v>629</v>
      </c>
      <c r="R903" s="5" t="s">
        <v>249</v>
      </c>
      <c r="S903" s="5" t="s">
        <v>1061</v>
      </c>
      <c r="T903" s="6"/>
      <c r="U903" s="6"/>
      <c r="V903" s="5"/>
      <c r="W903" s="5"/>
      <c r="X903" s="5"/>
      <c r="Y903" s="5" t="s">
        <v>631</v>
      </c>
      <c r="Z903" s="5" t="s">
        <v>631</v>
      </c>
      <c r="AA903" s="5" t="s">
        <v>2812</v>
      </c>
      <c r="AB903" s="0" t="n">
        <f aca="false">IFERROR(VALUE(R903),0)</f>
        <v>14.4</v>
      </c>
      <c r="AC903" s="0" t="n">
        <f aca="false">IFERROR(VALUE(M903),"")</f>
        <v>40.3</v>
      </c>
      <c r="AD903" s="0" t="n">
        <f aca="false">IFERROR(VALUE(Q903),"")</f>
        <v>2.1</v>
      </c>
      <c r="AE903" s="0" t="n">
        <f aca="false">IFERROR(VALUE(S903),"")</f>
        <v>16.5</v>
      </c>
      <c r="AF903" s="0" t="str">
        <f aca="false">IF(V903="","",VLOOKUP(V903,Assumptions!$B$6:$C$9,2,FALSE()))</f>
        <v/>
      </c>
      <c r="AG903" s="0" t="str">
        <f aca="false">IF(W903="","",VLOOKUP(W903,Assumptions!$B$6:$C$9,2,FALSE()))</f>
        <v/>
      </c>
      <c r="AH903" s="0" t="str">
        <f aca="false">IF(X903="","",VLOOKUP(X903,Assumptions!$B$6:$C$9,2,FALSE()))</f>
        <v/>
      </c>
      <c r="AI903" s="0" t="n">
        <f aca="false">IF(Y903="","",VLOOKUP(Y903,Assumptions!$B$6:$C$9,2,FALSE()))</f>
        <v>2</v>
      </c>
      <c r="AJ903" s="0" t="n">
        <f aca="false">IF(Z903="","",VLOOKUP(Z903,Assumptions!$B$6:$C$9,2,FALSE()))</f>
        <v>2</v>
      </c>
      <c r="AK903" s="7" t="n">
        <f aca="false">IFERROR(ROUND(AVERAGE(AF903:AJ903),3),"")</f>
        <v>2</v>
      </c>
      <c r="AL903" s="7" t="str">
        <f aca="false">IF(OR(AF903="",AJ903=""),"",AJ903-AF903)</f>
        <v/>
      </c>
      <c r="AM903" s="7" t="n">
        <f aca="false">IF(COUNT(AF903:AJ903)&gt;=2,ROUND(_xlfn.STDEV.S(AF903:AJ903),3),"")</f>
        <v>0</v>
      </c>
      <c r="AN903" s="7" t="n">
        <f aca="false">ROUND((IF(AF903="",0,AF903)*Assumptions!$F$15)+(IF(AG903="",0,AG903)*Assumptions!$F$16)+(IF(AH903="",0,AH903)*Assumptions!$F$17)+(IF(AI903="",0,AI903)*Assumptions!$F$18)+(IF(AJ903="",0,AJ903)*Assumptions!$F$19),3)</f>
        <v>1.1</v>
      </c>
      <c r="AO903" s="0" t="str">
        <f aca="false">IF(AC903&lt;=20,"",IF(AC903&lt;=Assumptions!$F$6,"20-30",IF(AC903&lt;=Assumptions!$F$7,"30-40",IF(AC903&lt;=Assumptions!$F$8,"40-50",IF(AC903&lt;=Assumptions!$F$9,"50-60",IF(AC903&lt;=Assumptions!$F$10,"60+",""))))))</f>
        <v>40-50</v>
      </c>
      <c r="AP903" s="0" t="str">
        <f aca="false">IFERROR(VLOOKUP(O903,Assumptions!$B$14:$C$26,2,FALSE()),"Other")</f>
        <v>Manager</v>
      </c>
      <c r="AQ903" s="0" t="n">
        <f aca="false">IF(T903="",0,1)</f>
        <v>0</v>
      </c>
      <c r="AR903" s="0" t="n">
        <f aca="false">IF(U903="",0,1)</f>
        <v>0</v>
      </c>
      <c r="AS903" s="8" t="n">
        <f aca="false">IF(AK903="","",IF(MAX($AK$2:$AK$921)=MIN($AK$2:$AK$921),50,ROUND((AK903-MIN($AK$2:$AK$921))/(MAX($AK$2:$AK$921)-MIN($AK$2:$AK$921))*100,2)))</f>
        <v>14.27</v>
      </c>
      <c r="AT903" s="8" t="n">
        <f aca="false">IF(MAX($BC$2:$BC$921)=MIN($BC$2:$BC$921),50,ROUND((BC903-MIN($BC$2:$BC$921))/(MAX($BC$2:$BC$921)-MIN($BC$2:$BC$921))*100,2))</f>
        <v>50</v>
      </c>
      <c r="AU903" s="8" t="n">
        <f aca="false">IF(MAX($BE$2:$BE$921)=MIN($BE$2:$BE$921),50,ROUND((BE903-MIN($BE$2:$BE$921))/(MAX($BE$2:$BE$921)-MIN($BE$2:$BE$921))*100,2))</f>
        <v>100</v>
      </c>
      <c r="AV903" s="8" t="n">
        <f aca="false">IF(MAX($AD$2:$AD$921)=MIN($AD$2:$AD$921),50,ROUND((AD903-MIN($AD$2:$AD$921))/(MAX($AD$2:$AD$921)-MIN($AD$2:$AD$921))*100,2))</f>
        <v>5.41</v>
      </c>
      <c r="AW903" s="8" t="n">
        <f aca="false">IF(MAX($AN$2:$AN$921)=MIN($AN$2:$AN$921),50,ROUND((AN903-MIN($AN$2:$AN$921))/(MAX($AN$2:$AN$921)-MIN($AN$2:$AN$921))*100,2))</f>
        <v>27.5</v>
      </c>
      <c r="AX903" s="8" t="n">
        <f aca="false">AQ903*100</f>
        <v>0</v>
      </c>
      <c r="AY903" s="8" t="n">
        <f aca="false">AR903*100</f>
        <v>0</v>
      </c>
      <c r="AZ903" s="8" t="n">
        <f aca="false">IFERROR(ROUND(AS903*Assumptions!$I$6+AW903*Assumptions!$I$7+AT903*Assumptions!$I$8+AU903*Assumptions!$I$9+AV903*Assumptions!$I$10+AX903*Assumptions!$I$11+AY903*Assumptions!$I$12,2),"")</f>
        <v>32.82</v>
      </c>
      <c r="BA903" s="0" t="str">
        <f aca="false">IF(AZ903="","",IF(AZ903&lt;=Assumptions!$I$18,"Below Expectation",IF(AZ903&lt;=Assumptions!$I$19,"Developing",IF(AZ903&lt;=Assumptions!$I$20,"Meets Expectation",IF(AZ903&lt;=Assumptions!$I$21,"Exceeds","Star Performer")))))</f>
        <v>Below Expectation</v>
      </c>
      <c r="BB903" s="0" t="n">
        <f aca="false">IF(AZ903="",0,IF(AZ903&gt;=Assumptions!$I$26,1,0))</f>
        <v>0</v>
      </c>
      <c r="BC903" s="9" t="n">
        <f aca="false">IF(AL903="",2,AL903+2)</f>
        <v>2</v>
      </c>
      <c r="BD903" s="10" t="n">
        <f aca="false">IF(AM903="",ROUND(AVERAGE($AM$2:$AM$921),3),AM903)</f>
        <v>0</v>
      </c>
      <c r="BE903" s="9" t="n">
        <f aca="false">1-BD903</f>
        <v>1</v>
      </c>
    </row>
    <row r="904" customFormat="false" ht="14.25" hidden="true" customHeight="false" outlineLevel="0" collapsed="false">
      <c r="A904" s="4" t="n">
        <v>883</v>
      </c>
      <c r="B904" s="5" t="n">
        <v>55116372</v>
      </c>
      <c r="C904" s="5" t="s">
        <v>57</v>
      </c>
      <c r="D904" s="5" t="s">
        <v>2813</v>
      </c>
      <c r="E904" s="5" t="s">
        <v>208</v>
      </c>
      <c r="F904" s="5" t="s">
        <v>387</v>
      </c>
      <c r="G904" s="5" t="s">
        <v>388</v>
      </c>
      <c r="H904" s="5" t="s">
        <v>387</v>
      </c>
      <c r="I904" s="5" t="s">
        <v>63</v>
      </c>
      <c r="J904" s="5" t="s">
        <v>100</v>
      </c>
      <c r="K904" s="5" t="s">
        <v>65</v>
      </c>
      <c r="L904" s="6" t="n">
        <v>45434</v>
      </c>
      <c r="M904" s="5" t="s">
        <v>2814</v>
      </c>
      <c r="N904" s="6" t="n">
        <v>34377</v>
      </c>
      <c r="O904" s="5" t="s">
        <v>332</v>
      </c>
      <c r="P904" s="5" t="s">
        <v>333</v>
      </c>
      <c r="Q904" s="5" t="s">
        <v>1645</v>
      </c>
      <c r="R904" s="5" t="s">
        <v>70</v>
      </c>
      <c r="S904" s="5" t="s">
        <v>1387</v>
      </c>
      <c r="T904" s="6"/>
      <c r="U904" s="6"/>
      <c r="V904" s="5"/>
      <c r="W904" s="5"/>
      <c r="X904" s="5"/>
      <c r="Y904" s="5" t="s">
        <v>631</v>
      </c>
      <c r="Z904" s="5" t="s">
        <v>631</v>
      </c>
      <c r="AA904" s="5" t="s">
        <v>2815</v>
      </c>
      <c r="AB904" s="0" t="n">
        <f aca="false">IFERROR(VALUE(R904),0)</f>
        <v>9.4</v>
      </c>
      <c r="AC904" s="0" t="n">
        <f aca="false">IFERROR(VALUE(M904),"")</f>
        <v>32.3</v>
      </c>
      <c r="AD904" s="0" t="n">
        <f aca="false">IFERROR(VALUE(Q904),"")</f>
        <v>2</v>
      </c>
      <c r="AE904" s="0" t="n">
        <f aca="false">IFERROR(VALUE(S904),"")</f>
        <v>11.4</v>
      </c>
      <c r="AF904" s="0" t="str">
        <f aca="false">IF(V904="","",VLOOKUP(V904,Assumptions!$B$6:$C$9,2,FALSE()))</f>
        <v/>
      </c>
      <c r="AG904" s="0" t="str">
        <f aca="false">IF(W904="","",VLOOKUP(W904,Assumptions!$B$6:$C$9,2,FALSE()))</f>
        <v/>
      </c>
      <c r="AH904" s="0" t="str">
        <f aca="false">IF(X904="","",VLOOKUP(X904,Assumptions!$B$6:$C$9,2,FALSE()))</f>
        <v/>
      </c>
      <c r="AI904" s="0" t="n">
        <f aca="false">IF(Y904="","",VLOOKUP(Y904,Assumptions!$B$6:$C$9,2,FALSE()))</f>
        <v>2</v>
      </c>
      <c r="AJ904" s="0" t="n">
        <f aca="false">IF(Z904="","",VLOOKUP(Z904,Assumptions!$B$6:$C$9,2,FALSE()))</f>
        <v>2</v>
      </c>
      <c r="AK904" s="7" t="n">
        <f aca="false">IFERROR(ROUND(AVERAGE(AF904:AJ904),3),"")</f>
        <v>2</v>
      </c>
      <c r="AL904" s="7" t="str">
        <f aca="false">IF(OR(AF904="",AJ904=""),"",AJ904-AF904)</f>
        <v/>
      </c>
      <c r="AM904" s="7" t="n">
        <f aca="false">IF(COUNT(AF904:AJ904)&gt;=2,ROUND(_xlfn.STDEV.S(AF904:AJ904),3),"")</f>
        <v>0</v>
      </c>
      <c r="AN904" s="7" t="n">
        <f aca="false">ROUND((IF(AF904="",0,AF904)*Assumptions!$F$15)+(IF(AG904="",0,AG904)*Assumptions!$F$16)+(IF(AH904="",0,AH904)*Assumptions!$F$17)+(IF(AI904="",0,AI904)*Assumptions!$F$18)+(IF(AJ904="",0,AJ904)*Assumptions!$F$19),3)</f>
        <v>1.1</v>
      </c>
      <c r="AO904" s="0" t="str">
        <f aca="false">IF(AC904&lt;=20,"",IF(AC904&lt;=Assumptions!$F$6,"20-30",IF(AC904&lt;=Assumptions!$F$7,"30-40",IF(AC904&lt;=Assumptions!$F$8,"40-50",IF(AC904&lt;=Assumptions!$F$9,"50-60",IF(AC904&lt;=Assumptions!$F$10,"60+",""))))))</f>
        <v>30-40</v>
      </c>
      <c r="AP904" s="0" t="str">
        <f aca="false">IFERROR(VLOOKUP(O904,Assumptions!$B$14:$C$26,2,FALSE()),"Other")</f>
        <v>Manager</v>
      </c>
      <c r="AQ904" s="0" t="n">
        <f aca="false">IF(T904="",0,1)</f>
        <v>0</v>
      </c>
      <c r="AR904" s="0" t="n">
        <f aca="false">IF(U904="",0,1)</f>
        <v>0</v>
      </c>
      <c r="AS904" s="8" t="n">
        <f aca="false">IF(AK904="","",IF(MAX($AK$2:$AK$921)=MIN($AK$2:$AK$921),50,ROUND((AK904-MIN($AK$2:$AK$921))/(MAX($AK$2:$AK$921)-MIN($AK$2:$AK$921))*100,2)))</f>
        <v>14.27</v>
      </c>
      <c r="AT904" s="8" t="n">
        <f aca="false">IF(MAX($BC$2:$BC$921)=MIN($BC$2:$BC$921),50,ROUND((BC904-MIN($BC$2:$BC$921))/(MAX($BC$2:$BC$921)-MIN($BC$2:$BC$921))*100,2))</f>
        <v>50</v>
      </c>
      <c r="AU904" s="8" t="n">
        <f aca="false">IF(MAX($BE$2:$BE$921)=MIN($BE$2:$BE$921),50,ROUND((BE904-MIN($BE$2:$BE$921))/(MAX($BE$2:$BE$921)-MIN($BE$2:$BE$921))*100,2))</f>
        <v>100</v>
      </c>
      <c r="AV904" s="8" t="n">
        <f aca="false">IF(MAX($AD$2:$AD$921)=MIN($AD$2:$AD$921),50,ROUND((AD904-MIN($AD$2:$AD$921))/(MAX($AD$2:$AD$921)-MIN($AD$2:$AD$921))*100,2))</f>
        <v>5.14</v>
      </c>
      <c r="AW904" s="8" t="n">
        <f aca="false">IF(MAX($AN$2:$AN$921)=MIN($AN$2:$AN$921),50,ROUND((AN904-MIN($AN$2:$AN$921))/(MAX($AN$2:$AN$921)-MIN($AN$2:$AN$921))*100,2))</f>
        <v>27.5</v>
      </c>
      <c r="AX904" s="8" t="n">
        <f aca="false">AQ904*100</f>
        <v>0</v>
      </c>
      <c r="AY904" s="8" t="n">
        <f aca="false">AR904*100</f>
        <v>0</v>
      </c>
      <c r="AZ904" s="8" t="n">
        <f aca="false">IFERROR(ROUND(AS904*Assumptions!$I$6+AW904*Assumptions!$I$7+AT904*Assumptions!$I$8+AU904*Assumptions!$I$9+AV904*Assumptions!$I$10+AX904*Assumptions!$I$11+AY904*Assumptions!$I$12,2),"")</f>
        <v>32.8</v>
      </c>
      <c r="BA904" s="0" t="str">
        <f aca="false">IF(AZ904="","",IF(AZ904&lt;=Assumptions!$I$18,"Below Expectation",IF(AZ904&lt;=Assumptions!$I$19,"Developing",IF(AZ904&lt;=Assumptions!$I$20,"Meets Expectation",IF(AZ904&lt;=Assumptions!$I$21,"Exceeds","Star Performer")))))</f>
        <v>Below Expectation</v>
      </c>
      <c r="BB904" s="0" t="n">
        <f aca="false">IF(AZ904="",0,IF(AZ904&gt;=Assumptions!$I$26,1,0))</f>
        <v>0</v>
      </c>
      <c r="BC904" s="9" t="n">
        <f aca="false">IF(AL904="",2,AL904+2)</f>
        <v>2</v>
      </c>
      <c r="BD904" s="10" t="n">
        <f aca="false">IF(AM904="",ROUND(AVERAGE($AM$2:$AM$921),3),AM904)</f>
        <v>0</v>
      </c>
      <c r="BE904" s="9" t="n">
        <f aca="false">1-BD904</f>
        <v>1</v>
      </c>
    </row>
    <row r="905" customFormat="false" ht="14.25" hidden="true" customHeight="false" outlineLevel="0" collapsed="false">
      <c r="A905" s="4" t="n">
        <v>884</v>
      </c>
      <c r="B905" s="5" t="n">
        <v>55116837</v>
      </c>
      <c r="C905" s="5" t="s">
        <v>57</v>
      </c>
      <c r="D905" s="5" t="s">
        <v>2816</v>
      </c>
      <c r="E905" s="5" t="s">
        <v>208</v>
      </c>
      <c r="F905" s="5" t="s">
        <v>387</v>
      </c>
      <c r="G905" s="5" t="s">
        <v>388</v>
      </c>
      <c r="H905" s="5" t="s">
        <v>387</v>
      </c>
      <c r="I905" s="5" t="s">
        <v>63</v>
      </c>
      <c r="J905" s="5" t="s">
        <v>100</v>
      </c>
      <c r="K905" s="5" t="s">
        <v>65</v>
      </c>
      <c r="L905" s="6" t="n">
        <v>45439</v>
      </c>
      <c r="M905" s="5" t="s">
        <v>2811</v>
      </c>
      <c r="N905" s="6" t="n">
        <v>31479</v>
      </c>
      <c r="O905" s="5" t="s">
        <v>332</v>
      </c>
      <c r="P905" s="5" t="s">
        <v>333</v>
      </c>
      <c r="Q905" s="5" t="s">
        <v>1645</v>
      </c>
      <c r="R905" s="5" t="s">
        <v>2817</v>
      </c>
      <c r="S905" s="5" t="s">
        <v>971</v>
      </c>
      <c r="T905" s="6"/>
      <c r="U905" s="6"/>
      <c r="V905" s="5"/>
      <c r="W905" s="5"/>
      <c r="X905" s="5"/>
      <c r="Y905" s="5" t="s">
        <v>631</v>
      </c>
      <c r="Z905" s="5" t="s">
        <v>631</v>
      </c>
      <c r="AA905" s="5" t="s">
        <v>2818</v>
      </c>
      <c r="AB905" s="0" t="n">
        <f aca="false">IFERROR(VALUE(R905),0)</f>
        <v>16.3</v>
      </c>
      <c r="AC905" s="0" t="n">
        <f aca="false">IFERROR(VALUE(M905),"")</f>
        <v>40.3</v>
      </c>
      <c r="AD905" s="0" t="n">
        <f aca="false">IFERROR(VALUE(Q905),"")</f>
        <v>2</v>
      </c>
      <c r="AE905" s="0" t="n">
        <f aca="false">IFERROR(VALUE(S905),"")</f>
        <v>18.3</v>
      </c>
      <c r="AF905" s="0" t="str">
        <f aca="false">IF(V905="","",VLOOKUP(V905,Assumptions!$B$6:$C$9,2,FALSE()))</f>
        <v/>
      </c>
      <c r="AG905" s="0" t="str">
        <f aca="false">IF(W905="","",VLOOKUP(W905,Assumptions!$B$6:$C$9,2,FALSE()))</f>
        <v/>
      </c>
      <c r="AH905" s="0" t="str">
        <f aca="false">IF(X905="","",VLOOKUP(X905,Assumptions!$B$6:$C$9,2,FALSE()))</f>
        <v/>
      </c>
      <c r="AI905" s="0" t="n">
        <f aca="false">IF(Y905="","",VLOOKUP(Y905,Assumptions!$B$6:$C$9,2,FALSE()))</f>
        <v>2</v>
      </c>
      <c r="AJ905" s="0" t="n">
        <f aca="false">IF(Z905="","",VLOOKUP(Z905,Assumptions!$B$6:$C$9,2,FALSE()))</f>
        <v>2</v>
      </c>
      <c r="AK905" s="7" t="n">
        <f aca="false">IFERROR(ROUND(AVERAGE(AF905:AJ905),3),"")</f>
        <v>2</v>
      </c>
      <c r="AL905" s="7" t="str">
        <f aca="false">IF(OR(AF905="",AJ905=""),"",AJ905-AF905)</f>
        <v/>
      </c>
      <c r="AM905" s="7" t="n">
        <f aca="false">IF(COUNT(AF905:AJ905)&gt;=2,ROUND(_xlfn.STDEV.S(AF905:AJ905),3),"")</f>
        <v>0</v>
      </c>
      <c r="AN905" s="7" t="n">
        <f aca="false">ROUND((IF(AF905="",0,AF905)*Assumptions!$F$15)+(IF(AG905="",0,AG905)*Assumptions!$F$16)+(IF(AH905="",0,AH905)*Assumptions!$F$17)+(IF(AI905="",0,AI905)*Assumptions!$F$18)+(IF(AJ905="",0,AJ905)*Assumptions!$F$19),3)</f>
        <v>1.1</v>
      </c>
      <c r="AO905" s="0" t="str">
        <f aca="false">IF(AC905&lt;=20,"",IF(AC905&lt;=Assumptions!$F$6,"20-30",IF(AC905&lt;=Assumptions!$F$7,"30-40",IF(AC905&lt;=Assumptions!$F$8,"40-50",IF(AC905&lt;=Assumptions!$F$9,"50-60",IF(AC905&lt;=Assumptions!$F$10,"60+",""))))))</f>
        <v>40-50</v>
      </c>
      <c r="AP905" s="0" t="str">
        <f aca="false">IFERROR(VLOOKUP(O905,Assumptions!$B$14:$C$26,2,FALSE()),"Other")</f>
        <v>Manager</v>
      </c>
      <c r="AQ905" s="0" t="n">
        <f aca="false">IF(T905="",0,1)</f>
        <v>0</v>
      </c>
      <c r="AR905" s="0" t="n">
        <f aca="false">IF(U905="",0,1)</f>
        <v>0</v>
      </c>
      <c r="AS905" s="8" t="n">
        <f aca="false">IF(AK905="","",IF(MAX($AK$2:$AK$921)=MIN($AK$2:$AK$921),50,ROUND((AK905-MIN($AK$2:$AK$921))/(MAX($AK$2:$AK$921)-MIN($AK$2:$AK$921))*100,2)))</f>
        <v>14.27</v>
      </c>
      <c r="AT905" s="8" t="n">
        <f aca="false">IF(MAX($BC$2:$BC$921)=MIN($BC$2:$BC$921),50,ROUND((BC905-MIN($BC$2:$BC$921))/(MAX($BC$2:$BC$921)-MIN($BC$2:$BC$921))*100,2))</f>
        <v>50</v>
      </c>
      <c r="AU905" s="8" t="n">
        <f aca="false">IF(MAX($BE$2:$BE$921)=MIN($BE$2:$BE$921),50,ROUND((BE905-MIN($BE$2:$BE$921))/(MAX($BE$2:$BE$921)-MIN($BE$2:$BE$921))*100,2))</f>
        <v>100</v>
      </c>
      <c r="AV905" s="8" t="n">
        <f aca="false">IF(MAX($AD$2:$AD$921)=MIN($AD$2:$AD$921),50,ROUND((AD905-MIN($AD$2:$AD$921))/(MAX($AD$2:$AD$921)-MIN($AD$2:$AD$921))*100,2))</f>
        <v>5.14</v>
      </c>
      <c r="AW905" s="8" t="n">
        <f aca="false">IF(MAX($AN$2:$AN$921)=MIN($AN$2:$AN$921),50,ROUND((AN905-MIN($AN$2:$AN$921))/(MAX($AN$2:$AN$921)-MIN($AN$2:$AN$921))*100,2))</f>
        <v>27.5</v>
      </c>
      <c r="AX905" s="8" t="n">
        <f aca="false">AQ905*100</f>
        <v>0</v>
      </c>
      <c r="AY905" s="8" t="n">
        <f aca="false">AR905*100</f>
        <v>0</v>
      </c>
      <c r="AZ905" s="8" t="n">
        <f aca="false">IFERROR(ROUND(AS905*Assumptions!$I$6+AW905*Assumptions!$I$7+AT905*Assumptions!$I$8+AU905*Assumptions!$I$9+AV905*Assumptions!$I$10+AX905*Assumptions!$I$11+AY905*Assumptions!$I$12,2),"")</f>
        <v>32.8</v>
      </c>
      <c r="BA905" s="0" t="str">
        <f aca="false">IF(AZ905="","",IF(AZ905&lt;=Assumptions!$I$18,"Below Expectation",IF(AZ905&lt;=Assumptions!$I$19,"Developing",IF(AZ905&lt;=Assumptions!$I$20,"Meets Expectation",IF(AZ905&lt;=Assumptions!$I$21,"Exceeds","Star Performer")))))</f>
        <v>Below Expectation</v>
      </c>
      <c r="BB905" s="0" t="n">
        <f aca="false">IF(AZ905="",0,IF(AZ905&gt;=Assumptions!$I$26,1,0))</f>
        <v>0</v>
      </c>
      <c r="BC905" s="9" t="n">
        <f aca="false">IF(AL905="",2,AL905+2)</f>
        <v>2</v>
      </c>
      <c r="BD905" s="10" t="n">
        <f aca="false">IF(AM905="",ROUND(AVERAGE($AM$2:$AM$921),3),AM905)</f>
        <v>0</v>
      </c>
      <c r="BE905" s="9" t="n">
        <f aca="false">1-BD905</f>
        <v>1</v>
      </c>
    </row>
    <row r="906" customFormat="false" ht="14.25" hidden="true" customHeight="false" outlineLevel="0" collapsed="false">
      <c r="A906" s="4" t="n">
        <v>895</v>
      </c>
      <c r="B906" s="5" t="n">
        <v>55129037</v>
      </c>
      <c r="C906" s="5" t="s">
        <v>2819</v>
      </c>
      <c r="D906" s="5" t="s">
        <v>2820</v>
      </c>
      <c r="E906" s="5" t="s">
        <v>2821</v>
      </c>
      <c r="F906" s="5" t="s">
        <v>2822</v>
      </c>
      <c r="G906" s="5" t="s">
        <v>2823</v>
      </c>
      <c r="H906" s="5" t="s">
        <v>2824</v>
      </c>
      <c r="I906" s="5" t="s">
        <v>63</v>
      </c>
      <c r="J906" s="5" t="s">
        <v>76</v>
      </c>
      <c r="K906" s="5" t="s">
        <v>309</v>
      </c>
      <c r="L906" s="6" t="n">
        <v>45537</v>
      </c>
      <c r="M906" s="5" t="s">
        <v>960</v>
      </c>
      <c r="N906" s="6" t="n">
        <v>36973</v>
      </c>
      <c r="O906" s="5" t="s">
        <v>1264</v>
      </c>
      <c r="P906" s="5" t="s">
        <v>1559</v>
      </c>
      <c r="Q906" s="5" t="s">
        <v>1872</v>
      </c>
      <c r="R906" s="5" t="s">
        <v>115</v>
      </c>
      <c r="S906" s="5" t="s">
        <v>1872</v>
      </c>
      <c r="T906" s="6"/>
      <c r="U906" s="6"/>
      <c r="V906" s="5"/>
      <c r="W906" s="5"/>
      <c r="X906" s="5"/>
      <c r="Y906" s="5" t="s">
        <v>631</v>
      </c>
      <c r="Z906" s="5" t="s">
        <v>631</v>
      </c>
      <c r="AA906" s="5" t="s">
        <v>2825</v>
      </c>
      <c r="AB906" s="0" t="n">
        <f aca="false">IFERROR(VALUE(R906),0)</f>
        <v>0</v>
      </c>
      <c r="AC906" s="0" t="n">
        <f aca="false">IFERROR(VALUE(M906),"")</f>
        <v>25.2</v>
      </c>
      <c r="AD906" s="0" t="n">
        <f aca="false">IFERROR(VALUE(Q906),"")</f>
        <v>1.9</v>
      </c>
      <c r="AE906" s="0" t="n">
        <f aca="false">IFERROR(VALUE(S906),"")</f>
        <v>1.9</v>
      </c>
      <c r="AF906" s="0" t="str">
        <f aca="false">IF(V906="","",VLOOKUP(V906,Assumptions!$B$6:$C$9,2,FALSE()))</f>
        <v/>
      </c>
      <c r="AG906" s="0" t="str">
        <f aca="false">IF(W906="","",VLOOKUP(W906,Assumptions!$B$6:$C$9,2,FALSE()))</f>
        <v/>
      </c>
      <c r="AH906" s="0" t="str">
        <f aca="false">IF(X906="","",VLOOKUP(X906,Assumptions!$B$6:$C$9,2,FALSE()))</f>
        <v/>
      </c>
      <c r="AI906" s="0" t="n">
        <f aca="false">IF(Y906="","",VLOOKUP(Y906,Assumptions!$B$6:$C$9,2,FALSE()))</f>
        <v>2</v>
      </c>
      <c r="AJ906" s="0" t="n">
        <f aca="false">IF(Z906="","",VLOOKUP(Z906,Assumptions!$B$6:$C$9,2,FALSE()))</f>
        <v>2</v>
      </c>
      <c r="AK906" s="7" t="n">
        <f aca="false">IFERROR(ROUND(AVERAGE(AF906:AJ906),3),"")</f>
        <v>2</v>
      </c>
      <c r="AL906" s="7" t="str">
        <f aca="false">IF(OR(AF906="",AJ906=""),"",AJ906-AF906)</f>
        <v/>
      </c>
      <c r="AM906" s="7" t="n">
        <f aca="false">IF(COUNT(AF906:AJ906)&gt;=2,ROUND(_xlfn.STDEV.S(AF906:AJ906),3),"")</f>
        <v>0</v>
      </c>
      <c r="AN906" s="7" t="n">
        <f aca="false">ROUND((IF(AF906="",0,AF906)*Assumptions!$F$15)+(IF(AG906="",0,AG906)*Assumptions!$F$16)+(IF(AH906="",0,AH906)*Assumptions!$F$17)+(IF(AI906="",0,AI906)*Assumptions!$F$18)+(IF(AJ906="",0,AJ906)*Assumptions!$F$19),3)</f>
        <v>1.1</v>
      </c>
      <c r="AO906" s="0" t="str">
        <f aca="false">IF(AC906&lt;=20,"",IF(AC906&lt;=Assumptions!$F$6,"20-30",IF(AC906&lt;=Assumptions!$F$7,"30-40",IF(AC906&lt;=Assumptions!$F$8,"40-50",IF(AC906&lt;=Assumptions!$F$9,"50-60",IF(AC906&lt;=Assumptions!$F$10,"60+",""))))))</f>
        <v>20-30</v>
      </c>
      <c r="AP906" s="0" t="str">
        <f aca="false">IFERROR(VLOOKUP(O906,Assumptions!$B$14:$C$26,2,FALSE()),"Other")</f>
        <v>Manager</v>
      </c>
      <c r="AQ906" s="0" t="n">
        <f aca="false">IF(T906="",0,1)</f>
        <v>0</v>
      </c>
      <c r="AR906" s="0" t="n">
        <f aca="false">IF(U906="",0,1)</f>
        <v>0</v>
      </c>
      <c r="AS906" s="8" t="n">
        <f aca="false">IF(AK906="","",IF(MAX($AK$2:$AK$921)=MIN($AK$2:$AK$921),50,ROUND((AK906-MIN($AK$2:$AK$921))/(MAX($AK$2:$AK$921)-MIN($AK$2:$AK$921))*100,2)))</f>
        <v>14.27</v>
      </c>
      <c r="AT906" s="8" t="n">
        <f aca="false">IF(MAX($BC$2:$BC$921)=MIN($BC$2:$BC$921),50,ROUND((BC906-MIN($BC$2:$BC$921))/(MAX($BC$2:$BC$921)-MIN($BC$2:$BC$921))*100,2))</f>
        <v>50</v>
      </c>
      <c r="AU906" s="8" t="n">
        <f aca="false">IF(MAX($BE$2:$BE$921)=MIN($BE$2:$BE$921),50,ROUND((BE906-MIN($BE$2:$BE$921))/(MAX($BE$2:$BE$921)-MIN($BE$2:$BE$921))*100,2))</f>
        <v>100</v>
      </c>
      <c r="AV906" s="8" t="n">
        <f aca="false">IF(MAX($AD$2:$AD$921)=MIN($AD$2:$AD$921),50,ROUND((AD906-MIN($AD$2:$AD$921))/(MAX($AD$2:$AD$921)-MIN($AD$2:$AD$921))*100,2))</f>
        <v>4.87</v>
      </c>
      <c r="AW906" s="8" t="n">
        <f aca="false">IF(MAX($AN$2:$AN$921)=MIN($AN$2:$AN$921),50,ROUND((AN906-MIN($AN$2:$AN$921))/(MAX($AN$2:$AN$921)-MIN($AN$2:$AN$921))*100,2))</f>
        <v>27.5</v>
      </c>
      <c r="AX906" s="8" t="n">
        <f aca="false">AQ906*100</f>
        <v>0</v>
      </c>
      <c r="AY906" s="8" t="n">
        <f aca="false">AR906*100</f>
        <v>0</v>
      </c>
      <c r="AZ906" s="8" t="n">
        <f aca="false">IFERROR(ROUND(AS906*Assumptions!$I$6+AW906*Assumptions!$I$7+AT906*Assumptions!$I$8+AU906*Assumptions!$I$9+AV906*Assumptions!$I$10+AX906*Assumptions!$I$11+AY906*Assumptions!$I$12,2),"")</f>
        <v>32.77</v>
      </c>
      <c r="BA906" s="0" t="str">
        <f aca="false">IF(AZ906="","",IF(AZ906&lt;=Assumptions!$I$18,"Below Expectation",IF(AZ906&lt;=Assumptions!$I$19,"Developing",IF(AZ906&lt;=Assumptions!$I$20,"Meets Expectation",IF(AZ906&lt;=Assumptions!$I$21,"Exceeds","Star Performer")))))</f>
        <v>Below Expectation</v>
      </c>
      <c r="BB906" s="0" t="n">
        <f aca="false">IF(AZ906="",0,IF(AZ906&gt;=Assumptions!$I$26,1,0))</f>
        <v>0</v>
      </c>
      <c r="BC906" s="9" t="n">
        <f aca="false">IF(AL906="",2,AL906+2)</f>
        <v>2</v>
      </c>
      <c r="BD906" s="10" t="n">
        <f aca="false">IF(AM906="",ROUND(AVERAGE($AM$2:$AM$921),3),AM906)</f>
        <v>0</v>
      </c>
      <c r="BE906" s="9" t="n">
        <f aca="false">1-BD906</f>
        <v>1</v>
      </c>
    </row>
    <row r="907" customFormat="false" ht="14.25" hidden="true" customHeight="false" outlineLevel="0" collapsed="false">
      <c r="A907" s="4" t="n">
        <v>902</v>
      </c>
      <c r="B907" s="5" t="n">
        <v>55140139</v>
      </c>
      <c r="C907" s="5" t="s">
        <v>149</v>
      </c>
      <c r="D907" s="5" t="s">
        <v>2826</v>
      </c>
      <c r="E907" s="5" t="s">
        <v>449</v>
      </c>
      <c r="F907" s="5" t="s">
        <v>245</v>
      </c>
      <c r="G907" s="5" t="s">
        <v>2827</v>
      </c>
      <c r="H907" s="5" t="s">
        <v>2828</v>
      </c>
      <c r="I907" s="5" t="s">
        <v>63</v>
      </c>
      <c r="J907" s="5" t="s">
        <v>100</v>
      </c>
      <c r="K907" s="5" t="s">
        <v>65</v>
      </c>
      <c r="L907" s="6" t="n">
        <v>45649</v>
      </c>
      <c r="M907" s="5" t="s">
        <v>2829</v>
      </c>
      <c r="N907" s="6" t="n">
        <v>30412</v>
      </c>
      <c r="O907" s="5" t="s">
        <v>162</v>
      </c>
      <c r="P907" s="5" t="s">
        <v>162</v>
      </c>
      <c r="Q907" s="5" t="s">
        <v>801</v>
      </c>
      <c r="R907" s="5" t="s">
        <v>1137</v>
      </c>
      <c r="S907" s="5" t="s">
        <v>1180</v>
      </c>
      <c r="T907" s="6"/>
      <c r="U907" s="6"/>
      <c r="V907" s="5"/>
      <c r="W907" s="5"/>
      <c r="X907" s="5"/>
      <c r="Y907" s="5" t="s">
        <v>631</v>
      </c>
      <c r="Z907" s="5" t="s">
        <v>631</v>
      </c>
      <c r="AA907" s="5" t="s">
        <v>2830</v>
      </c>
      <c r="AB907" s="0" t="n">
        <f aca="false">IFERROR(VALUE(R907),0)</f>
        <v>14.5</v>
      </c>
      <c r="AC907" s="0" t="n">
        <f aca="false">IFERROR(VALUE(M907),"")</f>
        <v>43.2</v>
      </c>
      <c r="AD907" s="0" t="n">
        <f aca="false">IFERROR(VALUE(Q907),"")</f>
        <v>1.5</v>
      </c>
      <c r="AE907" s="0" t="n">
        <f aca="false">IFERROR(VALUE(S907),"")</f>
        <v>15.1</v>
      </c>
      <c r="AF907" s="0" t="str">
        <f aca="false">IF(V907="","",VLOOKUP(V907,Assumptions!$B$6:$C$9,2,FALSE()))</f>
        <v/>
      </c>
      <c r="AG907" s="0" t="str">
        <f aca="false">IF(W907="","",VLOOKUP(W907,Assumptions!$B$6:$C$9,2,FALSE()))</f>
        <v/>
      </c>
      <c r="AH907" s="0" t="str">
        <f aca="false">IF(X907="","",VLOOKUP(X907,Assumptions!$B$6:$C$9,2,FALSE()))</f>
        <v/>
      </c>
      <c r="AI907" s="0" t="n">
        <f aca="false">IF(Y907="","",VLOOKUP(Y907,Assumptions!$B$6:$C$9,2,FALSE()))</f>
        <v>2</v>
      </c>
      <c r="AJ907" s="0" t="n">
        <f aca="false">IF(Z907="","",VLOOKUP(Z907,Assumptions!$B$6:$C$9,2,FALSE()))</f>
        <v>2</v>
      </c>
      <c r="AK907" s="7" t="n">
        <f aca="false">IFERROR(ROUND(AVERAGE(AF907:AJ907),3),"")</f>
        <v>2</v>
      </c>
      <c r="AL907" s="7" t="str">
        <f aca="false">IF(OR(AF907="",AJ907=""),"",AJ907-AF907)</f>
        <v/>
      </c>
      <c r="AM907" s="7" t="n">
        <f aca="false">IF(COUNT(AF907:AJ907)&gt;=2,ROUND(_xlfn.STDEV.S(AF907:AJ907),3),"")</f>
        <v>0</v>
      </c>
      <c r="AN907" s="7" t="n">
        <f aca="false">ROUND((IF(AF907="",0,AF907)*Assumptions!$F$15)+(IF(AG907="",0,AG907)*Assumptions!$F$16)+(IF(AH907="",0,AH907)*Assumptions!$F$17)+(IF(AI907="",0,AI907)*Assumptions!$F$18)+(IF(AJ907="",0,AJ907)*Assumptions!$F$19),3)</f>
        <v>1.1</v>
      </c>
      <c r="AO907" s="0" t="str">
        <f aca="false">IF(AC907&lt;=20,"",IF(AC907&lt;=Assumptions!$F$6,"20-30",IF(AC907&lt;=Assumptions!$F$7,"30-40",IF(AC907&lt;=Assumptions!$F$8,"40-50",IF(AC907&lt;=Assumptions!$F$9,"50-60",IF(AC907&lt;=Assumptions!$F$10,"60+",""))))))</f>
        <v>40-50</v>
      </c>
      <c r="AP907" s="0" t="str">
        <f aca="false">IFERROR(VLOOKUP(O907,Assumptions!$B$14:$C$26,2,FALSE()),"Other")</f>
        <v>Manager</v>
      </c>
      <c r="AQ907" s="0" t="n">
        <f aca="false">IF(T907="",0,1)</f>
        <v>0</v>
      </c>
      <c r="AR907" s="0" t="n">
        <f aca="false">IF(U907="",0,1)</f>
        <v>0</v>
      </c>
      <c r="AS907" s="8" t="n">
        <f aca="false">IF(AK907="","",IF(MAX($AK$2:$AK$921)=MIN($AK$2:$AK$921),50,ROUND((AK907-MIN($AK$2:$AK$921))/(MAX($AK$2:$AK$921)-MIN($AK$2:$AK$921))*100,2)))</f>
        <v>14.27</v>
      </c>
      <c r="AT907" s="8" t="n">
        <f aca="false">IF(MAX($BC$2:$BC$921)=MIN($BC$2:$BC$921),50,ROUND((BC907-MIN($BC$2:$BC$921))/(MAX($BC$2:$BC$921)-MIN($BC$2:$BC$921))*100,2))</f>
        <v>50</v>
      </c>
      <c r="AU907" s="8" t="n">
        <f aca="false">IF(MAX($BE$2:$BE$921)=MIN($BE$2:$BE$921),50,ROUND((BE907-MIN($BE$2:$BE$921))/(MAX($BE$2:$BE$921)-MIN($BE$2:$BE$921))*100,2))</f>
        <v>100</v>
      </c>
      <c r="AV907" s="8" t="n">
        <f aca="false">IF(MAX($AD$2:$AD$921)=MIN($AD$2:$AD$921),50,ROUND((AD907-MIN($AD$2:$AD$921))/(MAX($AD$2:$AD$921)-MIN($AD$2:$AD$921))*100,2))</f>
        <v>3.78</v>
      </c>
      <c r="AW907" s="8" t="n">
        <f aca="false">IF(MAX($AN$2:$AN$921)=MIN($AN$2:$AN$921),50,ROUND((AN907-MIN($AN$2:$AN$921))/(MAX($AN$2:$AN$921)-MIN($AN$2:$AN$921))*100,2))</f>
        <v>27.5</v>
      </c>
      <c r="AX907" s="8" t="n">
        <f aca="false">AQ907*100</f>
        <v>0</v>
      </c>
      <c r="AY907" s="8" t="n">
        <f aca="false">AR907*100</f>
        <v>0</v>
      </c>
      <c r="AZ907" s="8" t="n">
        <f aca="false">IFERROR(ROUND(AS907*Assumptions!$I$6+AW907*Assumptions!$I$7+AT907*Assumptions!$I$8+AU907*Assumptions!$I$9+AV907*Assumptions!$I$10+AX907*Assumptions!$I$11+AY907*Assumptions!$I$12,2),"")</f>
        <v>32.66</v>
      </c>
      <c r="BA907" s="0" t="str">
        <f aca="false">IF(AZ907="","",IF(AZ907&lt;=Assumptions!$I$18,"Below Expectation",IF(AZ907&lt;=Assumptions!$I$19,"Developing",IF(AZ907&lt;=Assumptions!$I$20,"Meets Expectation",IF(AZ907&lt;=Assumptions!$I$21,"Exceeds","Star Performer")))))</f>
        <v>Below Expectation</v>
      </c>
      <c r="BB907" s="0" t="n">
        <f aca="false">IF(AZ907="",0,IF(AZ907&gt;=Assumptions!$I$26,1,0))</f>
        <v>0</v>
      </c>
      <c r="BC907" s="9" t="n">
        <f aca="false">IF(AL907="",2,AL907+2)</f>
        <v>2</v>
      </c>
      <c r="BD907" s="10" t="n">
        <f aca="false">IF(AM907="",ROUND(AVERAGE($AM$2:$AM$921),3),AM907)</f>
        <v>0</v>
      </c>
      <c r="BE907" s="9" t="n">
        <f aca="false">1-BD907</f>
        <v>1</v>
      </c>
    </row>
    <row r="908" customFormat="false" ht="14.25" hidden="true" customHeight="false" outlineLevel="0" collapsed="false">
      <c r="A908" s="4" t="n">
        <v>887</v>
      </c>
      <c r="B908" s="5" t="n">
        <v>55119905</v>
      </c>
      <c r="C908" s="5" t="s">
        <v>2819</v>
      </c>
      <c r="D908" s="5" t="s">
        <v>2831</v>
      </c>
      <c r="E908" s="5" t="s">
        <v>2821</v>
      </c>
      <c r="F908" s="5" t="s">
        <v>2822</v>
      </c>
      <c r="G908" s="5" t="s">
        <v>2823</v>
      </c>
      <c r="H908" s="5" t="s">
        <v>2824</v>
      </c>
      <c r="I908" s="5" t="s">
        <v>63</v>
      </c>
      <c r="J908" s="5" t="s">
        <v>76</v>
      </c>
      <c r="K908" s="5" t="s">
        <v>309</v>
      </c>
      <c r="L908" s="6" t="n">
        <v>45463</v>
      </c>
      <c r="M908" s="5" t="s">
        <v>319</v>
      </c>
      <c r="N908" s="6" t="n">
        <v>38022</v>
      </c>
      <c r="O908" s="5" t="s">
        <v>1264</v>
      </c>
      <c r="P908" s="5" t="s">
        <v>1559</v>
      </c>
      <c r="Q908" s="5" t="s">
        <v>204</v>
      </c>
      <c r="R908" s="5" t="s">
        <v>115</v>
      </c>
      <c r="S908" s="5" t="s">
        <v>204</v>
      </c>
      <c r="T908" s="6"/>
      <c r="U908" s="6"/>
      <c r="V908" s="5"/>
      <c r="W908" s="5"/>
      <c r="X908" s="5"/>
      <c r="Y908" s="5" t="s">
        <v>631</v>
      </c>
      <c r="Z908" s="5" t="s">
        <v>631</v>
      </c>
      <c r="AA908" s="5" t="s">
        <v>2832</v>
      </c>
      <c r="AB908" s="0" t="n">
        <f aca="false">IFERROR(VALUE(R908),0)</f>
        <v>0</v>
      </c>
      <c r="AC908" s="0" t="n">
        <f aca="false">IFERROR(VALUE(M908),"")</f>
        <v>22.4</v>
      </c>
      <c r="AD908" s="0" t="n">
        <f aca="false">IFERROR(VALUE(Q908),"")</f>
        <v>1.11</v>
      </c>
      <c r="AE908" s="0" t="n">
        <f aca="false">IFERROR(VALUE(S908),"")</f>
        <v>1.11</v>
      </c>
      <c r="AF908" s="0" t="str">
        <f aca="false">IF(V908="","",VLOOKUP(V908,Assumptions!$B$6:$C$9,2,FALSE()))</f>
        <v/>
      </c>
      <c r="AG908" s="0" t="str">
        <f aca="false">IF(W908="","",VLOOKUP(W908,Assumptions!$B$6:$C$9,2,FALSE()))</f>
        <v/>
      </c>
      <c r="AH908" s="0" t="str">
        <f aca="false">IF(X908="","",VLOOKUP(X908,Assumptions!$B$6:$C$9,2,FALSE()))</f>
        <v/>
      </c>
      <c r="AI908" s="0" t="n">
        <f aca="false">IF(Y908="","",VLOOKUP(Y908,Assumptions!$B$6:$C$9,2,FALSE()))</f>
        <v>2</v>
      </c>
      <c r="AJ908" s="0" t="n">
        <f aca="false">IF(Z908="","",VLOOKUP(Z908,Assumptions!$B$6:$C$9,2,FALSE()))</f>
        <v>2</v>
      </c>
      <c r="AK908" s="7" t="n">
        <f aca="false">IFERROR(ROUND(AVERAGE(AF908:AJ908),3),"")</f>
        <v>2</v>
      </c>
      <c r="AL908" s="7" t="str">
        <f aca="false">IF(OR(AF908="",AJ908=""),"",AJ908-AF908)</f>
        <v/>
      </c>
      <c r="AM908" s="7" t="n">
        <f aca="false">IF(COUNT(AF908:AJ908)&gt;=2,ROUND(_xlfn.STDEV.S(AF908:AJ908),3),"")</f>
        <v>0</v>
      </c>
      <c r="AN908" s="7" t="n">
        <f aca="false">ROUND((IF(AF908="",0,AF908)*Assumptions!$F$15)+(IF(AG908="",0,AG908)*Assumptions!$F$16)+(IF(AH908="",0,AH908)*Assumptions!$F$17)+(IF(AI908="",0,AI908)*Assumptions!$F$18)+(IF(AJ908="",0,AJ908)*Assumptions!$F$19),3)</f>
        <v>1.1</v>
      </c>
      <c r="AO908" s="0" t="str">
        <f aca="false">IF(AC908&lt;=20,"",IF(AC908&lt;=Assumptions!$F$6,"20-30",IF(AC908&lt;=Assumptions!$F$7,"30-40",IF(AC908&lt;=Assumptions!$F$8,"40-50",IF(AC908&lt;=Assumptions!$F$9,"50-60",IF(AC908&lt;=Assumptions!$F$10,"60+",""))))))</f>
        <v>20-30</v>
      </c>
      <c r="AP908" s="0" t="str">
        <f aca="false">IFERROR(VLOOKUP(O908,Assumptions!$B$14:$C$26,2,FALSE()),"Other")</f>
        <v>Manager</v>
      </c>
      <c r="AQ908" s="0" t="n">
        <f aca="false">IF(T908="",0,1)</f>
        <v>0</v>
      </c>
      <c r="AR908" s="0" t="n">
        <f aca="false">IF(U908="",0,1)</f>
        <v>0</v>
      </c>
      <c r="AS908" s="8" t="n">
        <f aca="false">IF(AK908="","",IF(MAX($AK$2:$AK$921)=MIN($AK$2:$AK$921),50,ROUND((AK908-MIN($AK$2:$AK$921))/(MAX($AK$2:$AK$921)-MIN($AK$2:$AK$921))*100,2)))</f>
        <v>14.27</v>
      </c>
      <c r="AT908" s="8" t="n">
        <f aca="false">IF(MAX($BC$2:$BC$921)=MIN($BC$2:$BC$921),50,ROUND((BC908-MIN($BC$2:$BC$921))/(MAX($BC$2:$BC$921)-MIN($BC$2:$BC$921))*100,2))</f>
        <v>50</v>
      </c>
      <c r="AU908" s="8" t="n">
        <f aca="false">IF(MAX($BE$2:$BE$921)=MIN($BE$2:$BE$921),50,ROUND((BE908-MIN($BE$2:$BE$921))/(MAX($BE$2:$BE$921)-MIN($BE$2:$BE$921))*100,2))</f>
        <v>100</v>
      </c>
      <c r="AV908" s="8" t="n">
        <f aca="false">IF(MAX($AD$2:$AD$921)=MIN($AD$2:$AD$921),50,ROUND((AD908-MIN($AD$2:$AD$921))/(MAX($AD$2:$AD$921)-MIN($AD$2:$AD$921))*100,2))</f>
        <v>2.72</v>
      </c>
      <c r="AW908" s="8" t="n">
        <f aca="false">IF(MAX($AN$2:$AN$921)=MIN($AN$2:$AN$921),50,ROUND((AN908-MIN($AN$2:$AN$921))/(MAX($AN$2:$AN$921)-MIN($AN$2:$AN$921))*100,2))</f>
        <v>27.5</v>
      </c>
      <c r="AX908" s="8" t="n">
        <f aca="false">AQ908*100</f>
        <v>0</v>
      </c>
      <c r="AY908" s="8" t="n">
        <f aca="false">AR908*100</f>
        <v>0</v>
      </c>
      <c r="AZ908" s="8" t="n">
        <f aca="false">IFERROR(ROUND(AS908*Assumptions!$I$6+AW908*Assumptions!$I$7+AT908*Assumptions!$I$8+AU908*Assumptions!$I$9+AV908*Assumptions!$I$10+AX908*Assumptions!$I$11+AY908*Assumptions!$I$12,2),"")</f>
        <v>32.55</v>
      </c>
      <c r="BA908" s="0" t="str">
        <f aca="false">IF(AZ908="","",IF(AZ908&lt;=Assumptions!$I$18,"Below Expectation",IF(AZ908&lt;=Assumptions!$I$19,"Developing",IF(AZ908&lt;=Assumptions!$I$20,"Meets Expectation",IF(AZ908&lt;=Assumptions!$I$21,"Exceeds","Star Performer")))))</f>
        <v>Below Expectation</v>
      </c>
      <c r="BB908" s="0" t="n">
        <f aca="false">IF(AZ908="",0,IF(AZ908&gt;=Assumptions!$I$26,1,0))</f>
        <v>0</v>
      </c>
      <c r="BC908" s="9" t="n">
        <f aca="false">IF(AL908="",2,AL908+2)</f>
        <v>2</v>
      </c>
      <c r="BD908" s="10" t="n">
        <f aca="false">IF(AM908="",ROUND(AVERAGE($AM$2:$AM$921),3),AM908)</f>
        <v>0</v>
      </c>
      <c r="BE908" s="9" t="n">
        <f aca="false">1-BD908</f>
        <v>1</v>
      </c>
    </row>
    <row r="909" customFormat="false" ht="14.25" hidden="true" customHeight="false" outlineLevel="0" collapsed="false">
      <c r="A909" s="4" t="n">
        <v>890</v>
      </c>
      <c r="B909" s="5" t="n">
        <v>55122477</v>
      </c>
      <c r="C909" s="5" t="s">
        <v>57</v>
      </c>
      <c r="D909" s="5" t="s">
        <v>2833</v>
      </c>
      <c r="E909" s="5" t="s">
        <v>208</v>
      </c>
      <c r="F909" s="5" t="s">
        <v>608</v>
      </c>
      <c r="G909" s="5" t="s">
        <v>609</v>
      </c>
      <c r="H909" s="5" t="s">
        <v>608</v>
      </c>
      <c r="I909" s="5" t="s">
        <v>63</v>
      </c>
      <c r="J909" s="5" t="s">
        <v>100</v>
      </c>
      <c r="K909" s="5" t="s">
        <v>65</v>
      </c>
      <c r="L909" s="6" t="n">
        <v>45485</v>
      </c>
      <c r="M909" s="5" t="s">
        <v>140</v>
      </c>
      <c r="N909" s="6" t="n">
        <v>33460</v>
      </c>
      <c r="O909" s="5" t="s">
        <v>365</v>
      </c>
      <c r="P909" s="5" t="s">
        <v>365</v>
      </c>
      <c r="Q909" s="5" t="s">
        <v>1860</v>
      </c>
      <c r="R909" s="5" t="s">
        <v>940</v>
      </c>
      <c r="S909" s="5" t="s">
        <v>418</v>
      </c>
      <c r="T909" s="6"/>
      <c r="U909" s="6"/>
      <c r="V909" s="5"/>
      <c r="W909" s="5"/>
      <c r="X909" s="5"/>
      <c r="Y909" s="5" t="s">
        <v>631</v>
      </c>
      <c r="Z909" s="5" t="s">
        <v>631</v>
      </c>
      <c r="AA909" s="5" t="s">
        <v>2834</v>
      </c>
      <c r="AB909" s="0" t="n">
        <f aca="false">IFERROR(VALUE(R909),0)</f>
        <v>7.1</v>
      </c>
      <c r="AC909" s="0" t="n">
        <f aca="false">IFERROR(VALUE(M909),"")</f>
        <v>34.9</v>
      </c>
      <c r="AD909" s="0" t="n">
        <f aca="false">IFERROR(VALUE(Q909),"")</f>
        <v>1.1</v>
      </c>
      <c r="AE909" s="0" t="n">
        <f aca="false">IFERROR(VALUE(S909),"")</f>
        <v>9.8</v>
      </c>
      <c r="AF909" s="0" t="str">
        <f aca="false">IF(V909="","",VLOOKUP(V909,Assumptions!$B$6:$C$9,2,FALSE()))</f>
        <v/>
      </c>
      <c r="AG909" s="0" t="str">
        <f aca="false">IF(W909="","",VLOOKUP(W909,Assumptions!$B$6:$C$9,2,FALSE()))</f>
        <v/>
      </c>
      <c r="AH909" s="0" t="str">
        <f aca="false">IF(X909="","",VLOOKUP(X909,Assumptions!$B$6:$C$9,2,FALSE()))</f>
        <v/>
      </c>
      <c r="AI909" s="0" t="n">
        <f aca="false">IF(Y909="","",VLOOKUP(Y909,Assumptions!$B$6:$C$9,2,FALSE()))</f>
        <v>2</v>
      </c>
      <c r="AJ909" s="0" t="n">
        <f aca="false">IF(Z909="","",VLOOKUP(Z909,Assumptions!$B$6:$C$9,2,FALSE()))</f>
        <v>2</v>
      </c>
      <c r="AK909" s="7" t="n">
        <f aca="false">IFERROR(ROUND(AVERAGE(AF909:AJ909),3),"")</f>
        <v>2</v>
      </c>
      <c r="AL909" s="7" t="str">
        <f aca="false">IF(OR(AF909="",AJ909=""),"",AJ909-AF909)</f>
        <v/>
      </c>
      <c r="AM909" s="7" t="n">
        <f aca="false">IF(COUNT(AF909:AJ909)&gt;=2,ROUND(_xlfn.STDEV.S(AF909:AJ909),3),"")</f>
        <v>0</v>
      </c>
      <c r="AN909" s="7" t="n">
        <f aca="false">ROUND((IF(AF909="",0,AF909)*Assumptions!$F$15)+(IF(AG909="",0,AG909)*Assumptions!$F$16)+(IF(AH909="",0,AH909)*Assumptions!$F$17)+(IF(AI909="",0,AI909)*Assumptions!$F$18)+(IF(AJ909="",0,AJ909)*Assumptions!$F$19),3)</f>
        <v>1.1</v>
      </c>
      <c r="AO909" s="0" t="str">
        <f aca="false">IF(AC909&lt;=20,"",IF(AC909&lt;=Assumptions!$F$6,"20-30",IF(AC909&lt;=Assumptions!$F$7,"30-40",IF(AC909&lt;=Assumptions!$F$8,"40-50",IF(AC909&lt;=Assumptions!$F$9,"50-60",IF(AC909&lt;=Assumptions!$F$10,"60+",""))))))</f>
        <v>30-40</v>
      </c>
      <c r="AP909" s="0" t="str">
        <f aca="false">IFERROR(VLOOKUP(O909,Assumptions!$B$14:$C$26,2,FALSE()),"Other")</f>
        <v>Manager</v>
      </c>
      <c r="AQ909" s="0" t="n">
        <f aca="false">IF(T909="",0,1)</f>
        <v>0</v>
      </c>
      <c r="AR909" s="0" t="n">
        <f aca="false">IF(U909="",0,1)</f>
        <v>0</v>
      </c>
      <c r="AS909" s="8" t="n">
        <f aca="false">IF(AK909="","",IF(MAX($AK$2:$AK$921)=MIN($AK$2:$AK$921),50,ROUND((AK909-MIN($AK$2:$AK$921))/(MAX($AK$2:$AK$921)-MIN($AK$2:$AK$921))*100,2)))</f>
        <v>14.27</v>
      </c>
      <c r="AT909" s="8" t="n">
        <f aca="false">IF(MAX($BC$2:$BC$921)=MIN($BC$2:$BC$921),50,ROUND((BC909-MIN($BC$2:$BC$921))/(MAX($BC$2:$BC$921)-MIN($BC$2:$BC$921))*100,2))</f>
        <v>50</v>
      </c>
      <c r="AU909" s="8" t="n">
        <f aca="false">IF(MAX($BE$2:$BE$921)=MIN($BE$2:$BE$921),50,ROUND((BE909-MIN($BE$2:$BE$921))/(MAX($BE$2:$BE$921)-MIN($BE$2:$BE$921))*100,2))</f>
        <v>100</v>
      </c>
      <c r="AV909" s="8" t="n">
        <f aca="false">IF(MAX($AD$2:$AD$921)=MIN($AD$2:$AD$921),50,ROUND((AD909-MIN($AD$2:$AD$921))/(MAX($AD$2:$AD$921)-MIN($AD$2:$AD$921))*100,2))</f>
        <v>2.69</v>
      </c>
      <c r="AW909" s="8" t="n">
        <f aca="false">IF(MAX($AN$2:$AN$921)=MIN($AN$2:$AN$921),50,ROUND((AN909-MIN($AN$2:$AN$921))/(MAX($AN$2:$AN$921)-MIN($AN$2:$AN$921))*100,2))</f>
        <v>27.5</v>
      </c>
      <c r="AX909" s="8" t="n">
        <f aca="false">AQ909*100</f>
        <v>0</v>
      </c>
      <c r="AY909" s="8" t="n">
        <f aca="false">AR909*100</f>
        <v>0</v>
      </c>
      <c r="AZ909" s="8" t="n">
        <f aca="false">IFERROR(ROUND(AS909*Assumptions!$I$6+AW909*Assumptions!$I$7+AT909*Assumptions!$I$8+AU909*Assumptions!$I$9+AV909*Assumptions!$I$10+AX909*Assumptions!$I$11+AY909*Assumptions!$I$12,2),"")</f>
        <v>32.55</v>
      </c>
      <c r="BA909" s="0" t="str">
        <f aca="false">IF(AZ909="","",IF(AZ909&lt;=Assumptions!$I$18,"Below Expectation",IF(AZ909&lt;=Assumptions!$I$19,"Developing",IF(AZ909&lt;=Assumptions!$I$20,"Meets Expectation",IF(AZ909&lt;=Assumptions!$I$21,"Exceeds","Star Performer")))))</f>
        <v>Below Expectation</v>
      </c>
      <c r="BB909" s="0" t="n">
        <f aca="false">IF(AZ909="",0,IF(AZ909&gt;=Assumptions!$I$26,1,0))</f>
        <v>0</v>
      </c>
      <c r="BC909" s="9" t="n">
        <f aca="false">IF(AL909="",2,AL909+2)</f>
        <v>2</v>
      </c>
      <c r="BD909" s="10" t="n">
        <f aca="false">IF(AM909="",ROUND(AVERAGE($AM$2:$AM$921),3),AM909)</f>
        <v>0</v>
      </c>
      <c r="BE909" s="9" t="n">
        <f aca="false">1-BD909</f>
        <v>1</v>
      </c>
    </row>
    <row r="910" customFormat="false" ht="14.25" hidden="true" customHeight="false" outlineLevel="0" collapsed="false">
      <c r="A910" s="4" t="n">
        <v>290</v>
      </c>
      <c r="B910" s="5" t="n">
        <v>10069494</v>
      </c>
      <c r="C910" s="5" t="s">
        <v>85</v>
      </c>
      <c r="D910" s="5" t="s">
        <v>2835</v>
      </c>
      <c r="E910" s="5" t="s">
        <v>235</v>
      </c>
      <c r="F910" s="5" t="s">
        <v>330</v>
      </c>
      <c r="G910" s="5" t="s">
        <v>329</v>
      </c>
      <c r="H910" s="5" t="s">
        <v>330</v>
      </c>
      <c r="I910" s="5" t="s">
        <v>63</v>
      </c>
      <c r="J910" s="5" t="s">
        <v>76</v>
      </c>
      <c r="K910" s="5" t="s">
        <v>65</v>
      </c>
      <c r="L910" s="6" t="n">
        <v>43682</v>
      </c>
      <c r="M910" s="5" t="s">
        <v>2258</v>
      </c>
      <c r="N910" s="6" t="n">
        <v>35217</v>
      </c>
      <c r="O910" s="5" t="s">
        <v>365</v>
      </c>
      <c r="P910" s="5" t="s">
        <v>365</v>
      </c>
      <c r="Q910" s="5" t="s">
        <v>604</v>
      </c>
      <c r="R910" s="5" t="s">
        <v>115</v>
      </c>
      <c r="S910" s="5" t="s">
        <v>604</v>
      </c>
      <c r="T910" s="6"/>
      <c r="U910" s="6"/>
      <c r="V910" s="5" t="s">
        <v>631</v>
      </c>
      <c r="W910" s="5" t="s">
        <v>631</v>
      </c>
      <c r="X910" s="5" t="s">
        <v>2030</v>
      </c>
      <c r="Y910" s="5" t="s">
        <v>631</v>
      </c>
      <c r="Z910" s="5" t="s">
        <v>631</v>
      </c>
      <c r="AA910" s="5" t="s">
        <v>2836</v>
      </c>
      <c r="AB910" s="0" t="n">
        <f aca="false">IFERROR(VALUE(R910),0)</f>
        <v>0</v>
      </c>
      <c r="AC910" s="0" t="n">
        <f aca="false">IFERROR(VALUE(M910),"")</f>
        <v>30</v>
      </c>
      <c r="AD910" s="0" t="n">
        <f aca="false">IFERROR(VALUE(Q910),"")</f>
        <v>6.1</v>
      </c>
      <c r="AE910" s="0" t="n">
        <f aca="false">IFERROR(VALUE(S910),"")</f>
        <v>6.1</v>
      </c>
      <c r="AF910" s="0" t="n">
        <f aca="false">IF(V910="","",VLOOKUP(V910,Assumptions!$B$6:$C$9,2,FALSE()))</f>
        <v>2</v>
      </c>
      <c r="AG910" s="0" t="n">
        <f aca="false">IF(W910="","",VLOOKUP(W910,Assumptions!$B$6:$C$9,2,FALSE()))</f>
        <v>2</v>
      </c>
      <c r="AH910" s="0" t="n">
        <f aca="false">IF(X910="","",VLOOKUP(X910,Assumptions!$B$6:$C$9,2,FALSE()))</f>
        <v>1</v>
      </c>
      <c r="AI910" s="0" t="n">
        <f aca="false">IF(Y910="","",VLOOKUP(Y910,Assumptions!$B$6:$C$9,2,FALSE()))</f>
        <v>2</v>
      </c>
      <c r="AJ910" s="0" t="n">
        <f aca="false">IF(Z910="","",VLOOKUP(Z910,Assumptions!$B$6:$C$9,2,FALSE()))</f>
        <v>2</v>
      </c>
      <c r="AK910" s="7" t="n">
        <f aca="false">IFERROR(ROUND(AVERAGE(AF910:AJ910),3),"")</f>
        <v>1.8</v>
      </c>
      <c r="AL910" s="7" t="n">
        <f aca="false">IF(OR(AF910="",AJ910=""),"",AJ910-AF910)</f>
        <v>0</v>
      </c>
      <c r="AM910" s="7" t="n">
        <f aca="false">IF(COUNT(AF910:AJ910)&gt;=2,ROUND(_xlfn.STDEV.S(AF910:AJ910),3),"")</f>
        <v>0.447</v>
      </c>
      <c r="AN910" s="7" t="n">
        <f aca="false">ROUND((IF(AF910="",0,AF910)*Assumptions!$F$15)+(IF(AG910="",0,AG910)*Assumptions!$F$16)+(IF(AH910="",0,AH910)*Assumptions!$F$17)+(IF(AI910="",0,AI910)*Assumptions!$F$18)+(IF(AJ910="",0,AJ910)*Assumptions!$F$19),3)</f>
        <v>1.8</v>
      </c>
      <c r="AO910" s="0" t="str">
        <f aca="false">IF(AC910&lt;=20,"",IF(AC910&lt;=Assumptions!$F$6,"20-30",IF(AC910&lt;=Assumptions!$F$7,"30-40",IF(AC910&lt;=Assumptions!$F$8,"40-50",IF(AC910&lt;=Assumptions!$F$9,"50-60",IF(AC910&lt;=Assumptions!$F$10,"60+",""))))))</f>
        <v>20-30</v>
      </c>
      <c r="AP910" s="0" t="str">
        <f aca="false">IFERROR(VLOOKUP(O910,Assumptions!$B$14:$C$26,2,FALSE()),"Other")</f>
        <v>Manager</v>
      </c>
      <c r="AQ910" s="0" t="n">
        <f aca="false">IF(T910="",0,1)</f>
        <v>0</v>
      </c>
      <c r="AR910" s="0" t="n">
        <f aca="false">IF(U910="",0,1)</f>
        <v>0</v>
      </c>
      <c r="AS910" s="8" t="n">
        <f aca="false">IF(AK910="","",IF(MAX($AK$2:$AK$921)=MIN($AK$2:$AK$921),50,ROUND((AK910-MIN($AK$2:$AK$921))/(MAX($AK$2:$AK$921)-MIN($AK$2:$AK$921))*100,2)))</f>
        <v>5.7</v>
      </c>
      <c r="AT910" s="8" t="n">
        <f aca="false">IF(MAX($BC$2:$BC$921)=MIN($BC$2:$BC$921),50,ROUND((BC910-MIN($BC$2:$BC$921))/(MAX($BC$2:$BC$921)-MIN($BC$2:$BC$921))*100,2))</f>
        <v>50</v>
      </c>
      <c r="AU910" s="8" t="n">
        <f aca="false">IF(MAX($BE$2:$BE$921)=MIN($BE$2:$BE$921),50,ROUND((BE910-MIN($BE$2:$BE$921))/(MAX($BE$2:$BE$921)-MIN($BE$2:$BE$921))*100,2))</f>
        <v>74.19</v>
      </c>
      <c r="AV910" s="8" t="n">
        <f aca="false">IF(MAX($AD$2:$AD$921)=MIN($AD$2:$AD$921),50,ROUND((AD910-MIN($AD$2:$AD$921))/(MAX($AD$2:$AD$921)-MIN($AD$2:$AD$921))*100,2))</f>
        <v>16.28</v>
      </c>
      <c r="AW910" s="8" t="n">
        <f aca="false">IF(MAX($AN$2:$AN$921)=MIN($AN$2:$AN$921),50,ROUND((AN910-MIN($AN$2:$AN$921))/(MAX($AN$2:$AN$921)-MIN($AN$2:$AN$921))*100,2))</f>
        <v>45</v>
      </c>
      <c r="AX910" s="8" t="n">
        <f aca="false">AQ910*100</f>
        <v>0</v>
      </c>
      <c r="AY910" s="8" t="n">
        <f aca="false">AR910*100</f>
        <v>0</v>
      </c>
      <c r="AZ910" s="8" t="n">
        <f aca="false">IFERROR(ROUND(AS910*Assumptions!$I$6+AW910*Assumptions!$I$7+AT910*Assumptions!$I$8+AU910*Assumptions!$I$9+AV910*Assumptions!$I$10+AX910*Assumptions!$I$11+AY910*Assumptions!$I$12,2),"")</f>
        <v>30.97</v>
      </c>
      <c r="BA910" s="0" t="str">
        <f aca="false">IF(AZ910="","",IF(AZ910&lt;=Assumptions!$I$18,"Below Expectation",IF(AZ910&lt;=Assumptions!$I$19,"Developing",IF(AZ910&lt;=Assumptions!$I$20,"Meets Expectation",IF(AZ910&lt;=Assumptions!$I$21,"Exceeds","Star Performer")))))</f>
        <v>Below Expectation</v>
      </c>
      <c r="BB910" s="0" t="n">
        <f aca="false">IF(AZ910="",0,IF(AZ910&gt;=Assumptions!$I$26,1,0))</f>
        <v>0</v>
      </c>
      <c r="BC910" s="9" t="n">
        <f aca="false">IF(AL910="",2,AL910+2)</f>
        <v>2</v>
      </c>
      <c r="BD910" s="10" t="n">
        <f aca="false">IF(AM910="",ROUND(AVERAGE($AM$2:$AM$921),3),AM910)</f>
        <v>0.447</v>
      </c>
      <c r="BE910" s="9" t="n">
        <f aca="false">1-BD910</f>
        <v>0.553</v>
      </c>
    </row>
    <row r="911" customFormat="false" ht="14.25" hidden="false" customHeight="false" outlineLevel="0" collapsed="false">
      <c r="A911" s="4" t="n">
        <v>490</v>
      </c>
      <c r="B911" s="5" t="n">
        <v>55043723</v>
      </c>
      <c r="C911" s="5" t="s">
        <v>106</v>
      </c>
      <c r="D911" s="5" t="s">
        <v>2837</v>
      </c>
      <c r="E911" s="5" t="s">
        <v>108</v>
      </c>
      <c r="F911" s="5" t="s">
        <v>429</v>
      </c>
      <c r="G911" s="5" t="s">
        <v>2181</v>
      </c>
      <c r="H911" s="5" t="s">
        <v>2182</v>
      </c>
      <c r="I911" s="5" t="s">
        <v>63</v>
      </c>
      <c r="J911" s="5" t="s">
        <v>112</v>
      </c>
      <c r="K911" s="5" t="s">
        <v>65</v>
      </c>
      <c r="L911" s="6" t="n">
        <v>44487</v>
      </c>
      <c r="M911" s="5" t="s">
        <v>625</v>
      </c>
      <c r="N911" s="6" t="n">
        <v>33555</v>
      </c>
      <c r="O911" s="5" t="s">
        <v>585</v>
      </c>
      <c r="P911" s="5" t="s">
        <v>586</v>
      </c>
      <c r="Q911" s="5" t="s">
        <v>491</v>
      </c>
      <c r="R911" s="5" t="s">
        <v>541</v>
      </c>
      <c r="S911" s="5" t="s">
        <v>240</v>
      </c>
      <c r="T911" s="6"/>
      <c r="U911" s="6"/>
      <c r="V911" s="5" t="s">
        <v>631</v>
      </c>
      <c r="W911" s="5" t="s">
        <v>631</v>
      </c>
      <c r="X911" s="5" t="s">
        <v>2030</v>
      </c>
      <c r="Y911" s="5" t="s">
        <v>631</v>
      </c>
      <c r="Z911" s="5" t="s">
        <v>631</v>
      </c>
      <c r="AA911" s="5" t="s">
        <v>2838</v>
      </c>
      <c r="AB911" s="0" t="n">
        <f aca="false">IFERROR(VALUE(R911),0)</f>
        <v>7.2</v>
      </c>
      <c r="AC911" s="0" t="n">
        <f aca="false">IFERROR(VALUE(M911),"")</f>
        <v>34.6</v>
      </c>
      <c r="AD911" s="0" t="n">
        <f aca="false">IFERROR(VALUE(Q911),"")</f>
        <v>4.7</v>
      </c>
      <c r="AE911" s="0" t="n">
        <f aca="false">IFERROR(VALUE(S911),"")</f>
        <v>11.9</v>
      </c>
      <c r="AF911" s="0" t="n">
        <f aca="false">IF(V911="","",VLOOKUP(V911,Assumptions!$B$6:$C$9,2,FALSE()))</f>
        <v>2</v>
      </c>
      <c r="AG911" s="0" t="n">
        <f aca="false">IF(W911="","",VLOOKUP(W911,Assumptions!$B$6:$C$9,2,FALSE()))</f>
        <v>2</v>
      </c>
      <c r="AH911" s="0" t="n">
        <f aca="false">IF(X911="","",VLOOKUP(X911,Assumptions!$B$6:$C$9,2,FALSE()))</f>
        <v>1</v>
      </c>
      <c r="AI911" s="0" t="n">
        <f aca="false">IF(Y911="","",VLOOKUP(Y911,Assumptions!$B$6:$C$9,2,FALSE()))</f>
        <v>2</v>
      </c>
      <c r="AJ911" s="0" t="n">
        <f aca="false">IF(Z911="","",VLOOKUP(Z911,Assumptions!$B$6:$C$9,2,FALSE()))</f>
        <v>2</v>
      </c>
      <c r="AK911" s="7" t="n">
        <f aca="false">IFERROR(ROUND(AVERAGE(AF911:AJ911),3),"")</f>
        <v>1.8</v>
      </c>
      <c r="AL911" s="7" t="n">
        <f aca="false">IF(OR(AF911="",AJ911=""),"",AJ911-AF911)</f>
        <v>0</v>
      </c>
      <c r="AM911" s="7" t="n">
        <f aca="false">IF(COUNT(AF911:AJ911)&gt;=2,ROUND(_xlfn.STDEV.S(AF911:AJ911),3),"")</f>
        <v>0.447</v>
      </c>
      <c r="AN911" s="7" t="n">
        <f aca="false">ROUND((IF(AF911="",0,AF911)*Assumptions!$F$15)+(IF(AG911="",0,AG911)*Assumptions!$F$16)+(IF(AH911="",0,AH911)*Assumptions!$F$17)+(IF(AI911="",0,AI911)*Assumptions!$F$18)+(IF(AJ911="",0,AJ911)*Assumptions!$F$19),3)</f>
        <v>1.8</v>
      </c>
      <c r="AO911" s="0" t="str">
        <f aca="false">IF(AC911&lt;=20,"",IF(AC911&lt;=Assumptions!$F$6,"20-30",IF(AC911&lt;=Assumptions!$F$7,"30-40",IF(AC911&lt;=Assumptions!$F$8,"40-50",IF(AC911&lt;=Assumptions!$F$9,"50-60",IF(AC911&lt;=Assumptions!$F$10,"60+",""))))))</f>
        <v>30-40</v>
      </c>
      <c r="AP911" s="0" t="str">
        <f aca="false">IFERROR(VLOOKUP(O911,Assumptions!$B$14:$C$26,2,FALSE()),"Other")</f>
        <v>Manager</v>
      </c>
      <c r="AQ911" s="0" t="n">
        <f aca="false">IF(T911="",0,1)</f>
        <v>0</v>
      </c>
      <c r="AR911" s="0" t="n">
        <f aca="false">IF(U911="",0,1)</f>
        <v>0</v>
      </c>
      <c r="AS911" s="8" t="n">
        <f aca="false">IF(AK911="","",IF(MAX($AK$2:$AK$921)=MIN($AK$2:$AK$921),50,ROUND((AK911-MIN($AK$2:$AK$921))/(MAX($AK$2:$AK$921)-MIN($AK$2:$AK$921))*100,2)))</f>
        <v>5.7</v>
      </c>
      <c r="AT911" s="8" t="n">
        <f aca="false">IF(MAX($BC$2:$BC$921)=MIN($BC$2:$BC$921),50,ROUND((BC911-MIN($BC$2:$BC$921))/(MAX($BC$2:$BC$921)-MIN($BC$2:$BC$921))*100,2))</f>
        <v>50</v>
      </c>
      <c r="AU911" s="8" t="n">
        <f aca="false">IF(MAX($BE$2:$BE$921)=MIN($BE$2:$BE$921),50,ROUND((BE911-MIN($BE$2:$BE$921))/(MAX($BE$2:$BE$921)-MIN($BE$2:$BE$921))*100,2))</f>
        <v>74.19</v>
      </c>
      <c r="AV911" s="8" t="n">
        <f aca="false">IF(MAX($AD$2:$AD$921)=MIN($AD$2:$AD$921),50,ROUND((AD911-MIN($AD$2:$AD$921))/(MAX($AD$2:$AD$921)-MIN($AD$2:$AD$921))*100,2))</f>
        <v>12.48</v>
      </c>
      <c r="AW911" s="8" t="n">
        <f aca="false">IF(MAX($AN$2:$AN$921)=MIN($AN$2:$AN$921),50,ROUND((AN911-MIN($AN$2:$AN$921))/(MAX($AN$2:$AN$921)-MIN($AN$2:$AN$921))*100,2))</f>
        <v>45</v>
      </c>
      <c r="AX911" s="8" t="n">
        <f aca="false">AQ911*100</f>
        <v>0</v>
      </c>
      <c r="AY911" s="8" t="n">
        <f aca="false">AR911*100</f>
        <v>0</v>
      </c>
      <c r="AZ911" s="8" t="n">
        <f aca="false">IFERROR(ROUND(AS911*Assumptions!$I$6+AW911*Assumptions!$I$7+AT911*Assumptions!$I$8+AU911*Assumptions!$I$9+AV911*Assumptions!$I$10+AX911*Assumptions!$I$11+AY911*Assumptions!$I$12,2),"")</f>
        <v>30.59</v>
      </c>
      <c r="BA911" s="0" t="str">
        <f aca="false">IF(AZ911="","",IF(AZ911&lt;=Assumptions!$I$18,"Below Expectation",IF(AZ911&lt;=Assumptions!$I$19,"Developing",IF(AZ911&lt;=Assumptions!$I$20,"Meets Expectation",IF(AZ911&lt;=Assumptions!$I$21,"Exceeds","Star Performer")))))</f>
        <v>Below Expectation</v>
      </c>
      <c r="BB911" s="0" t="n">
        <f aca="false">IF(AZ911="",0,IF(AZ911&gt;=Assumptions!$I$26,1,0))</f>
        <v>0</v>
      </c>
      <c r="BC911" s="9" t="n">
        <f aca="false">IF(AL911="",2,AL911+2)</f>
        <v>2</v>
      </c>
      <c r="BD911" s="10" t="n">
        <f aca="false">IF(AM911="",ROUND(AVERAGE($AM$2:$AM$921),3),AM911)</f>
        <v>0.447</v>
      </c>
      <c r="BE911" s="9" t="n">
        <f aca="false">1-BD911</f>
        <v>0.553</v>
      </c>
    </row>
    <row r="912" customFormat="false" ht="14.25" hidden="true" customHeight="false" outlineLevel="0" collapsed="false">
      <c r="A912" s="4" t="n">
        <v>666</v>
      </c>
      <c r="B912" s="5" t="n">
        <v>55058131</v>
      </c>
      <c r="C912" s="5"/>
      <c r="D912" s="5" t="s">
        <v>2839</v>
      </c>
      <c r="E912" s="5" t="s">
        <v>2840</v>
      </c>
      <c r="F912" s="5" t="s">
        <v>1177</v>
      </c>
      <c r="G912" s="5" t="s">
        <v>1178</v>
      </c>
      <c r="H912" s="5" t="s">
        <v>1177</v>
      </c>
      <c r="I912" s="5" t="s">
        <v>63</v>
      </c>
      <c r="J912" s="5" t="s">
        <v>76</v>
      </c>
      <c r="K912" s="5" t="s">
        <v>65</v>
      </c>
      <c r="L912" s="6" t="n">
        <v>44832</v>
      </c>
      <c r="M912" s="5" t="s">
        <v>1637</v>
      </c>
      <c r="N912" s="6" t="n">
        <v>28556</v>
      </c>
      <c r="O912" s="5" t="s">
        <v>262</v>
      </c>
      <c r="P912" s="5" t="s">
        <v>263</v>
      </c>
      <c r="Q912" s="5" t="s">
        <v>445</v>
      </c>
      <c r="R912" s="5" t="s">
        <v>453</v>
      </c>
      <c r="S912" s="5" t="s">
        <v>996</v>
      </c>
      <c r="T912" s="6"/>
      <c r="U912" s="6"/>
      <c r="V912" s="5"/>
      <c r="W912" s="5" t="s">
        <v>83</v>
      </c>
      <c r="X912" s="5" t="s">
        <v>83</v>
      </c>
      <c r="Y912" s="5" t="s">
        <v>2030</v>
      </c>
      <c r="Z912" s="5" t="s">
        <v>2030</v>
      </c>
      <c r="AA912" s="5" t="s">
        <v>2841</v>
      </c>
      <c r="AB912" s="0" t="n">
        <f aca="false">IFERROR(VALUE(R912),0)</f>
        <v>17.6</v>
      </c>
      <c r="AC912" s="0" t="n">
        <f aca="false">IFERROR(VALUE(M912),"")</f>
        <v>48.3</v>
      </c>
      <c r="AD912" s="0" t="n">
        <f aca="false">IFERROR(VALUE(Q912),"")</f>
        <v>3.8</v>
      </c>
      <c r="AE912" s="0" t="n">
        <f aca="false">IFERROR(VALUE(S912),"")</f>
        <v>21.2</v>
      </c>
      <c r="AF912" s="0" t="str">
        <f aca="false">IF(V912="","",VLOOKUP(V912,Assumptions!$B$6:$C$9,2,FALSE()))</f>
        <v/>
      </c>
      <c r="AG912" s="0" t="n">
        <f aca="false">IF(W912="","",VLOOKUP(W912,Assumptions!$B$6:$C$9,2,FALSE()))</f>
        <v>4</v>
      </c>
      <c r="AH912" s="0" t="n">
        <f aca="false">IF(X912="","",VLOOKUP(X912,Assumptions!$B$6:$C$9,2,FALSE()))</f>
        <v>4</v>
      </c>
      <c r="AI912" s="0" t="n">
        <f aca="false">IF(Y912="","",VLOOKUP(Y912,Assumptions!$B$6:$C$9,2,FALSE()))</f>
        <v>1</v>
      </c>
      <c r="AJ912" s="0" t="n">
        <f aca="false">IF(Z912="","",VLOOKUP(Z912,Assumptions!$B$6:$C$9,2,FALSE()))</f>
        <v>1</v>
      </c>
      <c r="AK912" s="7" t="n">
        <f aca="false">IFERROR(ROUND(AVERAGE(AF912:AJ912),3),"")</f>
        <v>2.5</v>
      </c>
      <c r="AL912" s="7" t="str">
        <f aca="false">IF(OR(AF912="",AJ912=""),"",AJ912-AF912)</f>
        <v/>
      </c>
      <c r="AM912" s="7" t="n">
        <f aca="false">IF(COUNT(AF912:AJ912)&gt;=2,ROUND(_xlfn.STDEV.S(AF912:AJ912),3),"")</f>
        <v>1.732</v>
      </c>
      <c r="AN912" s="7" t="n">
        <f aca="false">ROUND((IF(AF912="",0,AF912)*Assumptions!$F$15)+(IF(AG912="",0,AG912)*Assumptions!$F$16)+(IF(AH912="",0,AH912)*Assumptions!$F$17)+(IF(AI912="",0,AI912)*Assumptions!$F$18)+(IF(AJ912="",0,AJ912)*Assumptions!$F$19),3)</f>
        <v>1.95</v>
      </c>
      <c r="AO912" s="0" t="str">
        <f aca="false">IF(AC912&lt;=20,"",IF(AC912&lt;=Assumptions!$F$6,"20-30",IF(AC912&lt;=Assumptions!$F$7,"30-40",IF(AC912&lt;=Assumptions!$F$8,"40-50",IF(AC912&lt;=Assumptions!$F$9,"50-60",IF(AC912&lt;=Assumptions!$F$10,"60+",""))))))</f>
        <v>40-50</v>
      </c>
      <c r="AP912" s="0" t="str">
        <f aca="false">IFERROR(VLOOKUP(O912,Assumptions!$B$14:$C$26,2,FALSE()),"Other")</f>
        <v>Manager</v>
      </c>
      <c r="AQ912" s="0" t="n">
        <f aca="false">IF(T912="",0,1)</f>
        <v>0</v>
      </c>
      <c r="AR912" s="0" t="n">
        <f aca="false">IF(U912="",0,1)</f>
        <v>0</v>
      </c>
      <c r="AS912" s="8" t="n">
        <f aca="false">IF(AK912="","",IF(MAX($AK$2:$AK$921)=MIN($AK$2:$AK$921),50,ROUND((AK912-MIN($AK$2:$AK$921))/(MAX($AK$2:$AK$921)-MIN($AK$2:$AK$921))*100,2)))</f>
        <v>35.71</v>
      </c>
      <c r="AT912" s="8" t="n">
        <f aca="false">IF(MAX($BC$2:$BC$921)=MIN($BC$2:$BC$921),50,ROUND((BC912-MIN($BC$2:$BC$921))/(MAX($BC$2:$BC$921)-MIN($BC$2:$BC$921))*100,2))</f>
        <v>50</v>
      </c>
      <c r="AU912" s="8" t="n">
        <f aca="false">IF(MAX($BE$2:$BE$921)=MIN($BE$2:$BE$921),50,ROUND((BE912-MIN($BE$2:$BE$921))/(MAX($BE$2:$BE$921)-MIN($BE$2:$BE$921))*100,2))</f>
        <v>0</v>
      </c>
      <c r="AV912" s="8" t="n">
        <f aca="false">IF(MAX($AD$2:$AD$921)=MIN($AD$2:$AD$921),50,ROUND((AD912-MIN($AD$2:$AD$921))/(MAX($AD$2:$AD$921)-MIN($AD$2:$AD$921))*100,2))</f>
        <v>10.03</v>
      </c>
      <c r="AW912" s="8" t="n">
        <f aca="false">IF(MAX($AN$2:$AN$921)=MIN($AN$2:$AN$921),50,ROUND((AN912-MIN($AN$2:$AN$921))/(MAX($AN$2:$AN$921)-MIN($AN$2:$AN$921))*100,2))</f>
        <v>48.75</v>
      </c>
      <c r="AX912" s="8" t="n">
        <f aca="false">AQ912*100</f>
        <v>0</v>
      </c>
      <c r="AY912" s="8" t="n">
        <f aca="false">AR912*100</f>
        <v>0</v>
      </c>
      <c r="AZ912" s="8" t="n">
        <f aca="false">IFERROR(ROUND(AS912*Assumptions!$I$6+AW912*Assumptions!$I$7+AT912*Assumptions!$I$8+AU912*Assumptions!$I$9+AV912*Assumptions!$I$10+AX912*Assumptions!$I$11+AY912*Assumptions!$I$12,2),"")</f>
        <v>28.97</v>
      </c>
      <c r="BA912" s="0" t="str">
        <f aca="false">IF(AZ912="","",IF(AZ912&lt;=Assumptions!$I$18,"Below Expectation",IF(AZ912&lt;=Assumptions!$I$19,"Developing",IF(AZ912&lt;=Assumptions!$I$20,"Meets Expectation",IF(AZ912&lt;=Assumptions!$I$21,"Exceeds","Star Performer")))))</f>
        <v>Below Expectation</v>
      </c>
      <c r="BB912" s="0" t="n">
        <f aca="false">IF(AZ912="",0,IF(AZ912&gt;=Assumptions!$I$26,1,0))</f>
        <v>0</v>
      </c>
      <c r="BC912" s="9" t="n">
        <f aca="false">IF(AL912="",2,AL912+2)</f>
        <v>2</v>
      </c>
      <c r="BD912" s="10" t="n">
        <f aca="false">IF(AM912="",ROUND(AVERAGE($AM$2:$AM$921),3),AM912)</f>
        <v>1.732</v>
      </c>
      <c r="BE912" s="9" t="n">
        <f aca="false">1-BD912</f>
        <v>-0.732</v>
      </c>
    </row>
    <row r="913" customFormat="false" ht="14.25" hidden="true" customHeight="false" outlineLevel="0" collapsed="false">
      <c r="A913" s="4" t="n">
        <v>584</v>
      </c>
      <c r="B913" s="5" t="n">
        <v>55052301</v>
      </c>
      <c r="C913" s="5"/>
      <c r="D913" s="5" t="s">
        <v>2842</v>
      </c>
      <c r="E913" s="5" t="s">
        <v>1092</v>
      </c>
      <c r="F913" s="5" t="s">
        <v>2843</v>
      </c>
      <c r="G913" s="5" t="s">
        <v>2250</v>
      </c>
      <c r="H913" s="5" t="s">
        <v>2251</v>
      </c>
      <c r="I913" s="5" t="s">
        <v>63</v>
      </c>
      <c r="J913" s="5" t="s">
        <v>76</v>
      </c>
      <c r="K913" s="5" t="s">
        <v>309</v>
      </c>
      <c r="L913" s="6" t="n">
        <v>44732</v>
      </c>
      <c r="M913" s="5" t="s">
        <v>984</v>
      </c>
      <c r="N913" s="6" t="n">
        <v>37206</v>
      </c>
      <c r="O913" s="5" t="s">
        <v>1264</v>
      </c>
      <c r="P913" s="5" t="s">
        <v>1559</v>
      </c>
      <c r="Q913" s="5" t="s">
        <v>345</v>
      </c>
      <c r="R913" s="5" t="s">
        <v>115</v>
      </c>
      <c r="S913" s="5" t="s">
        <v>345</v>
      </c>
      <c r="T913" s="6"/>
      <c r="U913" s="6"/>
      <c r="V913" s="5"/>
      <c r="W913" s="5" t="s">
        <v>631</v>
      </c>
      <c r="X913" s="5" t="s">
        <v>631</v>
      </c>
      <c r="Y913" s="5" t="s">
        <v>2030</v>
      </c>
      <c r="Z913" s="5" t="s">
        <v>631</v>
      </c>
      <c r="AA913" s="5" t="s">
        <v>2844</v>
      </c>
      <c r="AB913" s="0" t="n">
        <f aca="false">IFERROR(VALUE(R913),0)</f>
        <v>0</v>
      </c>
      <c r="AC913" s="0" t="n">
        <f aca="false">IFERROR(VALUE(M913),"")</f>
        <v>24.6</v>
      </c>
      <c r="AD913" s="0" t="n">
        <f aca="false">IFERROR(VALUE(Q913),"")</f>
        <v>3.11</v>
      </c>
      <c r="AE913" s="0" t="n">
        <f aca="false">IFERROR(VALUE(S913),"")</f>
        <v>3.11</v>
      </c>
      <c r="AF913" s="0" t="str">
        <f aca="false">IF(V913="","",VLOOKUP(V913,Assumptions!$B$6:$C$9,2,FALSE()))</f>
        <v/>
      </c>
      <c r="AG913" s="0" t="n">
        <f aca="false">IF(W913="","",VLOOKUP(W913,Assumptions!$B$6:$C$9,2,FALSE()))</f>
        <v>2</v>
      </c>
      <c r="AH913" s="0" t="n">
        <f aca="false">IF(X913="","",VLOOKUP(X913,Assumptions!$B$6:$C$9,2,FALSE()))</f>
        <v>2</v>
      </c>
      <c r="AI913" s="0" t="n">
        <f aca="false">IF(Y913="","",VLOOKUP(Y913,Assumptions!$B$6:$C$9,2,FALSE()))</f>
        <v>1</v>
      </c>
      <c r="AJ913" s="0" t="n">
        <f aca="false">IF(Z913="","",VLOOKUP(Z913,Assumptions!$B$6:$C$9,2,FALSE()))</f>
        <v>2</v>
      </c>
      <c r="AK913" s="7" t="n">
        <f aca="false">IFERROR(ROUND(AVERAGE(AF913:AJ913),3),"")</f>
        <v>1.75</v>
      </c>
      <c r="AL913" s="7" t="str">
        <f aca="false">IF(OR(AF913="",AJ913=""),"",AJ913-AF913)</f>
        <v/>
      </c>
      <c r="AM913" s="7" t="n">
        <f aca="false">IF(COUNT(AF913:AJ913)&gt;=2,ROUND(_xlfn.STDEV.S(AF913:AJ913),3),"")</f>
        <v>0.5</v>
      </c>
      <c r="AN913" s="7" t="n">
        <f aca="false">ROUND((IF(AF913="",0,AF913)*Assumptions!$F$15)+(IF(AG913="",0,AG913)*Assumptions!$F$16)+(IF(AH913="",0,AH913)*Assumptions!$F$17)+(IF(AI913="",0,AI913)*Assumptions!$F$18)+(IF(AJ913="",0,AJ913)*Assumptions!$F$19),3)</f>
        <v>1.55</v>
      </c>
      <c r="AO913" s="0" t="str">
        <f aca="false">IF(AC913&lt;=20,"",IF(AC913&lt;=Assumptions!$F$6,"20-30",IF(AC913&lt;=Assumptions!$F$7,"30-40",IF(AC913&lt;=Assumptions!$F$8,"40-50",IF(AC913&lt;=Assumptions!$F$9,"50-60",IF(AC913&lt;=Assumptions!$F$10,"60+",""))))))</f>
        <v>20-30</v>
      </c>
      <c r="AP913" s="0" t="str">
        <f aca="false">IFERROR(VLOOKUP(O913,Assumptions!$B$14:$C$26,2,FALSE()),"Other")</f>
        <v>Manager</v>
      </c>
      <c r="AQ913" s="0" t="n">
        <f aca="false">IF(T913="",0,1)</f>
        <v>0</v>
      </c>
      <c r="AR913" s="0" t="n">
        <f aca="false">IF(U913="",0,1)</f>
        <v>0</v>
      </c>
      <c r="AS913" s="8" t="n">
        <f aca="false">IF(AK913="","",IF(MAX($AK$2:$AK$921)=MIN($AK$2:$AK$921),50,ROUND((AK913-MIN($AK$2:$AK$921))/(MAX($AK$2:$AK$921)-MIN($AK$2:$AK$921))*100,2)))</f>
        <v>3.56</v>
      </c>
      <c r="AT913" s="8" t="n">
        <f aca="false">IF(MAX($BC$2:$BC$921)=MIN($BC$2:$BC$921),50,ROUND((BC913-MIN($BC$2:$BC$921))/(MAX($BC$2:$BC$921)-MIN($BC$2:$BC$921))*100,2))</f>
        <v>50</v>
      </c>
      <c r="AU913" s="8" t="n">
        <f aca="false">IF(MAX($BE$2:$BE$921)=MIN($BE$2:$BE$921),50,ROUND((BE913-MIN($BE$2:$BE$921))/(MAX($BE$2:$BE$921)-MIN($BE$2:$BE$921))*100,2))</f>
        <v>71.13</v>
      </c>
      <c r="AV913" s="8" t="n">
        <f aca="false">IF(MAX($AD$2:$AD$921)=MIN($AD$2:$AD$921),50,ROUND((AD913-MIN($AD$2:$AD$921))/(MAX($AD$2:$AD$921)-MIN($AD$2:$AD$921))*100,2))</f>
        <v>8.15</v>
      </c>
      <c r="AW913" s="8" t="n">
        <f aca="false">IF(MAX($AN$2:$AN$921)=MIN($AN$2:$AN$921),50,ROUND((AN913-MIN($AN$2:$AN$921))/(MAX($AN$2:$AN$921)-MIN($AN$2:$AN$921))*100,2))</f>
        <v>38.75</v>
      </c>
      <c r="AX913" s="8" t="n">
        <f aca="false">AQ913*100</f>
        <v>0</v>
      </c>
      <c r="AY913" s="8" t="n">
        <f aca="false">AR913*100</f>
        <v>0</v>
      </c>
      <c r="AZ913" s="8" t="n">
        <f aca="false">IFERROR(ROUND(AS913*Assumptions!$I$6+AW913*Assumptions!$I$7+AT913*Assumptions!$I$8+AU913*Assumptions!$I$9+AV913*Assumptions!$I$10+AX913*Assumptions!$I$11+AY913*Assumptions!$I$12,2),"")</f>
        <v>27.8</v>
      </c>
      <c r="BA913" s="0" t="str">
        <f aca="false">IF(AZ913="","",IF(AZ913&lt;=Assumptions!$I$18,"Below Expectation",IF(AZ913&lt;=Assumptions!$I$19,"Developing",IF(AZ913&lt;=Assumptions!$I$20,"Meets Expectation",IF(AZ913&lt;=Assumptions!$I$21,"Exceeds","Star Performer")))))</f>
        <v>Below Expectation</v>
      </c>
      <c r="BB913" s="0" t="n">
        <f aca="false">IF(AZ913="",0,IF(AZ913&gt;=Assumptions!$I$26,1,0))</f>
        <v>0</v>
      </c>
      <c r="BC913" s="9" t="n">
        <f aca="false">IF(AL913="",2,AL913+2)</f>
        <v>2</v>
      </c>
      <c r="BD913" s="10" t="n">
        <f aca="false">IF(AM913="",ROUND(AVERAGE($AM$2:$AM$921),3),AM913)</f>
        <v>0.5</v>
      </c>
      <c r="BE913" s="9" t="n">
        <f aca="false">1-BD913</f>
        <v>0.5</v>
      </c>
    </row>
    <row r="914" customFormat="false" ht="14.25" hidden="true" customHeight="false" outlineLevel="0" collapsed="false">
      <c r="A914" s="4" t="n">
        <v>587</v>
      </c>
      <c r="B914" s="5" t="n">
        <v>55052311</v>
      </c>
      <c r="C914" s="5"/>
      <c r="D914" s="5" t="s">
        <v>2845</v>
      </c>
      <c r="E914" s="5" t="s">
        <v>1092</v>
      </c>
      <c r="F914" s="5" t="s">
        <v>2846</v>
      </c>
      <c r="G914" s="5" t="s">
        <v>2250</v>
      </c>
      <c r="H914" s="5" t="s">
        <v>2251</v>
      </c>
      <c r="I914" s="5" t="s">
        <v>63</v>
      </c>
      <c r="J914" s="5" t="s">
        <v>76</v>
      </c>
      <c r="K914" s="5" t="s">
        <v>309</v>
      </c>
      <c r="L914" s="6" t="n">
        <v>44732</v>
      </c>
      <c r="M914" s="5" t="s">
        <v>1789</v>
      </c>
      <c r="N914" s="6" t="n">
        <v>37127</v>
      </c>
      <c r="O914" s="5" t="s">
        <v>1264</v>
      </c>
      <c r="P914" s="5" t="s">
        <v>1559</v>
      </c>
      <c r="Q914" s="5" t="s">
        <v>345</v>
      </c>
      <c r="R914" s="5" t="s">
        <v>115</v>
      </c>
      <c r="S914" s="5" t="s">
        <v>345</v>
      </c>
      <c r="T914" s="6"/>
      <c r="U914" s="6"/>
      <c r="V914" s="5"/>
      <c r="W914" s="5" t="s">
        <v>631</v>
      </c>
      <c r="X914" s="5" t="s">
        <v>631</v>
      </c>
      <c r="Y914" s="5" t="s">
        <v>2030</v>
      </c>
      <c r="Z914" s="5" t="s">
        <v>631</v>
      </c>
      <c r="AA914" s="5" t="s">
        <v>2847</v>
      </c>
      <c r="AB914" s="0" t="n">
        <f aca="false">IFERROR(VALUE(R914),0)</f>
        <v>0</v>
      </c>
      <c r="AC914" s="0" t="n">
        <f aca="false">IFERROR(VALUE(M914),"")</f>
        <v>24.9</v>
      </c>
      <c r="AD914" s="0" t="n">
        <f aca="false">IFERROR(VALUE(Q914),"")</f>
        <v>3.11</v>
      </c>
      <c r="AE914" s="0" t="n">
        <f aca="false">IFERROR(VALUE(S914),"")</f>
        <v>3.11</v>
      </c>
      <c r="AF914" s="0" t="str">
        <f aca="false">IF(V914="","",VLOOKUP(V914,Assumptions!$B$6:$C$9,2,FALSE()))</f>
        <v/>
      </c>
      <c r="AG914" s="0" t="n">
        <f aca="false">IF(W914="","",VLOOKUP(W914,Assumptions!$B$6:$C$9,2,FALSE()))</f>
        <v>2</v>
      </c>
      <c r="AH914" s="0" t="n">
        <f aca="false">IF(X914="","",VLOOKUP(X914,Assumptions!$B$6:$C$9,2,FALSE()))</f>
        <v>2</v>
      </c>
      <c r="AI914" s="0" t="n">
        <f aca="false">IF(Y914="","",VLOOKUP(Y914,Assumptions!$B$6:$C$9,2,FALSE()))</f>
        <v>1</v>
      </c>
      <c r="AJ914" s="0" t="n">
        <f aca="false">IF(Z914="","",VLOOKUP(Z914,Assumptions!$B$6:$C$9,2,FALSE()))</f>
        <v>2</v>
      </c>
      <c r="AK914" s="7" t="n">
        <f aca="false">IFERROR(ROUND(AVERAGE(AF914:AJ914),3),"")</f>
        <v>1.75</v>
      </c>
      <c r="AL914" s="7" t="str">
        <f aca="false">IF(OR(AF914="",AJ914=""),"",AJ914-AF914)</f>
        <v/>
      </c>
      <c r="AM914" s="7" t="n">
        <f aca="false">IF(COUNT(AF914:AJ914)&gt;=2,ROUND(_xlfn.STDEV.S(AF914:AJ914),3),"")</f>
        <v>0.5</v>
      </c>
      <c r="AN914" s="7" t="n">
        <f aca="false">ROUND((IF(AF914="",0,AF914)*Assumptions!$F$15)+(IF(AG914="",0,AG914)*Assumptions!$F$16)+(IF(AH914="",0,AH914)*Assumptions!$F$17)+(IF(AI914="",0,AI914)*Assumptions!$F$18)+(IF(AJ914="",0,AJ914)*Assumptions!$F$19),3)</f>
        <v>1.55</v>
      </c>
      <c r="AO914" s="0" t="str">
        <f aca="false">IF(AC914&lt;=20,"",IF(AC914&lt;=Assumptions!$F$6,"20-30",IF(AC914&lt;=Assumptions!$F$7,"30-40",IF(AC914&lt;=Assumptions!$F$8,"40-50",IF(AC914&lt;=Assumptions!$F$9,"50-60",IF(AC914&lt;=Assumptions!$F$10,"60+",""))))))</f>
        <v>20-30</v>
      </c>
      <c r="AP914" s="0" t="str">
        <f aca="false">IFERROR(VLOOKUP(O914,Assumptions!$B$14:$C$26,2,FALSE()),"Other")</f>
        <v>Manager</v>
      </c>
      <c r="AQ914" s="0" t="n">
        <f aca="false">IF(T914="",0,1)</f>
        <v>0</v>
      </c>
      <c r="AR914" s="0" t="n">
        <f aca="false">IF(U914="",0,1)</f>
        <v>0</v>
      </c>
      <c r="AS914" s="8" t="n">
        <f aca="false">IF(AK914="","",IF(MAX($AK$2:$AK$921)=MIN($AK$2:$AK$921),50,ROUND((AK914-MIN($AK$2:$AK$921))/(MAX($AK$2:$AK$921)-MIN($AK$2:$AK$921))*100,2)))</f>
        <v>3.56</v>
      </c>
      <c r="AT914" s="8" t="n">
        <f aca="false">IF(MAX($BC$2:$BC$921)=MIN($BC$2:$BC$921),50,ROUND((BC914-MIN($BC$2:$BC$921))/(MAX($BC$2:$BC$921)-MIN($BC$2:$BC$921))*100,2))</f>
        <v>50</v>
      </c>
      <c r="AU914" s="8" t="n">
        <f aca="false">IF(MAX($BE$2:$BE$921)=MIN($BE$2:$BE$921),50,ROUND((BE914-MIN($BE$2:$BE$921))/(MAX($BE$2:$BE$921)-MIN($BE$2:$BE$921))*100,2))</f>
        <v>71.13</v>
      </c>
      <c r="AV914" s="8" t="n">
        <f aca="false">IF(MAX($AD$2:$AD$921)=MIN($AD$2:$AD$921),50,ROUND((AD914-MIN($AD$2:$AD$921))/(MAX($AD$2:$AD$921)-MIN($AD$2:$AD$921))*100,2))</f>
        <v>8.15</v>
      </c>
      <c r="AW914" s="8" t="n">
        <f aca="false">IF(MAX($AN$2:$AN$921)=MIN($AN$2:$AN$921),50,ROUND((AN914-MIN($AN$2:$AN$921))/(MAX($AN$2:$AN$921)-MIN($AN$2:$AN$921))*100,2))</f>
        <v>38.75</v>
      </c>
      <c r="AX914" s="8" t="n">
        <f aca="false">AQ914*100</f>
        <v>0</v>
      </c>
      <c r="AY914" s="8" t="n">
        <f aca="false">AR914*100</f>
        <v>0</v>
      </c>
      <c r="AZ914" s="8" t="n">
        <f aca="false">IFERROR(ROUND(AS914*Assumptions!$I$6+AW914*Assumptions!$I$7+AT914*Assumptions!$I$8+AU914*Assumptions!$I$9+AV914*Assumptions!$I$10+AX914*Assumptions!$I$11+AY914*Assumptions!$I$12,2),"")</f>
        <v>27.8</v>
      </c>
      <c r="BA914" s="0" t="str">
        <f aca="false">IF(AZ914="","",IF(AZ914&lt;=Assumptions!$I$18,"Below Expectation",IF(AZ914&lt;=Assumptions!$I$19,"Developing",IF(AZ914&lt;=Assumptions!$I$20,"Meets Expectation",IF(AZ914&lt;=Assumptions!$I$21,"Exceeds","Star Performer")))))</f>
        <v>Below Expectation</v>
      </c>
      <c r="BB914" s="0" t="n">
        <f aca="false">IF(AZ914="",0,IF(AZ914&gt;=Assumptions!$I$26,1,0))</f>
        <v>0</v>
      </c>
      <c r="BC914" s="9" t="n">
        <f aca="false">IF(AL914="",2,AL914+2)</f>
        <v>2</v>
      </c>
      <c r="BD914" s="10" t="n">
        <f aca="false">IF(AM914="",ROUND(AVERAGE($AM$2:$AM$921),3),AM914)</f>
        <v>0.5</v>
      </c>
      <c r="BE914" s="9" t="n">
        <f aca="false">1-BD914</f>
        <v>0.5</v>
      </c>
    </row>
    <row r="915" customFormat="false" ht="14.25" hidden="true" customHeight="false" outlineLevel="0" collapsed="false">
      <c r="A915" s="4" t="n">
        <v>275</v>
      </c>
      <c r="B915" s="5" t="n">
        <v>10068052</v>
      </c>
      <c r="C915" s="5" t="s">
        <v>85</v>
      </c>
      <c r="D915" s="5" t="s">
        <v>2848</v>
      </c>
      <c r="E915" s="5" t="s">
        <v>805</v>
      </c>
      <c r="F915" s="5" t="s">
        <v>2849</v>
      </c>
      <c r="G915" s="5" t="s">
        <v>2850</v>
      </c>
      <c r="H915" s="5" t="s">
        <v>2851</v>
      </c>
      <c r="I915" s="5" t="s">
        <v>63</v>
      </c>
      <c r="J915" s="5" t="s">
        <v>76</v>
      </c>
      <c r="K915" s="5" t="s">
        <v>65</v>
      </c>
      <c r="L915" s="6" t="n">
        <v>43600</v>
      </c>
      <c r="M915" s="5" t="s">
        <v>1519</v>
      </c>
      <c r="N915" s="6" t="n">
        <v>29074</v>
      </c>
      <c r="O915" s="5" t="s">
        <v>162</v>
      </c>
      <c r="P915" s="5" t="s">
        <v>162</v>
      </c>
      <c r="Q915" s="5" t="s">
        <v>459</v>
      </c>
      <c r="R915" s="5" t="s">
        <v>471</v>
      </c>
      <c r="S915" s="5" t="s">
        <v>1908</v>
      </c>
      <c r="T915" s="6"/>
      <c r="U915" s="6"/>
      <c r="V915" s="5" t="s">
        <v>141</v>
      </c>
      <c r="W915" s="5" t="s">
        <v>631</v>
      </c>
      <c r="X915" s="5" t="s">
        <v>141</v>
      </c>
      <c r="Y915" s="5" t="s">
        <v>631</v>
      </c>
      <c r="Z915" s="5" t="s">
        <v>2030</v>
      </c>
      <c r="AA915" s="5" t="s">
        <v>2852</v>
      </c>
      <c r="AB915" s="0" t="n">
        <f aca="false">IFERROR(VALUE(R915),0)</f>
        <v>18.1</v>
      </c>
      <c r="AC915" s="0" t="n">
        <f aca="false">IFERROR(VALUE(M915),"")</f>
        <v>46.1</v>
      </c>
      <c r="AD915" s="0" t="n">
        <f aca="false">IFERROR(VALUE(Q915),"")</f>
        <v>7</v>
      </c>
      <c r="AE915" s="0" t="n">
        <f aca="false">IFERROR(VALUE(S915),"")</f>
        <v>25.1</v>
      </c>
      <c r="AF915" s="0" t="n">
        <f aca="false">IF(V915="","",VLOOKUP(V915,Assumptions!$B$6:$C$9,2,FALSE()))</f>
        <v>3</v>
      </c>
      <c r="AG915" s="0" t="n">
        <f aca="false">IF(W915="","",VLOOKUP(W915,Assumptions!$B$6:$C$9,2,FALSE()))</f>
        <v>2</v>
      </c>
      <c r="AH915" s="0" t="n">
        <f aca="false">IF(X915="","",VLOOKUP(X915,Assumptions!$B$6:$C$9,2,FALSE()))</f>
        <v>3</v>
      </c>
      <c r="AI915" s="0" t="n">
        <f aca="false">IF(Y915="","",VLOOKUP(Y915,Assumptions!$B$6:$C$9,2,FALSE()))</f>
        <v>2</v>
      </c>
      <c r="AJ915" s="0" t="n">
        <f aca="false">IF(Z915="","",VLOOKUP(Z915,Assumptions!$B$6:$C$9,2,FALSE()))</f>
        <v>1</v>
      </c>
      <c r="AK915" s="7" t="n">
        <f aca="false">IFERROR(ROUND(AVERAGE(AF915:AJ915),3),"")</f>
        <v>2.2</v>
      </c>
      <c r="AL915" s="7" t="n">
        <f aca="false">IF(OR(AF915="",AJ915=""),"",AJ915-AF915)</f>
        <v>-2</v>
      </c>
      <c r="AM915" s="7" t="n">
        <f aca="false">IF(COUNT(AF915:AJ915)&gt;=2,ROUND(_xlfn.STDEV.S(AF915:AJ915),3),"")</f>
        <v>0.837</v>
      </c>
      <c r="AN915" s="7" t="n">
        <f aca="false">ROUND((IF(AF915="",0,AF915)*Assumptions!$F$15)+(IF(AG915="",0,AG915)*Assumptions!$F$16)+(IF(AH915="",0,AH915)*Assumptions!$F$17)+(IF(AI915="",0,AI915)*Assumptions!$F$18)+(IF(AJ915="",0,AJ915)*Assumptions!$F$19),3)</f>
        <v>2</v>
      </c>
      <c r="AO915" s="0" t="str">
        <f aca="false">IF(AC915&lt;=20,"",IF(AC915&lt;=Assumptions!$F$6,"20-30",IF(AC915&lt;=Assumptions!$F$7,"30-40",IF(AC915&lt;=Assumptions!$F$8,"40-50",IF(AC915&lt;=Assumptions!$F$9,"50-60",IF(AC915&lt;=Assumptions!$F$10,"60+",""))))))</f>
        <v>40-50</v>
      </c>
      <c r="AP915" s="0" t="str">
        <f aca="false">IFERROR(VLOOKUP(O915,Assumptions!$B$14:$C$26,2,FALSE()),"Other")</f>
        <v>Manager</v>
      </c>
      <c r="AQ915" s="0" t="n">
        <f aca="false">IF(T915="",0,1)</f>
        <v>0</v>
      </c>
      <c r="AR915" s="0" t="n">
        <f aca="false">IF(U915="",0,1)</f>
        <v>0</v>
      </c>
      <c r="AS915" s="8" t="n">
        <f aca="false">IF(AK915="","",IF(MAX($AK$2:$AK$921)=MIN($AK$2:$AK$921),50,ROUND((AK915-MIN($AK$2:$AK$921))/(MAX($AK$2:$AK$921)-MIN($AK$2:$AK$921))*100,2)))</f>
        <v>22.85</v>
      </c>
      <c r="AT915" s="8" t="n">
        <f aca="false">IF(MAX($BC$2:$BC$921)=MIN($BC$2:$BC$921),50,ROUND((BC915-MIN($BC$2:$BC$921))/(MAX($BC$2:$BC$921)-MIN($BC$2:$BC$921))*100,2))</f>
        <v>0</v>
      </c>
      <c r="AU915" s="8" t="n">
        <f aca="false">IF(MAX($BE$2:$BE$921)=MIN($BE$2:$BE$921),50,ROUND((BE915-MIN($BE$2:$BE$921))/(MAX($BE$2:$BE$921)-MIN($BE$2:$BE$921))*100,2))</f>
        <v>51.67</v>
      </c>
      <c r="AV915" s="8" t="n">
        <f aca="false">IF(MAX($AD$2:$AD$921)=MIN($AD$2:$AD$921),50,ROUND((AD915-MIN($AD$2:$AD$921))/(MAX($AD$2:$AD$921)-MIN($AD$2:$AD$921))*100,2))</f>
        <v>18.73</v>
      </c>
      <c r="AW915" s="8" t="n">
        <f aca="false">IF(MAX($AN$2:$AN$921)=MIN($AN$2:$AN$921),50,ROUND((AN915-MIN($AN$2:$AN$921))/(MAX($AN$2:$AN$921)-MIN($AN$2:$AN$921))*100,2))</f>
        <v>50</v>
      </c>
      <c r="AX915" s="8" t="n">
        <f aca="false">AQ915*100</f>
        <v>0</v>
      </c>
      <c r="AY915" s="8" t="n">
        <f aca="false">AR915*100</f>
        <v>0</v>
      </c>
      <c r="AZ915" s="8" t="n">
        <f aca="false">IFERROR(ROUND(AS915*Assumptions!$I$6+AW915*Assumptions!$I$7+AT915*Assumptions!$I$8+AU915*Assumptions!$I$9+AV915*Assumptions!$I$10+AX915*Assumptions!$I$11+AY915*Assumptions!$I$12,2),"")</f>
        <v>26.48</v>
      </c>
      <c r="BA915" s="0" t="str">
        <f aca="false">IF(AZ915="","",IF(AZ915&lt;=Assumptions!$I$18,"Below Expectation",IF(AZ915&lt;=Assumptions!$I$19,"Developing",IF(AZ915&lt;=Assumptions!$I$20,"Meets Expectation",IF(AZ915&lt;=Assumptions!$I$21,"Exceeds","Star Performer")))))</f>
        <v>Below Expectation</v>
      </c>
      <c r="BB915" s="0" t="n">
        <f aca="false">IF(AZ915="",0,IF(AZ915&gt;=Assumptions!$I$26,1,0))</f>
        <v>0</v>
      </c>
      <c r="BC915" s="9" t="n">
        <f aca="false">IF(AL915="",2,AL915+2)</f>
        <v>0</v>
      </c>
      <c r="BD915" s="10" t="n">
        <f aca="false">IF(AM915="",ROUND(AVERAGE($AM$2:$AM$921),3),AM915)</f>
        <v>0.837</v>
      </c>
      <c r="BE915" s="9" t="n">
        <f aca="false">1-BD915</f>
        <v>0.163</v>
      </c>
    </row>
    <row r="916" customFormat="false" ht="14.25" hidden="true" customHeight="false" outlineLevel="0" collapsed="false">
      <c r="A916" s="4" t="n">
        <v>904</v>
      </c>
      <c r="B916" s="5" t="n">
        <v>55145060</v>
      </c>
      <c r="C916" s="5" t="s">
        <v>149</v>
      </c>
      <c r="D916" s="5" t="s">
        <v>2853</v>
      </c>
      <c r="E916" s="5" t="s">
        <v>2767</v>
      </c>
      <c r="F916" s="5" t="s">
        <v>1399</v>
      </c>
      <c r="G916" s="5" t="s">
        <v>1400</v>
      </c>
      <c r="H916" s="5" t="s">
        <v>1399</v>
      </c>
      <c r="I916" s="5" t="s">
        <v>63</v>
      </c>
      <c r="J916" s="5" t="s">
        <v>100</v>
      </c>
      <c r="K916" s="5" t="s">
        <v>309</v>
      </c>
      <c r="L916" s="6" t="n">
        <v>45705</v>
      </c>
      <c r="M916" s="5" t="s">
        <v>1257</v>
      </c>
      <c r="N916" s="6" t="n">
        <v>35625</v>
      </c>
      <c r="O916" s="5" t="s">
        <v>365</v>
      </c>
      <c r="P916" s="5" t="s">
        <v>365</v>
      </c>
      <c r="Q916" s="5" t="s">
        <v>568</v>
      </c>
      <c r="R916" s="5" t="s">
        <v>231</v>
      </c>
      <c r="S916" s="5" t="s">
        <v>1304</v>
      </c>
      <c r="T916" s="6"/>
      <c r="U916" s="6"/>
      <c r="V916" s="5"/>
      <c r="W916" s="5"/>
      <c r="X916" s="5"/>
      <c r="Y916" s="5"/>
      <c r="Z916" s="5" t="s">
        <v>631</v>
      </c>
      <c r="AA916" s="5" t="s">
        <v>2854</v>
      </c>
      <c r="AB916" s="0" t="n">
        <f aca="false">IFERROR(VALUE(R916),0)</f>
        <v>3.9</v>
      </c>
      <c r="AC916" s="0" t="n">
        <f aca="false">IFERROR(VALUE(M916),"")</f>
        <v>28.1</v>
      </c>
      <c r="AD916" s="0" t="n">
        <f aca="false">IFERROR(VALUE(Q916),"")</f>
        <v>1.3</v>
      </c>
      <c r="AE916" s="0" t="n">
        <f aca="false">IFERROR(VALUE(S916),"")</f>
        <v>5</v>
      </c>
      <c r="AF916" s="0" t="str">
        <f aca="false">IF(V916="","",VLOOKUP(V916,Assumptions!$B$6:$C$9,2,FALSE()))</f>
        <v/>
      </c>
      <c r="AG916" s="0" t="str">
        <f aca="false">IF(W916="","",VLOOKUP(W916,Assumptions!$B$6:$C$9,2,FALSE()))</f>
        <v/>
      </c>
      <c r="AH916" s="0" t="str">
        <f aca="false">IF(X916="","",VLOOKUP(X916,Assumptions!$B$6:$C$9,2,FALSE()))</f>
        <v/>
      </c>
      <c r="AI916" s="0" t="str">
        <f aca="false">IF(Y916="","",VLOOKUP(Y916,Assumptions!$B$6:$C$9,2,FALSE()))</f>
        <v/>
      </c>
      <c r="AJ916" s="0" t="n">
        <f aca="false">IF(Z916="","",VLOOKUP(Z916,Assumptions!$B$6:$C$9,2,FALSE()))</f>
        <v>2</v>
      </c>
      <c r="AK916" s="7" t="n">
        <f aca="false">IFERROR(ROUND(AVERAGE(AF916:AJ916),3),"")</f>
        <v>2</v>
      </c>
      <c r="AL916" s="7" t="str">
        <f aca="false">IF(OR(AF916="",AJ916=""),"",AJ916-AF916)</f>
        <v/>
      </c>
      <c r="AM916" s="7" t="str">
        <f aca="false">IF(COUNT(AF916:AJ916)&gt;=2,ROUND(_xlfn.STDEV.S(AF916:AJ916),3),"")</f>
        <v/>
      </c>
      <c r="AN916" s="7" t="n">
        <f aca="false">ROUND((IF(AF916="",0,AF916)*Assumptions!$F$15)+(IF(AG916="",0,AG916)*Assumptions!$F$16)+(IF(AH916="",0,AH916)*Assumptions!$F$17)+(IF(AI916="",0,AI916)*Assumptions!$F$18)+(IF(AJ916="",0,AJ916)*Assumptions!$F$19),3)</f>
        <v>0.6</v>
      </c>
      <c r="AO916" s="0" t="str">
        <f aca="false">IF(AC916&lt;=20,"",IF(AC916&lt;=Assumptions!$F$6,"20-30",IF(AC916&lt;=Assumptions!$F$7,"30-40",IF(AC916&lt;=Assumptions!$F$8,"40-50",IF(AC916&lt;=Assumptions!$F$9,"50-60",IF(AC916&lt;=Assumptions!$F$10,"60+",""))))))</f>
        <v>20-30</v>
      </c>
      <c r="AP916" s="0" t="str">
        <f aca="false">IFERROR(VLOOKUP(O916,Assumptions!$B$14:$C$26,2,FALSE()),"Other")</f>
        <v>Manager</v>
      </c>
      <c r="AQ916" s="0" t="n">
        <f aca="false">IF(T916="",0,1)</f>
        <v>0</v>
      </c>
      <c r="AR916" s="0" t="n">
        <f aca="false">IF(U916="",0,1)</f>
        <v>0</v>
      </c>
      <c r="AS916" s="8" t="n">
        <f aca="false">IF(AK916="","",IF(MAX($AK$2:$AK$921)=MIN($AK$2:$AK$921),50,ROUND((AK916-MIN($AK$2:$AK$921))/(MAX($AK$2:$AK$921)-MIN($AK$2:$AK$921))*100,2)))</f>
        <v>14.27</v>
      </c>
      <c r="AT916" s="8" t="n">
        <f aca="false">IF(MAX($BC$2:$BC$921)=MIN($BC$2:$BC$921),50,ROUND((BC916-MIN($BC$2:$BC$921))/(MAX($BC$2:$BC$921)-MIN($BC$2:$BC$921))*100,2))</f>
        <v>50</v>
      </c>
      <c r="AU916" s="8" t="n">
        <f aca="false">IF(MAX($BE$2:$BE$921)=MIN($BE$2:$BE$921),50,ROUND((BE916-MIN($BE$2:$BE$921))/(MAX($BE$2:$BE$921)-MIN($BE$2:$BE$921))*100,2))</f>
        <v>75.4</v>
      </c>
      <c r="AV916" s="8" t="n">
        <f aca="false">IF(MAX($AD$2:$AD$921)=MIN($AD$2:$AD$921),50,ROUND((AD916-MIN($AD$2:$AD$921))/(MAX($AD$2:$AD$921)-MIN($AD$2:$AD$921))*100,2))</f>
        <v>3.23</v>
      </c>
      <c r="AW916" s="8" t="n">
        <f aca="false">IF(MAX($AN$2:$AN$921)=MIN($AN$2:$AN$921),50,ROUND((AN916-MIN($AN$2:$AN$921))/(MAX($AN$2:$AN$921)-MIN($AN$2:$AN$921))*100,2))</f>
        <v>15</v>
      </c>
      <c r="AX916" s="8" t="n">
        <f aca="false">AQ916*100</f>
        <v>0</v>
      </c>
      <c r="AY916" s="8" t="n">
        <f aca="false">AR916*100</f>
        <v>0</v>
      </c>
      <c r="AZ916" s="8" t="n">
        <f aca="false">IFERROR(ROUND(AS916*Assumptions!$I$6+AW916*Assumptions!$I$7+AT916*Assumptions!$I$8+AU916*Assumptions!$I$9+AV916*Assumptions!$I$10+AX916*Assumptions!$I$11+AY916*Assumptions!$I$12,2),"")</f>
        <v>26.41</v>
      </c>
      <c r="BA916" s="0" t="str">
        <f aca="false">IF(AZ916="","",IF(AZ916&lt;=Assumptions!$I$18,"Below Expectation",IF(AZ916&lt;=Assumptions!$I$19,"Developing",IF(AZ916&lt;=Assumptions!$I$20,"Meets Expectation",IF(AZ916&lt;=Assumptions!$I$21,"Exceeds","Star Performer")))))</f>
        <v>Below Expectation</v>
      </c>
      <c r="BB916" s="0" t="n">
        <f aca="false">IF(AZ916="",0,IF(AZ916&gt;=Assumptions!$I$26,1,0))</f>
        <v>0</v>
      </c>
      <c r="BC916" s="9" t="n">
        <f aca="false">IF(AL916="",2,AL916+2)</f>
        <v>2</v>
      </c>
      <c r="BD916" s="9" t="n">
        <f aca="false">IF(AM916="",ROUND(AVERAGE($AM$2:$AM$921),3),AM916)</f>
        <v>0.426</v>
      </c>
      <c r="BE916" s="9" t="n">
        <f aca="false">1-BD916</f>
        <v>0.574</v>
      </c>
    </row>
    <row r="917" customFormat="false" ht="14.25" hidden="true" customHeight="false" outlineLevel="0" collapsed="false">
      <c r="A917" s="4" t="n">
        <v>905</v>
      </c>
      <c r="B917" s="5" t="n">
        <v>55145126</v>
      </c>
      <c r="C917" s="5" t="s">
        <v>57</v>
      </c>
      <c r="D917" s="5" t="s">
        <v>2855</v>
      </c>
      <c r="E917" s="5" t="s">
        <v>208</v>
      </c>
      <c r="F917" s="5" t="s">
        <v>608</v>
      </c>
      <c r="G917" s="5" t="s">
        <v>609</v>
      </c>
      <c r="H917" s="5" t="s">
        <v>608</v>
      </c>
      <c r="I917" s="5" t="s">
        <v>63</v>
      </c>
      <c r="J917" s="5" t="s">
        <v>100</v>
      </c>
      <c r="K917" s="5" t="s">
        <v>65</v>
      </c>
      <c r="L917" s="6" t="n">
        <v>45706</v>
      </c>
      <c r="M917" s="5" t="s">
        <v>1143</v>
      </c>
      <c r="N917" s="6" t="n">
        <v>33518</v>
      </c>
      <c r="O917" s="5" t="s">
        <v>365</v>
      </c>
      <c r="P917" s="5" t="s">
        <v>365</v>
      </c>
      <c r="Q917" s="5" t="s">
        <v>568</v>
      </c>
      <c r="R917" s="5" t="s">
        <v>486</v>
      </c>
      <c r="S917" s="5" t="s">
        <v>392</v>
      </c>
      <c r="T917" s="6"/>
      <c r="U917" s="6"/>
      <c r="V917" s="5"/>
      <c r="W917" s="5"/>
      <c r="X917" s="5"/>
      <c r="Y917" s="5"/>
      <c r="Z917" s="5" t="s">
        <v>631</v>
      </c>
      <c r="AA917" s="5" t="s">
        <v>2856</v>
      </c>
      <c r="AB917" s="0" t="n">
        <f aca="false">IFERROR(VALUE(R917),0)</f>
        <v>6.5</v>
      </c>
      <c r="AC917" s="0" t="n">
        <f aca="false">IFERROR(VALUE(M917),"")</f>
        <v>34.8</v>
      </c>
      <c r="AD917" s="0" t="n">
        <f aca="false">IFERROR(VALUE(Q917),"")</f>
        <v>1.3</v>
      </c>
      <c r="AE917" s="0" t="n">
        <f aca="false">IFERROR(VALUE(S917),"")</f>
        <v>7.8</v>
      </c>
      <c r="AF917" s="0" t="str">
        <f aca="false">IF(V917="","",VLOOKUP(V917,Assumptions!$B$6:$C$9,2,FALSE()))</f>
        <v/>
      </c>
      <c r="AG917" s="0" t="str">
        <f aca="false">IF(W917="","",VLOOKUP(W917,Assumptions!$B$6:$C$9,2,FALSE()))</f>
        <v/>
      </c>
      <c r="AH917" s="0" t="str">
        <f aca="false">IF(X917="","",VLOOKUP(X917,Assumptions!$B$6:$C$9,2,FALSE()))</f>
        <v/>
      </c>
      <c r="AI917" s="0" t="str">
        <f aca="false">IF(Y917="","",VLOOKUP(Y917,Assumptions!$B$6:$C$9,2,FALSE()))</f>
        <v/>
      </c>
      <c r="AJ917" s="0" t="n">
        <f aca="false">IF(Z917="","",VLOOKUP(Z917,Assumptions!$B$6:$C$9,2,FALSE()))</f>
        <v>2</v>
      </c>
      <c r="AK917" s="7" t="n">
        <f aca="false">IFERROR(ROUND(AVERAGE(AF917:AJ917),3),"")</f>
        <v>2</v>
      </c>
      <c r="AL917" s="7" t="str">
        <f aca="false">IF(OR(AF917="",AJ917=""),"",AJ917-AF917)</f>
        <v/>
      </c>
      <c r="AM917" s="7" t="str">
        <f aca="false">IF(COUNT(AF917:AJ917)&gt;=2,ROUND(_xlfn.STDEV.S(AF917:AJ917),3),"")</f>
        <v/>
      </c>
      <c r="AN917" s="7" t="n">
        <f aca="false">ROUND((IF(AF917="",0,AF917)*Assumptions!$F$15)+(IF(AG917="",0,AG917)*Assumptions!$F$16)+(IF(AH917="",0,AH917)*Assumptions!$F$17)+(IF(AI917="",0,AI917)*Assumptions!$F$18)+(IF(AJ917="",0,AJ917)*Assumptions!$F$19),3)</f>
        <v>0.6</v>
      </c>
      <c r="AO917" s="0" t="str">
        <f aca="false">IF(AC917&lt;=20,"",IF(AC917&lt;=Assumptions!$F$6,"20-30",IF(AC917&lt;=Assumptions!$F$7,"30-40",IF(AC917&lt;=Assumptions!$F$8,"40-50",IF(AC917&lt;=Assumptions!$F$9,"50-60",IF(AC917&lt;=Assumptions!$F$10,"60+",""))))))</f>
        <v>30-40</v>
      </c>
      <c r="AP917" s="0" t="str">
        <f aca="false">IFERROR(VLOOKUP(O917,Assumptions!$B$14:$C$26,2,FALSE()),"Other")</f>
        <v>Manager</v>
      </c>
      <c r="AQ917" s="0" t="n">
        <f aca="false">IF(T917="",0,1)</f>
        <v>0</v>
      </c>
      <c r="AR917" s="0" t="n">
        <f aca="false">IF(U917="",0,1)</f>
        <v>0</v>
      </c>
      <c r="AS917" s="8" t="n">
        <f aca="false">IF(AK917="","",IF(MAX($AK$2:$AK$921)=MIN($AK$2:$AK$921),50,ROUND((AK917-MIN($AK$2:$AK$921))/(MAX($AK$2:$AK$921)-MIN($AK$2:$AK$921))*100,2)))</f>
        <v>14.27</v>
      </c>
      <c r="AT917" s="8" t="n">
        <f aca="false">IF(MAX($BC$2:$BC$921)=MIN($BC$2:$BC$921),50,ROUND((BC917-MIN($BC$2:$BC$921))/(MAX($BC$2:$BC$921)-MIN($BC$2:$BC$921))*100,2))</f>
        <v>50</v>
      </c>
      <c r="AU917" s="8" t="n">
        <f aca="false">IF(MAX($BE$2:$BE$921)=MIN($BE$2:$BE$921),50,ROUND((BE917-MIN($BE$2:$BE$921))/(MAX($BE$2:$BE$921)-MIN($BE$2:$BE$921))*100,2))</f>
        <v>75.4</v>
      </c>
      <c r="AV917" s="8" t="n">
        <f aca="false">IF(MAX($AD$2:$AD$921)=MIN($AD$2:$AD$921),50,ROUND((AD917-MIN($AD$2:$AD$921))/(MAX($AD$2:$AD$921)-MIN($AD$2:$AD$921))*100,2))</f>
        <v>3.23</v>
      </c>
      <c r="AW917" s="8" t="n">
        <f aca="false">IF(MAX($AN$2:$AN$921)=MIN($AN$2:$AN$921),50,ROUND((AN917-MIN($AN$2:$AN$921))/(MAX($AN$2:$AN$921)-MIN($AN$2:$AN$921))*100,2))</f>
        <v>15</v>
      </c>
      <c r="AX917" s="8" t="n">
        <f aca="false">AQ917*100</f>
        <v>0</v>
      </c>
      <c r="AY917" s="8" t="n">
        <f aca="false">AR917*100</f>
        <v>0</v>
      </c>
      <c r="AZ917" s="8" t="n">
        <f aca="false">IFERROR(ROUND(AS917*Assumptions!$I$6+AW917*Assumptions!$I$7+AT917*Assumptions!$I$8+AU917*Assumptions!$I$9+AV917*Assumptions!$I$10+AX917*Assumptions!$I$11+AY917*Assumptions!$I$12,2),"")</f>
        <v>26.41</v>
      </c>
      <c r="BA917" s="0" t="str">
        <f aca="false">IF(AZ917="","",IF(AZ917&lt;=Assumptions!$I$18,"Below Expectation",IF(AZ917&lt;=Assumptions!$I$19,"Developing",IF(AZ917&lt;=Assumptions!$I$20,"Meets Expectation",IF(AZ917&lt;=Assumptions!$I$21,"Exceeds","Star Performer")))))</f>
        <v>Below Expectation</v>
      </c>
      <c r="BB917" s="0" t="n">
        <f aca="false">IF(AZ917="",0,IF(AZ917&gt;=Assumptions!$I$26,1,0))</f>
        <v>0</v>
      </c>
      <c r="BC917" s="9" t="n">
        <f aca="false">IF(AL917="",2,AL917+2)</f>
        <v>2</v>
      </c>
      <c r="BD917" s="9" t="n">
        <f aca="false">IF(AM917="",ROUND(AVERAGE($AM$2:$AM$921),3),AM917)</f>
        <v>0.426</v>
      </c>
      <c r="BE917" s="9" t="n">
        <f aca="false">1-BD917</f>
        <v>0.574</v>
      </c>
    </row>
    <row r="918" customFormat="false" ht="14.25" hidden="true" customHeight="false" outlineLevel="0" collapsed="false">
      <c r="A918" s="4" t="n">
        <v>906</v>
      </c>
      <c r="B918" s="5" t="n">
        <v>55146149</v>
      </c>
      <c r="C918" s="5" t="s">
        <v>57</v>
      </c>
      <c r="D918" s="5" t="s">
        <v>2857</v>
      </c>
      <c r="E918" s="5" t="s">
        <v>607</v>
      </c>
      <c r="F918" s="5" t="s">
        <v>387</v>
      </c>
      <c r="G918" s="5" t="s">
        <v>388</v>
      </c>
      <c r="H918" s="5" t="s">
        <v>387</v>
      </c>
      <c r="I918" s="5" t="s">
        <v>63</v>
      </c>
      <c r="J918" s="5" t="s">
        <v>100</v>
      </c>
      <c r="K918" s="5" t="s">
        <v>65</v>
      </c>
      <c r="L918" s="6" t="n">
        <v>45726</v>
      </c>
      <c r="M918" s="5" t="s">
        <v>1601</v>
      </c>
      <c r="N918" s="6" t="n">
        <v>30446</v>
      </c>
      <c r="O918" s="5" t="s">
        <v>332</v>
      </c>
      <c r="P918" s="5" t="s">
        <v>333</v>
      </c>
      <c r="Q918" s="5" t="s">
        <v>643</v>
      </c>
      <c r="R918" s="5" t="s">
        <v>670</v>
      </c>
      <c r="S918" s="5" t="s">
        <v>1638</v>
      </c>
      <c r="T918" s="6"/>
      <c r="U918" s="6"/>
      <c r="V918" s="5"/>
      <c r="W918" s="5"/>
      <c r="X918" s="5"/>
      <c r="Y918" s="5"/>
      <c r="Z918" s="5" t="s">
        <v>631</v>
      </c>
      <c r="AA918" s="5" t="s">
        <v>2858</v>
      </c>
      <c r="AB918" s="0" t="n">
        <f aca="false">IFERROR(VALUE(R918),0)</f>
        <v>18.4</v>
      </c>
      <c r="AC918" s="0" t="n">
        <f aca="false">IFERROR(VALUE(M918),"")</f>
        <v>43</v>
      </c>
      <c r="AD918" s="0" t="n">
        <f aca="false">IFERROR(VALUE(Q918),"")</f>
        <v>1.2</v>
      </c>
      <c r="AE918" s="0" t="n">
        <f aca="false">IFERROR(VALUE(S918),"")</f>
        <v>19.6</v>
      </c>
      <c r="AF918" s="0" t="str">
        <f aca="false">IF(V918="","",VLOOKUP(V918,Assumptions!$B$6:$C$9,2,FALSE()))</f>
        <v/>
      </c>
      <c r="AG918" s="0" t="str">
        <f aca="false">IF(W918="","",VLOOKUP(W918,Assumptions!$B$6:$C$9,2,FALSE()))</f>
        <v/>
      </c>
      <c r="AH918" s="0" t="str">
        <f aca="false">IF(X918="","",VLOOKUP(X918,Assumptions!$B$6:$C$9,2,FALSE()))</f>
        <v/>
      </c>
      <c r="AI918" s="0" t="str">
        <f aca="false">IF(Y918="","",VLOOKUP(Y918,Assumptions!$B$6:$C$9,2,FALSE()))</f>
        <v/>
      </c>
      <c r="AJ918" s="0" t="n">
        <f aca="false">IF(Z918="","",VLOOKUP(Z918,Assumptions!$B$6:$C$9,2,FALSE()))</f>
        <v>2</v>
      </c>
      <c r="AK918" s="7" t="n">
        <f aca="false">IFERROR(ROUND(AVERAGE(AF918:AJ918),3),"")</f>
        <v>2</v>
      </c>
      <c r="AL918" s="7" t="str">
        <f aca="false">IF(OR(AF918="",AJ918=""),"",AJ918-AF918)</f>
        <v/>
      </c>
      <c r="AM918" s="7" t="str">
        <f aca="false">IF(COUNT(AF918:AJ918)&gt;=2,ROUND(_xlfn.STDEV.S(AF918:AJ918),3),"")</f>
        <v/>
      </c>
      <c r="AN918" s="7" t="n">
        <f aca="false">ROUND((IF(AF918="",0,AF918)*Assumptions!$F$15)+(IF(AG918="",0,AG918)*Assumptions!$F$16)+(IF(AH918="",0,AH918)*Assumptions!$F$17)+(IF(AI918="",0,AI918)*Assumptions!$F$18)+(IF(AJ918="",0,AJ918)*Assumptions!$F$19),3)</f>
        <v>0.6</v>
      </c>
      <c r="AO918" s="0" t="str">
        <f aca="false">IF(AC918&lt;=20,"",IF(AC918&lt;=Assumptions!$F$6,"20-30",IF(AC918&lt;=Assumptions!$F$7,"30-40",IF(AC918&lt;=Assumptions!$F$8,"40-50",IF(AC918&lt;=Assumptions!$F$9,"50-60",IF(AC918&lt;=Assumptions!$F$10,"60+",""))))))</f>
        <v>40-50</v>
      </c>
      <c r="AP918" s="0" t="str">
        <f aca="false">IFERROR(VLOOKUP(O918,Assumptions!$B$14:$C$26,2,FALSE()),"Other")</f>
        <v>Manager</v>
      </c>
      <c r="AQ918" s="0" t="n">
        <f aca="false">IF(T918="",0,1)</f>
        <v>0</v>
      </c>
      <c r="AR918" s="0" t="n">
        <f aca="false">IF(U918="",0,1)</f>
        <v>0</v>
      </c>
      <c r="AS918" s="8" t="n">
        <f aca="false">IF(AK918="","",IF(MAX($AK$2:$AK$921)=MIN($AK$2:$AK$921),50,ROUND((AK918-MIN($AK$2:$AK$921))/(MAX($AK$2:$AK$921)-MIN($AK$2:$AK$921))*100,2)))</f>
        <v>14.27</v>
      </c>
      <c r="AT918" s="8" t="n">
        <f aca="false">IF(MAX($BC$2:$BC$921)=MIN($BC$2:$BC$921),50,ROUND((BC918-MIN($BC$2:$BC$921))/(MAX($BC$2:$BC$921)-MIN($BC$2:$BC$921))*100,2))</f>
        <v>50</v>
      </c>
      <c r="AU918" s="8" t="n">
        <f aca="false">IF(MAX($BE$2:$BE$921)=MIN($BE$2:$BE$921),50,ROUND((BE918-MIN($BE$2:$BE$921))/(MAX($BE$2:$BE$921)-MIN($BE$2:$BE$921))*100,2))</f>
        <v>75.4</v>
      </c>
      <c r="AV918" s="8" t="n">
        <f aca="false">IF(MAX($AD$2:$AD$921)=MIN($AD$2:$AD$921),50,ROUND((AD918-MIN($AD$2:$AD$921))/(MAX($AD$2:$AD$921)-MIN($AD$2:$AD$921))*100,2))</f>
        <v>2.96</v>
      </c>
      <c r="AW918" s="8" t="n">
        <f aca="false">IF(MAX($AN$2:$AN$921)=MIN($AN$2:$AN$921),50,ROUND((AN918-MIN($AN$2:$AN$921))/(MAX($AN$2:$AN$921)-MIN($AN$2:$AN$921))*100,2))</f>
        <v>15</v>
      </c>
      <c r="AX918" s="8" t="n">
        <f aca="false">AQ918*100</f>
        <v>0</v>
      </c>
      <c r="AY918" s="8" t="n">
        <f aca="false">AR918*100</f>
        <v>0</v>
      </c>
      <c r="AZ918" s="8" t="n">
        <f aca="false">IFERROR(ROUND(AS918*Assumptions!$I$6+AW918*Assumptions!$I$7+AT918*Assumptions!$I$8+AU918*Assumptions!$I$9+AV918*Assumptions!$I$10+AX918*Assumptions!$I$11+AY918*Assumptions!$I$12,2),"")</f>
        <v>26.39</v>
      </c>
      <c r="BA918" s="0" t="str">
        <f aca="false">IF(AZ918="","",IF(AZ918&lt;=Assumptions!$I$18,"Below Expectation",IF(AZ918&lt;=Assumptions!$I$19,"Developing",IF(AZ918&lt;=Assumptions!$I$20,"Meets Expectation",IF(AZ918&lt;=Assumptions!$I$21,"Exceeds","Star Performer")))))</f>
        <v>Below Expectation</v>
      </c>
      <c r="BB918" s="0" t="n">
        <f aca="false">IF(AZ918="",0,IF(AZ918&gt;=Assumptions!$I$26,1,0))</f>
        <v>0</v>
      </c>
      <c r="BC918" s="9" t="n">
        <f aca="false">IF(AL918="",2,AL918+2)</f>
        <v>2</v>
      </c>
      <c r="BD918" s="9" t="n">
        <f aca="false">IF(AM918="",ROUND(AVERAGE($AM$2:$AM$921),3),AM918)</f>
        <v>0.426</v>
      </c>
      <c r="BE918" s="9" t="n">
        <f aca="false">1-BD918</f>
        <v>0.574</v>
      </c>
    </row>
    <row r="919" customFormat="false" ht="14.25" hidden="true" customHeight="false" outlineLevel="0" collapsed="false">
      <c r="A919" s="4" t="n">
        <v>907</v>
      </c>
      <c r="B919" s="5" t="n">
        <v>55147507</v>
      </c>
      <c r="C919" s="5" t="s">
        <v>57</v>
      </c>
      <c r="D919" s="5" t="s">
        <v>2859</v>
      </c>
      <c r="E919" s="5" t="s">
        <v>514</v>
      </c>
      <c r="F919" s="5" t="s">
        <v>608</v>
      </c>
      <c r="G919" s="5" t="s">
        <v>609</v>
      </c>
      <c r="H919" s="5" t="s">
        <v>608</v>
      </c>
      <c r="I919" s="5" t="s">
        <v>63</v>
      </c>
      <c r="J919" s="5" t="s">
        <v>100</v>
      </c>
      <c r="K919" s="5" t="s">
        <v>65</v>
      </c>
      <c r="L919" s="6" t="n">
        <v>45761</v>
      </c>
      <c r="M919" s="5" t="s">
        <v>359</v>
      </c>
      <c r="N919" s="6" t="n">
        <v>34297</v>
      </c>
      <c r="O919" s="5" t="s">
        <v>365</v>
      </c>
      <c r="P919" s="5" t="s">
        <v>365</v>
      </c>
      <c r="Q919" s="5" t="s">
        <v>366</v>
      </c>
      <c r="R919" s="5" t="s">
        <v>287</v>
      </c>
      <c r="S919" s="5" t="s">
        <v>685</v>
      </c>
      <c r="T919" s="6"/>
      <c r="U919" s="6"/>
      <c r="V919" s="5"/>
      <c r="W919" s="5"/>
      <c r="X919" s="5"/>
      <c r="Y919" s="5"/>
      <c r="Z919" s="5" t="s">
        <v>631</v>
      </c>
      <c r="AA919" s="5" t="s">
        <v>2860</v>
      </c>
      <c r="AB919" s="0" t="n">
        <f aca="false">IFERROR(VALUE(R919),0)</f>
        <v>4</v>
      </c>
      <c r="AC919" s="0" t="n">
        <f aca="false">IFERROR(VALUE(M919),"")</f>
        <v>32.6</v>
      </c>
      <c r="AD919" s="0" t="n">
        <f aca="false">IFERROR(VALUE(Q919),"")</f>
        <v>1.1</v>
      </c>
      <c r="AE919" s="0" t="n">
        <f aca="false">IFERROR(VALUE(S919),"")</f>
        <v>5.1</v>
      </c>
      <c r="AF919" s="0" t="str">
        <f aca="false">IF(V919="","",VLOOKUP(V919,Assumptions!$B$6:$C$9,2,FALSE()))</f>
        <v/>
      </c>
      <c r="AG919" s="0" t="str">
        <f aca="false">IF(W919="","",VLOOKUP(W919,Assumptions!$B$6:$C$9,2,FALSE()))</f>
        <v/>
      </c>
      <c r="AH919" s="0" t="str">
        <f aca="false">IF(X919="","",VLOOKUP(X919,Assumptions!$B$6:$C$9,2,FALSE()))</f>
        <v/>
      </c>
      <c r="AI919" s="0" t="str">
        <f aca="false">IF(Y919="","",VLOOKUP(Y919,Assumptions!$B$6:$C$9,2,FALSE()))</f>
        <v/>
      </c>
      <c r="AJ919" s="0" t="n">
        <f aca="false">IF(Z919="","",VLOOKUP(Z919,Assumptions!$B$6:$C$9,2,FALSE()))</f>
        <v>2</v>
      </c>
      <c r="AK919" s="7" t="n">
        <f aca="false">IFERROR(ROUND(AVERAGE(AF919:AJ919),3),"")</f>
        <v>2</v>
      </c>
      <c r="AL919" s="7" t="str">
        <f aca="false">IF(OR(AF919="",AJ919=""),"",AJ919-AF919)</f>
        <v/>
      </c>
      <c r="AM919" s="7" t="str">
        <f aca="false">IF(COUNT(AF919:AJ919)&gt;=2,ROUND(_xlfn.STDEV.S(AF919:AJ919),3),"")</f>
        <v/>
      </c>
      <c r="AN919" s="7" t="n">
        <f aca="false">ROUND((IF(AF919="",0,AF919)*Assumptions!$F$15)+(IF(AG919="",0,AG919)*Assumptions!$F$16)+(IF(AH919="",0,AH919)*Assumptions!$F$17)+(IF(AI919="",0,AI919)*Assumptions!$F$18)+(IF(AJ919="",0,AJ919)*Assumptions!$F$19),3)</f>
        <v>0.6</v>
      </c>
      <c r="AO919" s="0" t="str">
        <f aca="false">IF(AC919&lt;=20,"",IF(AC919&lt;=Assumptions!$F$6,"20-30",IF(AC919&lt;=Assumptions!$F$7,"30-40",IF(AC919&lt;=Assumptions!$F$8,"40-50",IF(AC919&lt;=Assumptions!$F$9,"50-60",IF(AC919&lt;=Assumptions!$F$10,"60+",""))))))</f>
        <v>30-40</v>
      </c>
      <c r="AP919" s="0" t="str">
        <f aca="false">IFERROR(VLOOKUP(O919,Assumptions!$B$14:$C$26,2,FALSE()),"Other")</f>
        <v>Manager</v>
      </c>
      <c r="AQ919" s="0" t="n">
        <f aca="false">IF(T919="",0,1)</f>
        <v>0</v>
      </c>
      <c r="AR919" s="0" t="n">
        <f aca="false">IF(U919="",0,1)</f>
        <v>0</v>
      </c>
      <c r="AS919" s="8" t="n">
        <f aca="false">IF(AK919="","",IF(MAX($AK$2:$AK$921)=MIN($AK$2:$AK$921),50,ROUND((AK919-MIN($AK$2:$AK$921))/(MAX($AK$2:$AK$921)-MIN($AK$2:$AK$921))*100,2)))</f>
        <v>14.27</v>
      </c>
      <c r="AT919" s="8" t="n">
        <f aca="false">IF(MAX($BC$2:$BC$921)=MIN($BC$2:$BC$921),50,ROUND((BC919-MIN($BC$2:$BC$921))/(MAX($BC$2:$BC$921)-MIN($BC$2:$BC$921))*100,2))</f>
        <v>50</v>
      </c>
      <c r="AU919" s="8" t="n">
        <f aca="false">IF(MAX($BE$2:$BE$921)=MIN($BE$2:$BE$921),50,ROUND((BE919-MIN($BE$2:$BE$921))/(MAX($BE$2:$BE$921)-MIN($BE$2:$BE$921))*100,2))</f>
        <v>75.4</v>
      </c>
      <c r="AV919" s="8" t="n">
        <f aca="false">IF(MAX($AD$2:$AD$921)=MIN($AD$2:$AD$921),50,ROUND((AD919-MIN($AD$2:$AD$921))/(MAX($AD$2:$AD$921)-MIN($AD$2:$AD$921))*100,2))</f>
        <v>2.69</v>
      </c>
      <c r="AW919" s="8" t="n">
        <f aca="false">IF(MAX($AN$2:$AN$921)=MIN($AN$2:$AN$921),50,ROUND((AN919-MIN($AN$2:$AN$921))/(MAX($AN$2:$AN$921)-MIN($AN$2:$AN$921))*100,2))</f>
        <v>15</v>
      </c>
      <c r="AX919" s="8" t="n">
        <f aca="false">AQ919*100</f>
        <v>0</v>
      </c>
      <c r="AY919" s="8" t="n">
        <f aca="false">AR919*100</f>
        <v>0</v>
      </c>
      <c r="AZ919" s="8" t="n">
        <f aca="false">IFERROR(ROUND(AS919*Assumptions!$I$6+AW919*Assumptions!$I$7+AT919*Assumptions!$I$8+AU919*Assumptions!$I$9+AV919*Assumptions!$I$10+AX919*Assumptions!$I$11+AY919*Assumptions!$I$12,2),"")</f>
        <v>26.36</v>
      </c>
      <c r="BA919" s="0" t="str">
        <f aca="false">IF(AZ919="","",IF(AZ919&lt;=Assumptions!$I$18,"Below Expectation",IF(AZ919&lt;=Assumptions!$I$19,"Developing",IF(AZ919&lt;=Assumptions!$I$20,"Meets Expectation",IF(AZ919&lt;=Assumptions!$I$21,"Exceeds","Star Performer")))))</f>
        <v>Below Expectation</v>
      </c>
      <c r="BB919" s="0" t="n">
        <f aca="false">IF(AZ919="",0,IF(AZ919&gt;=Assumptions!$I$26,1,0))</f>
        <v>0</v>
      </c>
      <c r="BC919" s="9" t="n">
        <f aca="false">IF(AL919="",2,AL919+2)</f>
        <v>2</v>
      </c>
      <c r="BD919" s="9" t="n">
        <f aca="false">IF(AM919="",ROUND(AVERAGE($AM$2:$AM$921),3),AM919)</f>
        <v>0.426</v>
      </c>
      <c r="BE919" s="9" t="n">
        <f aca="false">1-BD919</f>
        <v>0.574</v>
      </c>
    </row>
    <row r="920" customFormat="false" ht="14.25" hidden="true" customHeight="false" outlineLevel="0" collapsed="false">
      <c r="A920" s="4" t="n">
        <v>817</v>
      </c>
      <c r="B920" s="5" t="n">
        <v>55087488</v>
      </c>
      <c r="C920" s="5" t="s">
        <v>85</v>
      </c>
      <c r="D920" s="5" t="s">
        <v>2861</v>
      </c>
      <c r="E920" s="5" t="s">
        <v>315</v>
      </c>
      <c r="F920" s="5" t="s">
        <v>2251</v>
      </c>
      <c r="G920" s="5" t="s">
        <v>2250</v>
      </c>
      <c r="H920" s="5" t="s">
        <v>2251</v>
      </c>
      <c r="I920" s="5" t="s">
        <v>63</v>
      </c>
      <c r="J920" s="5" t="s">
        <v>76</v>
      </c>
      <c r="K920" s="5" t="s">
        <v>309</v>
      </c>
      <c r="L920" s="6" t="n">
        <v>45230</v>
      </c>
      <c r="M920" s="5" t="s">
        <v>1789</v>
      </c>
      <c r="N920" s="6" t="n">
        <v>37121</v>
      </c>
      <c r="O920" s="5" t="s">
        <v>1264</v>
      </c>
      <c r="P920" s="5" t="s">
        <v>1559</v>
      </c>
      <c r="Q920" s="5" t="s">
        <v>195</v>
      </c>
      <c r="R920" s="5" t="s">
        <v>115</v>
      </c>
      <c r="S920" s="5" t="s">
        <v>195</v>
      </c>
      <c r="T920" s="6"/>
      <c r="U920" s="6"/>
      <c r="V920" s="5"/>
      <c r="W920" s="5"/>
      <c r="X920" s="5" t="s">
        <v>631</v>
      </c>
      <c r="Y920" s="5" t="s">
        <v>2030</v>
      </c>
      <c r="Z920" s="5" t="s">
        <v>631</v>
      </c>
      <c r="AA920" s="5" t="s">
        <v>2862</v>
      </c>
      <c r="AB920" s="0" t="n">
        <f aca="false">IFERROR(VALUE(R920),0)</f>
        <v>0</v>
      </c>
      <c r="AC920" s="0" t="n">
        <f aca="false">IFERROR(VALUE(M920),"")</f>
        <v>24.9</v>
      </c>
      <c r="AD920" s="0" t="n">
        <f aca="false">IFERROR(VALUE(Q920),"")</f>
        <v>2.7</v>
      </c>
      <c r="AE920" s="0" t="n">
        <f aca="false">IFERROR(VALUE(S920),"")</f>
        <v>2.7</v>
      </c>
      <c r="AF920" s="0" t="str">
        <f aca="false">IF(V920="","",VLOOKUP(V920,Assumptions!$B$6:$C$9,2,FALSE()))</f>
        <v/>
      </c>
      <c r="AG920" s="0" t="str">
        <f aca="false">IF(W920="","",VLOOKUP(W920,Assumptions!$B$6:$C$9,2,FALSE()))</f>
        <v/>
      </c>
      <c r="AH920" s="0" t="n">
        <f aca="false">IF(X920="","",VLOOKUP(X920,Assumptions!$B$6:$C$9,2,FALSE()))</f>
        <v>2</v>
      </c>
      <c r="AI920" s="0" t="n">
        <f aca="false">IF(Y920="","",VLOOKUP(Y920,Assumptions!$B$6:$C$9,2,FALSE()))</f>
        <v>1</v>
      </c>
      <c r="AJ920" s="0" t="n">
        <f aca="false">IF(Z920="","",VLOOKUP(Z920,Assumptions!$B$6:$C$9,2,FALSE()))</f>
        <v>2</v>
      </c>
      <c r="AK920" s="7" t="n">
        <f aca="false">IFERROR(ROUND(AVERAGE(AF920:AJ920),3),"")</f>
        <v>1.667</v>
      </c>
      <c r="AL920" s="7" t="str">
        <f aca="false">IF(OR(AF920="",AJ920=""),"",AJ920-AF920)</f>
        <v/>
      </c>
      <c r="AM920" s="7" t="n">
        <f aca="false">IF(COUNT(AF920:AJ920)&gt;=2,ROUND(_xlfn.STDEV.S(AF920:AJ920),3),"")</f>
        <v>0.577</v>
      </c>
      <c r="AN920" s="7" t="n">
        <f aca="false">ROUND((IF(AF920="",0,AF920)*Assumptions!$F$15)+(IF(AG920="",0,AG920)*Assumptions!$F$16)+(IF(AH920="",0,AH920)*Assumptions!$F$17)+(IF(AI920="",0,AI920)*Assumptions!$F$18)+(IF(AJ920="",0,AJ920)*Assumptions!$F$19),3)</f>
        <v>1.25</v>
      </c>
      <c r="AO920" s="0" t="str">
        <f aca="false">IF(AC920&lt;=20,"",IF(AC920&lt;=Assumptions!$F$6,"20-30",IF(AC920&lt;=Assumptions!$F$7,"30-40",IF(AC920&lt;=Assumptions!$F$8,"40-50",IF(AC920&lt;=Assumptions!$F$9,"50-60",IF(AC920&lt;=Assumptions!$F$10,"60+",""))))))</f>
        <v>20-30</v>
      </c>
      <c r="AP920" s="0" t="str">
        <f aca="false">IFERROR(VLOOKUP(O920,Assumptions!$B$14:$C$26,2,FALSE()),"Other")</f>
        <v>Manager</v>
      </c>
      <c r="AQ920" s="0" t="n">
        <f aca="false">IF(T920="",0,1)</f>
        <v>0</v>
      </c>
      <c r="AR920" s="0" t="n">
        <f aca="false">IF(U920="",0,1)</f>
        <v>0</v>
      </c>
      <c r="AS920" s="8" t="n">
        <f aca="false">IF(AK920="","",IF(MAX($AK$2:$AK$921)=MIN($AK$2:$AK$921),50,ROUND((AK920-MIN($AK$2:$AK$921))/(MAX($AK$2:$AK$921)-MIN($AK$2:$AK$921))*100,2)))</f>
        <v>0</v>
      </c>
      <c r="AT920" s="8" t="n">
        <f aca="false">IF(MAX($BC$2:$BC$921)=MIN($BC$2:$BC$921),50,ROUND((BC920-MIN($BC$2:$BC$921))/(MAX($BC$2:$BC$921)-MIN($BC$2:$BC$921))*100,2))</f>
        <v>50</v>
      </c>
      <c r="AU920" s="8" t="n">
        <f aca="false">IF(MAX($BE$2:$BE$921)=MIN($BE$2:$BE$921),50,ROUND((BE920-MIN($BE$2:$BE$921))/(MAX($BE$2:$BE$921)-MIN($BE$2:$BE$921))*100,2))</f>
        <v>66.69</v>
      </c>
      <c r="AV920" s="8" t="n">
        <f aca="false">IF(MAX($AD$2:$AD$921)=MIN($AD$2:$AD$921),50,ROUND((AD920-MIN($AD$2:$AD$921))/(MAX($AD$2:$AD$921)-MIN($AD$2:$AD$921))*100,2))</f>
        <v>7.04</v>
      </c>
      <c r="AW920" s="8" t="n">
        <f aca="false">IF(MAX($AN$2:$AN$921)=MIN($AN$2:$AN$921),50,ROUND((AN920-MIN($AN$2:$AN$921))/(MAX($AN$2:$AN$921)-MIN($AN$2:$AN$921))*100,2))</f>
        <v>31.25</v>
      </c>
      <c r="AX920" s="8" t="n">
        <f aca="false">AQ920*100</f>
        <v>0</v>
      </c>
      <c r="AY920" s="8" t="n">
        <f aca="false">AR920*100</f>
        <v>0</v>
      </c>
      <c r="AZ920" s="8" t="n">
        <f aca="false">IFERROR(ROUND(AS920*Assumptions!$I$6+AW920*Assumptions!$I$7+AT920*Assumptions!$I$8+AU920*Assumptions!$I$9+AV920*Assumptions!$I$10+AX920*Assumptions!$I$11+AY920*Assumptions!$I$12,2),"")</f>
        <v>24.46</v>
      </c>
      <c r="BA920" s="0" t="str">
        <f aca="false">IF(AZ920="","",IF(AZ920&lt;=Assumptions!$I$18,"Below Expectation",IF(AZ920&lt;=Assumptions!$I$19,"Developing",IF(AZ920&lt;=Assumptions!$I$20,"Meets Expectation",IF(AZ920&lt;=Assumptions!$I$21,"Exceeds","Star Performer")))))</f>
        <v>Below Expectation</v>
      </c>
      <c r="BB920" s="0" t="n">
        <f aca="false">IF(AZ920="",0,IF(AZ920&gt;=Assumptions!$I$26,1,0))</f>
        <v>0</v>
      </c>
      <c r="BC920" s="9" t="n">
        <f aca="false">IF(AL920="",2,AL920+2)</f>
        <v>2</v>
      </c>
      <c r="BD920" s="10" t="n">
        <f aca="false">IF(AM920="",ROUND(AVERAGE($AM$2:$AM$921),3),AM920)</f>
        <v>0.577</v>
      </c>
      <c r="BE920" s="9" t="n">
        <f aca="false">1-BD920</f>
        <v>0.423</v>
      </c>
    </row>
    <row r="921" customFormat="false" ht="14.25" hidden="true" customHeight="false" outlineLevel="0" collapsed="false">
      <c r="A921" s="4" t="n">
        <v>546</v>
      </c>
      <c r="B921" s="5" t="n">
        <v>55048476</v>
      </c>
      <c r="C921" s="5" t="s">
        <v>858</v>
      </c>
      <c r="D921" s="5" t="s">
        <v>2863</v>
      </c>
      <c r="E921" s="5" t="s">
        <v>1080</v>
      </c>
      <c r="F921" s="5" t="s">
        <v>1355</v>
      </c>
      <c r="G921" s="5" t="s">
        <v>1354</v>
      </c>
      <c r="H921" s="5" t="s">
        <v>1355</v>
      </c>
      <c r="I921" s="5" t="s">
        <v>63</v>
      </c>
      <c r="J921" s="5" t="s">
        <v>100</v>
      </c>
      <c r="K921" s="5" t="s">
        <v>65</v>
      </c>
      <c r="L921" s="6" t="n">
        <v>44642</v>
      </c>
      <c r="M921" s="5" t="s">
        <v>2082</v>
      </c>
      <c r="N921" s="6" t="n">
        <v>31997</v>
      </c>
      <c r="O921" s="5" t="s">
        <v>585</v>
      </c>
      <c r="P921" s="5" t="s">
        <v>586</v>
      </c>
      <c r="Q921" s="5" t="s">
        <v>554</v>
      </c>
      <c r="R921" s="5" t="s">
        <v>523</v>
      </c>
      <c r="S921" s="5" t="s">
        <v>1935</v>
      </c>
      <c r="T921" s="6"/>
      <c r="U921" s="6"/>
      <c r="V921" s="5"/>
      <c r="W921" s="5" t="s">
        <v>83</v>
      </c>
      <c r="X921" s="5" t="s">
        <v>631</v>
      </c>
      <c r="Y921" s="5" t="s">
        <v>2030</v>
      </c>
      <c r="Z921" s="5" t="s">
        <v>2030</v>
      </c>
      <c r="AA921" s="5" t="s">
        <v>2864</v>
      </c>
      <c r="AB921" s="0" t="n">
        <f aca="false">IFERROR(VALUE(R921),0)</f>
        <v>4.1</v>
      </c>
      <c r="AC921" s="0" t="n">
        <f aca="false">IFERROR(VALUE(M921),"")</f>
        <v>38.1</v>
      </c>
      <c r="AD921" s="0" t="n">
        <f aca="false">IFERROR(VALUE(Q921),"")</f>
        <v>4.2</v>
      </c>
      <c r="AE921" s="0" t="n">
        <f aca="false">IFERROR(VALUE(S921),"")</f>
        <v>9</v>
      </c>
      <c r="AF921" s="0" t="str">
        <f aca="false">IF(V921="","",VLOOKUP(V921,Assumptions!$B$6:$C$9,2,FALSE()))</f>
        <v/>
      </c>
      <c r="AG921" s="0" t="n">
        <f aca="false">IF(W921="","",VLOOKUP(W921,Assumptions!$B$6:$C$9,2,FALSE()))</f>
        <v>4</v>
      </c>
      <c r="AH921" s="0" t="n">
        <f aca="false">IF(X921="","",VLOOKUP(X921,Assumptions!$B$6:$C$9,2,FALSE()))</f>
        <v>2</v>
      </c>
      <c r="AI921" s="0" t="n">
        <f aca="false">IF(Y921="","",VLOOKUP(Y921,Assumptions!$B$6:$C$9,2,FALSE()))</f>
        <v>1</v>
      </c>
      <c r="AJ921" s="0" t="n">
        <f aca="false">IF(Z921="","",VLOOKUP(Z921,Assumptions!$B$6:$C$9,2,FALSE()))</f>
        <v>1</v>
      </c>
      <c r="AK921" s="7" t="n">
        <f aca="false">IFERROR(ROUND(AVERAGE(AF921:AJ921),3),"")</f>
        <v>2</v>
      </c>
      <c r="AL921" s="7" t="str">
        <f aca="false">IF(OR(AF921="",AJ921=""),"",AJ921-AF921)</f>
        <v/>
      </c>
      <c r="AM921" s="7" t="n">
        <f aca="false">IF(COUNT(AF921:AJ921)&gt;=2,ROUND(_xlfn.STDEV.S(AF921:AJ921),3),"")</f>
        <v>1.414</v>
      </c>
      <c r="AN921" s="7" t="n">
        <f aca="false">ROUND((IF(AF921="",0,AF921)*Assumptions!$F$15)+(IF(AG921="",0,AG921)*Assumptions!$F$16)+(IF(AH921="",0,AH921)*Assumptions!$F$17)+(IF(AI921="",0,AI921)*Assumptions!$F$18)+(IF(AJ921="",0,AJ921)*Assumptions!$F$19),3)</f>
        <v>1.55</v>
      </c>
      <c r="AO921" s="0" t="str">
        <f aca="false">IF(AC921&lt;=20,"",IF(AC921&lt;=Assumptions!$F$6,"20-30",IF(AC921&lt;=Assumptions!$F$7,"30-40",IF(AC921&lt;=Assumptions!$F$8,"40-50",IF(AC921&lt;=Assumptions!$F$9,"50-60",IF(AC921&lt;=Assumptions!$F$10,"60+",""))))))</f>
        <v>30-40</v>
      </c>
      <c r="AP921" s="0" t="str">
        <f aca="false">IFERROR(VLOOKUP(O921,Assumptions!$B$14:$C$26,2,FALSE()),"Other")</f>
        <v>Manager</v>
      </c>
      <c r="AQ921" s="0" t="n">
        <f aca="false">IF(T921="",0,1)</f>
        <v>0</v>
      </c>
      <c r="AR921" s="0" t="n">
        <f aca="false">IF(U921="",0,1)</f>
        <v>0</v>
      </c>
      <c r="AS921" s="8" t="n">
        <f aca="false">IF(AK921="","",IF(MAX($AK$2:$AK$921)=MIN($AK$2:$AK$921),50,ROUND((AK921-MIN($AK$2:$AK$921))/(MAX($AK$2:$AK$921)-MIN($AK$2:$AK$921))*100,2)))</f>
        <v>14.27</v>
      </c>
      <c r="AT921" s="8" t="n">
        <f aca="false">IF(MAX($BC$2:$BC$921)=MIN($BC$2:$BC$921),50,ROUND((BC921-MIN($BC$2:$BC$921))/(MAX($BC$2:$BC$921)-MIN($BC$2:$BC$921))*100,2))</f>
        <v>50</v>
      </c>
      <c r="AU921" s="8" t="n">
        <f aca="false">IF(MAX($BE$2:$BE$921)=MIN($BE$2:$BE$921),50,ROUND((BE921-MIN($BE$2:$BE$921))/(MAX($BE$2:$BE$921)-MIN($BE$2:$BE$921))*100,2))</f>
        <v>18.36</v>
      </c>
      <c r="AV921" s="8" t="n">
        <f aca="false">IF(MAX($AD$2:$AD$921)=MIN($AD$2:$AD$921),50,ROUND((AD921-MIN($AD$2:$AD$921))/(MAX($AD$2:$AD$921)-MIN($AD$2:$AD$921))*100,2))</f>
        <v>11.12</v>
      </c>
      <c r="AW921" s="8" t="n">
        <f aca="false">IF(MAX($AN$2:$AN$921)=MIN($AN$2:$AN$921),50,ROUND((AN921-MIN($AN$2:$AN$921))/(MAX($AN$2:$AN$921)-MIN($AN$2:$AN$921))*100,2))</f>
        <v>38.75</v>
      </c>
      <c r="AX921" s="8" t="n">
        <f aca="false">AQ921*100</f>
        <v>0</v>
      </c>
      <c r="AY921" s="8" t="n">
        <f aca="false">AR921*100</f>
        <v>0</v>
      </c>
      <c r="AZ921" s="8" t="n">
        <f aca="false">IFERROR(ROUND(AS921*Assumptions!$I$6+AW921*Assumptions!$I$7+AT921*Assumptions!$I$8+AU921*Assumptions!$I$9+AV921*Assumptions!$I$10+AX921*Assumptions!$I$11+AY921*Assumptions!$I$12,2),"")</f>
        <v>23.4</v>
      </c>
      <c r="BA921" s="0" t="str">
        <f aca="false">IF(AZ921="","",IF(AZ921&lt;=Assumptions!$I$18,"Below Expectation",IF(AZ921&lt;=Assumptions!$I$19,"Developing",IF(AZ921&lt;=Assumptions!$I$20,"Meets Expectation",IF(AZ921&lt;=Assumptions!$I$21,"Exceeds","Star Performer")))))</f>
        <v>Below Expectation</v>
      </c>
      <c r="BB921" s="0" t="n">
        <f aca="false">IF(AZ921="",0,IF(AZ921&gt;=Assumptions!$I$26,1,0))</f>
        <v>0</v>
      </c>
      <c r="BC921" s="9" t="n">
        <f aca="false">IF(AL921="",2,AL921+2)</f>
        <v>2</v>
      </c>
      <c r="BD921" s="10" t="n">
        <f aca="false">IF(AM921="",ROUND(AVERAGE($AM$2:$AM$921),3),AM921)</f>
        <v>1.414</v>
      </c>
      <c r="BE921" s="9" t="n">
        <f aca="false">1-BD921</f>
        <v>-0.414</v>
      </c>
    </row>
  </sheetData>
  <autoFilter ref="A1:BE921">
    <filterColumn colId="2">
      <filters>
        <filter val="JioCX"/>
      </filters>
    </filterColumn>
    <filterColumn colId="41">
      <filters>
        <filter val="Executive"/>
        <filter val="Manager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55"/>
  </cols>
  <sheetData>
    <row r="1" customFormat="false" ht="17.25" hidden="false" customHeight="true" outlineLevel="0" collapsed="false">
      <c r="A1" s="11" t="s">
        <v>2865</v>
      </c>
    </row>
    <row r="2" customFormat="false" ht="14.25" hidden="false" customHeight="false" outlineLevel="0" collapsed="false">
      <c r="A2" s="12" t="s">
        <v>2866</v>
      </c>
      <c r="B2" s="12"/>
      <c r="C2" s="12"/>
      <c r="D2" s="12"/>
      <c r="E2" s="12"/>
    </row>
    <row r="4" customFormat="false" ht="31.5" hidden="false" customHeight="true" outlineLevel="0" collapsed="false">
      <c r="A4" s="13" t="s">
        <v>2867</v>
      </c>
      <c r="B4" s="13" t="s">
        <v>2868</v>
      </c>
      <c r="C4" s="13" t="s">
        <v>2869</v>
      </c>
    </row>
    <row r="5" customFormat="false" ht="31.5" hidden="false" customHeight="true" outlineLevel="0" collapsed="false">
      <c r="A5" s="14" t="s">
        <v>2870</v>
      </c>
      <c r="B5" s="14" t="s">
        <v>2871</v>
      </c>
      <c r="C5" s="14" t="s">
        <v>2872</v>
      </c>
    </row>
    <row r="6" customFormat="false" ht="31.5" hidden="false" customHeight="true" outlineLevel="0" collapsed="false">
      <c r="A6" s="14" t="s">
        <v>2873</v>
      </c>
      <c r="B6" s="14" t="s">
        <v>2874</v>
      </c>
      <c r="C6" s="14" t="s">
        <v>2875</v>
      </c>
    </row>
    <row r="7" customFormat="false" ht="31.5" hidden="false" customHeight="true" outlineLevel="0" collapsed="false">
      <c r="A7" s="14" t="s">
        <v>36</v>
      </c>
      <c r="B7" s="14" t="s">
        <v>2876</v>
      </c>
      <c r="C7" s="14" t="s">
        <v>2877</v>
      </c>
    </row>
    <row r="8" customFormat="false" ht="31.5" hidden="false" customHeight="true" outlineLevel="0" collapsed="false">
      <c r="A8" s="14" t="s">
        <v>37</v>
      </c>
      <c r="B8" s="14" t="s">
        <v>2878</v>
      </c>
      <c r="C8" s="14" t="s">
        <v>2879</v>
      </c>
    </row>
    <row r="9" customFormat="false" ht="31.5" hidden="false" customHeight="true" outlineLevel="0" collapsed="false">
      <c r="A9" s="14" t="s">
        <v>38</v>
      </c>
      <c r="B9" s="14" t="s">
        <v>2880</v>
      </c>
      <c r="C9" s="14" t="s">
        <v>2881</v>
      </c>
    </row>
    <row r="10" customFormat="false" ht="31.5" hidden="false" customHeight="true" outlineLevel="0" collapsed="false">
      <c r="A10" s="14" t="s">
        <v>39</v>
      </c>
      <c r="B10" s="14" t="s">
        <v>2882</v>
      </c>
      <c r="C10" s="14" t="s">
        <v>2883</v>
      </c>
    </row>
    <row r="11" customFormat="false" ht="31.5" hidden="false" customHeight="true" outlineLevel="0" collapsed="false">
      <c r="A11" s="14" t="s">
        <v>40</v>
      </c>
      <c r="B11" s="14" t="s">
        <v>2884</v>
      </c>
      <c r="C11" s="14" t="s">
        <v>2885</v>
      </c>
    </row>
    <row r="12" customFormat="false" ht="31.5" hidden="false" customHeight="true" outlineLevel="0" collapsed="false">
      <c r="A12" s="14" t="s">
        <v>41</v>
      </c>
      <c r="B12" s="14" t="s">
        <v>2886</v>
      </c>
      <c r="C12" s="14" t="s">
        <v>2887</v>
      </c>
    </row>
    <row r="13" customFormat="false" ht="31.5" hidden="false" customHeight="true" outlineLevel="0" collapsed="false">
      <c r="A13" s="14" t="s">
        <v>2888</v>
      </c>
      <c r="B13" s="14" t="s">
        <v>2889</v>
      </c>
      <c r="C13" s="14" t="s">
        <v>2890</v>
      </c>
    </row>
    <row r="14" customFormat="false" ht="31.5" hidden="false" customHeight="true" outlineLevel="0" collapsed="false">
      <c r="A14" s="14" t="s">
        <v>2891</v>
      </c>
      <c r="B14" s="14" t="s">
        <v>2892</v>
      </c>
      <c r="C14" s="14" t="s">
        <v>2893</v>
      </c>
    </row>
    <row r="15" customFormat="false" ht="31.5" hidden="false" customHeight="true" outlineLevel="0" collapsed="false">
      <c r="A15" s="14" t="s">
        <v>2894</v>
      </c>
      <c r="B15" s="14" t="s">
        <v>2895</v>
      </c>
      <c r="C15" s="14" t="s">
        <v>2896</v>
      </c>
    </row>
    <row r="16" customFormat="false" ht="31.5" hidden="false" customHeight="true" outlineLevel="0" collapsed="false">
      <c r="A16" s="14" t="s">
        <v>51</v>
      </c>
      <c r="B16" s="14" t="s">
        <v>2897</v>
      </c>
      <c r="C16" s="14" t="s">
        <v>2898</v>
      </c>
    </row>
    <row r="17" customFormat="false" ht="31.5" hidden="false" customHeight="true" outlineLevel="0" collapsed="false">
      <c r="A17" s="14" t="s">
        <v>52</v>
      </c>
      <c r="B17" s="14" t="s">
        <v>2899</v>
      </c>
      <c r="C17" s="14" t="s">
        <v>2900</v>
      </c>
    </row>
    <row r="18" customFormat="false" ht="31.5" hidden="false" customHeight="true" outlineLevel="0" collapsed="false">
      <c r="A18" s="14" t="s">
        <v>53</v>
      </c>
      <c r="B18" s="14" t="s">
        <v>2901</v>
      </c>
      <c r="C18" s="14" t="s">
        <v>2902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E24" activeCellId="0" sqref="E24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6" min="6" style="0" width="22.33"/>
    <col collapsed="false" customWidth="true" hidden="false" outlineLevel="0" max="7" min="7" style="0" width="11.77"/>
    <col collapsed="false" customWidth="true" hidden="false" outlineLevel="0" max="8" min="8" style="0" width="46.22"/>
    <col collapsed="false" customWidth="true" hidden="false" outlineLevel="0" max="9" min="9" style="0" width="16.11"/>
  </cols>
  <sheetData>
    <row r="1" customFormat="false" ht="17.25" hidden="false" customHeight="true" outlineLevel="0" collapsed="false">
      <c r="A1" s="11" t="s">
        <v>2903</v>
      </c>
    </row>
    <row r="2" customFormat="false" ht="14.25" hidden="false" customHeight="false" outlineLevel="0" collapsed="false">
      <c r="A2" s="15" t="s">
        <v>2904</v>
      </c>
    </row>
    <row r="4" customFormat="false" ht="14.25" hidden="false" customHeight="false" outlineLevel="0" collapsed="false">
      <c r="B4" s="16" t="s">
        <v>2905</v>
      </c>
      <c r="E4" s="16" t="s">
        <v>2906</v>
      </c>
      <c r="H4" s="16" t="s">
        <v>2907</v>
      </c>
    </row>
    <row r="5" customFormat="false" ht="14.25" hidden="false" customHeight="false" outlineLevel="0" collapsed="false">
      <c r="B5" s="17" t="s">
        <v>2908</v>
      </c>
      <c r="C5" s="17" t="s">
        <v>2909</v>
      </c>
      <c r="E5" s="17" t="s">
        <v>2910</v>
      </c>
      <c r="F5" s="17" t="s">
        <v>2911</v>
      </c>
      <c r="H5" s="17" t="s">
        <v>2912</v>
      </c>
      <c r="I5" s="17" t="s">
        <v>2913</v>
      </c>
    </row>
    <row r="6" customFormat="false" ht="14.25" hidden="false" customHeight="false" outlineLevel="0" collapsed="false">
      <c r="B6" s="18" t="s">
        <v>83</v>
      </c>
      <c r="C6" s="18" t="n">
        <v>4</v>
      </c>
      <c r="E6" s="18" t="s">
        <v>2914</v>
      </c>
      <c r="F6" s="18" t="n">
        <v>30</v>
      </c>
      <c r="H6" s="18" t="s">
        <v>44</v>
      </c>
      <c r="I6" s="19" t="n">
        <v>0.3</v>
      </c>
    </row>
    <row r="7" customFormat="false" ht="14.25" hidden="false" customHeight="false" outlineLevel="0" collapsed="false">
      <c r="B7" s="18" t="s">
        <v>141</v>
      </c>
      <c r="C7" s="18" t="n">
        <v>3</v>
      </c>
      <c r="E7" s="18" t="s">
        <v>2915</v>
      </c>
      <c r="F7" s="18" t="n">
        <v>40</v>
      </c>
      <c r="H7" s="18" t="s">
        <v>48</v>
      </c>
      <c r="I7" s="19" t="n">
        <v>0.2</v>
      </c>
    </row>
    <row r="8" customFormat="false" ht="14.25" hidden="false" customHeight="false" outlineLevel="0" collapsed="false">
      <c r="B8" s="18" t="s">
        <v>631</v>
      </c>
      <c r="C8" s="18" t="n">
        <v>2</v>
      </c>
      <c r="E8" s="18" t="s">
        <v>2916</v>
      </c>
      <c r="F8" s="18" t="n">
        <v>50</v>
      </c>
      <c r="H8" s="18" t="s">
        <v>45</v>
      </c>
      <c r="I8" s="19" t="n">
        <v>0.15</v>
      </c>
    </row>
    <row r="9" customFormat="false" ht="14.25" hidden="false" customHeight="false" outlineLevel="0" collapsed="false">
      <c r="B9" s="18" t="s">
        <v>2030</v>
      </c>
      <c r="C9" s="18" t="n">
        <v>1</v>
      </c>
      <c r="E9" s="18" t="s">
        <v>2917</v>
      </c>
      <c r="F9" s="18" t="n">
        <v>60</v>
      </c>
      <c r="H9" s="18" t="s">
        <v>46</v>
      </c>
      <c r="I9" s="19" t="n">
        <v>0.15</v>
      </c>
    </row>
    <row r="10" customFormat="false" ht="14.25" hidden="false" customHeight="false" outlineLevel="0" collapsed="false">
      <c r="E10" s="18" t="s">
        <v>2918</v>
      </c>
      <c r="F10" s="18" t="n">
        <v>75</v>
      </c>
      <c r="H10" s="18" t="s">
        <v>47</v>
      </c>
      <c r="I10" s="19" t="n">
        <v>0.1</v>
      </c>
    </row>
    <row r="11" customFormat="false" ht="14.25" hidden="false" customHeight="false" outlineLevel="0" collapsed="false">
      <c r="H11" s="18" t="s">
        <v>49</v>
      </c>
      <c r="I11" s="19" t="n">
        <v>0.05</v>
      </c>
    </row>
    <row r="12" customFormat="false" ht="14.25" hidden="false" customHeight="false" outlineLevel="0" collapsed="false">
      <c r="B12" s="16" t="s">
        <v>2919</v>
      </c>
      <c r="H12" s="18" t="s">
        <v>50</v>
      </c>
      <c r="I12" s="19" t="n">
        <v>0.05</v>
      </c>
    </row>
    <row r="13" customFormat="false" ht="14.25" hidden="false" customHeight="false" outlineLevel="0" collapsed="false">
      <c r="B13" s="17" t="s">
        <v>14</v>
      </c>
      <c r="C13" s="17" t="s">
        <v>2920</v>
      </c>
      <c r="E13" s="16" t="s">
        <v>2921</v>
      </c>
      <c r="H13" s="20" t="s">
        <v>2922</v>
      </c>
      <c r="I13" s="21" t="n">
        <f aca="false">SUM(I6:I12)</f>
        <v>1</v>
      </c>
    </row>
    <row r="14" customFormat="false" ht="14.25" hidden="false" customHeight="false" outlineLevel="0" collapsed="false">
      <c r="B14" s="18" t="s">
        <v>1264</v>
      </c>
      <c r="C14" s="18" t="s">
        <v>365</v>
      </c>
      <c r="E14" s="17" t="s">
        <v>2923</v>
      </c>
      <c r="F14" s="17" t="s">
        <v>2913</v>
      </c>
    </row>
    <row r="15" customFormat="false" ht="14.25" hidden="false" customHeight="false" outlineLevel="0" collapsed="false">
      <c r="B15" s="18" t="s">
        <v>585</v>
      </c>
      <c r="C15" s="18" t="s">
        <v>365</v>
      </c>
      <c r="E15" s="18" t="s">
        <v>21</v>
      </c>
      <c r="F15" s="19" t="n">
        <v>0.1</v>
      </c>
    </row>
    <row r="16" customFormat="false" ht="14.25" hidden="false" customHeight="false" outlineLevel="0" collapsed="false">
      <c r="B16" s="18" t="s">
        <v>2069</v>
      </c>
      <c r="C16" s="18" t="s">
        <v>2069</v>
      </c>
      <c r="E16" s="18" t="s">
        <v>22</v>
      </c>
      <c r="F16" s="19" t="n">
        <v>0.15</v>
      </c>
      <c r="H16" s="16" t="s">
        <v>2924</v>
      </c>
    </row>
    <row r="17" customFormat="false" ht="14.25" hidden="false" customHeight="false" outlineLevel="0" collapsed="false">
      <c r="B17" s="18" t="s">
        <v>332</v>
      </c>
      <c r="C17" s="18" t="s">
        <v>365</v>
      </c>
      <c r="E17" s="18" t="s">
        <v>23</v>
      </c>
      <c r="F17" s="19" t="n">
        <v>0.2</v>
      </c>
      <c r="H17" s="17" t="s">
        <v>2925</v>
      </c>
      <c r="I17" s="17" t="s">
        <v>2926</v>
      </c>
    </row>
    <row r="18" customFormat="false" ht="14.25" hidden="false" customHeight="false" outlineLevel="0" collapsed="false">
      <c r="B18" s="18" t="s">
        <v>365</v>
      </c>
      <c r="C18" s="18" t="s">
        <v>365</v>
      </c>
      <c r="E18" s="18" t="s">
        <v>24</v>
      </c>
      <c r="F18" s="19" t="n">
        <v>0.25</v>
      </c>
      <c r="H18" s="18" t="s">
        <v>2927</v>
      </c>
      <c r="I18" s="18" t="n">
        <v>40</v>
      </c>
    </row>
    <row r="19" customFormat="false" ht="14.25" hidden="false" customHeight="false" outlineLevel="0" collapsed="false">
      <c r="B19" s="18" t="s">
        <v>1624</v>
      </c>
      <c r="C19" s="18" t="s">
        <v>2069</v>
      </c>
      <c r="E19" s="18" t="s">
        <v>25</v>
      </c>
      <c r="F19" s="19" t="n">
        <v>0.3</v>
      </c>
      <c r="H19" s="18" t="s">
        <v>2928</v>
      </c>
      <c r="I19" s="18" t="n">
        <v>55</v>
      </c>
    </row>
    <row r="20" customFormat="false" ht="14.25" hidden="false" customHeight="false" outlineLevel="0" collapsed="false">
      <c r="B20" s="18" t="s">
        <v>262</v>
      </c>
      <c r="C20" s="18" t="s">
        <v>365</v>
      </c>
      <c r="E20" s="20" t="s">
        <v>2922</v>
      </c>
      <c r="F20" s="21" t="n">
        <f aca="false">SUM(F15:F19)</f>
        <v>1</v>
      </c>
      <c r="H20" s="18" t="s">
        <v>2929</v>
      </c>
      <c r="I20" s="18" t="n">
        <v>70</v>
      </c>
    </row>
    <row r="21" customFormat="false" ht="14.25" hidden="false" customHeight="false" outlineLevel="0" collapsed="false">
      <c r="B21" s="18" t="s">
        <v>162</v>
      </c>
      <c r="C21" s="18" t="s">
        <v>365</v>
      </c>
      <c r="H21" s="18" t="s">
        <v>2930</v>
      </c>
      <c r="I21" s="18" t="n">
        <v>85</v>
      </c>
    </row>
    <row r="22" customFormat="false" ht="14.25" hidden="false" customHeight="false" outlineLevel="0" collapsed="false">
      <c r="B22" s="18" t="s">
        <v>122</v>
      </c>
      <c r="C22" s="18" t="s">
        <v>2931</v>
      </c>
      <c r="H22" s="22" t="s">
        <v>2932</v>
      </c>
    </row>
    <row r="23" customFormat="false" ht="14.25" hidden="false" customHeight="false" outlineLevel="0" collapsed="false">
      <c r="B23" s="18" t="s">
        <v>89</v>
      </c>
      <c r="C23" s="18" t="s">
        <v>2931</v>
      </c>
    </row>
    <row r="24" customFormat="false" ht="14.25" hidden="false" customHeight="false" outlineLevel="0" collapsed="false">
      <c r="B24" s="18" t="s">
        <v>78</v>
      </c>
      <c r="C24" s="18" t="s">
        <v>2931</v>
      </c>
      <c r="H24" s="16" t="s">
        <v>2933</v>
      </c>
    </row>
    <row r="25" customFormat="false" ht="14.25" hidden="false" customHeight="false" outlineLevel="0" collapsed="false">
      <c r="B25" s="18" t="s">
        <v>67</v>
      </c>
      <c r="C25" s="18" t="s">
        <v>2931</v>
      </c>
      <c r="H25" s="23" t="s">
        <v>2934</v>
      </c>
      <c r="I25" s="24" t="n">
        <v>0.8</v>
      </c>
    </row>
    <row r="26" customFormat="false" ht="14.25" hidden="false" customHeight="false" outlineLevel="0" collapsed="false">
      <c r="B26" s="18" t="s">
        <v>955</v>
      </c>
      <c r="C26" s="18" t="s">
        <v>2931</v>
      </c>
      <c r="H26" s="23" t="s">
        <v>2935</v>
      </c>
      <c r="I26" s="21" t="n">
        <f aca="false">_xlfn.PERCENTILE.INC(OLP_Scored_Model!$AZ$2:$AZ$921,Assumptions!$I$25)</f>
        <v>69.148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2026-06-17T04:56:35Z</dcterms:created>
  <dc:creator>openpyxl</dc:creator>
  <dc:description/>
  <dc:language>en-US</dc:language>
  <cp:lastModifiedBy>Vivek267 Kumar</cp:lastModifiedBy>
  <dcterms:modified xsi:type="dcterms:W3CDTF">2026-06-17T09:59:29Z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